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ccount_Setup_and_Data_Load" sheetId="1" state="visible" r:id="rId3"/>
    <sheet name="Prep - with formulas" sheetId="2" state="visible" r:id="rId4"/>
    <sheet name="FY27 JV Rev" sheetId="3" state="visible" r:id="rId5"/>
    <sheet name="FY27 JV Revenue" sheetId="4" state="visible" r:id="rId6"/>
    <sheet name="Extract_for_Locations 26 Aug 26" sheetId="5" state="visible" r:id="rId7"/>
    <sheet name="Monthly Totals Check" sheetId="6" state="visible" r:id="rId8"/>
    <sheet name="Check - By JV by Month"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<sst xmlns="http://schemas.openxmlformats.org/spreadsheetml/2006/main" count="87437" uniqueCount="16268">
  <si>
    <t xml:space="preserve">Organization Link</t>
  </si>
  <si>
    <t xml:space="preserve">Organization</t>
  </si>
  <si>
    <t xml:space="preserve">Location</t>
  </si>
  <si>
    <t xml:space="preserve">Location Ref</t>
  </si>
  <si>
    <t xml:space="preserve">Account Style Link</t>
  </si>
  <si>
    <t xml:space="preserve">Account Style Caption</t>
  </si>
  <si>
    <t xml:space="preserve">Account Subtype</t>
  </si>
  <si>
    <t xml:space="preserve">Account Number</t>
  </si>
  <si>
    <t xml:space="preserve">Account Reference</t>
  </si>
  <si>
    <t xml:space="preserve">Account Supplier</t>
  </si>
  <si>
    <t xml:space="preserve">Account Reader</t>
  </si>
  <si>
    <t xml:space="preserve">Record Start YYYY-MM-DD</t>
  </si>
  <si>
    <t xml:space="preserve">Record End YYYY-MM-DD</t>
  </si>
  <si>
    <t xml:space="preserve">Record Data Quality</t>
  </si>
  <si>
    <t xml:space="preserve">Record Billing Type</t>
  </si>
  <si>
    <t xml:space="preserve">Record Subtype</t>
  </si>
  <si>
    <t xml:space="preserve">Record Entry Method</t>
  </si>
  <si>
    <t xml:space="preserve">Record Reference</t>
  </si>
  <si>
    <t xml:space="preserve">Record Invoice Number</t>
  </si>
  <si>
    <t xml:space="preserve">Quantity</t>
  </si>
  <si>
    <t xml:space="preserve">Total Cost</t>
  </si>
  <si>
    <t xml:space="preserve">Downer</t>
  </si>
  <si>
    <t xml:space="preserve">REV_Allied Asphalt</t>
  </si>
  <si>
    <t xml:space="preserve">AASPHT</t>
  </si>
  <si>
    <t xml:space="preserve">Revenue - AUD Million</t>
  </si>
  <si>
    <t xml:space="preserve">FY27REV_Allied Asphalt</t>
  </si>
  <si>
    <t xml:space="preserve">Revenue</t>
  </si>
  <si>
    <t xml:space="preserve">2026-07-01</t>
  </si>
  <si>
    <t xml:space="preserve">2026-07-31</t>
  </si>
  <si>
    <t xml:space="preserve">Actual</t>
  </si>
  <si>
    <t xml:space="preserve">Standard</t>
  </si>
  <si>
    <t xml:space="preserve">Insert</t>
  </si>
  <si>
    <t xml:space="preserve">Allied Asphalt</t>
  </si>
  <si>
    <t xml:space="preserve">REV_BIA</t>
  </si>
  <si>
    <t xml:space="preserve">RSV175-1</t>
  </si>
  <si>
    <t xml:space="preserve">FY27REV_BIA</t>
  </si>
  <si>
    <t xml:space="preserve">BIA</t>
  </si>
  <si>
    <t xml:space="preserve">REV_EDI Rail- Bombardier Transportation</t>
  </si>
  <si>
    <t xml:space="preserve">ERBT</t>
  </si>
  <si>
    <t xml:space="preserve">FY27REV_EDI Rail- Bombardier Transportation</t>
  </si>
  <si>
    <t xml:space="preserve">EDI Rail- Bombardier Transportation</t>
  </si>
  <si>
    <t xml:space="preserve">REV_Emulco</t>
  </si>
  <si>
    <t xml:space="preserve">EMU</t>
  </si>
  <si>
    <t xml:space="preserve">FY27REV_Emulco</t>
  </si>
  <si>
    <t xml:space="preserve">Emulco</t>
  </si>
  <si>
    <t xml:space="preserve">REV_Isaac Asphalt</t>
  </si>
  <si>
    <t xml:space="preserve">ISAAT</t>
  </si>
  <si>
    <t xml:space="preserve">FY27REV_Isaac Asphalt</t>
  </si>
  <si>
    <t xml:space="preserve">Isaac Asphalt</t>
  </si>
  <si>
    <t xml:space="preserve">Joint Venture and Associates</t>
  </si>
  <si>
    <t xml:space="preserve">Jul</t>
  </si>
  <si>
    <t xml:space="preserve">Group</t>
  </si>
  <si>
    <t xml:space="preserve">Check</t>
  </si>
  <si>
    <t xml:space="preserve">FY27 JV Revenue — Joint Ventures &amp; Associates (Jul 26 – Jun 27; one month deep: Jul 26)</t>
  </si>
  <si>
    <t xml:space="preserve">Source: sheet "FY27 JV Rev" (copied verbatim into this workbook from "Actual Revenue Jul 26 -unlinked.xlsx"). Cells below link to it. The Account_Setup_and_Data_Load sheet carries these same amounts NEGATED, to exclude JV revenue from all revenue figures — see "Prep - with formulas" for the row-by-row linking.</t>
  </si>
  <si>
    <t xml:space="preserve">Jul 26</t>
  </si>
  <si>
    <t xml:space="preserve">FY27 Total</t>
  </si>
  <si>
    <t xml:space="preserve">Already in FY27 revenue upload?</t>
  </si>
  <si>
    <t xml:space="preserve">No — see note 4</t>
  </si>
  <si>
    <t xml:space="preserve">Yes — inside the REV_Transport &amp; Infrastructure AU roll-up, see note 4</t>
  </si>
  <si>
    <t xml:space="preserve">Yes — as the "WA JV" line under TLS Fleet, inside the REV_Passenger Through Life Support roll-up, see note 4</t>
  </si>
  <si>
    <t xml:space="preserve">Notes</t>
  </si>
  <si>
    <t xml:space="preserve">1. Purpose: JV and associate revenue is to be excluded from all revenue figures. This workbook uploads the JV revenue as negative values against JV-specific locations, so revenue reporting nets to revenue excluding JV revenue. It is the FY27 counterpart of Account_Setup_and_Data_Load_-_PM&amp;C_JVREVJUL25toJUN26_Setup.xlsx (FY26), one month deep so far (Jul 26); extend it month by month alongside the main FY27 setup workbook.</t>
  </si>
  <si>
    <t xml:space="preserve">2. Locations: per the "Extract_for_Locations 26 Aug 26" sheet (copied verbatim into this workbook from the FY27 setup workbook), all five JV revenue locations exist in Envizi as open "REV_&lt;name&gt;" locations — they were reopened for the FY26 exclusion load, so unlike FY26 no reopening/renaming is needed before loading. Each carries both the Classification (Operational Control) and Portfolio (Revenue) memberships. The Location Refs in column D are derived from that extract by INDEX/MATCH (matching "REV_&lt;name&gt;", with the FY26 fallback to "_CLOSED_REV_&lt;name&gt;" retained in case a location is ever closed again), as is column D of "Prep - with formulas".</t>
  </si>
  <si>
    <t xml:space="preserve">3. Sign convention: the monthly figures on this sheet are JV revenue as reported (positive), linked from the verbatim "FY27 JV Rev" source sheet. The negation is applied in "Prep - with formulas" (Quantity column: =-'FY27 JV Rev'!&lt;cell&gt;) and the upload sheet carries the resulting values. Values of zero are loaded as 0.</t>
  </si>
  <si>
    <t xml:space="preserve">4. Coverage — CONFIRMED 27 Aug 26: all five JVs are uploaded as negatives at the JV-source figures, matching the FY26 treatment (coverage there confirmed 4 Aug 26), on the basis that JV revenue is included in the main revenue tab by default. For Jul 26: BIA (3.8) is in the loaded FY27 revenue rolled into REV_Transport &amp; Infrastructure AU (the FY27 workbook rolls to Sub-LOB × Level 2, and BIA is a Level 2 under Transport &amp; Infrastructure AU); EDI Rail- Bombardier Transportation is in it as the "WA JV" line under TLS Fleet, rolled into REV_Passenger Through Life Support. Allied Asphalt, Emulco and Isaac Asphalt are zero in Jul 26; in months where they are non-zero their revenue sits inside the divisional lines rather than as own lines.</t>
  </si>
  <si>
    <t xml:space="preserve">4a. Rounding: the deduction uses the JV-source figures, which can differ from the main tab by rounding — for Jul 26, "WA JV" is 3.5 in the main tab but EDI is 3.4 on the JV sheet, leaving a 0.1 residual in net revenue. Same class of residual as FY26 (note 4a there: BIA 69.9 vs 70.1). NOTE the FY26 workbook's note 4 states EDI Rail- Bombardier was "not previously included" in the FY26 figures — that is incorrect: it is included there too, as the "WA JV" line under RTS &gt; TLS Fleet (35.9 in FY26 vs 35.6 deducted). The FY26 loaded amounts are unaffected; only that note's rationale is wrong.</t>
  </si>
  <si>
    <t xml:space="preserve">5. Keolis Downer JV: not on the "FY27 JV Rev" source sheet. Per the FY26 decision (confirmed 4 Aug 26), the source sheet is the agreed definition of JV revenue to exclude, so Keolis Downer revenue stays in revenue.</t>
  </si>
  <si>
    <t xml:space="preserve">6. Accounts: the five FY27REV_&lt;name&gt; accounts do not exist yet in the 26 Aug 26 accounts extract (their FY26REV_ counterparts do, created by the FY26 exclusion load). Accounts do not need creating separately — this data load creates them alongside the records (Record Entry Method Insert).</t>
  </si>
  <si>
    <t xml:space="preserve">7. BIA Location Ref: the extract shows Location Ref "RSV175-1" for REV_BIA, which looks like a Rail Services Victoria code. Copied faithfully from the extract, unchanged from FY26.</t>
  </si>
  <si>
    <t xml:space="preserve">Associate</t>
  </si>
  <si>
    <t xml:space="preserve">Location_Name</t>
  </si>
  <si>
    <t xml:space="preserve">Type</t>
  </si>
  <si>
    <t xml:space="preserve">Ref_No</t>
  </si>
  <si>
    <t xml:space="preserve">Id</t>
  </si>
  <si>
    <t xml:space="preserve">Address</t>
  </si>
  <si>
    <t xml:space="preserve">City</t>
  </si>
  <si>
    <t xml:space="preserve">State</t>
  </si>
  <si>
    <t xml:space="preserve">Postal_Code</t>
  </si>
  <si>
    <t xml:space="preserve">Address Country</t>
  </si>
  <si>
    <t xml:space="preserve">Region</t>
  </si>
  <si>
    <t xml:space="preserve">Country</t>
  </si>
  <si>
    <t xml:space="preserve">Alternate Factor Region</t>
  </si>
  <si>
    <t xml:space="preserve">Group Level 1</t>
  </si>
  <si>
    <t xml:space="preserve">Group Level 2</t>
  </si>
  <si>
    <t xml:space="preserve">Group Level 3</t>
  </si>
  <si>
    <t xml:space="preserve">Group_Associate</t>
  </si>
  <si>
    <t xml:space="preserve">Report_Percent</t>
  </si>
  <si>
    <t xml:space="preserve">Effective_From</t>
  </si>
  <si>
    <t xml:space="preserve">Effective_To</t>
  </si>
  <si>
    <t xml:space="preserve">Group_Type</t>
  </si>
  <si>
    <t xml:space="preserve">Latitude</t>
  </si>
  <si>
    <t xml:space="preserve">Longitude</t>
  </si>
  <si>
    <t xml:space="preserve">ANZSIC Code</t>
  </si>
  <si>
    <t xml:space="preserve">Opened On</t>
  </si>
  <si>
    <t xml:space="preserve">Closed On</t>
  </si>
  <si>
    <t xml:space="preserve">.HOUR.LMC -RICHTER DRI'G PNG CENTURY R</t>
  </si>
  <si>
    <t xml:space="preserve">Other</t>
  </si>
  <si>
    <t xml:space="preserve">L9.MIN.UED.4501</t>
  </si>
  <si>
    <t xml:space="preserve">4501</t>
  </si>
  <si>
    <t xml:space="preserve">Auckland</t>
  </si>
  <si>
    <t xml:space="preserve">New Zealand</t>
  </si>
  <si>
    <t xml:space="preserve">Operational Control</t>
  </si>
  <si>
    <t xml:space="preserve">Mining</t>
  </si>
  <si>
    <t xml:space="preserve">100.0000</t>
  </si>
  <si>
    <t xml:space="preserve">Classification</t>
  </si>
  <si>
    <t xml:space="preserve">.HOUR.RICHTER DRILLING - OK TEDI</t>
  </si>
  <si>
    <t xml:space="preserve">L9.MIN.UED.4502</t>
  </si>
  <si>
    <t xml:space="preserve">4502</t>
  </si>
  <si>
    <t xml:space="preserve">[CLOSED] 4 Redwood Lane - Tauriko West Enabling Works</t>
  </si>
  <si>
    <t xml:space="preserve">Depot</t>
  </si>
  <si>
    <t xml:space="preserve">L9.DNZJ.553912</t>
  </si>
  <si>
    <t xml:space="preserve">Bay of Plenty</t>
  </si>
  <si>
    <t xml:space="preserve">Transport &amp; Infrastructure (T&amp;I)</t>
  </si>
  <si>
    <t xml:space="preserve">2026/03/31</t>
  </si>
  <si>
    <t xml:space="preserve">[CLOSED] Hobart Airport Upgrade Project</t>
  </si>
  <si>
    <t xml:space="preserve">Airport</t>
  </si>
  <si>
    <t xml:space="preserve">L9.J.170751</t>
  </si>
  <si>
    <t xml:space="preserve">170751</t>
  </si>
  <si>
    <t xml:space="preserve">TI-170751 - Airports General Delivery</t>
  </si>
  <si>
    <t xml:space="preserve">250 Surf Road, Seven Mile Beach</t>
  </si>
  <si>
    <t xml:space="preserve">Tasmania</t>
  </si>
  <si>
    <t xml:space="preserve">TAS</t>
  </si>
  <si>
    <t xml:space="preserve">7170</t>
  </si>
  <si>
    <t xml:space="preserve">Australia</t>
  </si>
  <si>
    <t xml:space="preserve">2025/05/31</t>
  </si>
  <si>
    <t xml:space="preserve">[CLOSED] Numurkah Solar Farm</t>
  </si>
  <si>
    <t xml:space="preserve">L9.J.381155</t>
  </si>
  <si>
    <t xml:space="preserve">IP-39210265</t>
  </si>
  <si>
    <t xml:space="preserve">Shepparton</t>
  </si>
  <si>
    <t xml:space="preserve">Y_Non Operational Control</t>
  </si>
  <si>
    <t xml:space="preserve">Energy and Utilities (EU)</t>
  </si>
  <si>
    <t xml:space="preserve">-37.819015</t>
  </si>
  <si>
    <t xml:space="preserve">144.955762</t>
  </si>
  <si>
    <t xml:space="preserve">310</t>
  </si>
  <si>
    <t xml:space="preserve">_AI Testing</t>
  </si>
  <si>
    <t xml:space="preserve">North Ryde</t>
  </si>
  <si>
    <t xml:space="preserve">Corporate</t>
  </si>
  <si>
    <t xml:space="preserve">_CLOSED_ AGIS Braddon</t>
  </si>
  <si>
    <t xml:space="preserve">Office</t>
  </si>
  <si>
    <t xml:space="preserve">L9.J.502002</t>
  </si>
  <si>
    <t xml:space="preserve">2001</t>
  </si>
  <si>
    <t xml:space="preserve">electricity data only from landlord accounts</t>
  </si>
  <si>
    <t xml:space="preserve">Australian Capital Territory</t>
  </si>
  <si>
    <t xml:space="preserve">Social Infra &amp; Citizen Serv (SICS)</t>
  </si>
  <si>
    <t xml:space="preserve">2018/11/01</t>
  </si>
  <si>
    <t xml:space="preserve">2021/10/31</t>
  </si>
  <si>
    <t xml:space="preserve">-35.273</t>
  </si>
  <si>
    <t xml:space="preserve">149.133</t>
  </si>
  <si>
    <t xml:space="preserve">760</t>
  </si>
  <si>
    <t xml:space="preserve">2016/08/01</t>
  </si>
  <si>
    <t xml:space="preserve">2022/12/06</t>
  </si>
  <si>
    <t xml:space="preserve">_CLOSED_ North Ryde T1 - Level 2</t>
  </si>
  <si>
    <t xml:space="preserve">L9.J.102001</t>
  </si>
  <si>
    <t xml:space="preserve">1012</t>
  </si>
  <si>
    <t xml:space="preserve">T1, Triniti Business Campus, 39 Delhi Road</t>
  </si>
  <si>
    <t xml:space="preserve">Sydney</t>
  </si>
  <si>
    <t xml:space="preserve">NSW</t>
  </si>
  <si>
    <t xml:space="preserve">2113</t>
  </si>
  <si>
    <t xml:space="preserve">729</t>
  </si>
  <si>
    <t xml:space="preserve">1900/01/01</t>
  </si>
  <si>
    <t xml:space="preserve">_CLOSED_ OSM_Waitaki</t>
  </si>
  <si>
    <t xml:space="preserve">L9.DNZJ.55876</t>
  </si>
  <si>
    <t xml:space="preserve">5088</t>
  </si>
  <si>
    <t xml:space="preserve">Outside Space Management (Gardening) - New facilities established for more granular reporting and to reflect new structure for FY17. See facility named "NZ-Infrastructure Services" for historical data.</t>
  </si>
  <si>
    <t xml:space="preserve">Chelmer Street</t>
  </si>
  <si>
    <t xml:space="preserve">Oamaru</t>
  </si>
  <si>
    <t xml:space="preserve">Otago</t>
  </si>
  <si>
    <t xml:space="preserve">2104</t>
  </si>
  <si>
    <t xml:space="preserve">-45.0978481999999</t>
  </si>
  <si>
    <t xml:space="preserve">170.9606991</t>
  </si>
  <si>
    <t xml:space="preserve">731</t>
  </si>
  <si>
    <t xml:space="preserve">2017/07/01</t>
  </si>
  <si>
    <t xml:space="preserve">_CLOSED_25820008 - Winneke Main Substation Switchboard Replacement</t>
  </si>
  <si>
    <t xml:space="preserve">Site</t>
  </si>
  <si>
    <t xml:space="preserve">L9.J.25820008</t>
  </si>
  <si>
    <t xml:space="preserve">UTIL-25820008</t>
  </si>
  <si>
    <t xml:space="preserve">Main Substation Switchboard Replacement - Project finished in September 2022.</t>
  </si>
  <si>
    <t xml:space="preserve">Victoria</t>
  </si>
  <si>
    <t xml:space="preserve">2022/10/01</t>
  </si>
  <si>
    <t xml:space="preserve">Utilities</t>
  </si>
  <si>
    <t xml:space="preserve">UTIL-252 - Water Services Projects NSW/VIC</t>
  </si>
  <si>
    <t xml:space="preserve">SFP JV</t>
  </si>
  <si>
    <t xml:space="preserve">Portfolio</t>
  </si>
  <si>
    <t xml:space="preserve">_CLOSED_25820012 - WTP 25W Lagoon Pond 1 HV and LV Renewals</t>
  </si>
  <si>
    <t xml:space="preserve">L9.J.25820012</t>
  </si>
  <si>
    <t xml:space="preserve">UTIL-25820012</t>
  </si>
  <si>
    <t xml:space="preserve">WTP 25W Lagoon Pond 1 HV and LV Renewals</t>
  </si>
  <si>
    <t xml:space="preserve">2024/12/03</t>
  </si>
  <si>
    <t xml:space="preserve">_CLOSED_86 Collins St Tas</t>
  </si>
  <si>
    <t xml:space="preserve">Branch Office</t>
  </si>
  <si>
    <t xml:space="preserve">L9.J.105001</t>
  </si>
  <si>
    <t xml:space="preserve">9164</t>
  </si>
  <si>
    <t xml:space="preserve">Level 12, 86 Collins Street
HOBART  TAS  7000</t>
  </si>
  <si>
    <t xml:space="preserve">Hobart</t>
  </si>
  <si>
    <t xml:space="preserve">692</t>
  </si>
  <si>
    <t xml:space="preserve">_CLOSED_Accommodation - NZ</t>
  </si>
  <si>
    <t xml:space="preserve">Hotel</t>
  </si>
  <si>
    <t xml:space="preserve">L9.WAU.000887</t>
  </si>
  <si>
    <t xml:space="preserve">_CLOSED_Accommodation NT</t>
  </si>
  <si>
    <t xml:space="preserve">Facility</t>
  </si>
  <si>
    <t xml:space="preserve">9129</t>
  </si>
  <si>
    <t xml:space="preserve">55 BATTEN RD MARRARA</t>
  </si>
  <si>
    <t xml:space="preserve">Darwin</t>
  </si>
  <si>
    <t xml:space="preserve">Z_HISTORICAL_Operational Control</t>
  </si>
  <si>
    <t xml:space="preserve">_CLOSED_ACES - North Queensland Region</t>
  </si>
  <si>
    <t xml:space="preserve">L9.DUA.12005</t>
  </si>
  <si>
    <t xml:space="preserve">Contract ended June 2022.</t>
  </si>
  <si>
    <t xml:space="preserve">Queensland</t>
  </si>
  <si>
    <t xml:space="preserve">2022/06/30</t>
  </si>
  <si>
    <t xml:space="preserve">_CLOSED_ACT</t>
  </si>
  <si>
    <t xml:space="preserve">Plant</t>
  </si>
  <si>
    <t xml:space="preserve">L9.S.11000020</t>
  </si>
  <si>
    <t xml:space="preserve">Unallocated regional fuel accounts</t>
  </si>
  <si>
    <t xml:space="preserve">ACT</t>
  </si>
  <si>
    <t xml:space="preserve">580</t>
  </si>
  <si>
    <t xml:space="preserve">_CLOSED_Adelaide Light Rail - North Terrace Tramli</t>
  </si>
  <si>
    <t xml:space="preserve">L9.D.20143004</t>
  </si>
  <si>
    <t xml:space="preserve">SA</t>
  </si>
  <si>
    <t xml:space="preserve">Adelaide</t>
  </si>
  <si>
    <t xml:space="preserve">South Australia</t>
  </si>
  <si>
    <t xml:space="preserve">DT Infrastructure Locations for reallocation</t>
  </si>
  <si>
    <t xml:space="preserve">-34.921297</t>
  </si>
  <si>
    <t xml:space="preserve">138.604655</t>
  </si>
  <si>
    <t xml:space="preserve">DT Infrastructure (pre Sept 23 divestment)</t>
  </si>
  <si>
    <t xml:space="preserve">2023/09/30</t>
  </si>
  <si>
    <t xml:space="preserve">DT Infrastructure (post Sept Divestment)</t>
  </si>
  <si>
    <t xml:space="preserve">2023/10/01</t>
  </si>
  <si>
    <t xml:space="preserve">_CLOSED_AE Smith - Burleigh</t>
  </si>
  <si>
    <t xml:space="preserve">L9.S.13000757</t>
  </si>
  <si>
    <t xml:space="preserve">9165</t>
  </si>
  <si>
    <t xml:space="preserve">12/8 Fortitude Crescent
BURLEIGH HEADS  QLD  4220</t>
  </si>
  <si>
    <t xml:space="preserve">New South Wales</t>
  </si>
  <si>
    <t xml:space="preserve">ADS Backup</t>
  </si>
  <si>
    <t xml:space="preserve">Asset &amp; Development Services (Baseline)</t>
  </si>
  <si>
    <t xml:space="preserve">2023/06/30</t>
  </si>
  <si>
    <t xml:space="preserve">Z_DIVESTED_Operational Control</t>
  </si>
  <si>
    <t xml:space="preserve">Asset &amp; Development Services (FY24 &amp; Beyond)</t>
  </si>
  <si>
    <t xml:space="preserve">2023/07/01</t>
  </si>
  <si>
    <t xml:space="preserve">_CLOSED_AE Smith - Canning Vale</t>
  </si>
  <si>
    <t xml:space="preserve">Wharf</t>
  </si>
  <si>
    <t xml:space="preserve">L9.S.16015134</t>
  </si>
  <si>
    <t xml:space="preserve">Loc Ref</t>
  </si>
  <si>
    <t xml:space="preserve">15 Canvale Rd</t>
  </si>
  <si>
    <t xml:space="preserve">Canning Vale</t>
  </si>
  <si>
    <t xml:space="preserve">WA</t>
  </si>
  <si>
    <t xml:space="preserve">6155</t>
  </si>
  <si>
    <t xml:space="preserve">Western Australia</t>
  </si>
  <si>
    <t xml:space="preserve">Asset &amp; Development Services (ADS)</t>
  </si>
  <si>
    <t xml:space="preserve">_CLOSED_AE Smith - Eagle Farm</t>
  </si>
  <si>
    <t xml:space="preserve">L9.S.16015125</t>
  </si>
  <si>
    <t xml:space="preserve">9013</t>
  </si>
  <si>
    <t xml:space="preserve">Lot 801 65 Links Ave</t>
  </si>
  <si>
    <t xml:space="preserve">Eagle Farm</t>
  </si>
  <si>
    <t xml:space="preserve">QLD</t>
  </si>
  <si>
    <t xml:space="preserve">4009</t>
  </si>
  <si>
    <t xml:space="preserve">-27.436443</t>
  </si>
  <si>
    <t xml:space="preserve">153.086368</t>
  </si>
  <si>
    <t xml:space="preserve">_CLOSED_AE Smith - Eagle Farm, Harvey St</t>
  </si>
  <si>
    <t xml:space="preserve">L9.S.13001004</t>
  </si>
  <si>
    <t xml:space="preserve">9128</t>
  </si>
  <si>
    <t xml:space="preserve">Harvey St</t>
  </si>
  <si>
    <t xml:space="preserve">Brisbane</t>
  </si>
  <si>
    <t xml:space="preserve">-27.437252</t>
  </si>
  <si>
    <t xml:space="preserve">153.093614</t>
  </si>
  <si>
    <t xml:space="preserve">_CLOSED_AE Smith - Eagle Farm, Schneider Rd</t>
  </si>
  <si>
    <t xml:space="preserve">L9.S.13001052</t>
  </si>
  <si>
    <t xml:space="preserve">9127</t>
  </si>
  <si>
    <t xml:space="preserve">80 Schneider Road</t>
  </si>
  <si>
    <t xml:space="preserve">-27.423892</t>
  </si>
  <si>
    <t xml:space="preserve">153.085062</t>
  </si>
  <si>
    <t xml:space="preserve">_CLOSED_AE Smith - Knoxfield</t>
  </si>
  <si>
    <t xml:space="preserve">L9.S.16012601</t>
  </si>
  <si>
    <t xml:space="preserve">10 Brand Rd</t>
  </si>
  <si>
    <t xml:space="preserve">Knoxfield</t>
  </si>
  <si>
    <t xml:space="preserve">VIC</t>
  </si>
  <si>
    <t xml:space="preserve">3180</t>
  </si>
  <si>
    <t xml:space="preserve">_CLOSED_AE Smith - Mackay</t>
  </si>
  <si>
    <t xml:space="preserve">L9.S.3197.003.020.9M</t>
  </si>
  <si>
    <t xml:space="preserve">9012</t>
  </si>
  <si>
    <t xml:space="preserve">U4, 269 Richardson Rd</t>
  </si>
  <si>
    <t xml:space="preserve">Kawana</t>
  </si>
  <si>
    <t xml:space="preserve">4701</t>
  </si>
  <si>
    <t xml:space="preserve">                            696</t>
  </si>
  <si>
    <t xml:space="preserve">_CLOSED_AE Smith - Manunda</t>
  </si>
  <si>
    <t xml:space="preserve">1/13 Donaldson St</t>
  </si>
  <si>
    <t xml:space="preserve">Manunda</t>
  </si>
  <si>
    <t xml:space="preserve">4870</t>
  </si>
  <si>
    <t xml:space="preserve">_CLOSED_AE Smith - Mornington</t>
  </si>
  <si>
    <t xml:space="preserve">L9.S.13001061</t>
  </si>
  <si>
    <t xml:space="preserve">9014</t>
  </si>
  <si>
    <t xml:space="preserve">U 2 4 Yamada Place</t>
  </si>
  <si>
    <t xml:space="preserve">Mornington</t>
  </si>
  <si>
    <t xml:space="preserve">7018</t>
  </si>
  <si>
    <t xml:space="preserve">-42.862696</t>
  </si>
  <si>
    <t xml:space="preserve">147.399802</t>
  </si>
  <si>
    <t xml:space="preserve">_CLOSED_AE Smith - Mortlake</t>
  </si>
  <si>
    <t xml:space="preserve">L9.S.13000753</t>
  </si>
  <si>
    <t xml:space="preserve">9015</t>
  </si>
  <si>
    <t xml:space="preserve">Moved to Victoria Road, Gladesville from 1/6/2019</t>
  </si>
  <si>
    <t xml:space="preserve">13-15 McDonald St</t>
  </si>
  <si>
    <t xml:space="preserve">Mortlake</t>
  </si>
  <si>
    <t xml:space="preserve">2137</t>
  </si>
  <si>
    <t xml:space="preserve">2019/06/30</t>
  </si>
  <si>
    <t xml:space="preserve">-33.842053</t>
  </si>
  <si>
    <t xml:space="preserve">151.106519</t>
  </si>
  <si>
    <t xml:space="preserve">696</t>
  </si>
  <si>
    <t xml:space="preserve">_CLOSED_AE Smith - Mulgrave</t>
  </si>
  <si>
    <t xml:space="preserve">L9.S.16015131</t>
  </si>
  <si>
    <t xml:space="preserve">9016</t>
  </si>
  <si>
    <t xml:space="preserve">Lease ended 2/12/2021</t>
  </si>
  <si>
    <t xml:space="preserve">21-29 Miles St</t>
  </si>
  <si>
    <t xml:space="preserve">Mulgrave</t>
  </si>
  <si>
    <t xml:space="preserve">3170</t>
  </si>
  <si>
    <t xml:space="preserve">-37.923024</t>
  </si>
  <si>
    <t xml:space="preserve">145.153374</t>
  </si>
  <si>
    <t xml:space="preserve">_CLOSED_AE Smith - Northgate</t>
  </si>
  <si>
    <t xml:space="preserve">115 Crockford St</t>
  </si>
  <si>
    <t xml:space="preserve">Northgate</t>
  </si>
  <si>
    <t xml:space="preserve">4013</t>
  </si>
  <si>
    <t xml:space="preserve">_CLOSED_AE Smith - Scoresby</t>
  </si>
  <si>
    <t xml:space="preserve">L9.S.13001039</t>
  </si>
  <si>
    <t xml:space="preserve">9018</t>
  </si>
  <si>
    <t xml:space="preserve">20-22 Janine St</t>
  </si>
  <si>
    <t xml:space="preserve">Scoresby</t>
  </si>
  <si>
    <t xml:space="preserve">3179</t>
  </si>
  <si>
    <t xml:space="preserve">-37.900965</t>
  </si>
  <si>
    <t xml:space="preserve">145.230266</t>
  </si>
  <si>
    <t xml:space="preserve">_CLOSED_AE Smith - South Gladstone</t>
  </si>
  <si>
    <t xml:space="preserve">U10, 18 McCann St</t>
  </si>
  <si>
    <t xml:space="preserve">South Gladstone</t>
  </si>
  <si>
    <t xml:space="preserve">4680</t>
  </si>
  <si>
    <t xml:space="preserve">_CLOSED_AE Smith - Townsville</t>
  </si>
  <si>
    <t xml:space="preserve">9 Corporate Cres</t>
  </si>
  <si>
    <t xml:space="preserve">Garbutt</t>
  </si>
  <si>
    <t xml:space="preserve">4814</t>
  </si>
  <si>
    <t xml:space="preserve">_CLOSED_Aldoga TL - Office</t>
  </si>
  <si>
    <t xml:space="preserve">L9.J.37740112</t>
  </si>
  <si>
    <t xml:space="preserve">2023/07/05</t>
  </si>
  <si>
    <t xml:space="preserve">_CLOSED_Aldoga TL - Site</t>
  </si>
  <si>
    <t xml:space="preserve">_CLOSED_Altona-Rail</t>
  </si>
  <si>
    <t xml:space="preserve">L9.RAL.032</t>
  </si>
  <si>
    <t xml:space="preserve">1111</t>
  </si>
  <si>
    <t xml:space="preserve">7 Westlink Court</t>
  </si>
  <si>
    <t xml:space="preserve">Altona</t>
  </si>
  <si>
    <t xml:space="preserve">3018</t>
  </si>
  <si>
    <t xml:space="preserve">Z_HISTORICAL_Y_Non Operational Control</t>
  </si>
  <si>
    <t xml:space="preserve">Social Infra</t>
  </si>
  <si>
    <t xml:space="preserve">-37.857</t>
  </si>
  <si>
    <t xml:space="preserve">144.789</t>
  </si>
  <si>
    <t xml:space="preserve">239</t>
  </si>
  <si>
    <t xml:space="preserve">2018/06/30</t>
  </si>
  <si>
    <t xml:space="preserve">_CLOSED_Anglo TXL</t>
  </si>
  <si>
    <t xml:space="preserve">L9.J.37240023</t>
  </si>
  <si>
    <t xml:space="preserve">37240023</t>
  </si>
  <si>
    <t xml:space="preserve">Moranbah</t>
  </si>
  <si>
    <t xml:space="preserve">2023/12/06</t>
  </si>
  <si>
    <t xml:space="preserve">2024/10/12</t>
  </si>
  <si>
    <t xml:space="preserve">_CLOSED_APA SA</t>
  </si>
  <si>
    <t xml:space="preserve">L9.J.24170135</t>
  </si>
  <si>
    <t xml:space="preserve">Duplicate location of Gepps Cross. (Part of the SA Gas business office)</t>
  </si>
  <si>
    <t xml:space="preserve">_CLOSED_Asphalt _Whangarei</t>
  </si>
  <si>
    <t xml:space="preserve">L9.DNZJ.3502</t>
  </si>
  <si>
    <t xml:space="preserve">5010</t>
  </si>
  <si>
    <t xml:space="preserve">Production of materials for road construction - New facilities established for more granular reporting and to reflect new structure for FY17. See facility named "NZ-Products" for historical data.</t>
  </si>
  <si>
    <t xml:space="preserve">116-118 Port Road</t>
  </si>
  <si>
    <t xml:space="preserve">Whangarei</t>
  </si>
  <si>
    <t xml:space="preserve">Northland</t>
  </si>
  <si>
    <t xml:space="preserve">1899/12/31</t>
  </si>
  <si>
    <t xml:space="preserve">-35.7431694</t>
  </si>
  <si>
    <t xml:space="preserve">174.3415903</t>
  </si>
  <si>
    <t xml:space="preserve">_CLOSED_Asphalt Prod - Mowbray (OLD)</t>
  </si>
  <si>
    <t xml:space="preserve">Asphalt Plant</t>
  </si>
  <si>
    <t xml:space="preserve">L9.J.170360</t>
  </si>
  <si>
    <t xml:space="preserve">182</t>
  </si>
  <si>
    <t xml:space="preserve">previously used L9.J.17030565, which has now transferred to New Mowbray Asphalt Envizi location. Replaced with L9.J.170360</t>
  </si>
  <si>
    <t xml:space="preserve">Remount Road</t>
  </si>
  <si>
    <t xml:space="preserve">Mowbray</t>
  </si>
  <si>
    <t xml:space="preserve">7248</t>
  </si>
  <si>
    <t xml:space="preserve">Asphalt Plants</t>
  </si>
  <si>
    <t xml:space="preserve">-41.399</t>
  </si>
  <si>
    <t xml:space="preserve">147.162</t>
  </si>
  <si>
    <t xml:space="preserve">170</t>
  </si>
  <si>
    <t xml:space="preserve">_CLOSED_Asphalt Prod - Rosehill (OLD)</t>
  </si>
  <si>
    <t xml:space="preserve">L9.J.17010964</t>
  </si>
  <si>
    <t xml:space="preserve">248</t>
  </si>
  <si>
    <t xml:space="preserve">Vacated this location at the end of June 2022 and shifted operations to Rosehill - Devon St. Please refer to attachments for further information.</t>
  </si>
  <si>
    <t xml:space="preserve">1 Unwin Street</t>
  </si>
  <si>
    <t xml:space="preserve">Rosehill</t>
  </si>
  <si>
    <t xml:space="preserve">2142</t>
  </si>
  <si>
    <t xml:space="preserve">Lidcombe</t>
  </si>
  <si>
    <t xml:space="preserve">-33.828</t>
  </si>
  <si>
    <t xml:space="preserve">151.023</t>
  </si>
  <si>
    <t xml:space="preserve">2023/02/28</t>
  </si>
  <si>
    <t xml:space="preserve">_CLOSED_Asphalt_Allied-JV</t>
  </si>
  <si>
    <t xml:space="preserve">Industrial</t>
  </si>
  <si>
    <t xml:space="preserve">5295</t>
  </si>
  <si>
    <t xml:space="preserve">Production of materials for road construction - New facilities established for more granular reporting and to reflect new structure for FY19</t>
  </si>
  <si>
    <t xml:space="preserve">Tauranga</t>
  </si>
  <si>
    <t xml:space="preserve">Transport &amp; Infrastructure</t>
  </si>
  <si>
    <t xml:space="preserve">_CLOSED_Asphalt_Auckland</t>
  </si>
  <si>
    <t xml:space="preserve">L9.DNZJ.3503</t>
  </si>
  <si>
    <t xml:space="preserve">5011</t>
  </si>
  <si>
    <t xml:space="preserve">645 Great South Rd, Penrose</t>
  </si>
  <si>
    <t xml:space="preserve">3200</t>
  </si>
  <si>
    <t xml:space="preserve">Panmure</t>
  </si>
  <si>
    <t xml:space="preserve">-36.9152136</t>
  </si>
  <si>
    <t xml:space="preserve">174.820280899999</t>
  </si>
  <si>
    <t xml:space="preserve">_CLOSED_Asphalt_Dunedin</t>
  </si>
  <si>
    <t xml:space="preserve">L9.DNZJ.3508</t>
  </si>
  <si>
    <t xml:space="preserve">5012</t>
  </si>
  <si>
    <t xml:space="preserve">102 Parry Street</t>
  </si>
  <si>
    <t xml:space="preserve">Dunedin</t>
  </si>
  <si>
    <t xml:space="preserve">9810</t>
  </si>
  <si>
    <t xml:space="preserve">-45.8698393</t>
  </si>
  <si>
    <t xml:space="preserve">170.5315648</t>
  </si>
  <si>
    <t xml:space="preserve">_CLOSED_Asphalt_Hamilton</t>
  </si>
  <si>
    <t xml:space="preserve">L9.DNZJ.3504</t>
  </si>
  <si>
    <t xml:space="preserve">5013</t>
  </si>
  <si>
    <t xml:space="preserve">16 Manchester Place, Te Rapa</t>
  </si>
  <si>
    <t xml:space="preserve">Hamilton</t>
  </si>
  <si>
    <t xml:space="preserve">Waikato</t>
  </si>
  <si>
    <t xml:space="preserve">4312</t>
  </si>
  <si>
    <t xml:space="preserve">-37.754068</t>
  </si>
  <si>
    <t xml:space="preserve">175.2370587</t>
  </si>
  <si>
    <t xml:space="preserve">_CLOSED_Asphalt_Invercargill</t>
  </si>
  <si>
    <t xml:space="preserve">L9.DNZJ.3509</t>
  </si>
  <si>
    <t xml:space="preserve">5014</t>
  </si>
  <si>
    <t xml:space="preserve">210 Mersey Street, Invercargill West</t>
  </si>
  <si>
    <t xml:space="preserve">Invercargill</t>
  </si>
  <si>
    <t xml:space="preserve">Southland</t>
  </si>
  <si>
    <t xml:space="preserve">6035</t>
  </si>
  <si>
    <t xml:space="preserve">-46.4152187</t>
  </si>
  <si>
    <t xml:space="preserve">168.3417097</t>
  </si>
  <si>
    <t xml:space="preserve">_CLOSED_Asphalt_Isacc-JV</t>
  </si>
  <si>
    <t xml:space="preserve">L9.DNZJ.3098</t>
  </si>
  <si>
    <t xml:space="preserve">5294</t>
  </si>
  <si>
    <t xml:space="preserve">Christchurch</t>
  </si>
  <si>
    <t xml:space="preserve">_CLOSED_Asphalt_Mobile</t>
  </si>
  <si>
    <t xml:space="preserve">L9.DNZJ.3512</t>
  </si>
  <si>
    <t xml:space="preserve">5286</t>
  </si>
  <si>
    <t xml:space="preserve">Mobile Asphalt plant relocated across NZ depending on contracts - assigned to head office as main location</t>
  </si>
  <si>
    <t xml:space="preserve">Auckland City</t>
  </si>
  <si>
    <t xml:space="preserve">_CLOSED_Asphalt_New Plymouth</t>
  </si>
  <si>
    <t xml:space="preserve">L9.DNZJ.3505</t>
  </si>
  <si>
    <t xml:space="preserve">5015</t>
  </si>
  <si>
    <t xml:space="preserve">106 Rifle Range Rd, Waiwhakaiho</t>
  </si>
  <si>
    <t xml:space="preserve">New Plymouth</t>
  </si>
  <si>
    <t xml:space="preserve">Taranaki</t>
  </si>
  <si>
    <t xml:space="preserve">9814</t>
  </si>
  <si>
    <t xml:space="preserve">-39.042342</t>
  </si>
  <si>
    <t xml:space="preserve">174.119168299999</t>
  </si>
  <si>
    <t xml:space="preserve">_CLOSED_Asphalt_Wellington</t>
  </si>
  <si>
    <t xml:space="preserve">L9.DNZJ.3507</t>
  </si>
  <si>
    <t xml:space="preserve">5016</t>
  </si>
  <si>
    <t xml:space="preserve">Kiwi Point, 137 Centennial Highway, Ngauranga</t>
  </si>
  <si>
    <t xml:space="preserve">Wellington</t>
  </si>
  <si>
    <t xml:space="preserve">8082</t>
  </si>
  <si>
    <t xml:space="preserve">-41.237631</t>
  </si>
  <si>
    <t xml:space="preserve">174.805085999999</t>
  </si>
  <si>
    <t xml:space="preserve">_CLOSED_AusNet Mornington BESS</t>
  </si>
  <si>
    <t xml:space="preserve">L9.J.24135002</t>
  </si>
  <si>
    <t xml:space="preserve">24135002</t>
  </si>
  <si>
    <t xml:space="preserve">2024/05/01</t>
  </si>
  <si>
    <t xml:space="preserve">2025/08/05</t>
  </si>
  <si>
    <t xml:space="preserve">_CLOSED_B2B - Seymour Whyte JV</t>
  </si>
  <si>
    <t xml:space="preserve">L9.J.18710001</t>
  </si>
  <si>
    <t xml:space="preserve">DT Infrastructure</t>
  </si>
  <si>
    <t xml:space="preserve">_CLOSED_Bango Wind Farm</t>
  </si>
  <si>
    <t xml:space="preserve">L9.J.37750008</t>
  </si>
  <si>
    <t xml:space="preserve">IP-37750008</t>
  </si>
  <si>
    <t xml:space="preserve">Operational control.
Changed from Ref No 7040</t>
  </si>
  <si>
    <t xml:space="preserve">_closed_Barwon Water</t>
  </si>
  <si>
    <t xml:space="preserve">7042</t>
  </si>
  <si>
    <t xml:space="preserve">Geelong</t>
  </si>
  <si>
    <t xml:space="preserve">_CLOSED_Beryl Solar Farm Construction Project</t>
  </si>
  <si>
    <t xml:space="preserve">L9.J.37110018</t>
  </si>
  <si>
    <t xml:space="preserve">7037</t>
  </si>
  <si>
    <t xml:space="preserve">39 Dehli Road</t>
  </si>
  <si>
    <t xml:space="preserve">Gulgong</t>
  </si>
  <si>
    <t xml:space="preserve">-33.799820</t>
  </si>
  <si>
    <t xml:space="preserve">151.143234</t>
  </si>
  <si>
    <t xml:space="preserve">_CLOSED_BHP - Nickel West (NiW)</t>
  </si>
  <si>
    <t xml:space="preserve">L9.J.38280123</t>
  </si>
  <si>
    <t xml:space="preserve">38280123</t>
  </si>
  <si>
    <t xml:space="preserve">2026/07/22</t>
  </si>
  <si>
    <t xml:space="preserve">_CLOSED_BHP Maintenance Services</t>
  </si>
  <si>
    <t xml:space="preserve">L9.J.38280046</t>
  </si>
  <si>
    <t xml:space="preserve">38280046</t>
  </si>
  <si>
    <t xml:space="preserve">_CLOSED_BHP Yarnima TLine SP1 &amp; SP2</t>
  </si>
  <si>
    <t xml:space="preserve">L9.J.2413009501</t>
  </si>
  <si>
    <t xml:space="preserve">2413009501</t>
  </si>
  <si>
    <t xml:space="preserve">_CLOSED_Bitumen_Bluff</t>
  </si>
  <si>
    <t xml:space="preserve">L9.DNZJ.3042</t>
  </si>
  <si>
    <t xml:space="preserve">5017</t>
  </si>
  <si>
    <t xml:space="preserve">Storage and sale of Bitumen, Production and sale of Cutback Bitumen, Polymer Modified Bitumen and Bitumen Emulsions - New facilities established for more granular reporting and to reflect new structure for FY17. See facility named "NZ-Products" for historical data.</t>
  </si>
  <si>
    <t xml:space="preserve">50 Foreshore Rd</t>
  </si>
  <si>
    <t xml:space="preserve">Bluff</t>
  </si>
  <si>
    <t xml:space="preserve">3116</t>
  </si>
  <si>
    <t xml:space="preserve">Bitumen Plants</t>
  </si>
  <si>
    <t xml:space="preserve">-46.5979746999999</t>
  </si>
  <si>
    <t xml:space="preserve">168.342539</t>
  </si>
  <si>
    <t xml:space="preserve">_CLOSED_Bitumen_Emulco-JV</t>
  </si>
  <si>
    <t xml:space="preserve">L9.DNZJ.3099</t>
  </si>
  <si>
    <t xml:space="preserve">5296</t>
  </si>
  <si>
    <t xml:space="preserve">Rotorua</t>
  </si>
  <si>
    <t xml:space="preserve">_CLOSED_Bitumen_Lyttelton</t>
  </si>
  <si>
    <t xml:space="preserve">L9.DNZJ.3041</t>
  </si>
  <si>
    <t xml:space="preserve">5018</t>
  </si>
  <si>
    <t xml:space="preserve">Lyttelton Bitumen Terminal Charlotte Jane Quay, Port Lyttelton</t>
  </si>
  <si>
    <t xml:space="preserve">Lyttelton</t>
  </si>
  <si>
    <t xml:space="preserve">Canterbury</t>
  </si>
  <si>
    <t xml:space="preserve">4340</t>
  </si>
  <si>
    <t xml:space="preserve">-43.6105611</t>
  </si>
  <si>
    <t xml:space="preserve">172.7041904</t>
  </si>
  <si>
    <t xml:space="preserve">_CLOSED_Bitumen_Mt Maunganui</t>
  </si>
  <si>
    <t xml:space="preserve">L9.DNZJ.3040</t>
  </si>
  <si>
    <t xml:space="preserve">5019</t>
  </si>
  <si>
    <t xml:space="preserve">198 Totara Street, Mt Maunganui</t>
  </si>
  <si>
    <t xml:space="preserve">-37.6638657</t>
  </si>
  <si>
    <t xml:space="preserve">176.186895</t>
  </si>
  <si>
    <t xml:space="preserve">_CLOSED_Bitumen_Taranaki</t>
  </si>
  <si>
    <t xml:space="preserve">L9.DNZJ.3045</t>
  </si>
  <si>
    <t xml:space="preserve">5020</t>
  </si>
  <si>
    <t xml:space="preserve">1 Wharf Street, Port Taranaki</t>
  </si>
  <si>
    <t xml:space="preserve">9230</t>
  </si>
  <si>
    <t xml:space="preserve">-39.0577994</t>
  </si>
  <si>
    <t xml:space="preserve">174.031262999999</t>
  </si>
  <si>
    <t xml:space="preserve">_CLOSED_Bitumen_Transport</t>
  </si>
  <si>
    <t xml:space="preserve">L9.DNZJ.3010</t>
  </si>
  <si>
    <t xml:space="preserve">5021</t>
  </si>
  <si>
    <t xml:space="preserve">Transport of Bitumen to customers - New facilities established for more granular reporting and to reflect new structure for FY17. See facility named "NZ-Products" for historical data.</t>
  </si>
  <si>
    <t xml:space="preserve">9 Owens Place, Mt Maunganui</t>
  </si>
  <si>
    <t xml:space="preserve">7201</t>
  </si>
  <si>
    <t xml:space="preserve">-37.6782938</t>
  </si>
  <si>
    <t xml:space="preserve">176.222364299999</t>
  </si>
  <si>
    <t xml:space="preserve">461</t>
  </si>
  <si>
    <t xml:space="preserve">_CLOSED_BO_Auckland</t>
  </si>
  <si>
    <t xml:space="preserve">7020</t>
  </si>
  <si>
    <t xml:space="preserve">2017/06/30</t>
  </si>
  <si>
    <t xml:space="preserve">_CLOSED_BO_Auckland - Pacific Rise</t>
  </si>
  <si>
    <t xml:space="preserve">Commercial Office Space</t>
  </si>
  <si>
    <t xml:space="preserve">L9.DUN.300765</t>
  </si>
  <si>
    <t xml:space="preserve">883</t>
  </si>
  <si>
    <t xml:space="preserve">7A Pacific Rise</t>
  </si>
  <si>
    <t xml:space="preserve">Mt Wellington</t>
  </si>
  <si>
    <t xml:space="preserve">1060</t>
  </si>
  <si>
    <t xml:space="preserve">_CLOSED_BO_Beenleigh (LWA)</t>
  </si>
  <si>
    <t xml:space="preserve">135</t>
  </si>
  <si>
    <t xml:space="preserve">Levels 1, 3 &amp; 5, 106 City Rd</t>
  </si>
  <si>
    <t xml:space="preserve">Beenleigh</t>
  </si>
  <si>
    <t xml:space="preserve">4207</t>
  </si>
  <si>
    <t xml:space="preserve">-27.715123</t>
  </si>
  <si>
    <t xml:space="preserve">153.20235</t>
  </si>
  <si>
    <t xml:space="preserve">Z_HISTORICAL_Operational Control &gt; Utilities (copy</t>
  </si>
  <si>
    <t xml:space="preserve">_CLOSED_BO_Beenleigh Shopfront (LWA)</t>
  </si>
  <si>
    <t xml:space="preserve">138</t>
  </si>
  <si>
    <t xml:space="preserve">Shop 108A, 58 Manila St</t>
  </si>
  <si>
    <t xml:space="preserve">-27.714681</t>
  </si>
  <si>
    <t xml:space="preserve">153.199807</t>
  </si>
  <si>
    <t xml:space="preserve">_CLOSED_BO_Bega (Carp St)</t>
  </si>
  <si>
    <t xml:space="preserve">L9.J.17010532</t>
  </si>
  <si>
    <t xml:space="preserve">141</t>
  </si>
  <si>
    <t xml:space="preserve">Shop 6, 185A Carp St</t>
  </si>
  <si>
    <t xml:space="preserve">Bega</t>
  </si>
  <si>
    <t xml:space="preserve">2550</t>
  </si>
  <si>
    <t xml:space="preserve">AUSTRALIA</t>
  </si>
  <si>
    <t xml:space="preserve">-36.673642</t>
  </si>
  <si>
    <t xml:space="preserve">149.842283</t>
  </si>
  <si>
    <t xml:space="preserve">_CLOSED_BO_Bega (Swan St)</t>
  </si>
  <si>
    <t xml:space="preserve">L9.J.17012661</t>
  </si>
  <si>
    <t xml:space="preserve">140</t>
  </si>
  <si>
    <t xml:space="preserve">1-3 Swan St</t>
  </si>
  <si>
    <t xml:space="preserve">-36.673505</t>
  </si>
  <si>
    <t xml:space="preserve">149.837551</t>
  </si>
  <si>
    <t xml:space="preserve">_CLOSED_BO_Belmont (Perth)</t>
  </si>
  <si>
    <t xml:space="preserve">151</t>
  </si>
  <si>
    <t xml:space="preserve">Unit 4/93 Francisco St</t>
  </si>
  <si>
    <t xml:space="preserve">Belmont</t>
  </si>
  <si>
    <t xml:space="preserve">6104</t>
  </si>
  <si>
    <t xml:space="preserve">-31.956195</t>
  </si>
  <si>
    <t xml:space="preserve">115.919988</t>
  </si>
  <si>
    <t xml:space="preserve">_CLOSED_BO_Kawerau</t>
  </si>
  <si>
    <t xml:space="preserve">L9.S.26018029</t>
  </si>
  <si>
    <t xml:space="preserve">893</t>
  </si>
  <si>
    <t xml:space="preserve">4a Manukorihi Drive</t>
  </si>
  <si>
    <t xml:space="preserve">Kawerau</t>
  </si>
  <si>
    <t xml:space="preserve">3169</t>
  </si>
  <si>
    <t xml:space="preserve">_CLOSED_BO_Mackay</t>
  </si>
  <si>
    <t xml:space="preserve">315</t>
  </si>
  <si>
    <t xml:space="preserve">Level 1, 38 Wellington St</t>
  </si>
  <si>
    <t xml:space="preserve">Mackay</t>
  </si>
  <si>
    <t xml:space="preserve">4741</t>
  </si>
  <si>
    <t xml:space="preserve">-21.1433</t>
  </si>
  <si>
    <t xml:space="preserve">149.180099</t>
  </si>
  <si>
    <t xml:space="preserve">_CLOSED_BO_Melbourne (St Kilda Rd)</t>
  </si>
  <si>
    <t xml:space="preserve">350</t>
  </si>
  <si>
    <t xml:space="preserve">Level 5, 600 St Kilda Road</t>
  </si>
  <si>
    <t xml:space="preserve">Melbourne</t>
  </si>
  <si>
    <t xml:space="preserve">3004</t>
  </si>
  <si>
    <t xml:space="preserve">-37.850747</t>
  </si>
  <si>
    <t xml:space="preserve">144.980049</t>
  </si>
  <si>
    <t xml:space="preserve">_CLOSED_BO_Melbourne (William St)</t>
  </si>
  <si>
    <t xml:space="preserve">355</t>
  </si>
  <si>
    <t xml:space="preserve">Closed on 1 Nov 2014</t>
  </si>
  <si>
    <t xml:space="preserve">Level 5, 277 William St</t>
  </si>
  <si>
    <t xml:space="preserve">3000</t>
  </si>
  <si>
    <t xml:space="preserve">-37.812386</t>
  </si>
  <si>
    <t xml:space="preserve">144.956703</t>
  </si>
  <si>
    <t xml:space="preserve">_CLOSED_BO_Milton</t>
  </si>
  <si>
    <t xml:space="preserve">365</t>
  </si>
  <si>
    <t xml:space="preserve">Level 3, 5 Gardner Close</t>
  </si>
  <si>
    <t xml:space="preserve">Milton</t>
  </si>
  <si>
    <t xml:space="preserve">4064</t>
  </si>
  <si>
    <t xml:space="preserve">-27.473357</t>
  </si>
  <si>
    <t xml:space="preserve">153.002515</t>
  </si>
  <si>
    <t xml:space="preserve">_CLOSED_BO_North Sydney</t>
  </si>
  <si>
    <t xml:space="preserve">390</t>
  </si>
  <si>
    <t xml:space="preserve">Levels 18/19, 40 Mount St</t>
  </si>
  <si>
    <t xml:space="preserve">North Sydney</t>
  </si>
  <si>
    <t xml:space="preserve">2060</t>
  </si>
  <si>
    <t xml:space="preserve">-33.839766</t>
  </si>
  <si>
    <t xml:space="preserve">151.209748</t>
  </si>
  <si>
    <t xml:space="preserve">_CLOSED_BO_Penrose (Auckland)</t>
  </si>
  <si>
    <t xml:space="preserve">L9.DNZJ.91135</t>
  </si>
  <si>
    <t xml:space="preserve">840</t>
  </si>
  <si>
    <t xml:space="preserve">8 Hugo Johnston Dr</t>
  </si>
  <si>
    <t xml:space="preserve">Penrose, Auckland</t>
  </si>
  <si>
    <t xml:space="preserve">1140</t>
  </si>
  <si>
    <t xml:space="preserve">-36.919977</t>
  </si>
  <si>
    <t xml:space="preserve">174.820813</t>
  </si>
  <si>
    <t xml:space="preserve">_CLOSED_BO_Pymble (Sydney)</t>
  </si>
  <si>
    <t xml:space="preserve">L9.DUA.12241</t>
  </si>
  <si>
    <t xml:space="preserve">420</t>
  </si>
  <si>
    <t xml:space="preserve">Building No.1, Level 3, 20 Bridge St</t>
  </si>
  <si>
    <t xml:space="preserve">Pymble</t>
  </si>
  <si>
    <t xml:space="preserve">2148</t>
  </si>
  <si>
    <t xml:space="preserve">-33.750691</t>
  </si>
  <si>
    <t xml:space="preserve">151.144699</t>
  </si>
  <si>
    <t xml:space="preserve">2010/08/16</t>
  </si>
  <si>
    <t xml:space="preserve">_CLOSED_BO_South Perth</t>
  </si>
  <si>
    <t xml:space="preserve">218</t>
  </si>
  <si>
    <t xml:space="preserve">Level 3, 85 The Esplande</t>
  </si>
  <si>
    <t xml:space="preserve">South Perth</t>
  </si>
  <si>
    <t xml:space="preserve">6151</t>
  </si>
  <si>
    <t xml:space="preserve">_CLOSED_BO_Wellington</t>
  </si>
  <si>
    <t xml:space="preserve">835</t>
  </si>
  <si>
    <t xml:space="preserve">Ground Floor, 40 Taranaki Street</t>
  </si>
  <si>
    <t xml:space="preserve">6011</t>
  </si>
  <si>
    <t xml:space="preserve">-41.292016</t>
  </si>
  <si>
    <t xml:space="preserve">174.778965</t>
  </si>
  <si>
    <t xml:space="preserve">_CLOSED_BP Oil NZ Hamilton 45003857</t>
  </si>
  <si>
    <t xml:space="preserve">L9.S.26019544</t>
  </si>
  <si>
    <t xml:space="preserve">2000005082</t>
  </si>
  <si>
    <t xml:space="preserve">130 Kerrs Road</t>
  </si>
  <si>
    <t xml:space="preserve">Wiri</t>
  </si>
  <si>
    <t xml:space="preserve">Manurewa</t>
  </si>
  <si>
    <t xml:space="preserve">Facilities &amp; Asset Services</t>
  </si>
  <si>
    <t xml:space="preserve">-37.0083</t>
  </si>
  <si>
    <t xml:space="preserve">174.8705</t>
  </si>
  <si>
    <t xml:space="preserve">_CLOSED_BP_Auckland_Cordis Hotel</t>
  </si>
  <si>
    <t xml:space="preserve">Construction Site</t>
  </si>
  <si>
    <t xml:space="preserve">L9.DNZ.HA0383</t>
  </si>
  <si>
    <t xml:space="preserve">5309</t>
  </si>
  <si>
    <t xml:space="preserve">_CLOSED_BP_Auckland_Counties Manukau AMHU STG 2</t>
  </si>
  <si>
    <t xml:space="preserve">L9.DNZ.HA0384</t>
  </si>
  <si>
    <t xml:space="preserve">5310</t>
  </si>
  <si>
    <t xml:space="preserve">_CLOSED_BP_Auckland_FSNI Head Office</t>
  </si>
  <si>
    <t xml:space="preserve">L9.DNZ.HA0385</t>
  </si>
  <si>
    <t xml:space="preserve">5311</t>
  </si>
  <si>
    <t xml:space="preserve">_CLOSED_BP_Auckland_POA Car Handling Facility</t>
  </si>
  <si>
    <t xml:space="preserve">L9.DNZ.HA0382</t>
  </si>
  <si>
    <t xml:space="preserve">5308</t>
  </si>
  <si>
    <t xml:space="preserve">_CLOSED_BP_Auckland_Small Jobs</t>
  </si>
  <si>
    <t xml:space="preserve">Operations Center</t>
  </si>
  <si>
    <t xml:space="preserve">L9.DNZ.COR</t>
  </si>
  <si>
    <t xml:space="preserve">5255</t>
  </si>
  <si>
    <t xml:space="preserve">Projects located at numerous sites throughout Auckland Region - New location established following purchase of Hawkins 2017</t>
  </si>
  <si>
    <t xml:space="preserve">_CLOSED_BP_Central_Farmers Tauranga</t>
  </si>
  <si>
    <t xml:space="preserve">L9.DNZ.HC0331</t>
  </si>
  <si>
    <t xml:space="preserve">5256</t>
  </si>
  <si>
    <t xml:space="preserve">Project Site - Building Construction - New location established in FY19</t>
  </si>
  <si>
    <t xml:space="preserve">_CLOSED_BP_Central_Kawerau Geothermal Switchroom</t>
  </si>
  <si>
    <t xml:space="preserve">L9.DNZ.PLT</t>
  </si>
  <si>
    <t xml:space="preserve">5205</t>
  </si>
  <si>
    <t xml:space="preserve">Project Site - Building Construction - New location established following purchase of Hawkins 2037 - Ormat Pacific</t>
  </si>
  <si>
    <t xml:space="preserve">Old Coach Road, Paengaroa</t>
  </si>
  <si>
    <t xml:space="preserve">3110</t>
  </si>
  <si>
    <t xml:space="preserve">Paengaroa</t>
  </si>
  <si>
    <t xml:space="preserve">-37.838121</t>
  </si>
  <si>
    <t xml:space="preserve">176.42131</t>
  </si>
  <si>
    <t xml:space="preserve">302</t>
  </si>
  <si>
    <t xml:space="preserve">2017/08/07</t>
  </si>
  <si>
    <t xml:space="preserve">2018/03/31</t>
  </si>
  <si>
    <t xml:space="preserve">_CLOSED_BP_Central_RHO-Hamilton</t>
  </si>
  <si>
    <t xml:space="preserve">L9.DNZ.CEN</t>
  </si>
  <si>
    <t xml:space="preserve">5196</t>
  </si>
  <si>
    <t xml:space="preserve">Support services for projects located at numerous sites throughout Central NZ - New location established following purchase of Hawkins 2028</t>
  </si>
  <si>
    <t xml:space="preserve">8-10 Charlies Way</t>
  </si>
  <si>
    <t xml:space="preserve">-37.800447</t>
  </si>
  <si>
    <t xml:space="preserve">175.25785</t>
  </si>
  <si>
    <t xml:space="preserve">301</t>
  </si>
  <si>
    <t xml:space="preserve">_CLOSED_BP_Central_Small Jobs</t>
  </si>
  <si>
    <t xml:space="preserve">L9.DNZ.HC0330</t>
  </si>
  <si>
    <t xml:space="preserve">5257</t>
  </si>
  <si>
    <t xml:space="preserve">Projects located at numerous sites throughout Central NZ - New location established following purchase of Hawkins 2017</t>
  </si>
  <si>
    <t xml:space="preserve">_CLOSED_BP_South-Island_Christchurch Town Hall Con</t>
  </si>
  <si>
    <t xml:space="preserve">L9.DNZ.HS0120</t>
  </si>
  <si>
    <t xml:space="preserve">5229</t>
  </si>
  <si>
    <t xml:space="preserve">Project Site - Building Construction - New location established following purchase of Hawkins 2061 - Christchurch City Council</t>
  </si>
  <si>
    <t xml:space="preserve">86 Kilmore Street</t>
  </si>
  <si>
    <t xml:space="preserve">8041</t>
  </si>
  <si>
    <t xml:space="preserve">-43.5269559</t>
  </si>
  <si>
    <t xml:space="preserve">172.63483</t>
  </si>
  <si>
    <t xml:space="preserve">_CLOSED_BP_South-Island_RO-Addington</t>
  </si>
  <si>
    <t xml:space="preserve">L9.DNZ.SI</t>
  </si>
  <si>
    <t xml:space="preserve">5226</t>
  </si>
  <si>
    <t xml:space="preserve">Support services for projects located at numerous sites throughout South Island - New location established following purchase of Hawkins 2058</t>
  </si>
  <si>
    <t xml:space="preserve">Unit 14 Barry Hogan Place</t>
  </si>
  <si>
    <t xml:space="preserve">Addington</t>
  </si>
  <si>
    <t xml:space="preserve">8011</t>
  </si>
  <si>
    <t xml:space="preserve">-43.5406926</t>
  </si>
  <si>
    <t xml:space="preserve">172.5997403</t>
  </si>
  <si>
    <t xml:space="preserve">_CLOSED_BP_South-Island_Small Jobs</t>
  </si>
  <si>
    <t xml:space="preserve">L9.DNZ.HS0140</t>
  </si>
  <si>
    <t xml:space="preserve">5259</t>
  </si>
  <si>
    <t xml:space="preserve">Projects located at numerous sites throughout South Island - New location established following purchase of Hawkins 2017</t>
  </si>
  <si>
    <t xml:space="preserve">_CLOSED_BP_SubContractors</t>
  </si>
  <si>
    <t xml:space="preserve">5320</t>
  </si>
  <si>
    <t xml:space="preserve">_CLOSED_BP_Wellington_NZ Post Podium Reinstatement</t>
  </si>
  <si>
    <t xml:space="preserve">L9.DNZ.HW0153</t>
  </si>
  <si>
    <t xml:space="preserve">5221</t>
  </si>
  <si>
    <t xml:space="preserve">Project Site - Building Construction - New location established following purchase of Hawkins 2053 - NZ Post Properties</t>
  </si>
  <si>
    <t xml:space="preserve">7 Waterloo Quay, Wellington CBD</t>
  </si>
  <si>
    <t xml:space="preserve">-41.280732</t>
  </si>
  <si>
    <t xml:space="preserve">174.779368</t>
  </si>
  <si>
    <t xml:space="preserve">_CLOSED_BP_Wellington_RO-Wellington</t>
  </si>
  <si>
    <t xml:space="preserve">L9.DNZ.WLG</t>
  </si>
  <si>
    <t xml:space="preserve">5210</t>
  </si>
  <si>
    <t xml:space="preserve">Support services for projects located at numerous sites throughout Wellington Region - New location established following purchase of Hawkins 2042</t>
  </si>
  <si>
    <t xml:space="preserve">265 Wakefield Street, CBD</t>
  </si>
  <si>
    <t xml:space="preserve">-41.292407</t>
  </si>
  <si>
    <t xml:space="preserve">174.783133</t>
  </si>
  <si>
    <t xml:space="preserve">_CLOSED_BP_Wellington_Small Jobs</t>
  </si>
  <si>
    <t xml:space="preserve">5258</t>
  </si>
  <si>
    <t xml:space="preserve">Projects located at numerous sites throughout Welington - New location established following purchase of Hawkins 2017</t>
  </si>
  <si>
    <t xml:space="preserve">_CLOSED_Braiform Australia - Dandenong Warehouse (</t>
  </si>
  <si>
    <t xml:space="preserve">L9.S.18700011</t>
  </si>
  <si>
    <t xml:space="preserve">No longer exists - 1 July 2009</t>
  </si>
  <si>
    <t xml:space="preserve">1/19 Commercial Drive</t>
  </si>
  <si>
    <t xml:space="preserve">Dandenong South</t>
  </si>
  <si>
    <t xml:space="preserve">3175</t>
  </si>
  <si>
    <t xml:space="preserve">_CLOSED_Brisbane - Roads</t>
  </si>
  <si>
    <t xml:space="preserve">L9.J.170402</t>
  </si>
  <si>
    <t xml:space="preserve">8020</t>
  </si>
  <si>
    <t xml:space="preserve">Lease commenced 5th October 2018. 
Office location is now under Qantas Dr. Location is closed.</t>
  </si>
  <si>
    <t xml:space="preserve">60 - 62 Qantas Drive, Brisbane Airport</t>
  </si>
  <si>
    <t xml:space="preserve">4008</t>
  </si>
  <si>
    <t xml:space="preserve">-27.414474</t>
  </si>
  <si>
    <t xml:space="preserve">153.091364</t>
  </si>
  <si>
    <t xml:space="preserve">2021/06/30</t>
  </si>
  <si>
    <t xml:space="preserve">_CLOSED_Brooklyn</t>
  </si>
  <si>
    <t xml:space="preserve">L9.ENG.340.15575</t>
  </si>
  <si>
    <t xml:space="preserve">ASV-15575</t>
  </si>
  <si>
    <t xml:space="preserve">30</t>
  </si>
  <si>
    <t xml:space="preserve">13 -15 Export Drive</t>
  </si>
  <si>
    <t xml:space="preserve">Brooklyn</t>
  </si>
  <si>
    <t xml:space="preserve">3012</t>
  </si>
  <si>
    <t xml:space="preserve">-37.819877</t>
  </si>
  <si>
    <t xml:space="preserve">144.855735</t>
  </si>
  <si>
    <t xml:space="preserve">_CLOSED_Broome</t>
  </si>
  <si>
    <t xml:space="preserve">Branch</t>
  </si>
  <si>
    <t xml:space="preserve">L9.J.17060521</t>
  </si>
  <si>
    <t xml:space="preserve">31</t>
  </si>
  <si>
    <t xml:space="preserve">3 Ward Street</t>
  </si>
  <si>
    <t xml:space="preserve">Broome</t>
  </si>
  <si>
    <t xml:space="preserve">6725</t>
  </si>
  <si>
    <t xml:space="preserve">-17.988226</t>
  </si>
  <si>
    <t xml:space="preserve">122.202073</t>
  </si>
  <si>
    <t xml:space="preserve">_CLOSED_Cairns</t>
  </si>
  <si>
    <t xml:space="preserve">8006</t>
  </si>
  <si>
    <t xml:space="preserve">Unit 1 7 Elphinstone Place</t>
  </si>
  <si>
    <t xml:space="preserve">Portsmith</t>
  </si>
  <si>
    <t xml:space="preserve">-16.923</t>
  </si>
  <si>
    <t xml:space="preserve">145.726</t>
  </si>
  <si>
    <t xml:space="preserve">_CLOSED_Camellia</t>
  </si>
  <si>
    <t xml:space="preserve">L9.J.17010146</t>
  </si>
  <si>
    <t xml:space="preserve">36</t>
  </si>
  <si>
    <t xml:space="preserve">RAP Processing</t>
  </si>
  <si>
    <t xml:space="preserve">12 Grande Ave</t>
  </si>
  <si>
    <t xml:space="preserve">Camellia</t>
  </si>
  <si>
    <t xml:space="preserve">-33.819</t>
  </si>
  <si>
    <t xml:space="preserve">151.032</t>
  </si>
  <si>
    <t xml:space="preserve">_CLOSED_Canning Vale (DMJV)</t>
  </si>
  <si>
    <t xml:space="preserve">L9.J.25410067</t>
  </si>
  <si>
    <t xml:space="preserve">359</t>
  </si>
  <si>
    <t xml:space="preserve">DMJV taken over March 2013</t>
  </si>
  <si>
    <t xml:space="preserve">20-24 Catalano Rd</t>
  </si>
  <si>
    <t xml:space="preserve">-32.063171</t>
  </si>
  <si>
    <t xml:space="preserve">115.900417</t>
  </si>
  <si>
    <t xml:space="preserve">_CLOSED_Canningvale</t>
  </si>
  <si>
    <t xml:space="preserve">L9.J.706112</t>
  </si>
  <si>
    <t xml:space="preserve">40</t>
  </si>
  <si>
    <t xml:space="preserve">42 Magnet Rd</t>
  </si>
  <si>
    <t xml:space="preserve">Rail &amp; Transit Systems (RTS)</t>
  </si>
  <si>
    <t xml:space="preserve">-32.061556</t>
  </si>
  <si>
    <t xml:space="preserve">115.927723</t>
  </si>
  <si>
    <t xml:space="preserve">2010/07/01</t>
  </si>
  <si>
    <t xml:space="preserve">_CLOSED_Canterbury OSM</t>
  </si>
  <si>
    <t xml:space="preserve">L9.DNZJ.66100</t>
  </si>
  <si>
    <t xml:space="preserve">66100</t>
  </si>
  <si>
    <t xml:space="preserve">_CLOSED_Carrapateena Construction</t>
  </si>
  <si>
    <t xml:space="preserve">Underground Mine</t>
  </si>
  <si>
    <t xml:space="preserve">L9.J.45310001</t>
  </si>
  <si>
    <t xml:space="preserve">4053</t>
  </si>
  <si>
    <t xml:space="preserve">Pernatty</t>
  </si>
  <si>
    <t xml:space="preserve">5713</t>
  </si>
  <si>
    <t xml:space="preserve">-31.535561</t>
  </si>
  <si>
    <t xml:space="preserve">137.236242</t>
  </si>
  <si>
    <t xml:space="preserve">2018/07/01</t>
  </si>
  <si>
    <t xml:space="preserve">2020/06/30</t>
  </si>
  <si>
    <t xml:space="preserve">_CLOSED_Carter Holt Harvey Plywood 45001127</t>
  </si>
  <si>
    <t xml:space="preserve">L9.S.26009850</t>
  </si>
  <si>
    <t xml:space="preserve">2000003526</t>
  </si>
  <si>
    <t xml:space="preserve">_CLOSED_Charmhaven NSW</t>
  </si>
  <si>
    <t xml:space="preserve">L9.S.14001229</t>
  </si>
  <si>
    <t xml:space="preserve">9046</t>
  </si>
  <si>
    <t xml:space="preserve">Unit 5  132 Chelmsford Rd</t>
  </si>
  <si>
    <t xml:space="preserve">Charmhaven</t>
  </si>
  <si>
    <t xml:space="preserve">2263</t>
  </si>
  <si>
    <t xml:space="preserve">-33.238376</t>
  </si>
  <si>
    <t xml:space="preserve">151.494332</t>
  </si>
  <si>
    <t xml:space="preserve">2024/06/30</t>
  </si>
  <si>
    <t xml:space="preserve">_CLOSED_Chinchilla Battery</t>
  </si>
  <si>
    <t xml:space="preserve">L9.J.37740098</t>
  </si>
  <si>
    <t xml:space="preserve">1039 Banana Bridge Road, Brigalow</t>
  </si>
  <si>
    <t xml:space="preserve">Chinchilla Battery (BESS)</t>
  </si>
  <si>
    <t xml:space="preserve">Chinchilla</t>
  </si>
  <si>
    <t xml:space="preserve">2024/12/06</t>
  </si>
  <si>
    <t xml:space="preserve">_CLOSED_Christmas Creek</t>
  </si>
  <si>
    <t xml:space="preserve">L9.J.8703</t>
  </si>
  <si>
    <t xml:space="preserve">393</t>
  </si>
  <si>
    <t xml:space="preserve">0801 Iron Ore MiningContract finished. Data till Q3 FY16.</t>
  </si>
  <si>
    <t xml:space="preserve">Christmas Creek Minesite Via Newman</t>
  </si>
  <si>
    <t xml:space="preserve">Newman</t>
  </si>
  <si>
    <t xml:space="preserve">6753</t>
  </si>
  <si>
    <t xml:space="preserve">0801</t>
  </si>
  <si>
    <t xml:space="preserve">_CLOSED_Clyde</t>
  </si>
  <si>
    <t xml:space="preserve">L9.J.709012</t>
  </si>
  <si>
    <t xml:space="preserve">46</t>
  </si>
  <si>
    <t xml:space="preserve">Highgate Street</t>
  </si>
  <si>
    <t xml:space="preserve">Auburn</t>
  </si>
  <si>
    <t xml:space="preserve">2144</t>
  </si>
  <si>
    <t xml:space="preserve">Rail &amp; Transit Systems</t>
  </si>
  <si>
    <t xml:space="preserve">-33.84</t>
  </si>
  <si>
    <t xml:space="preserve">151.028</t>
  </si>
  <si>
    <t xml:space="preserve">_CLOSED_Collins Street - IPD</t>
  </si>
  <si>
    <t xml:space="preserve">L9.J.200421</t>
  </si>
  <si>
    <t xml:space="preserve">6008</t>
  </si>
  <si>
    <t xml:space="preserve">Collins St</t>
  </si>
  <si>
    <t xml:space="preserve">-37.818121</t>
  </si>
  <si>
    <t xml:space="preserve">144.957280</t>
  </si>
  <si>
    <t xml:space="preserve">_CLOSED_Comms - ACT</t>
  </si>
  <si>
    <t xml:space="preserve">Fleet Fuel</t>
  </si>
  <si>
    <t xml:space="preserve">L9.EMS.410.10277</t>
  </si>
  <si>
    <t xml:space="preserve">_CLOSED_Comms - AU (FY18 Only)</t>
  </si>
  <si>
    <t xml:space="preserve">L9.EMS.410.10280</t>
  </si>
  <si>
    <t xml:space="preserve">_CLOSED_Comms - HFC NSW</t>
  </si>
  <si>
    <t xml:space="preserve">L9.J.234414</t>
  </si>
  <si>
    <t xml:space="preserve">7035</t>
  </si>
  <si>
    <t xml:space="preserve">2020/03/31</t>
  </si>
  <si>
    <t xml:space="preserve">_CLOSED_Comms - HFC QLD</t>
  </si>
  <si>
    <t xml:space="preserve">L9.J.23440036</t>
  </si>
  <si>
    <t xml:space="preserve">7036</t>
  </si>
  <si>
    <t xml:space="preserve">_CLOSED_Comms - National Subcontractor</t>
  </si>
  <si>
    <t xml:space="preserve">7014</t>
  </si>
  <si>
    <t xml:space="preserve">T3, 39 Delhi Road</t>
  </si>
  <si>
    <t xml:space="preserve">-33.823624</t>
  </si>
  <si>
    <t xml:space="preserve">151.122538</t>
  </si>
  <si>
    <t xml:space="preserve">_CLOSED_Comms - NT</t>
  </si>
  <si>
    <t xml:space="preserve">L9.J.23440199</t>
  </si>
  <si>
    <t xml:space="preserve">Northern Territory</t>
  </si>
  <si>
    <t xml:space="preserve">_CLOSED_Comms - QLD</t>
  </si>
  <si>
    <t xml:space="preserve">L9.J.23420006</t>
  </si>
  <si>
    <t xml:space="preserve">7015</t>
  </si>
  <si>
    <t xml:space="preserve">2 Burke Street</t>
  </si>
  <si>
    <t xml:space="preserve">Woolloongabba</t>
  </si>
  <si>
    <t xml:space="preserve">4102</t>
  </si>
  <si>
    <t xml:space="preserve">-27.495134</t>
  </si>
  <si>
    <t xml:space="preserve">153.033982</t>
  </si>
  <si>
    <t xml:space="preserve">_CLOSED_Comms - SA</t>
  </si>
  <si>
    <t xml:space="preserve">L9.EMS.410.10245</t>
  </si>
  <si>
    <t xml:space="preserve">7025</t>
  </si>
  <si>
    <t xml:space="preserve">Linden Lane</t>
  </si>
  <si>
    <t xml:space="preserve">Regency Park</t>
  </si>
  <si>
    <t xml:space="preserve">5065</t>
  </si>
  <si>
    <t xml:space="preserve">-34.859690</t>
  </si>
  <si>
    <t xml:space="preserve">138.572406</t>
  </si>
  <si>
    <t xml:space="preserve">2022/12/31</t>
  </si>
  <si>
    <t xml:space="preserve">_CLOSED_Comms - TAS</t>
  </si>
  <si>
    <t xml:space="preserve">L9.J.23440247</t>
  </si>
  <si>
    <t xml:space="preserve">_CLOSED_Comms - VIC</t>
  </si>
  <si>
    <t xml:space="preserve">L9.J.23440042</t>
  </si>
  <si>
    <t xml:space="preserve">7016</t>
  </si>
  <si>
    <t xml:space="preserve">567 Collins Street</t>
  </si>
  <si>
    <t xml:space="preserve">_CLOSED_Comms - WA</t>
  </si>
  <si>
    <t xml:space="preserve">L9.J.23440194</t>
  </si>
  <si>
    <t xml:space="preserve">7026</t>
  </si>
  <si>
    <t xml:space="preserve">9 Modal Crescent</t>
  </si>
  <si>
    <t xml:space="preserve">-32.071836</t>
  </si>
  <si>
    <t xml:space="preserve">115.911588</t>
  </si>
  <si>
    <t xml:space="preserve">_CLOSED_Cooma</t>
  </si>
  <si>
    <t xml:space="preserve">211</t>
  </si>
  <si>
    <t xml:space="preserve">Unit 1, 18 Holland St</t>
  </si>
  <si>
    <t xml:space="preserve">Cooma</t>
  </si>
  <si>
    <t xml:space="preserve">2630</t>
  </si>
  <si>
    <t xml:space="preserve">-36.227459</t>
  </si>
  <si>
    <t xml:space="preserve">149.144602</t>
  </si>
  <si>
    <t xml:space="preserve">_CLOSED_COORPAROO</t>
  </si>
  <si>
    <t xml:space="preserve">8007</t>
  </si>
  <si>
    <t xml:space="preserve">Unit 4, 44-50 Harries Rd</t>
  </si>
  <si>
    <t xml:space="preserve">Coorparoo</t>
  </si>
  <si>
    <t xml:space="preserve">4151</t>
  </si>
  <si>
    <t xml:space="preserve">-27.493</t>
  </si>
  <si>
    <t xml:space="preserve">153.055</t>
  </si>
  <si>
    <t xml:space="preserve">_CLOSED_Copping Landfill</t>
  </si>
  <si>
    <t xml:space="preserve">Aerobic Treatment - Managed</t>
  </si>
  <si>
    <t xml:space="preserve">L9.J.17030214</t>
  </si>
  <si>
    <t xml:space="preserve">_CLOSED_Copy of BO_Auckland</t>
  </si>
  <si>
    <t xml:space="preserve">150</t>
  </si>
  <si>
    <t xml:space="preserve">_CLOSED_Corporate - 549 St Kilda Rd (Melbourne VIC)</t>
  </si>
  <si>
    <t xml:space="preserve">Head Office</t>
  </si>
  <si>
    <t xml:space="preserve">L9.COR.130.02109</t>
  </si>
  <si>
    <t xml:space="preserve">9029</t>
  </si>
  <si>
    <t xml:space="preserve">549 St Kilda Rd</t>
  </si>
  <si>
    <t xml:space="preserve">-37.846581</t>
  </si>
  <si>
    <t xml:space="preserve">144.979957</t>
  </si>
  <si>
    <t xml:space="preserve">2024/10/31</t>
  </si>
  <si>
    <t xml:space="preserve">_CLOSED_Corporate - Offices (Fortitude Valley QLD)</t>
  </si>
  <si>
    <t xml:space="preserve">L9.WAU.000886</t>
  </si>
  <si>
    <t xml:space="preserve">15 James St</t>
  </si>
  <si>
    <t xml:space="preserve">Fortitude Valley</t>
  </si>
  <si>
    <t xml:space="preserve">4006</t>
  </si>
  <si>
    <t xml:space="preserve">-27.456262</t>
  </si>
  <si>
    <t xml:space="preserve">153.038919</t>
  </si>
  <si>
    <t xml:space="preserve">_CLOSED_Corporate - Offices (Hilton SA)</t>
  </si>
  <si>
    <t xml:space="preserve">290 South Rd</t>
  </si>
  <si>
    <t xml:space="preserve">Hilton</t>
  </si>
  <si>
    <t xml:space="preserve">5033</t>
  </si>
  <si>
    <t xml:space="preserve">-34.932578</t>
  </si>
  <si>
    <t xml:space="preserve">138.569917</t>
  </si>
  <si>
    <t xml:space="preserve">_CLOSED_Corporate - Offices (Hume ACT)</t>
  </si>
  <si>
    <t xml:space="preserve">L9.S.11000880</t>
  </si>
  <si>
    <t xml:space="preserve">9027</t>
  </si>
  <si>
    <t xml:space="preserve">Lvl 1 Bld 1 34-42 Sheppard St</t>
  </si>
  <si>
    <t xml:space="preserve">Hume</t>
  </si>
  <si>
    <t xml:space="preserve">2620</t>
  </si>
  <si>
    <t xml:space="preserve">Laundries</t>
  </si>
  <si>
    <t xml:space="preserve">-35.387385</t>
  </si>
  <si>
    <t xml:space="preserve">149.170175</t>
  </si>
  <si>
    <t xml:space="preserve">_CLOSED_Corporate - Offices (Kewdale WA)</t>
  </si>
  <si>
    <t xml:space="preserve">L9.S.11000860</t>
  </si>
  <si>
    <t xml:space="preserve">9028</t>
  </si>
  <si>
    <t xml:space="preserve">491 Abernathy Road</t>
  </si>
  <si>
    <t xml:space="preserve">Kewdale</t>
  </si>
  <si>
    <t xml:space="preserve">6105</t>
  </si>
  <si>
    <t xml:space="preserve">-31.973944</t>
  </si>
  <si>
    <t xml:space="preserve">115.950557</t>
  </si>
  <si>
    <t xml:space="preserve">_CLOSED_Corporate - Offices (Moonah TAS)</t>
  </si>
  <si>
    <t xml:space="preserve">L9.S.S859</t>
  </si>
  <si>
    <t xml:space="preserve">9030</t>
  </si>
  <si>
    <t xml:space="preserve">Closed on 09/2020</t>
  </si>
  <si>
    <t xml:space="preserve">Level 1 134-136 Main Rd</t>
  </si>
  <si>
    <t xml:space="preserve">Moonah</t>
  </si>
  <si>
    <t xml:space="preserve">7009</t>
  </si>
  <si>
    <t xml:space="preserve">-42.845115</t>
  </si>
  <si>
    <t xml:space="preserve">147.293125</t>
  </si>
  <si>
    <t xml:space="preserve">2020/09/01</t>
  </si>
  <si>
    <t xml:space="preserve">_CLOSED_Corporate - Offices (Murarrie QLD)</t>
  </si>
  <si>
    <t xml:space="preserve">L9.S.11000050</t>
  </si>
  <si>
    <t xml:space="preserve">9020</t>
  </si>
  <si>
    <t xml:space="preserve">747 Lytton Rd</t>
  </si>
  <si>
    <t xml:space="preserve">Murrarie</t>
  </si>
  <si>
    <t xml:space="preserve">4172</t>
  </si>
  <si>
    <t xml:space="preserve">_CLOSED_Corporate - Offices (Newcastle NSW)</t>
  </si>
  <si>
    <t xml:space="preserve">L9.S.11000810</t>
  </si>
  <si>
    <t xml:space="preserve">9023</t>
  </si>
  <si>
    <t xml:space="preserve">This location is merged to CS-Cardiff. All electricity/Water/Gas accounts are moved to CS-Cardiff</t>
  </si>
  <si>
    <t xml:space="preserve">Unit 3a 88 Munibung Road</t>
  </si>
  <si>
    <t xml:space="preserve">Cardiff</t>
  </si>
  <si>
    <t xml:space="preserve">2285</t>
  </si>
  <si>
    <t xml:space="preserve">-32.943042</t>
  </si>
  <si>
    <t xml:space="preserve">151.63911</t>
  </si>
  <si>
    <t xml:space="preserve">2014/05/24</t>
  </si>
  <si>
    <t xml:space="preserve">_CLOSED_Corporate - Offices (Sydney Rhodes NSW)</t>
  </si>
  <si>
    <t xml:space="preserve">Level 4 4/5 Rider Boulevard</t>
  </si>
  <si>
    <t xml:space="preserve">Rhodes</t>
  </si>
  <si>
    <t xml:space="preserve">2138</t>
  </si>
  <si>
    <t xml:space="preserve">-33.832374</t>
  </si>
  <si>
    <t xml:space="preserve">151.086164</t>
  </si>
  <si>
    <t xml:space="preserve">2023/01/17</t>
  </si>
  <si>
    <t xml:space="preserve">_CLOSED_Corporate Offices - (Rhodes NSW)</t>
  </si>
  <si>
    <t xml:space="preserve">L9.WAU.003012</t>
  </si>
  <si>
    <t xml:space="preserve">4 Marquet Street</t>
  </si>
  <si>
    <t xml:space="preserve">_CLOSED_CS - Cardiff Office</t>
  </si>
  <si>
    <t xml:space="preserve">L9.S.11000101</t>
  </si>
  <si>
    <t xml:space="preserve">Unit 3a Warehouse/Office, 88 Munibung Rd, </t>
  </si>
  <si>
    <t xml:space="preserve">CARDIFF</t>
  </si>
  <si>
    <t xml:space="preserve">_CLOSED_CS - Nerang Office (QLD)</t>
  </si>
  <si>
    <t xml:space="preserve">L9.S.16001990</t>
  </si>
  <si>
    <t xml:space="preserve">Unit 7 17 Indy Crt</t>
  </si>
  <si>
    <t xml:space="preserve">Nerang</t>
  </si>
  <si>
    <t xml:space="preserve">4211</t>
  </si>
  <si>
    <t xml:space="preserve">_CLOSED_CS - Old Rockhampton Office (QLD)</t>
  </si>
  <si>
    <t xml:space="preserve">L9.S.16008157</t>
  </si>
  <si>
    <t xml:space="preserve">32 Denham St</t>
  </si>
  <si>
    <t xml:space="preserve">Rockhampton</t>
  </si>
  <si>
    <t xml:space="preserve">4700</t>
  </si>
  <si>
    <t xml:space="preserve">_CLOSED_CS - Osborne Park Office (WA)</t>
  </si>
  <si>
    <t xml:space="preserve">L9.S.11000865</t>
  </si>
  <si>
    <t xml:space="preserve">31 January 2013 - exited and now under sublease.</t>
  </si>
  <si>
    <t xml:space="preserve">43 Edward Street</t>
  </si>
  <si>
    <t xml:space="preserve">Osborne Park</t>
  </si>
  <si>
    <t xml:space="preserve">6017</t>
  </si>
  <si>
    <t xml:space="preserve">_CLOSED_CS - Rockhampton Office (QLD)</t>
  </si>
  <si>
    <t xml:space="preserve">L9.S.16000160</t>
  </si>
  <si>
    <t xml:space="preserve">N4.H861</t>
  </si>
  <si>
    <t xml:space="preserve">87 Denham St</t>
  </si>
  <si>
    <t xml:space="preserve">_CLOSED_Darwin - Bombing Rd, Winnellie</t>
  </si>
  <si>
    <t xml:space="preserve">L9.S.16013419</t>
  </si>
  <si>
    <t xml:space="preserve">7040</t>
  </si>
  <si>
    <t xml:space="preserve">Skilltech in Bombing Road, Winnellie until Oct-19 and then moved to 23a/90 Frances Bay Drv, Stuart Park, NT 0820.
Closed in Jan 2021</t>
  </si>
  <si>
    <t xml:space="preserve">23a 90 Frances Bay Drive</t>
  </si>
  <si>
    <t xml:space="preserve">Stuart Park</t>
  </si>
  <si>
    <t xml:space="preserve">0820</t>
  </si>
  <si>
    <t xml:space="preserve">-12.42799</t>
  </si>
  <si>
    <t xml:space="preserve">130.880349</t>
  </si>
  <si>
    <t xml:space="preserve">2021/01/01</t>
  </si>
  <si>
    <t xml:space="preserve">_CLOSED_DBS Redcliffe</t>
  </si>
  <si>
    <t xml:space="preserve">4030</t>
  </si>
  <si>
    <t xml:space="preserve">241</t>
  </si>
  <si>
    <t xml:space="preserve">Data supplied by CASA. Account closed FY14</t>
  </si>
  <si>
    <t xml:space="preserve">L1, Building 2, 130 Fauntleroy Ave</t>
  </si>
  <si>
    <t xml:space="preserve">Redcliffe</t>
  </si>
  <si>
    <t xml:space="preserve">Z_DIVESTED_Y_Non Operational Control</t>
  </si>
  <si>
    <t xml:space="preserve">-31.926</t>
  </si>
  <si>
    <t xml:space="preserve">115.952</t>
  </si>
  <si>
    <t xml:space="preserve">109</t>
  </si>
  <si>
    <t xml:space="preserve">_CLOSED_DBS_Bajool</t>
  </si>
  <si>
    <t xml:space="preserve">L9.J.8150201</t>
  </si>
  <si>
    <t xml:space="preserve">4002</t>
  </si>
  <si>
    <t xml:space="preserve">13</t>
  </si>
  <si>
    <t xml:space="preserve">Storage Facility C on Lot 201 on SP101349, Bruce Highway</t>
  </si>
  <si>
    <t xml:space="preserve">Bajool</t>
  </si>
  <si>
    <t xml:space="preserve">4699</t>
  </si>
  <si>
    <t xml:space="preserve">-23.3840</t>
  </si>
  <si>
    <t xml:space="preserve">150.3737</t>
  </si>
  <si>
    <t xml:space="preserve">_CLOSED_DBS_Collie</t>
  </si>
  <si>
    <t xml:space="preserve">L9.J.8150202</t>
  </si>
  <si>
    <t xml:space="preserve">4010</t>
  </si>
  <si>
    <t xml:space="preserve">47</t>
  </si>
  <si>
    <t xml:space="preserve">Yancoal Australia, Premier Coal</t>
  </si>
  <si>
    <t xml:space="preserve">Collie</t>
  </si>
  <si>
    <t xml:space="preserve">6225</t>
  </si>
  <si>
    <t xml:space="preserve">-33.25047</t>
  </si>
  <si>
    <t xml:space="preserve">116.15571</t>
  </si>
  <si>
    <t xml:space="preserve">_CLOSED_DBS_Koojan</t>
  </si>
  <si>
    <t xml:space="preserve">Retail, Warehouse</t>
  </si>
  <si>
    <t xml:space="preserve">4045</t>
  </si>
  <si>
    <t xml:space="preserve">Closed 12/12/2018.</t>
  </si>
  <si>
    <t xml:space="preserve">4 Koojan Road</t>
  </si>
  <si>
    <t xml:space="preserve">South Guildford</t>
  </si>
  <si>
    <t xml:space="preserve">6055</t>
  </si>
  <si>
    <t xml:space="preserve">-31.916672</t>
  </si>
  <si>
    <t xml:space="preserve">115.964597</t>
  </si>
  <si>
    <t xml:space="preserve">2019/07/31</t>
  </si>
  <si>
    <t xml:space="preserve">_CLOSED_DBS_Mt Thorley</t>
  </si>
  <si>
    <t xml:space="preserve">4023</t>
  </si>
  <si>
    <t xml:space="preserve">187</t>
  </si>
  <si>
    <t xml:space="preserve">Lot 2, 8 Melva Place</t>
  </si>
  <si>
    <t xml:space="preserve">Mount Thorley</t>
  </si>
  <si>
    <t xml:space="preserve">2330</t>
  </si>
  <si>
    <t xml:space="preserve">-32.37045</t>
  </si>
  <si>
    <t xml:space="preserve">151.0619</t>
  </si>
  <si>
    <t xml:space="preserve">_CLOSED_DBS_Newmont Boddington</t>
  </si>
  <si>
    <t xml:space="preserve">L9.J.8150511</t>
  </si>
  <si>
    <t xml:space="preserve">4024</t>
  </si>
  <si>
    <t xml:space="preserve">529</t>
  </si>
  <si>
    <t xml:space="preserve">12 Gold Mine Rd</t>
  </si>
  <si>
    <t xml:space="preserve">Bannister</t>
  </si>
  <si>
    <t xml:space="preserve">6390</t>
  </si>
  <si>
    <t xml:space="preserve">-32.45188</t>
  </si>
  <si>
    <t xml:space="preserve">116.22324</t>
  </si>
  <si>
    <t xml:space="preserve">_CLOSED_DBS_reload yards</t>
  </si>
  <si>
    <t xml:space="preserve">4058</t>
  </si>
  <si>
    <t xml:space="preserve">This location includes all reload yards in Australia.</t>
  </si>
  <si>
    <t xml:space="preserve">_CLOSED_DBS_Savage River</t>
  </si>
  <si>
    <t xml:space="preserve">L9.J.8150512</t>
  </si>
  <si>
    <t xml:space="preserve">4033</t>
  </si>
  <si>
    <t xml:space="preserve">392</t>
  </si>
  <si>
    <t xml:space="preserve">Mine Road</t>
  </si>
  <si>
    <t xml:space="preserve">Savage River</t>
  </si>
  <si>
    <t xml:space="preserve">7321</t>
  </si>
  <si>
    <t xml:space="preserve">-41.2925</t>
  </si>
  <si>
    <t xml:space="preserve">145.1226</t>
  </si>
  <si>
    <t xml:space="preserve">_CLOSED_DBS_Wilga Blackwater</t>
  </si>
  <si>
    <t xml:space="preserve">4040</t>
  </si>
  <si>
    <t xml:space="preserve">528</t>
  </si>
  <si>
    <t xml:space="preserve">6 Wilga Street</t>
  </si>
  <si>
    <t xml:space="preserve">Blackwater</t>
  </si>
  <si>
    <t xml:space="preserve">4717</t>
  </si>
  <si>
    <t xml:space="preserve">-23.344099</t>
  </si>
  <si>
    <t xml:space="preserve">148.523923</t>
  </si>
  <si>
    <t xml:space="preserve">_CLOSED_DEF Fleet ACT</t>
  </si>
  <si>
    <t xml:space="preserve">L9.S.14000508</t>
  </si>
  <si>
    <t xml:space="preserve">9169</t>
  </si>
  <si>
    <t xml:space="preserve">Leaseplan vehicles transitioned through to FTC data at end of FY23.</t>
  </si>
  <si>
    <t xml:space="preserve">_CLOSED_DEF Fleet NSW</t>
  </si>
  <si>
    <t xml:space="preserve">L9.S.14000514</t>
  </si>
  <si>
    <t xml:space="preserve">9168</t>
  </si>
  <si>
    <t xml:space="preserve">_CLOSED_DEF Fleet NT</t>
  </si>
  <si>
    <t xml:space="preserve">L9.S.14000479</t>
  </si>
  <si>
    <t xml:space="preserve">9207</t>
  </si>
  <si>
    <t xml:space="preserve">_CLOSED_DEF Fleet QLD</t>
  </si>
  <si>
    <t xml:space="preserve">L9.S.14000494</t>
  </si>
  <si>
    <t xml:space="preserve">9170</t>
  </si>
  <si>
    <t xml:space="preserve">_CLOSED_DEF Fleet SA</t>
  </si>
  <si>
    <t xml:space="preserve">L9.S.14000487</t>
  </si>
  <si>
    <t xml:space="preserve">9208</t>
  </si>
  <si>
    <t xml:space="preserve">_CLOSED_DEF Fleet VIC</t>
  </si>
  <si>
    <t xml:space="preserve">L9.S.16015942</t>
  </si>
  <si>
    <t xml:space="preserve">9171</t>
  </si>
  <si>
    <t xml:space="preserve">_CLOSED_DEF Fleet WA</t>
  </si>
  <si>
    <t xml:space="preserve">L9.S.14000476</t>
  </si>
  <si>
    <t xml:space="preserve">9214</t>
  </si>
  <si>
    <t xml:space="preserve">_CLOSED_Denny Avenue, Metronet</t>
  </si>
  <si>
    <t xml:space="preserve">L9.J.20044061</t>
  </si>
  <si>
    <t xml:space="preserve">Kelmscott</t>
  </si>
  <si>
    <t xml:space="preserve">_CLOSED_Depot - Batemans Bay (NSW Depot)</t>
  </si>
  <si>
    <t xml:space="preserve">L9.S.13900022</t>
  </si>
  <si>
    <t xml:space="preserve">9051</t>
  </si>
  <si>
    <t xml:space="preserve">Leased - Private</t>
  </si>
  <si>
    <t xml:space="preserve">35 Kylie Cres</t>
  </si>
  <si>
    <t xml:space="preserve">Batemans Bay</t>
  </si>
  <si>
    <t xml:space="preserve">2536</t>
  </si>
  <si>
    <t xml:space="preserve">-35.716304</t>
  </si>
  <si>
    <t xml:space="preserve">150.173406</t>
  </si>
  <si>
    <t xml:space="preserve">953</t>
  </si>
  <si>
    <t xml:space="preserve">_CLOSED_Depot - Cardiff (NSW)</t>
  </si>
  <si>
    <t xml:space="preserve">L9.S.13001670</t>
  </si>
  <si>
    <t xml:space="preserve">Unit 1 8 Nelson St Cardiff</t>
  </si>
  <si>
    <t xml:space="preserve">Newcastle</t>
  </si>
  <si>
    <t xml:space="preserve">_CLOSED_Depot - Mildura (VIC Depot)</t>
  </si>
  <si>
    <t xml:space="preserve">9052</t>
  </si>
  <si>
    <t xml:space="preserve">4 Luke Court</t>
  </si>
  <si>
    <t xml:space="preserve">Mildura</t>
  </si>
  <si>
    <t xml:space="preserve">3205</t>
  </si>
  <si>
    <t xml:space="preserve">-34.194626</t>
  </si>
  <si>
    <t xml:space="preserve">142.175121</t>
  </si>
  <si>
    <t xml:space="preserve">_CLOSED_Depot - Port Macquarie</t>
  </si>
  <si>
    <t xml:space="preserve">Exited lease on 28 Aug 12 and last electricity bill went to 10 Sep 12.</t>
  </si>
  <si>
    <t xml:space="preserve">2/22 Janola Circuit, Port Macquarie</t>
  </si>
  <si>
    <t xml:space="preserve">Coffs Harbour </t>
  </si>
  <si>
    <t xml:space="preserve">NSW </t>
  </si>
  <si>
    <t xml:space="preserve">2450</t>
  </si>
  <si>
    <t xml:space="preserve">_CLOSED_Depot_BP_Auckland_Plant-Yard</t>
  </si>
  <si>
    <t xml:space="preserve">5186</t>
  </si>
  <si>
    <t xml:space="preserve">Construction equipment plant yard storage and distribution - New location established following purchase of Hawkins 2018</t>
  </si>
  <si>
    <t xml:space="preserve">1-3 Ash Road, Wiri</t>
  </si>
  <si>
    <t xml:space="preserve">2022</t>
  </si>
  <si>
    <t xml:space="preserve">-37.002534</t>
  </si>
  <si>
    <t xml:space="preserve">174.865114</t>
  </si>
  <si>
    <t xml:space="preserve">663</t>
  </si>
  <si>
    <t xml:space="preserve">_CLOSED_Depot_T_Balclutha</t>
  </si>
  <si>
    <t xml:space="preserve">L9.DNZJ.55674</t>
  </si>
  <si>
    <t xml:space="preserve">5022</t>
  </si>
  <si>
    <t xml:space="preserve">Support Services for TS - New facilities established for more granular reporting and to reflect new structure for FY17. See facility named "NZ-Infrastructure Services" for historical data.</t>
  </si>
  <si>
    <t xml:space="preserve">11 Athol Place</t>
  </si>
  <si>
    <t xml:space="preserve">Balclutha</t>
  </si>
  <si>
    <t xml:space="preserve">8051</t>
  </si>
  <si>
    <t xml:space="preserve">-46.2329264</t>
  </si>
  <si>
    <t xml:space="preserve">169.7525902</t>
  </si>
  <si>
    <t xml:space="preserve">_CLOSED_Depot_T_Blenheim</t>
  </si>
  <si>
    <t xml:space="preserve">L9.DNZJ.55612</t>
  </si>
  <si>
    <t xml:space="preserve">5023</t>
  </si>
  <si>
    <t xml:space="preserve">7 Freswick Street</t>
  </si>
  <si>
    <t xml:space="preserve">Blenheim</t>
  </si>
  <si>
    <t xml:space="preserve">Marlborough</t>
  </si>
  <si>
    <t xml:space="preserve">7391</t>
  </si>
  <si>
    <t xml:space="preserve">-41.5145322</t>
  </si>
  <si>
    <t xml:space="preserve">173.9619327</t>
  </si>
  <si>
    <t xml:space="preserve">_CLOSED_Depot_T_Christchurch (McLeans Is)</t>
  </si>
  <si>
    <t xml:space="preserve">L9.DNZJ.55650</t>
  </si>
  <si>
    <t xml:space="preserve">5024</t>
  </si>
  <si>
    <t xml:space="preserve">397 Mcleans Island Road, Harewood</t>
  </si>
  <si>
    <t xml:space="preserve">-43.4764273</t>
  </si>
  <si>
    <t xml:space="preserve">172.516733599999</t>
  </si>
  <si>
    <t xml:space="preserve">_CLOSED_Depot_T_Cromwell</t>
  </si>
  <si>
    <t xml:space="preserve">L9.DNZJ.55686</t>
  </si>
  <si>
    <t xml:space="preserve">5028</t>
  </si>
  <si>
    <t xml:space="preserve">922 Luggate-Cromwell Road</t>
  </si>
  <si>
    <t xml:space="preserve">Mount Pisa</t>
  </si>
  <si>
    <t xml:space="preserve">9710</t>
  </si>
  <si>
    <t xml:space="preserve">Clyde</t>
  </si>
  <si>
    <t xml:space="preserve">-44.962849</t>
  </si>
  <si>
    <t xml:space="preserve">169.245137</t>
  </si>
  <si>
    <t xml:space="preserve">_CLOSED_Depot_T_Culverden (Excell)</t>
  </si>
  <si>
    <t xml:space="preserve">L9.DNZJ.553801</t>
  </si>
  <si>
    <t xml:space="preserve">26 Lyndon Street</t>
  </si>
  <si>
    <t xml:space="preserve">Culverdon</t>
  </si>
  <si>
    <t xml:space="preserve">7392</t>
  </si>
  <si>
    <t xml:space="preserve">-43.5358761</t>
  </si>
  <si>
    <t xml:space="preserve">172.602161199999</t>
  </si>
  <si>
    <t xml:space="preserve">_CLOSED_Depot_T_Dargaville</t>
  </si>
  <si>
    <t xml:space="preserve">L9.DNZJ.55908</t>
  </si>
  <si>
    <t xml:space="preserve">5252</t>
  </si>
  <si>
    <t xml:space="preserve">_CLOSED_Depot_T_Dunedin (Green Island)</t>
  </si>
  <si>
    <t xml:space="preserve">L9.DNZJ.55660</t>
  </si>
  <si>
    <t xml:space="preserve">5026</t>
  </si>
  <si>
    <t xml:space="preserve">133 Main South Road, Green Island</t>
  </si>
  <si>
    <t xml:space="preserve">9383</t>
  </si>
  <si>
    <t xml:space="preserve">Musselburgh</t>
  </si>
  <si>
    <t xml:space="preserve">-45.9016783</t>
  </si>
  <si>
    <t xml:space="preserve">170.4409766</t>
  </si>
  <si>
    <t xml:space="preserve">_CLOSED_Depot_T_Engineers Camp (Lewis Pass)</t>
  </si>
  <si>
    <t xml:space="preserve">L9.DNZJ.55614</t>
  </si>
  <si>
    <t xml:space="preserve">5027</t>
  </si>
  <si>
    <t xml:space="preserve">Engineers Camp, State Highway 7</t>
  </si>
  <si>
    <t xml:space="preserve">Lewis Pass</t>
  </si>
  <si>
    <t xml:space="preserve">West Coast</t>
  </si>
  <si>
    <t xml:space="preserve">7925</t>
  </si>
  <si>
    <t xml:space="preserve">Hanmer Springs</t>
  </si>
  <si>
    <t xml:space="preserve">-42.5647538</t>
  </si>
  <si>
    <t xml:space="preserve">172.355699299999</t>
  </si>
  <si>
    <t xml:space="preserve">_CLOSED_Depot_T_Fairlee</t>
  </si>
  <si>
    <t xml:space="preserve">L9.DNZJ.55646</t>
  </si>
  <si>
    <t xml:space="preserve">5029</t>
  </si>
  <si>
    <t xml:space="preserve">Princess Street</t>
  </si>
  <si>
    <t xml:space="preserve">Fairlie</t>
  </si>
  <si>
    <t xml:space="preserve">-44.0973804</t>
  </si>
  <si>
    <t xml:space="preserve">170.826861499999</t>
  </si>
  <si>
    <t xml:space="preserve">_CLOSED_Depot_T_Gisborne</t>
  </si>
  <si>
    <t xml:space="preserve">L9.DNZJ.55581</t>
  </si>
  <si>
    <t xml:space="preserve">5071</t>
  </si>
  <si>
    <t xml:space="preserve">187 Awapuni Road, Awapuni</t>
  </si>
  <si>
    <t xml:space="preserve">Gisborne</t>
  </si>
  <si>
    <t xml:space="preserve">1061</t>
  </si>
  <si>
    <t xml:space="preserve">-38.6681444</t>
  </si>
  <si>
    <t xml:space="preserve">178.0067298</t>
  </si>
  <si>
    <t xml:space="preserve">_CLOSED_Depot_T_Hamilton</t>
  </si>
  <si>
    <t xml:space="preserve">L9.DNZJ.55540</t>
  </si>
  <si>
    <t xml:space="preserve">5031</t>
  </si>
  <si>
    <t xml:space="preserve">4610</t>
  </si>
  <si>
    <t xml:space="preserve">_CLOSED_Depot_T_Hastings</t>
  </si>
  <si>
    <t xml:space="preserve">L9.DNZJ.55582</t>
  </si>
  <si>
    <t xml:space="preserve">5032</t>
  </si>
  <si>
    <t xml:space="preserve">1436 Omahu Road, Twyford</t>
  </si>
  <si>
    <t xml:space="preserve">Hastings</t>
  </si>
  <si>
    <t xml:space="preserve">Hawkes's Bay</t>
  </si>
  <si>
    <t xml:space="preserve">5510</t>
  </si>
  <si>
    <t xml:space="preserve">-39.6113005</t>
  </si>
  <si>
    <t xml:space="preserve">176.7880201</t>
  </si>
  <si>
    <t xml:space="preserve">_CLOSED_Depot_T_Hawera</t>
  </si>
  <si>
    <t xml:space="preserve">L9.DNZJ.55570</t>
  </si>
  <si>
    <t xml:space="preserve">32-34 Glover Road</t>
  </si>
  <si>
    <t xml:space="preserve">Hawera</t>
  </si>
  <si>
    <t xml:space="preserve">-39.5804281</t>
  </si>
  <si>
    <t xml:space="preserve">174.280404699999</t>
  </si>
  <si>
    <t xml:space="preserve">_CLOSED_Depot_T_Horowhenua</t>
  </si>
  <si>
    <t xml:space="preserve">L9.DNZJ.55604</t>
  </si>
  <si>
    <t xml:space="preserve">5034</t>
  </si>
  <si>
    <t xml:space="preserve">122 Hokio Beach Road</t>
  </si>
  <si>
    <t xml:space="preserve">Levin</t>
  </si>
  <si>
    <t xml:space="preserve">Manawatu-Wanganui</t>
  </si>
  <si>
    <t xml:space="preserve">7371</t>
  </si>
  <si>
    <t xml:space="preserve">-40.6251629999999</t>
  </si>
  <si>
    <t xml:space="preserve">175.257604799999</t>
  </si>
  <si>
    <t xml:space="preserve">_CLOSED_Depot_T_Invercargill</t>
  </si>
  <si>
    <t xml:space="preserve">L9.DNZJ.55670</t>
  </si>
  <si>
    <t xml:space="preserve">5035</t>
  </si>
  <si>
    <t xml:space="preserve">159 Liddel Street, West Invercargill</t>
  </si>
  <si>
    <t xml:space="preserve">-46.4214029</t>
  </si>
  <si>
    <t xml:space="preserve">168.3453492</t>
  </si>
  <si>
    <t xml:space="preserve">_CLOSED_Depot_T_Kaikaoura</t>
  </si>
  <si>
    <t xml:space="preserve">L9.DNZJ.55626</t>
  </si>
  <si>
    <t xml:space="preserve">5036</t>
  </si>
  <si>
    <t xml:space="preserve">Kowhai Ford Road, Kaikoura Flat</t>
  </si>
  <si>
    <t xml:space="preserve">Kaikoura</t>
  </si>
  <si>
    <t xml:space="preserve">9435</t>
  </si>
  <si>
    <t xml:space="preserve">-42.3849678</t>
  </si>
  <si>
    <t xml:space="preserve">173.6287984</t>
  </si>
  <si>
    <t xml:space="preserve">_CLOSED_Depot_T_Kiwi Point</t>
  </si>
  <si>
    <t xml:space="preserve">L9.DNZJ.55606</t>
  </si>
  <si>
    <t xml:space="preserve">5037</t>
  </si>
  <si>
    <t xml:space="preserve">9591</t>
  </si>
  <si>
    <t xml:space="preserve">_CLOSED_Depot_T_Lawrence</t>
  </si>
  <si>
    <t xml:space="preserve">L9.DNZJ.55688</t>
  </si>
  <si>
    <t xml:space="preserve">5039</t>
  </si>
  <si>
    <t xml:space="preserve">36 Waipori Road, Lawrence Gabriels Gully</t>
  </si>
  <si>
    <t xml:space="preserve">Timaru</t>
  </si>
  <si>
    <t xml:space="preserve">4710</t>
  </si>
  <si>
    <t xml:space="preserve">-45.9085645</t>
  </si>
  <si>
    <t xml:space="preserve">169.7007283</t>
  </si>
  <si>
    <t xml:space="preserve">_CLOSED_Depot_T_Lower Hutt</t>
  </si>
  <si>
    <t xml:space="preserve">L9.DNZJ.55601</t>
  </si>
  <si>
    <t xml:space="preserve">5040</t>
  </si>
  <si>
    <t xml:space="preserve">26A Bracken Street, Petone</t>
  </si>
  <si>
    <t xml:space="preserve">Lower Hutt</t>
  </si>
  <si>
    <t xml:space="preserve">7730</t>
  </si>
  <si>
    <t xml:space="preserve">-41.2238344999999</t>
  </si>
  <si>
    <t xml:space="preserve">174.896524199999</t>
  </si>
  <si>
    <t xml:space="preserve">_CLOSED_Depot_T_Marton</t>
  </si>
  <si>
    <t xml:space="preserve">L9.DNZJ.55752</t>
  </si>
  <si>
    <t xml:space="preserve">5041</t>
  </si>
  <si>
    <t xml:space="preserve">7 King Street</t>
  </si>
  <si>
    <t xml:space="preserve">Marton</t>
  </si>
  <si>
    <t xml:space="preserve">7081</t>
  </si>
  <si>
    <t xml:space="preserve">Bulls</t>
  </si>
  <si>
    <t xml:space="preserve">-40.0865135</t>
  </si>
  <si>
    <t xml:space="preserve">175.389476599999</t>
  </si>
  <si>
    <t xml:space="preserve">_CLOSED_Depot_T_Methven (Excell)</t>
  </si>
  <si>
    <t xml:space="preserve">L9.DNZJ.55643</t>
  </si>
  <si>
    <t xml:space="preserve">5042</t>
  </si>
  <si>
    <t xml:space="preserve">62 Racecourse Avenue</t>
  </si>
  <si>
    <t xml:space="preserve">Methven</t>
  </si>
  <si>
    <t xml:space="preserve">-43.6259763</t>
  </si>
  <si>
    <t xml:space="preserve">171.6403076</t>
  </si>
  <si>
    <t xml:space="preserve">_CLOSED_Depot_T_Nelson</t>
  </si>
  <si>
    <t xml:space="preserve">L9.DNZJ.55610</t>
  </si>
  <si>
    <t xml:space="preserve">5043</t>
  </si>
  <si>
    <t xml:space="preserve">4/750 Lower Queen St</t>
  </si>
  <si>
    <t xml:space="preserve">Richmond</t>
  </si>
  <si>
    <t xml:space="preserve">Nelson</t>
  </si>
  <si>
    <t xml:space="preserve">9412</t>
  </si>
  <si>
    <t xml:space="preserve">Mapua</t>
  </si>
  <si>
    <t xml:space="preserve">-41.307521</t>
  </si>
  <si>
    <t xml:space="preserve">173.152852</t>
  </si>
  <si>
    <t xml:space="preserve">_CLOSED_Depot_T_New Plymouth</t>
  </si>
  <si>
    <t xml:space="preserve">L9.DNZJ.55572</t>
  </si>
  <si>
    <t xml:space="preserve">5044</t>
  </si>
  <si>
    <t xml:space="preserve">3600</t>
  </si>
  <si>
    <t xml:space="preserve">_CLOSED_Depot_T_Oamaru</t>
  </si>
  <si>
    <t xml:space="preserve">L9.DNZJ.55684</t>
  </si>
  <si>
    <t xml:space="preserve">5289</t>
  </si>
  <si>
    <t xml:space="preserve">Support Services for TS - New facilities established in FY19</t>
  </si>
  <si>
    <t xml:space="preserve">_CLOSED_Depot_T_Omarama (Excell)</t>
  </si>
  <si>
    <t xml:space="preserve">5045</t>
  </si>
  <si>
    <t xml:space="preserve">57 Chain Hills Highway</t>
  </si>
  <si>
    <t xml:space="preserve">Omarama</t>
  </si>
  <si>
    <t xml:space="preserve">9431</t>
  </si>
  <si>
    <t xml:space="preserve">-44.4897342999999</t>
  </si>
  <si>
    <t xml:space="preserve">169.971264199999</t>
  </si>
  <si>
    <t xml:space="preserve">_CLOSED_Depot_T_Paeroa</t>
  </si>
  <si>
    <t xml:space="preserve">L9.DNZJ.55552</t>
  </si>
  <si>
    <t xml:space="preserve">5046</t>
  </si>
  <si>
    <t xml:space="preserve">1-11 Grey Street</t>
  </si>
  <si>
    <t xml:space="preserve">Paeroa</t>
  </si>
  <si>
    <t xml:space="preserve">4478</t>
  </si>
  <si>
    <t xml:space="preserve">-37.3746564</t>
  </si>
  <si>
    <t xml:space="preserve">175.662224299999</t>
  </si>
  <si>
    <t xml:space="preserve">_CLOSED_Depot_T_Palmerston</t>
  </si>
  <si>
    <t xml:space="preserve">L9.DNZJ.55550</t>
  </si>
  <si>
    <t xml:space="preserve">5047</t>
  </si>
  <si>
    <t xml:space="preserve">1192 Goodwood Road</t>
  </si>
  <si>
    <t xml:space="preserve">Palmerston</t>
  </si>
  <si>
    <t xml:space="preserve">Karitane</t>
  </si>
  <si>
    <t xml:space="preserve">-45.4889187</t>
  </si>
  <si>
    <t xml:space="preserve">170.7152249</t>
  </si>
  <si>
    <t xml:space="preserve">_CLOSED_Depot_T_Palmerston North</t>
  </si>
  <si>
    <t xml:space="preserve">L9.DNZJ.55590</t>
  </si>
  <si>
    <t xml:space="preserve">5048</t>
  </si>
  <si>
    <t xml:space="preserve">5 Valor Drive</t>
  </si>
  <si>
    <t xml:space="preserve">Palmerston North</t>
  </si>
  <si>
    <t xml:space="preserve">7220</t>
  </si>
  <si>
    <t xml:space="preserve">-40.3161135</t>
  </si>
  <si>
    <t xml:space="preserve">175.6247591</t>
  </si>
  <si>
    <t xml:space="preserve">_CLOSED_Depot_T_Penrose</t>
  </si>
  <si>
    <t xml:space="preserve">L9.DNZJ.55530</t>
  </si>
  <si>
    <t xml:space="preserve">5049</t>
  </si>
  <si>
    <t xml:space="preserve">9371</t>
  </si>
  <si>
    <t xml:space="preserve">_CLOSED_Depot_T_Picton</t>
  </si>
  <si>
    <t xml:space="preserve">L9.DNZJ.55628</t>
  </si>
  <si>
    <t xml:space="preserve">5050</t>
  </si>
  <si>
    <t xml:space="preserve">18 Devon Street</t>
  </si>
  <si>
    <t xml:space="preserve">Picton</t>
  </si>
  <si>
    <t xml:space="preserve">4632</t>
  </si>
  <si>
    <t xml:space="preserve">-41.2924894</t>
  </si>
  <si>
    <t xml:space="preserve">174.003523099999</t>
  </si>
  <si>
    <t xml:space="preserve">_CLOSED_Depot_T_Queenstown</t>
  </si>
  <si>
    <t xml:space="preserve">L9.DNZJ.55680</t>
  </si>
  <si>
    <t xml:space="preserve">5051</t>
  </si>
  <si>
    <t xml:space="preserve">7 Jock Boyd Place, Frankton</t>
  </si>
  <si>
    <t xml:space="preserve">Queenstown</t>
  </si>
  <si>
    <t xml:space="preserve">7471</t>
  </si>
  <si>
    <t xml:space="preserve">-45.0060231</t>
  </si>
  <si>
    <t xml:space="preserve">168.7504003</t>
  </si>
  <si>
    <t xml:space="preserve">_CLOSED_Depot_T_Raetihi</t>
  </si>
  <si>
    <t xml:space="preserve">L9.DNZJ.55560</t>
  </si>
  <si>
    <t xml:space="preserve">5052</t>
  </si>
  <si>
    <t xml:space="preserve">1 George Street</t>
  </si>
  <si>
    <t xml:space="preserve">Raetihi</t>
  </si>
  <si>
    <t xml:space="preserve">4332</t>
  </si>
  <si>
    <t xml:space="preserve">Waiouru</t>
  </si>
  <si>
    <t xml:space="preserve">-39.4325065</t>
  </si>
  <si>
    <t xml:space="preserve">175.281656699999</t>
  </si>
  <si>
    <t xml:space="preserve">_CLOSED_Depot_T_Rangiora (Excell)</t>
  </si>
  <si>
    <t xml:space="preserve">L9.DNZJ.552156</t>
  </si>
  <si>
    <t xml:space="preserve">5053</t>
  </si>
  <si>
    <t xml:space="preserve">400 Oxford Road, Fernside</t>
  </si>
  <si>
    <t xml:space="preserve">Rangiora</t>
  </si>
  <si>
    <t xml:space="preserve">4972</t>
  </si>
  <si>
    <t xml:space="preserve">Woodend</t>
  </si>
  <si>
    <t xml:space="preserve">-43.310491</t>
  </si>
  <si>
    <t xml:space="preserve">172.531712</t>
  </si>
  <si>
    <t xml:space="preserve">_CLOSED_Depot_T_Stratford</t>
  </si>
  <si>
    <t xml:space="preserve">L9.DNZJ.55574</t>
  </si>
  <si>
    <t xml:space="preserve">5054</t>
  </si>
  <si>
    <t xml:space="preserve">134-136 Orlando Street</t>
  </si>
  <si>
    <t xml:space="preserve">Stratford</t>
  </si>
  <si>
    <t xml:space="preserve">3920</t>
  </si>
  <si>
    <t xml:space="preserve">Eltham</t>
  </si>
  <si>
    <t xml:space="preserve">-39.3492798</t>
  </si>
  <si>
    <t xml:space="preserve">174.2919713</t>
  </si>
  <si>
    <t xml:space="preserve">_CLOSED_Depot_T_Tararua</t>
  </si>
  <si>
    <t xml:space="preserve">L9.DNZJ.55755</t>
  </si>
  <si>
    <t xml:space="preserve">9 Oringi Rd</t>
  </si>
  <si>
    <t xml:space="preserve">Dannevirke, Tararua</t>
  </si>
  <si>
    <t xml:space="preserve">3330</t>
  </si>
  <si>
    <t xml:space="preserve">-40.2631851</t>
  </si>
  <si>
    <t xml:space="preserve">176.0311314</t>
  </si>
  <si>
    <t xml:space="preserve">_CLOSED_Depot_T_Taumarunui</t>
  </si>
  <si>
    <t xml:space="preserve">L9.DNZJ.55563</t>
  </si>
  <si>
    <t xml:space="preserve">5056</t>
  </si>
  <si>
    <t xml:space="preserve">58 Kururau Road</t>
  </si>
  <si>
    <t xml:space="preserve">Taumarunui</t>
  </si>
  <si>
    <t xml:space="preserve">-38.8897055</t>
  </si>
  <si>
    <t xml:space="preserve">175.246212499999</t>
  </si>
  <si>
    <t xml:space="preserve">_CLOSED_Depot_T_Taupo</t>
  </si>
  <si>
    <t xml:space="preserve">L9.DNZJ.55564</t>
  </si>
  <si>
    <t xml:space="preserve">5057</t>
  </si>
  <si>
    <t xml:space="preserve">11 Ashwood Avenue, Tuahara</t>
  </si>
  <si>
    <t xml:space="preserve">Taupo</t>
  </si>
  <si>
    <t xml:space="preserve">3171</t>
  </si>
  <si>
    <t xml:space="preserve">-38.6950471</t>
  </si>
  <si>
    <t xml:space="preserve">176.1095006</t>
  </si>
  <si>
    <t xml:space="preserve">_CLOSED_Depot_T_Taupo (Mahoe St)</t>
  </si>
  <si>
    <t xml:space="preserve">L9.DNZJ.55615</t>
  </si>
  <si>
    <t xml:space="preserve">5058</t>
  </si>
  <si>
    <t xml:space="preserve">9/13 Mahoe Street, Tuahara</t>
  </si>
  <si>
    <t xml:space="preserve">9600</t>
  </si>
  <si>
    <t xml:space="preserve">-38.6920363</t>
  </si>
  <si>
    <t xml:space="preserve">176.106111599999</t>
  </si>
  <si>
    <t xml:space="preserve">_CLOSED_Depot_T_Tauranga</t>
  </si>
  <si>
    <t xml:space="preserve">L9.DNZJ.55553</t>
  </si>
  <si>
    <t xml:space="preserve">5059</t>
  </si>
  <si>
    <t xml:space="preserve">58 Taurikura Drive, Tauriko</t>
  </si>
  <si>
    <t xml:space="preserve">3910</t>
  </si>
  <si>
    <t xml:space="preserve">-37.7421669999999</t>
  </si>
  <si>
    <t xml:space="preserve">176.101698899999</t>
  </si>
  <si>
    <t xml:space="preserve">_CLOSED_Depot_T_Te Anau</t>
  </si>
  <si>
    <t xml:space="preserve">L9.DNZJ.55682</t>
  </si>
  <si>
    <t xml:space="preserve">5060</t>
  </si>
  <si>
    <t xml:space="preserve">29 Caswell Street</t>
  </si>
  <si>
    <t xml:space="preserve">Te Anau</t>
  </si>
  <si>
    <t xml:space="preserve">3500</t>
  </si>
  <si>
    <t xml:space="preserve">-45.4123894</t>
  </si>
  <si>
    <t xml:space="preserve">167.7316005</t>
  </si>
  <si>
    <t xml:space="preserve">_CLOSED_Depot_T_Te Kuiti</t>
  </si>
  <si>
    <t xml:space="preserve">L9.DNZJ.55566</t>
  </si>
  <si>
    <t xml:space="preserve">5061</t>
  </si>
  <si>
    <t xml:space="preserve">15 Waitete Road</t>
  </si>
  <si>
    <t xml:space="preserve">Te Kuiti</t>
  </si>
  <si>
    <t xml:space="preserve">7910</t>
  </si>
  <si>
    <t xml:space="preserve">-38.3395073</t>
  </si>
  <si>
    <t xml:space="preserve">175.172280799999</t>
  </si>
  <si>
    <t xml:space="preserve">_CLOSED_Depot_T_Thames</t>
  </si>
  <si>
    <t xml:space="preserve">L9.DNZJ.55556</t>
  </si>
  <si>
    <t xml:space="preserve">5062</t>
  </si>
  <si>
    <t xml:space="preserve">1100 Queen Street</t>
  </si>
  <si>
    <t xml:space="preserve">Thames</t>
  </si>
  <si>
    <t xml:space="preserve">3410</t>
  </si>
  <si>
    <t xml:space="preserve">-37.1281512</t>
  </si>
  <si>
    <t xml:space="preserve">175.535356099999</t>
  </si>
  <si>
    <t xml:space="preserve">2017/09/30</t>
  </si>
  <si>
    <t xml:space="preserve">_CLOSED_Depot_T_Timaru</t>
  </si>
  <si>
    <t xml:space="preserve">L9.DNZJ.55652</t>
  </si>
  <si>
    <t xml:space="preserve">5063</t>
  </si>
  <si>
    <t xml:space="preserve">86 Meadows Rd, Washdyke</t>
  </si>
  <si>
    <t xml:space="preserve">7901</t>
  </si>
  <si>
    <t xml:space="preserve">-44.3540933</t>
  </si>
  <si>
    <t xml:space="preserve">171.246624699999</t>
  </si>
  <si>
    <t xml:space="preserve">_CLOSED_Depot_T_Tirau</t>
  </si>
  <si>
    <t xml:space="preserve">L9.DNZJ.55568</t>
  </si>
  <si>
    <t xml:space="preserve">5064</t>
  </si>
  <si>
    <t xml:space="preserve">25 Patetere Street</t>
  </si>
  <si>
    <t xml:space="preserve">Tirau</t>
  </si>
  <si>
    <t xml:space="preserve">4108</t>
  </si>
  <si>
    <t xml:space="preserve">-37.974215</t>
  </si>
  <si>
    <t xml:space="preserve">175.758590799999</t>
  </si>
  <si>
    <t xml:space="preserve">_CLOSED_Depot_T_Twizel</t>
  </si>
  <si>
    <t xml:space="preserve">L9.DNZJ.55654</t>
  </si>
  <si>
    <t xml:space="preserve">23 Hooker Crescent</t>
  </si>
  <si>
    <t xml:space="preserve">Twizel</t>
  </si>
  <si>
    <t xml:space="preserve">9494</t>
  </si>
  <si>
    <t xml:space="preserve">-44.2655651</t>
  </si>
  <si>
    <t xml:space="preserve">170.089578399999</t>
  </si>
  <si>
    <t xml:space="preserve">_CLOSED_Depot_T_Util_Depot_Henderson</t>
  </si>
  <si>
    <t xml:space="preserve">L9.DNZJ.55528</t>
  </si>
  <si>
    <t xml:space="preserve">5165</t>
  </si>
  <si>
    <t xml:space="preserve">Support Services for Utilities Water Business - New facilities established for more granular reporting and to reflect new structure for FY17. See facility named "NZ-Infrastructure Services" for historical data.</t>
  </si>
  <si>
    <t xml:space="preserve">9 Rabone Street, Henderson</t>
  </si>
  <si>
    <t xml:space="preserve">Waitakere</t>
  </si>
  <si>
    <t xml:space="preserve">-36.8879465</t>
  </si>
  <si>
    <t xml:space="preserve">174.6303298</t>
  </si>
  <si>
    <t xml:space="preserve">_CLOSED_Depot_T_Util_Water_Albany</t>
  </si>
  <si>
    <t xml:space="preserve">L9.DNZJ.55535</t>
  </si>
  <si>
    <t xml:space="preserve">5166</t>
  </si>
  <si>
    <t xml:space="preserve">8 Furnace Place, Silverdale</t>
  </si>
  <si>
    <t xml:space="preserve">1640</t>
  </si>
  <si>
    <t xml:space="preserve">Whenuapai</t>
  </si>
  <si>
    <t xml:space="preserve">-36.6253758</t>
  </si>
  <si>
    <t xml:space="preserve">174.6801863</t>
  </si>
  <si>
    <t xml:space="preserve">_CLOSED_Depot_T_Util_Water_Silverdale</t>
  </si>
  <si>
    <t xml:space="preserve">L9.DNZJ.55522</t>
  </si>
  <si>
    <t xml:space="preserve">5164</t>
  </si>
  <si>
    <t xml:space="preserve">2B William Pickering Dr, Rosedale, Albany</t>
  </si>
  <si>
    <t xml:space="preserve">932</t>
  </si>
  <si>
    <t xml:space="preserve">North Shore</t>
  </si>
  <si>
    <t xml:space="preserve">-36.7539698</t>
  </si>
  <si>
    <t xml:space="preserve">174.706742699999</t>
  </si>
  <si>
    <t xml:space="preserve">_CLOSED_Depot_T_Waipawa</t>
  </si>
  <si>
    <t xml:space="preserve">L9.DNZJ.55583</t>
  </si>
  <si>
    <t xml:space="preserve">5288</t>
  </si>
  <si>
    <t xml:space="preserve">Waipawa</t>
  </si>
  <si>
    <t xml:space="preserve">_CLOSED_Depot_T_Wairoa</t>
  </si>
  <si>
    <t xml:space="preserve">L9.DNZJ.55584</t>
  </si>
  <si>
    <t xml:space="preserve">5066</t>
  </si>
  <si>
    <t xml:space="preserve">15-19 Airport Road</t>
  </si>
  <si>
    <t xml:space="preserve">Wairoa</t>
  </si>
  <si>
    <t xml:space="preserve">Hawke's Bay</t>
  </si>
  <si>
    <t xml:space="preserve">871</t>
  </si>
  <si>
    <t xml:space="preserve">-39.0219911</t>
  </si>
  <si>
    <t xml:space="preserve">177.4075749</t>
  </si>
  <si>
    <t xml:space="preserve">_CLOSED_Depot_T_Waitaki (OSM)</t>
  </si>
  <si>
    <t xml:space="preserve">L9.DNZJ.55613</t>
  </si>
  <si>
    <t xml:space="preserve">5067</t>
  </si>
  <si>
    <t xml:space="preserve">_CLOSED_Depot_T_Waitoki</t>
  </si>
  <si>
    <t xml:space="preserve">L9.DNZJ.55524</t>
  </si>
  <si>
    <t xml:space="preserve">5068</t>
  </si>
  <si>
    <t xml:space="preserve">543 Waitoki Road, Wainui</t>
  </si>
  <si>
    <t xml:space="preserve">Parakai</t>
  </si>
  <si>
    <t xml:space="preserve">-36.6022353</t>
  </si>
  <si>
    <t xml:space="preserve">174.591959699999</t>
  </si>
  <si>
    <t xml:space="preserve">_CLOSED_Depot_T_Wanganui</t>
  </si>
  <si>
    <t xml:space="preserve">L9.DNZJ.55596</t>
  </si>
  <si>
    <t xml:space="preserve">5069</t>
  </si>
  <si>
    <t xml:space="preserve">501 Heads Rd, Castlecliff</t>
  </si>
  <si>
    <t xml:space="preserve">Wanganui</t>
  </si>
  <si>
    <t xml:space="preserve">-39.9436207999999</t>
  </si>
  <si>
    <t xml:space="preserve">174.9952482</t>
  </si>
  <si>
    <t xml:space="preserve">_CLOSED_Depot_T_Wellington</t>
  </si>
  <si>
    <t xml:space="preserve">L9.DNZJ.55602</t>
  </si>
  <si>
    <t xml:space="preserve">5070</t>
  </si>
  <si>
    <t xml:space="preserve">14-16 Makaro Street</t>
  </si>
  <si>
    <t xml:space="preserve">Porirua</t>
  </si>
  <si>
    <t xml:space="preserve">110</t>
  </si>
  <si>
    <t xml:space="preserve">-41.1375906</t>
  </si>
  <si>
    <t xml:space="preserve">174.831221499999</t>
  </si>
  <si>
    <t xml:space="preserve">_CLOSED_Depot_T_Whangarei</t>
  </si>
  <si>
    <t xml:space="preserve">L9.DNZJ.55510</t>
  </si>
  <si>
    <t xml:space="preserve">5072</t>
  </si>
  <si>
    <t xml:space="preserve">120-122 Port Road</t>
  </si>
  <si>
    <t xml:space="preserve">_CLOSED_Depot_U_P&amp;G_Elec_Masterton</t>
  </si>
  <si>
    <t xml:space="preserve">L9.DNZJ.561470</t>
  </si>
  <si>
    <t xml:space="preserve">Support Services for Utilities P&amp;G Business - New facilities established for more granular reporting and to reflect new structure for FY17. See facility named "NZ-Technology Solutions &amp; Corporate Services" for historical data.</t>
  </si>
  <si>
    <t xml:space="preserve">73 Ngamutawa Road</t>
  </si>
  <si>
    <t xml:space="preserve">Masterton</t>
  </si>
  <si>
    <t xml:space="preserve">632</t>
  </si>
  <si>
    <t xml:space="preserve">-40.9420431</t>
  </si>
  <si>
    <t xml:space="preserve">175.6446206</t>
  </si>
  <si>
    <t xml:space="preserve">_CLOSED_Depot_U_P&amp;G_Elec_Matamata</t>
  </si>
  <si>
    <t xml:space="preserve">L9.DUN.60124</t>
  </si>
  <si>
    <t xml:space="preserve">5157</t>
  </si>
  <si>
    <t xml:space="preserve">58 Firth Street</t>
  </si>
  <si>
    <t xml:space="preserve">Matamata</t>
  </si>
  <si>
    <t xml:space="preserve">-37.8100685</t>
  </si>
  <si>
    <t xml:space="preserve">175.7708414</t>
  </si>
  <si>
    <t xml:space="preserve">_CLOSED_Depot_U_P&amp;G_Elec_New Plymouth</t>
  </si>
  <si>
    <t xml:space="preserve">L9.DUN.60210</t>
  </si>
  <si>
    <t xml:space="preserve">5158</t>
  </si>
  <si>
    <t xml:space="preserve">31-39 Junction Street</t>
  </si>
  <si>
    <t xml:space="preserve">4414</t>
  </si>
  <si>
    <t xml:space="preserve">-39.0773647</t>
  </si>
  <si>
    <t xml:space="preserve">174.097395499999</t>
  </si>
  <si>
    <t xml:space="preserve">_CLOSED_Depot_U_P&amp;G_Elec_Paeroa</t>
  </si>
  <si>
    <t xml:space="preserve">1 Coronation Street</t>
  </si>
  <si>
    <t xml:space="preserve">3440</t>
  </si>
  <si>
    <t xml:space="preserve">-37.3697971</t>
  </si>
  <si>
    <t xml:space="preserve">175.6657172</t>
  </si>
  <si>
    <t xml:space="preserve">_CLOSED_Depot_U_P&amp;G_Elec_Pahiatua</t>
  </si>
  <si>
    <t xml:space="preserve">17-19 Mangahao Rd, Pahiatua</t>
  </si>
  <si>
    <t xml:space="preserve">Tararua</t>
  </si>
  <si>
    <t xml:space="preserve">4795</t>
  </si>
  <si>
    <t xml:space="preserve">-40.4524684</t>
  </si>
  <si>
    <t xml:space="preserve">175.8385359</t>
  </si>
  <si>
    <t xml:space="preserve">_CLOSED_Depot_U_P&amp;G_Elec_Palmerston North</t>
  </si>
  <si>
    <t xml:space="preserve">L9.DUN.60230</t>
  </si>
  <si>
    <t xml:space="preserve">5160</t>
  </si>
  <si>
    <t xml:space="preserve">50-62 Mihaere Drive</t>
  </si>
  <si>
    <t xml:space="preserve">5810</t>
  </si>
  <si>
    <t xml:space="preserve">-40.334541</t>
  </si>
  <si>
    <t xml:space="preserve">175.6449</t>
  </si>
  <si>
    <t xml:space="preserve">_CLOSED_Depot_U_P&amp;G_Elec_Taihape-Raetihi</t>
  </si>
  <si>
    <t xml:space="preserve">L9.DUN.60224</t>
  </si>
  <si>
    <t xml:space="preserve">5163</t>
  </si>
  <si>
    <t xml:space="preserve">5131 Abattoir Road</t>
  </si>
  <si>
    <t xml:space="preserve">Taihape</t>
  </si>
  <si>
    <t xml:space="preserve">612</t>
  </si>
  <si>
    <t xml:space="preserve">-39.659501</t>
  </si>
  <si>
    <t xml:space="preserve">175.783091</t>
  </si>
  <si>
    <t xml:space="preserve">_CLOSED_Depot_U_P&amp;G_Elec_Tauranga</t>
  </si>
  <si>
    <t xml:space="preserve">126 Aerodrome Road, Mt Maunganui</t>
  </si>
  <si>
    <t xml:space="preserve">3506</t>
  </si>
  <si>
    <t xml:space="preserve">-37.6694831</t>
  </si>
  <si>
    <t xml:space="preserve">176.2022421</t>
  </si>
  <si>
    <t xml:space="preserve">_CLOSED_Depot_U_P&amp;G_Elec_Wanganui</t>
  </si>
  <si>
    <t xml:space="preserve">34 Bedford Avenue, Gonville</t>
  </si>
  <si>
    <t xml:space="preserve">4910</t>
  </si>
  <si>
    <t xml:space="preserve">-39.9472333</t>
  </si>
  <si>
    <t xml:space="preserve">175.036765999999</t>
  </si>
  <si>
    <t xml:space="preserve">_CLOSED_Depot_U_P&amp;G_Gas_Lower Hutt</t>
  </si>
  <si>
    <t xml:space="preserve">101 Port Ave, Seaview</t>
  </si>
  <si>
    <t xml:space="preserve">-41.2320491</t>
  </si>
  <si>
    <t xml:space="preserve">174.9143794</t>
  </si>
  <si>
    <t xml:space="preserve">_CLOSED_Depot_U_Shands-Rd</t>
  </si>
  <si>
    <t xml:space="preserve">L9.DNZJ.564416</t>
  </si>
  <si>
    <t xml:space="preserve">5126</t>
  </si>
  <si>
    <t xml:space="preserve">Support Services for Utilities Business - New facilities established for more granular reporting and to reflect new structure for FY17. See facility named "NZ-Technology Solutions &amp; Corporate Services" for historical data.</t>
  </si>
  <si>
    <t xml:space="preserve">55 Shands Rd, Hornby</t>
  </si>
  <si>
    <t xml:space="preserve">8042</t>
  </si>
  <si>
    <t xml:space="preserve">-43.547387</t>
  </si>
  <si>
    <t xml:space="preserve">172.52175</t>
  </si>
  <si>
    <t xml:space="preserve">_CLOSED_Depot_U_Util_UFB</t>
  </si>
  <si>
    <t xml:space="preserve">L9.DNZJ.561671</t>
  </si>
  <si>
    <t xml:space="preserve">14 John Seddon Drive</t>
  </si>
  <si>
    <t xml:space="preserve">-41.136853</t>
  </si>
  <si>
    <t xml:space="preserve">174.834395</t>
  </si>
  <si>
    <t xml:space="preserve">_CLOSED_Derby Depot &amp; Admin Office (DMJV)</t>
  </si>
  <si>
    <t xml:space="preserve">156</t>
  </si>
  <si>
    <t xml:space="preserve">Kimberley ISA Admin Office Depot</t>
  </si>
  <si>
    <t xml:space="preserve">20 Wodehouse St</t>
  </si>
  <si>
    <t xml:space="preserve">Derby</t>
  </si>
  <si>
    <t xml:space="preserve">6728</t>
  </si>
  <si>
    <t xml:space="preserve">-17.312</t>
  </si>
  <si>
    <t xml:space="preserve">123.648</t>
  </si>
  <si>
    <t xml:space="preserve">_CLOSED_DI-East Perth Office</t>
  </si>
  <si>
    <t xml:space="preserve">L9.J.300005</t>
  </si>
  <si>
    <t xml:space="preserve">2006</t>
  </si>
  <si>
    <t xml:space="preserve">360</t>
  </si>
  <si>
    <t xml:space="preserve">Site previously reported as DI-West Perth Office -renamed to DI-East Perth office when moved to EC&amp;M for FY16. New Office - May 2013</t>
  </si>
  <si>
    <t xml:space="preserve">Level 3, 181 Adelaide Terrace</t>
  </si>
  <si>
    <t xml:space="preserve">East Perth</t>
  </si>
  <si>
    <t xml:space="preserve">6004</t>
  </si>
  <si>
    <t xml:space="preserve">-31.959793</t>
  </si>
  <si>
    <t xml:space="preserve">115.870454</t>
  </si>
  <si>
    <t xml:space="preserve">_CLOSED_DNZ - Transport</t>
  </si>
  <si>
    <t xml:space="preserve">DNZT</t>
  </si>
  <si>
    <t xml:space="preserve">_CLOSED_DO_Ararat</t>
  </si>
  <si>
    <t xml:space="preserve">L9.J.24170006</t>
  </si>
  <si>
    <t xml:space="preserve">100</t>
  </si>
  <si>
    <t xml:space="preserve">Lot 5, McGibbony St</t>
  </si>
  <si>
    <t xml:space="preserve">Ararat</t>
  </si>
  <si>
    <t xml:space="preserve">3377</t>
  </si>
  <si>
    <t xml:space="preserve">-37.285735</t>
  </si>
  <si>
    <t xml:space="preserve">142.929087</t>
  </si>
  <si>
    <t xml:space="preserve">_CLOSED_DO_Bairnsdale</t>
  </si>
  <si>
    <t xml:space="preserve">901</t>
  </si>
  <si>
    <t xml:space="preserve">_CLOSED_DO_Ballarat</t>
  </si>
  <si>
    <t xml:space="preserve">L9.J.24170003</t>
  </si>
  <si>
    <t xml:space="preserve">850</t>
  </si>
  <si>
    <t xml:space="preserve">352 Dowling St</t>
  </si>
  <si>
    <t xml:space="preserve">Wendouree</t>
  </si>
  <si>
    <t xml:space="preserve">3350</t>
  </si>
  <si>
    <t xml:space="preserve">-37.503326</t>
  </si>
  <si>
    <t xml:space="preserve">143.761404</t>
  </si>
  <si>
    <t xml:space="preserve">_CLOSED_DO_Beaconsfield</t>
  </si>
  <si>
    <t xml:space="preserve">875</t>
  </si>
  <si>
    <t xml:space="preserve">8 Beaconsfield Ave</t>
  </si>
  <si>
    <t xml:space="preserve">Beaconsfield</t>
  </si>
  <si>
    <t xml:space="preserve">3807</t>
  </si>
  <si>
    <t xml:space="preserve">-38.051454</t>
  </si>
  <si>
    <t xml:space="preserve">145.370944</t>
  </si>
  <si>
    <t xml:space="preserve">_CLOSED_DO_Bendigo</t>
  </si>
  <si>
    <t xml:space="preserve">L9.J.24170002</t>
  </si>
  <si>
    <t xml:space="preserve">855</t>
  </si>
  <si>
    <t xml:space="preserve">116 Holmes St</t>
  </si>
  <si>
    <t xml:space="preserve">Bendigo</t>
  </si>
  <si>
    <t xml:space="preserve">3550</t>
  </si>
  <si>
    <t xml:space="preserve">-36.733797</t>
  </si>
  <si>
    <t xml:space="preserve">144.265742</t>
  </si>
  <si>
    <t xml:space="preserve">_CLOSED_DO_Colac</t>
  </si>
  <si>
    <t xml:space="preserve">L9.J.24170005</t>
  </si>
  <si>
    <t xml:space="preserve">210</t>
  </si>
  <si>
    <t xml:space="preserve">49a Rossmoyne Rd</t>
  </si>
  <si>
    <t xml:space="preserve">Colac</t>
  </si>
  <si>
    <t xml:space="preserve">3250</t>
  </si>
  <si>
    <t xml:space="preserve">-38.331149</t>
  </si>
  <si>
    <t xml:space="preserve">143.549348</t>
  </si>
  <si>
    <t xml:space="preserve">_CLOSED_DO_Coromandel</t>
  </si>
  <si>
    <t xml:space="preserve">825</t>
  </si>
  <si>
    <t xml:space="preserve">710 Wharf Rd</t>
  </si>
  <si>
    <t xml:space="preserve">Coromandel</t>
  </si>
  <si>
    <t xml:space="preserve">-36.76194</t>
  </si>
  <si>
    <t xml:space="preserve">175.489745</t>
  </si>
  <si>
    <t xml:space="preserve">_CLOSED_DO_Dalby Central</t>
  </si>
  <si>
    <t xml:space="preserve">216</t>
  </si>
  <si>
    <t xml:space="preserve">_CLOSED_DO_Dandenong</t>
  </si>
  <si>
    <t xml:space="preserve">217</t>
  </si>
  <si>
    <t xml:space="preserve">33-37  Fowler Rd</t>
  </si>
  <si>
    <t xml:space="preserve">_CLOSED_DO_Geelong</t>
  </si>
  <si>
    <t xml:space="preserve">860</t>
  </si>
  <si>
    <t xml:space="preserve">21 Leather St</t>
  </si>
  <si>
    <t xml:space="preserve">Breakwater</t>
  </si>
  <si>
    <t xml:space="preserve">3219</t>
  </si>
  <si>
    <t xml:space="preserve">-38.185409</t>
  </si>
  <si>
    <t xml:space="preserve">144.369278</t>
  </si>
  <si>
    <t xml:space="preserve">_CLOSED_DO_Hamilton</t>
  </si>
  <si>
    <t xml:space="preserve">245</t>
  </si>
  <si>
    <t xml:space="preserve">2 Craig St</t>
  </si>
  <si>
    <t xml:space="preserve">3300</t>
  </si>
  <si>
    <t xml:space="preserve">-37.749486</t>
  </si>
  <si>
    <t xml:space="preserve">142.026106</t>
  </si>
  <si>
    <t xml:space="preserve">_CLOSED_DO_Kapuni</t>
  </si>
  <si>
    <t xml:space="preserve">800</t>
  </si>
  <si>
    <t xml:space="preserve">Palmer Rd</t>
  </si>
  <si>
    <t xml:space="preserve">Kapuni</t>
  </si>
  <si>
    <t xml:space="preserve">4678</t>
  </si>
  <si>
    <t xml:space="preserve">-39.469711</t>
  </si>
  <si>
    <t xml:space="preserve">174.171946</t>
  </si>
  <si>
    <t xml:space="preserve">_CLOSED_DO_Keysborough</t>
  </si>
  <si>
    <t xml:space="preserve">2028</t>
  </si>
  <si>
    <t xml:space="preserve">_CLOSED_DO_Kopu</t>
  </si>
  <si>
    <t xml:space="preserve">L9.DNZJ.410062</t>
  </si>
  <si>
    <t xml:space="preserve">280</t>
  </si>
  <si>
    <t xml:space="preserve">28 Kopu Road</t>
  </si>
  <si>
    <t xml:space="preserve">3578</t>
  </si>
  <si>
    <t xml:space="preserve">-37.184693</t>
  </si>
  <si>
    <t xml:space="preserve">175.567178</t>
  </si>
  <si>
    <t xml:space="preserve">_CLOSED_DO_Korumburra</t>
  </si>
  <si>
    <t xml:space="preserve">L9.J.17031430</t>
  </si>
  <si>
    <t xml:space="preserve">900</t>
  </si>
  <si>
    <t xml:space="preserve">4 Sanders St</t>
  </si>
  <si>
    <t xml:space="preserve">Korumburra</t>
  </si>
  <si>
    <t xml:space="preserve">3950</t>
  </si>
  <si>
    <t xml:space="preserve">_CLOSED_DO_Laverton Operations</t>
  </si>
  <si>
    <t xml:space="preserve">845</t>
  </si>
  <si>
    <t xml:space="preserve">3/50 Cyanamid St</t>
  </si>
  <si>
    <t xml:space="preserve">Laverton North</t>
  </si>
  <si>
    <t xml:space="preserve">3026</t>
  </si>
  <si>
    <t xml:space="preserve">-37.8317</t>
  </si>
  <si>
    <t xml:space="preserve">144.796543</t>
  </si>
  <si>
    <t xml:space="preserve">_CLOSED_DO_Leongatha</t>
  </si>
  <si>
    <t xml:space="preserve">560</t>
  </si>
  <si>
    <t xml:space="preserve">Associated with SP Aus Net Major ProjectsClosed April 2013</t>
  </si>
  <si>
    <t xml:space="preserve">Lot 3, Curtis Close</t>
  </si>
  <si>
    <t xml:space="preserve">Leongatha</t>
  </si>
  <si>
    <t xml:space="preserve">Vic</t>
  </si>
  <si>
    <t xml:space="preserve">3953</t>
  </si>
  <si>
    <t xml:space="preserve">_CLOSED_DO_Lilydale</t>
  </si>
  <si>
    <t xml:space="preserve">865</t>
  </si>
  <si>
    <t xml:space="preserve">Lot 3, 30 Melba Ave</t>
  </si>
  <si>
    <t xml:space="preserve">Lilydale</t>
  </si>
  <si>
    <t xml:space="preserve">3140</t>
  </si>
  <si>
    <t xml:space="preserve">-37.763472</t>
  </si>
  <si>
    <t xml:space="preserve">145.345001</t>
  </si>
  <si>
    <t xml:space="preserve">_CLOSED_DO_Lower Hutt</t>
  </si>
  <si>
    <t xml:space="preserve">Unit 1/21 Bell South Rd</t>
  </si>
  <si>
    <t xml:space="preserve">Seaview, Lower Hutt</t>
  </si>
  <si>
    <t xml:space="preserve">-41.235769</t>
  </si>
  <si>
    <t xml:space="preserve">174.914972</t>
  </si>
  <si>
    <t xml:space="preserve">2017/07/30</t>
  </si>
  <si>
    <t xml:space="preserve">_CLOSED_DO_Maryborough</t>
  </si>
  <si>
    <t xml:space="preserve">340</t>
  </si>
  <si>
    <t xml:space="preserve">Shed 2, 8 Phillip Court</t>
  </si>
  <si>
    <t xml:space="preserve">Maryborough</t>
  </si>
  <si>
    <t xml:space="preserve">4650</t>
  </si>
  <si>
    <t xml:space="preserve">-25.485663</t>
  </si>
  <si>
    <t xml:space="preserve">152.71069</t>
  </si>
  <si>
    <t xml:space="preserve">_CLOSED_DO_Masterton</t>
  </si>
  <si>
    <t xml:space="preserve">345</t>
  </si>
  <si>
    <t xml:space="preserve">73-77 Ngaumutawa Rd</t>
  </si>
  <si>
    <t xml:space="preserve">5901</t>
  </si>
  <si>
    <t xml:space="preserve">-40.943602</t>
  </si>
  <si>
    <t xml:space="preserve">175.646131</t>
  </si>
  <si>
    <t xml:space="preserve">_CLOSED_DO_Mornington</t>
  </si>
  <si>
    <t xml:space="preserve">2029</t>
  </si>
  <si>
    <t xml:space="preserve">_CLOSED_DO_Morwell</t>
  </si>
  <si>
    <t xml:space="preserve">890</t>
  </si>
  <si>
    <t xml:space="preserve">Associated with SP AusNet contract</t>
  </si>
  <si>
    <t xml:space="preserve">70-72 Centre Road</t>
  </si>
  <si>
    <t xml:space="preserve">Morwell</t>
  </si>
  <si>
    <t xml:space="preserve">3840</t>
  </si>
  <si>
    <t xml:space="preserve">_CLOSED_DO_Neerabup</t>
  </si>
  <si>
    <t xml:space="preserve">892</t>
  </si>
  <si>
    <t xml:space="preserve">Setup to support Western Power maintenance</t>
  </si>
  <si>
    <t xml:space="preserve">190 Flynn Road</t>
  </si>
  <si>
    <t xml:space="preserve">Neerabup</t>
  </si>
  <si>
    <t xml:space="preserve">6031</t>
  </si>
  <si>
    <t xml:space="preserve">_CLOSED_DO_New Plymouth</t>
  </si>
  <si>
    <t xml:space="preserve">805</t>
  </si>
  <si>
    <t xml:space="preserve">35 Junction Rd</t>
  </si>
  <si>
    <t xml:space="preserve">-39.078059</t>
  </si>
  <si>
    <t xml:space="preserve">174.097059</t>
  </si>
  <si>
    <t xml:space="preserve">_CLOSED_DO_Nimmitabel</t>
  </si>
  <si>
    <t xml:space="preserve">381</t>
  </si>
  <si>
    <t xml:space="preserve">Snowy Mountain Highway</t>
  </si>
  <si>
    <t xml:space="preserve">Nimmitabel</t>
  </si>
  <si>
    <t xml:space="preserve">2631</t>
  </si>
  <si>
    <t xml:space="preserve">                              -36.514691</t>
  </si>
  <si>
    <t xml:space="preserve">                              149.282878</t>
  </si>
  <si>
    <t xml:space="preserve">_CLOSED_DO_Pahiatua</t>
  </si>
  <si>
    <t xml:space="preserve">395</t>
  </si>
  <si>
    <t xml:space="preserve">17-19 Mangahao Rd</t>
  </si>
  <si>
    <t xml:space="preserve">Pahiatua</t>
  </si>
  <si>
    <t xml:space="preserve">-40.452383</t>
  </si>
  <si>
    <t xml:space="preserve">175.838633</t>
  </si>
  <si>
    <t xml:space="preserve">_CLOSED_DO_Palmerston North</t>
  </si>
  <si>
    <t xml:space="preserve">830</t>
  </si>
  <si>
    <t xml:space="preserve">50-62 Mihaere Dr</t>
  </si>
  <si>
    <t xml:space="preserve">-40.334621</t>
  </si>
  <si>
    <t xml:space="preserve">175.645026</t>
  </si>
  <si>
    <t xml:space="preserve">_CLOSED_DO_Portland</t>
  </si>
  <si>
    <t xml:space="preserve">410</t>
  </si>
  <si>
    <t xml:space="preserve">25 Glenelg St</t>
  </si>
  <si>
    <t xml:space="preserve">Portland</t>
  </si>
  <si>
    <t xml:space="preserve">3305</t>
  </si>
  <si>
    <t xml:space="preserve">-38.352931</t>
  </si>
  <si>
    <t xml:space="preserve">141.602826</t>
  </si>
  <si>
    <t xml:space="preserve">_CLOSED_DO_Prahan (Melbourne)</t>
  </si>
  <si>
    <t xml:space="preserve">415</t>
  </si>
  <si>
    <t xml:space="preserve">Was part of Solutions business</t>
  </si>
  <si>
    <t xml:space="preserve">Suite , 107 High Street</t>
  </si>
  <si>
    <t xml:space="preserve">Prahran</t>
  </si>
  <si>
    <t xml:space="preserve">3181</t>
  </si>
  <si>
    <t xml:space="preserve">-37.851308</t>
  </si>
  <si>
    <t xml:space="preserve">144.990443</t>
  </si>
  <si>
    <t xml:space="preserve">_CLOSED_DO_Raetihi</t>
  </si>
  <si>
    <t xml:space="preserve">425</t>
  </si>
  <si>
    <t xml:space="preserve">22 Duncan St</t>
  </si>
  <si>
    <t xml:space="preserve">-39.425671</t>
  </si>
  <si>
    <t xml:space="preserve">175.27667</t>
  </si>
  <si>
    <t xml:space="preserve">_CLOSED_DO_Regency Park (Adelaide)</t>
  </si>
  <si>
    <t xml:space="preserve">430</t>
  </si>
  <si>
    <t xml:space="preserve">24 Taminga St</t>
  </si>
  <si>
    <t xml:space="preserve">-34.860033</t>
  </si>
  <si>
    <t xml:space="preserve">138.572635</t>
  </si>
  <si>
    <t xml:space="preserve">_CLOSED_DO_Roma</t>
  </si>
  <si>
    <t xml:space="preserve">435</t>
  </si>
  <si>
    <t xml:space="preserve">Lot 2, Power Station Road</t>
  </si>
  <si>
    <t xml:space="preserve">Roma</t>
  </si>
  <si>
    <t xml:space="preserve">4455</t>
  </si>
  <si>
    <t xml:space="preserve">-23.5061</t>
  </si>
  <si>
    <t xml:space="preserve">150.35448</t>
  </si>
  <si>
    <t xml:space="preserve">_CLOSED_DO_Singleton</t>
  </si>
  <si>
    <t xml:space="preserve">440</t>
  </si>
  <si>
    <t xml:space="preserve">16 Enterprise Crescent</t>
  </si>
  <si>
    <t xml:space="preserve">Singleton</t>
  </si>
  <si>
    <t xml:space="preserve">-32.548328</t>
  </si>
  <si>
    <t xml:space="preserve">151.14412</t>
  </si>
  <si>
    <t xml:space="preserve">_CLOSED_DO_South Yarra</t>
  </si>
  <si>
    <t xml:space="preserve">446</t>
  </si>
  <si>
    <t xml:space="preserve">35 Claremont St</t>
  </si>
  <si>
    <t xml:space="preserve">South Yarra</t>
  </si>
  <si>
    <t xml:space="preserve">3141</t>
  </si>
  <si>
    <t xml:space="preserve">-37.836804</t>
  </si>
  <si>
    <t xml:space="preserve">144.993723</t>
  </si>
  <si>
    <t xml:space="preserve">_CLOSED_DO_Taihape</t>
  </si>
  <si>
    <t xml:space="preserve">455</t>
  </si>
  <si>
    <t xml:space="preserve">Abbatoir Rd</t>
  </si>
  <si>
    <t xml:space="preserve">4540</t>
  </si>
  <si>
    <t xml:space="preserve">-39.659876</t>
  </si>
  <si>
    <t xml:space="preserve">175.781894</t>
  </si>
  <si>
    <t xml:space="preserve">_CLOSED_DO_Te Aroha</t>
  </si>
  <si>
    <t xml:space="preserve">465</t>
  </si>
  <si>
    <t xml:space="preserve">Lipsey St</t>
  </si>
  <si>
    <t xml:space="preserve">Te Aroha</t>
  </si>
  <si>
    <t xml:space="preserve">3320</t>
  </si>
  <si>
    <t xml:space="preserve">-37.543814</t>
  </si>
  <si>
    <t xml:space="preserve">175.710096</t>
  </si>
  <si>
    <t xml:space="preserve">_CLOSED_DO_Te Maunga</t>
  </si>
  <si>
    <t xml:space="preserve">470</t>
  </si>
  <si>
    <t xml:space="preserve">2 Truman Lane</t>
  </si>
  <si>
    <t xml:space="preserve">Te Maunga, Mt Maunganui</t>
  </si>
  <si>
    <t xml:space="preserve">-37.68787</t>
  </si>
  <si>
    <t xml:space="preserve">176.235793</t>
  </si>
  <si>
    <t xml:space="preserve">_CLOSED_DO_Waihi</t>
  </si>
  <si>
    <t xml:space="preserve">480</t>
  </si>
  <si>
    <t xml:space="preserve">15 Connell St</t>
  </si>
  <si>
    <t xml:space="preserve">Waihi</t>
  </si>
  <si>
    <t xml:space="preserve">3610</t>
  </si>
  <si>
    <t xml:space="preserve">-37.399214</t>
  </si>
  <si>
    <t xml:space="preserve">175.839701</t>
  </si>
  <si>
    <t xml:space="preserve">_CLOSED_DO_Wanganui</t>
  </si>
  <si>
    <t xml:space="preserve">815</t>
  </si>
  <si>
    <t xml:space="preserve">34 Bedford Avenue</t>
  </si>
  <si>
    <t xml:space="preserve">-39.947228</t>
  </si>
  <si>
    <t xml:space="preserve">175.03676</t>
  </si>
  <si>
    <t xml:space="preserve">_CLOSED_DO_Warrnambool</t>
  </si>
  <si>
    <t xml:space="preserve">490</t>
  </si>
  <si>
    <t xml:space="preserve">Merri St</t>
  </si>
  <si>
    <t xml:space="preserve">Warrnambool</t>
  </si>
  <si>
    <t xml:space="preserve">3280</t>
  </si>
  <si>
    <t xml:space="preserve">-38.384547</t>
  </si>
  <si>
    <t xml:space="preserve">142.473375</t>
  </si>
  <si>
    <t xml:space="preserve">_CLOSED_DO_Whitianga</t>
  </si>
  <si>
    <t xml:space="preserve">500</t>
  </si>
  <si>
    <t xml:space="preserve">1 Abrahamson Drive</t>
  </si>
  <si>
    <t xml:space="preserve">Whitianga</t>
  </si>
  <si>
    <t xml:space="preserve">3510</t>
  </si>
  <si>
    <t xml:space="preserve">-36.829934</t>
  </si>
  <si>
    <t xml:space="preserve">175.673152</t>
  </si>
  <si>
    <t xml:space="preserve">_CLOSED_DO_Woodend</t>
  </si>
  <si>
    <t xml:space="preserve">510</t>
  </si>
  <si>
    <t xml:space="preserve">10 Aberdeen Court</t>
  </si>
  <si>
    <t xml:space="preserve">3442</t>
  </si>
  <si>
    <t xml:space="preserve">-37.325823</t>
  </si>
  <si>
    <t xml:space="preserve">144.540617</t>
  </si>
  <si>
    <t xml:space="preserve">_CLOSED_DO_Yatala</t>
  </si>
  <si>
    <t xml:space="preserve">515</t>
  </si>
  <si>
    <t xml:space="preserve">37 Access Avenue</t>
  </si>
  <si>
    <t xml:space="preserve">Yatala</t>
  </si>
  <si>
    <t xml:space="preserve">-27.734763</t>
  </si>
  <si>
    <t xml:space="preserve">153.222971</t>
  </si>
  <si>
    <t xml:space="preserve">_CLOSED_Downer_Waste_Rest_of_ACT</t>
  </si>
  <si>
    <t xml:space="preserve">Canberra</t>
  </si>
  <si>
    <t xml:space="preserve">_CLOSED_Dry Creek - Rail</t>
  </si>
  <si>
    <t xml:space="preserve">L9.J.20043038</t>
  </si>
  <si>
    <t xml:space="preserve">3006</t>
  </si>
  <si>
    <t xml:space="preserve">96</t>
  </si>
  <si>
    <t xml:space="preserve">2/26 Churchill Road North</t>
  </si>
  <si>
    <t xml:space="preserve">Dry Creek</t>
  </si>
  <si>
    <t xml:space="preserve">5094</t>
  </si>
  <si>
    <t xml:space="preserve">-34.825</t>
  </si>
  <si>
    <t xml:space="preserve">138.591</t>
  </si>
  <si>
    <t xml:space="preserve">_CLOSED_Dunedin (133 Main South Rd)</t>
  </si>
  <si>
    <t xml:space="preserve">L9.DNZJ.91353</t>
  </si>
  <si>
    <t xml:space="preserve">91353</t>
  </si>
  <si>
    <t xml:space="preserve">133 Main South Road</t>
  </si>
  <si>
    <t xml:space="preserve">Green Island</t>
  </si>
  <si>
    <t xml:space="preserve">-45.9017</t>
  </si>
  <si>
    <t xml:space="preserve">170.4409</t>
  </si>
  <si>
    <t xml:space="preserve">_CLOSED_EC&amp;M nonOC-unallocated</t>
  </si>
  <si>
    <t xml:space="preserve">2027</t>
  </si>
  <si>
    <t xml:space="preserve">Established to collate nonOC BOC data - to be reassigned</t>
  </si>
  <si>
    <t xml:space="preserve">_CLOSED_Electricity.Glencore.NSW.BulgaTL_Project</t>
  </si>
  <si>
    <t xml:space="preserve">7017</t>
  </si>
  <si>
    <t xml:space="preserve">Broke Road</t>
  </si>
  <si>
    <t xml:space="preserve">Mt Thorley</t>
  </si>
  <si>
    <t xml:space="preserve">-32.691895</t>
  </si>
  <si>
    <t xml:space="preserve">151.099792</t>
  </si>
  <si>
    <t xml:space="preserve">2015/12/31</t>
  </si>
  <si>
    <t xml:space="preserve">_CLOSED_Electricity.Vestas.NSW.TaralgaWF_Project</t>
  </si>
  <si>
    <t xml:space="preserve">26</t>
  </si>
  <si>
    <t xml:space="preserve">Project finished August 2015inspections and works ongoing</t>
  </si>
  <si>
    <t xml:space="preserve">1001 Canyonleigh Rd</t>
  </si>
  <si>
    <t xml:space="preserve">Marulan</t>
  </si>
  <si>
    <t xml:space="preserve">2579</t>
  </si>
  <si>
    <t xml:space="preserve">-34.255632</t>
  </si>
  <si>
    <t xml:space="preserve">149.515543</t>
  </si>
  <si>
    <t xml:space="preserve">_CLOSED_Envar Group - Welshpool</t>
  </si>
  <si>
    <t xml:space="preserve">L9.S.13001078</t>
  </si>
  <si>
    <t xml:space="preserve">9167</t>
  </si>
  <si>
    <t xml:space="preserve">47 Furnace Road
WELSHPOOL  WA  6106</t>
  </si>
  <si>
    <t xml:space="preserve">2023/12/20</t>
  </si>
  <si>
    <t xml:space="preserve">_CLOSED_Eveleigh</t>
  </si>
  <si>
    <t xml:space="preserve">115</t>
  </si>
  <si>
    <t xml:space="preserve">136 Railway Parade, Eveleigh South Yard</t>
  </si>
  <si>
    <t xml:space="preserve">Eveleigh</t>
  </si>
  <si>
    <t xml:space="preserve">2015</t>
  </si>
  <si>
    <t xml:space="preserve">-33.898</t>
  </si>
  <si>
    <t xml:space="preserve">151.187</t>
  </si>
  <si>
    <t xml:space="preserve">_CLOSED_Events - VIC</t>
  </si>
  <si>
    <t xml:space="preserve">9139</t>
  </si>
  <si>
    <t xml:space="preserve">_CLOSED_Eyre Peninsula ECI</t>
  </si>
  <si>
    <t xml:space="preserve">L9.J.3773000158</t>
  </si>
  <si>
    <t xml:space="preserve">IP-3773000158</t>
  </si>
  <si>
    <t xml:space="preserve">2023/12/02</t>
  </si>
  <si>
    <t xml:space="preserve">_CLOSED_F_AE Smith NZ</t>
  </si>
  <si>
    <t xml:space="preserve">L9.S.26017940</t>
  </si>
  <si>
    <t xml:space="preserve">5292</t>
  </si>
  <si>
    <t xml:space="preserve">_CLOSED_F_H&amp;SS_LSE_Eden Park-JV</t>
  </si>
  <si>
    <t xml:space="preserve">5303</t>
  </si>
  <si>
    <t xml:space="preserve">Support services for the Health branch of Hospitatlity and Soft Services - provides catering, cleaning services to various clients across NZ (hospitals)</t>
  </si>
  <si>
    <t xml:space="preserve">_CLOSED_F10448 - North Heatherton Wetland Renewal</t>
  </si>
  <si>
    <t xml:space="preserve">L9.J.241209</t>
  </si>
  <si>
    <t xml:space="preserve">2025/07/04</t>
  </si>
  <si>
    <t xml:space="preserve">_CLOSED_FSU_FM_Small Contracts</t>
  </si>
  <si>
    <t xml:space="preserve">5276</t>
  </si>
  <si>
    <t xml:space="preserve">Support services for Facility Maintenance of various clients - added in FY19 following Spotless integration</t>
  </si>
  <si>
    <t xml:space="preserve">_CLOSED_FY20Rev_Asset &amp; Development Services (SAP)</t>
  </si>
  <si>
    <t xml:space="preserve">_CLOSED_FY20Rev_Blasting</t>
  </si>
  <si>
    <t xml:space="preserve">L9.J.8120002</t>
  </si>
  <si>
    <t xml:space="preserve">_CLOSED_FY20Rev_Commercial Electrical</t>
  </si>
  <si>
    <t xml:space="preserve">_CLOSED_FY20Rev_Corporate</t>
  </si>
  <si>
    <t xml:space="preserve">_CLOSED_FY20Rev_Corporate Office</t>
  </si>
  <si>
    <t xml:space="preserve">L9.J.362020</t>
  </si>
  <si>
    <t xml:space="preserve">_CLOSED_FY20Rev_DMJV (NSW) (252)</t>
  </si>
  <si>
    <t xml:space="preserve">_CLOSED_FY20Rev_DMJV (QLD) (253)</t>
  </si>
  <si>
    <t xml:space="preserve">_CLOSED_FY20Rev_DMJV (WA) (254)</t>
  </si>
  <si>
    <t xml:space="preserve">_CLOSED_FY20Rev_Downer Asset Services</t>
  </si>
  <si>
    <t xml:space="preserve">L9.ENG.360.14125</t>
  </si>
  <si>
    <t xml:space="preserve">_CLOSED_FY20Rev_Downer Defence</t>
  </si>
  <si>
    <t xml:space="preserve">L9.S.16013945</t>
  </si>
  <si>
    <t xml:space="preserve">_CLOSED_FY20Rev_E&amp;C Legacy</t>
  </si>
  <si>
    <t xml:space="preserve">_CLOSED_FY20Rev_EDI Rail PPP Maintenance Pty Ltd (Waratah</t>
  </si>
  <si>
    <t xml:space="preserve">L9.J.706202</t>
  </si>
  <si>
    <t xml:space="preserve">_CLOSED_FY20Rev_EDIR Limited - Millennium (711)</t>
  </si>
  <si>
    <t xml:space="preserve">L9.J.709002</t>
  </si>
  <si>
    <t xml:space="preserve">_CLOSED_FY20Rev_EDIR Limited - Sydney Growth Trains (712)</t>
  </si>
  <si>
    <t xml:space="preserve">L9.MPM.SGT</t>
  </si>
  <si>
    <t xml:space="preserve">_CLOSED_FY20Rev_EDIR Limited (709)</t>
  </si>
  <si>
    <t xml:space="preserve">L9.D.20142004</t>
  </si>
  <si>
    <t xml:space="preserve">_CLOSED_FY20Rev_Government &amp; Citizen Services</t>
  </si>
  <si>
    <t xml:space="preserve">L9.S.13000030</t>
  </si>
  <si>
    <t xml:space="preserve">_CLOSED_FY20Rev_HCMT</t>
  </si>
  <si>
    <t xml:space="preserve">L9.J.712002</t>
  </si>
  <si>
    <t xml:space="preserve">_CLOSED_FY20Rev_Health &amp; Education</t>
  </si>
  <si>
    <t xml:space="preserve">L9.S.13900021</t>
  </si>
  <si>
    <t xml:space="preserve">L9.S.11000870</t>
  </si>
  <si>
    <t xml:space="preserve">_CLOSED_FY20Rev_Hospitality</t>
  </si>
  <si>
    <t xml:space="preserve">_CLOSED_FY20Rev_Infrastructure Projects - DEW (200)</t>
  </si>
  <si>
    <t xml:space="preserve">L9.D.201303</t>
  </si>
  <si>
    <t xml:space="preserve">_CLOSED_FY20Rev_Infrastructure Projects - joint operation</t>
  </si>
  <si>
    <t xml:space="preserve">_CLOSED_FY20Rev_Infrastructure Projects - VEC</t>
  </si>
  <si>
    <t xml:space="preserve">L9.J.210211</t>
  </si>
  <si>
    <t xml:space="preserve">_CLOSED_FY20Rev_Intra Elim</t>
  </si>
  <si>
    <t xml:space="preserve">L9.WAU.000891</t>
  </si>
  <si>
    <t xml:space="preserve">_CLOSED_FY20Rev_Laundries</t>
  </si>
  <si>
    <t xml:space="preserve">_CLOSED_FY20Rev_Maclab Services Pty Limited</t>
  </si>
  <si>
    <t xml:space="preserve">_CLOSED_FY20Rev_Major Projects - Group Recharges &amp; Rent (</t>
  </si>
  <si>
    <t xml:space="preserve">L9.J.70700019</t>
  </si>
  <si>
    <t xml:space="preserve">_CLOSED_FY20Rev_Managed Solutions</t>
  </si>
  <si>
    <t xml:space="preserve">L9.J.510002</t>
  </si>
  <si>
    <t xml:space="preserve">Managed Solutions</t>
  </si>
  <si>
    <t xml:space="preserve">_CLOSED_FY20Rev_MD Mineral Technologies Private Limited (</t>
  </si>
  <si>
    <t xml:space="preserve">L9.ENG.982.11.805</t>
  </si>
  <si>
    <t xml:space="preserve">_CLOSED_FY20Rev_MD Mineral Technologies SA (Pty) Ltd (396</t>
  </si>
  <si>
    <t xml:space="preserve">_CLOSED_FY20Rev_Mineral Technologies Comercio de Equipame</t>
  </si>
  <si>
    <t xml:space="preserve">_CLOSED_FY20Rev_Mineral Technologies Pty Ltd - Elim Inv I</t>
  </si>
  <si>
    <t xml:space="preserve">_CLOSED_FY20Rev_Mineral Technologies Pty Ltd (395)</t>
  </si>
  <si>
    <t xml:space="preserve">_CLOSED_FY20Rev_Mineral Technologies, Inc (400)</t>
  </si>
  <si>
    <t xml:space="preserve">_CLOSED_FY20Rev_Mining East</t>
  </si>
  <si>
    <t xml:space="preserve">_CLOSED_FY20Rev_Mining HO</t>
  </si>
  <si>
    <t xml:space="preserve">_CLOSED_FY20Rev_Mining Plant - DEM</t>
  </si>
  <si>
    <t xml:space="preserve">_CLOSED_FY20Rev_Mining Underground</t>
  </si>
  <si>
    <t xml:space="preserve">_CLOSED_FY20Rev_Mining West</t>
  </si>
  <si>
    <t xml:space="preserve">_CLOSED_FY20Rev_NZ - NSC, IT, Property, WF &amp; Elins</t>
  </si>
  <si>
    <t xml:space="preserve">_CLOSED_FY20Rev_NZ Facilities</t>
  </si>
  <si>
    <t xml:space="preserve">L9.DNZJ.69601</t>
  </si>
  <si>
    <t xml:space="preserve">_CLOSED_FY20Rev_NZ Transport</t>
  </si>
  <si>
    <t xml:space="preserve">_CLOSED_FY20Rev_NZ Utilities</t>
  </si>
  <si>
    <t xml:space="preserve">L9.DNZJ.561672</t>
  </si>
  <si>
    <t xml:space="preserve">_CLOSED_FY20Rev_Otraco</t>
  </si>
  <si>
    <t xml:space="preserve">_CLOSED_FY20Rev_Rail Services Victoria Pty Ltd</t>
  </si>
  <si>
    <t xml:space="preserve">_CLOSED_FY20Rev_Road Services - DEW (170)</t>
  </si>
  <si>
    <t xml:space="preserve">_CLOSED_FY20Rev_Rock N Road Bitumen Pty Ltd (173)</t>
  </si>
  <si>
    <t xml:space="preserve">_CLOSED_FY20Rev_RPQ (171)</t>
  </si>
  <si>
    <t xml:space="preserve">_CLOSED_FY20Rev_SGTP</t>
  </si>
  <si>
    <t xml:space="preserve">_CLOSED_FY20Rev_Snowden</t>
  </si>
  <si>
    <t xml:space="preserve">_CLOSED_FY20Rev_Spotless Adjustment</t>
  </si>
  <si>
    <t xml:space="preserve">_CLOSED_FY20Rev_Spotless Defence</t>
  </si>
  <si>
    <t xml:space="preserve">_CLOSED_FY20Rev_UASG (Utilities)</t>
  </si>
  <si>
    <t xml:space="preserve">L9.S.11001154</t>
  </si>
  <si>
    <t xml:space="preserve">_CLOSED_FY20Rev_Utilities - DEE (234)</t>
  </si>
  <si>
    <t xml:space="preserve">_CLOSED_FY20Rev_Utilities - DEL (233, 371, 391)</t>
  </si>
  <si>
    <t xml:space="preserve">_CLOSED_FY20Rev_Utilities - DEP (Total)</t>
  </si>
  <si>
    <t xml:space="preserve">L9.DUA.12004</t>
  </si>
  <si>
    <t xml:space="preserve">_CLOSED_FY20Rev_Utilities - DEW (240)</t>
  </si>
  <si>
    <t xml:space="preserve">L9.DUA.109919</t>
  </si>
  <si>
    <t xml:space="preserve">_CLOSED_FY20Rev_Utilities - DUA (Total)</t>
  </si>
  <si>
    <t xml:space="preserve">L9.DUA.109030</t>
  </si>
  <si>
    <t xml:space="preserve">_CLOSED_FY20Rev_Utilities - legacy, holding co &amp; elims</t>
  </si>
  <si>
    <t xml:space="preserve">L9.DUA.109918</t>
  </si>
  <si>
    <t xml:space="preserve">_CLOSED_FY24 Interim_I&amp;E Scope 3 Category 2</t>
  </si>
  <si>
    <t xml:space="preserve">2024/04/30</t>
  </si>
  <si>
    <t xml:space="preserve">_CLOSED_FY24 Interim_RTS Scope 3 Category 2</t>
  </si>
  <si>
    <t xml:space="preserve">_CLOSED_FY24 Interim_SICS Scope 3 Category 2</t>
  </si>
  <si>
    <t xml:space="preserve">_CLOSED_FY24 Interim_T&amp;I Scope 3 Category 2</t>
  </si>
  <si>
    <t xml:space="preserve">_CLOSED_FY24 Interim_Unallocated Scope 3 Category 2</t>
  </si>
  <si>
    <t xml:space="preserve">_CLOSED_FY24 Interim_Utilities Scope 3 Category 2</t>
  </si>
  <si>
    <t xml:space="preserve">_CLOSED_Garbutt</t>
  </si>
  <si>
    <t xml:space="preserve">L9.ENG.360.12940</t>
  </si>
  <si>
    <t xml:space="preserve">2008</t>
  </si>
  <si>
    <t xml:space="preserve">126</t>
  </si>
  <si>
    <t xml:space="preserve">17 Langton Street</t>
  </si>
  <si>
    <t xml:space="preserve">-19.2684122</t>
  </si>
  <si>
    <t xml:space="preserve">146.777432</t>
  </si>
  <si>
    <t xml:space="preserve">_CLOSED_Gas,Powercor,VIC,Hamilton</t>
  </si>
  <si>
    <t xml:space="preserve">Unspecified</t>
  </si>
  <si>
    <t xml:space="preserve">61</t>
  </si>
  <si>
    <t xml:space="preserve">_CLOSED_Gas,Powercor,VIC,Portland</t>
  </si>
  <si>
    <t xml:space="preserve">62</t>
  </si>
  <si>
    <t xml:space="preserve">1 West Park Drive</t>
  </si>
  <si>
    <t xml:space="preserve">Derrimut</t>
  </si>
  <si>
    <t xml:space="preserve">3030</t>
  </si>
  <si>
    <t xml:space="preserve">-37.810787</t>
  </si>
  <si>
    <t xml:space="preserve">144.765803</t>
  </si>
  <si>
    <t xml:space="preserve">_CLOSED_GDC Local Roads Northern</t>
  </si>
  <si>
    <t xml:space="preserve">L9.DNZJ.55188</t>
  </si>
  <si>
    <t xml:space="preserve">55188</t>
  </si>
  <si>
    <t xml:space="preserve">_CLOSED_Geraldton Depot (DMJV)</t>
  </si>
  <si>
    <t xml:space="preserve">L9.J.17090706</t>
  </si>
  <si>
    <t xml:space="preserve">189</t>
  </si>
  <si>
    <t xml:space="preserve">MWG ISA Admin Office - Moved to 210 Goulds Road, Narngulu Office.Contract finishing Sept/Oct 2017</t>
  </si>
  <si>
    <t xml:space="preserve">Eastward Road</t>
  </si>
  <si>
    <t xml:space="preserve">Geraldton</t>
  </si>
  <si>
    <t xml:space="preserve">6530</t>
  </si>
  <si>
    <t xml:space="preserve">-28.778</t>
  </si>
  <si>
    <t xml:space="preserve">114.626</t>
  </si>
  <si>
    <t xml:space="preserve">_CLOSED_Gladesville</t>
  </si>
  <si>
    <t xml:space="preserve">L9.J.10920024</t>
  </si>
  <si>
    <t xml:space="preserve">1031</t>
  </si>
  <si>
    <t xml:space="preserve">436 Victoria Road</t>
  </si>
  <si>
    <t xml:space="preserve">Gladesville</t>
  </si>
  <si>
    <t xml:space="preserve">2111</t>
  </si>
  <si>
    <t xml:space="preserve">2023/04/20</t>
  </si>
  <si>
    <t xml:space="preserve">_CLOSED_Gladstone</t>
  </si>
  <si>
    <t xml:space="preserve">L9.J.709211</t>
  </si>
  <si>
    <t xml:space="preserve">136</t>
  </si>
  <si>
    <t xml:space="preserve">CLOSED END OF OCTOBER 2015</t>
  </si>
  <si>
    <t xml:space="preserve">Shed 1, 1 Shona Ave</t>
  </si>
  <si>
    <t xml:space="preserve">Gladstone</t>
  </si>
  <si>
    <t xml:space="preserve">-33.269</t>
  </si>
  <si>
    <t xml:space="preserve">138.356</t>
  </si>
  <si>
    <t xml:space="preserve">2015/10/31</t>
  </si>
  <si>
    <t xml:space="preserve">_CLOSED_Glandore</t>
  </si>
  <si>
    <t xml:space="preserve">L9.S.12000336</t>
  </si>
  <si>
    <t xml:space="preserve">2009</t>
  </si>
  <si>
    <t xml:space="preserve">375</t>
  </si>
  <si>
    <t xml:space="preserve">created per R. Brookshaw email 21-Jan-2014</t>
  </si>
  <si>
    <t xml:space="preserve">664 South Road</t>
  </si>
  <si>
    <t xml:space="preserve">Glandore</t>
  </si>
  <si>
    <t xml:space="preserve">-34.960132</t>
  </si>
  <si>
    <t xml:space="preserve">138.572062</t>
  </si>
  <si>
    <t xml:space="preserve">_CLOSED_Gosford Loops Rail Project - 139700</t>
  </si>
  <si>
    <t xml:space="preserve">Public Facility</t>
  </si>
  <si>
    <t xml:space="preserve">357 EDRS</t>
  </si>
  <si>
    <t xml:space="preserve">Level 1/15 Watt Street</t>
  </si>
  <si>
    <t xml:space="preserve">Gosford</t>
  </si>
  <si>
    <t xml:space="preserve">2250</t>
  </si>
  <si>
    <t xml:space="preserve">-33.423382</t>
  </si>
  <si>
    <t xml:space="preserve">151.343889</t>
  </si>
  <si>
    <t xml:space="preserve">2015/06/30</t>
  </si>
  <si>
    <t xml:space="preserve">_CLOSED_Gov Contract Office Riverside Plaza</t>
  </si>
  <si>
    <t xml:space="preserve">L9.S.11000102</t>
  </si>
  <si>
    <t xml:space="preserve">9125</t>
  </si>
  <si>
    <t xml:space="preserve">Suite 019B Riverside Plaza, 131 Monaro St</t>
  </si>
  <si>
    <t xml:space="preserve">Queanbeyan</t>
  </si>
  <si>
    <t xml:space="preserve">-35.352374</t>
  </si>
  <si>
    <t xml:space="preserve">149.235147</t>
  </si>
  <si>
    <t xml:space="preserve">_CLOSED_GOV Fleet ACT</t>
  </si>
  <si>
    <t xml:space="preserve">L9.S.13000350</t>
  </si>
  <si>
    <t xml:space="preserve">9174</t>
  </si>
  <si>
    <t xml:space="preserve">_CLOSED_GOV Fleet NSW</t>
  </si>
  <si>
    <t xml:space="preserve">L9.S.13000320</t>
  </si>
  <si>
    <t xml:space="preserve">9175</t>
  </si>
  <si>
    <t xml:space="preserve">_CLOSED_GOV Fleet QLD</t>
  </si>
  <si>
    <t xml:space="preserve">L9.S.13000080</t>
  </si>
  <si>
    <t xml:space="preserve">9176</t>
  </si>
  <si>
    <t xml:space="preserve">_CLOSED_GOV Fleet SA</t>
  </si>
  <si>
    <t xml:space="preserve">L9.S.13000580</t>
  </si>
  <si>
    <t xml:space="preserve">9172</t>
  </si>
  <si>
    <t xml:space="preserve">_CLOSED_GOV Fleet VIC</t>
  </si>
  <si>
    <t xml:space="preserve">L9.S.13000510</t>
  </si>
  <si>
    <t xml:space="preserve">9177</t>
  </si>
  <si>
    <t xml:space="preserve">_CLOSED_GOV Fleet WA</t>
  </si>
  <si>
    <t xml:space="preserve">L9.S.13000720</t>
  </si>
  <si>
    <t xml:space="preserve">9173</t>
  </si>
  <si>
    <t xml:space="preserve">_CLOSED_Green Vision</t>
  </si>
  <si>
    <t xml:space="preserve">L9.DNZJ.3202</t>
  </si>
  <si>
    <t xml:space="preserve">5073</t>
  </si>
  <si>
    <t xml:space="preserve">Production of materials for road construction - New facilities established for more granular reporting and to reflect new structure for FY17. See facility named "NZ-Infrastructure Services" for historical data.</t>
  </si>
  <si>
    <t xml:space="preserve">39-59 Miami Parade, Onehunga</t>
  </si>
  <si>
    <t xml:space="preserve">Mangere</t>
  </si>
  <si>
    <t xml:space="preserve">-36.9300633</t>
  </si>
  <si>
    <t xml:space="preserve">174.8129553</t>
  </si>
  <si>
    <t xml:space="preserve">_CLOSED_Group Travel - Australia_adj baseline</t>
  </si>
  <si>
    <t xml:space="preserve">L9.J.102</t>
  </si>
  <si>
    <t xml:space="preserve">_CLOSED_Hackney Office</t>
  </si>
  <si>
    <t xml:space="preserve">L9.S.13000540</t>
  </si>
  <si>
    <t xml:space="preserve">_CLOSED_Harman Sub and TXL</t>
  </si>
  <si>
    <t xml:space="preserve">L9.J.37740100</t>
  </si>
  <si>
    <t xml:space="preserve">UT-37740100 - Harman Zone Project - Subs</t>
  </si>
  <si>
    <t xml:space="preserve">_CLOSED_Harrington Park - Sydney Water</t>
  </si>
  <si>
    <t xml:space="preserve">L9.J.23020012</t>
  </si>
  <si>
    <t xml:space="preserve">Harrington Park Pump Station – Is located along the Northern Road, Harrington Park NSW 2567. Construction of new water pumping station (WP0414). The works started on the 4th June 2021.</t>
  </si>
  <si>
    <t xml:space="preserve">2025/04/03</t>
  </si>
  <si>
    <t xml:space="preserve">_CLOSED_Hastings DC (2018) - RCM</t>
  </si>
  <si>
    <t xml:space="preserve">L9.DNZJ.55190</t>
  </si>
  <si>
    <t xml:space="preserve">55190</t>
  </si>
  <si>
    <t xml:space="preserve">_CLOSED_Hawera (32-34 Glover Rd)</t>
  </si>
  <si>
    <t xml:space="preserve">L9.DNZJ.91250</t>
  </si>
  <si>
    <t xml:space="preserve">91250</t>
  </si>
  <si>
    <t xml:space="preserve">21/02/2025 - Moved Natural Gas account to "Hawera Depot", referring to same address. Close location.</t>
  </si>
  <si>
    <t xml:space="preserve">-39.5805</t>
  </si>
  <si>
    <t xml:space="preserve">174.2812</t>
  </si>
  <si>
    <t xml:space="preserve">_CLOSED_Head Office</t>
  </si>
  <si>
    <t xml:space="preserve">L9.WAU.000800</t>
  </si>
  <si>
    <t xml:space="preserve">123456</t>
  </si>
  <si>
    <t xml:space="preserve">_CLOSED_Hemmant - Brisbane (QLD)</t>
  </si>
  <si>
    <t xml:space="preserve">L9.J.111001</t>
  </si>
  <si>
    <t xml:space="preserve">Hemmant</t>
  </si>
  <si>
    <t xml:space="preserve">4174</t>
  </si>
  <si>
    <t xml:space="preserve">_CLOSED_Hexham-EC&amp;M</t>
  </si>
  <si>
    <t xml:space="preserve">L9.J.232100</t>
  </si>
  <si>
    <t xml:space="preserve">Facility renamed from "Hexam" (Jan 2016) to allow separate reporting for IS &amp; EC&amp;M. See "Hexam-Infrastructure Services" (Facility #518). includes fuel use from NSW Contracting (Engineering) employees from Gladesville.</t>
  </si>
  <si>
    <t xml:space="preserve">6-16 Galleghan Road</t>
  </si>
  <si>
    <t xml:space="preserve">Hexham</t>
  </si>
  <si>
    <t xml:space="preserve">2322</t>
  </si>
  <si>
    <t xml:space="preserve">-32.831568</t>
  </si>
  <si>
    <t xml:space="preserve">151.688472</t>
  </si>
  <si>
    <t xml:space="preserve">2021/06/01</t>
  </si>
  <si>
    <t xml:space="preserve">_CLOSED_Hexham-Infrastructure Services</t>
  </si>
  <si>
    <t xml:space="preserve">L9.J.10920006</t>
  </si>
  <si>
    <t xml:space="preserve">This facility established January 2016 to allow for separate reporting for IS &amp; EC&amp;M - data previously reported through "Hexam" which has been renamed as "Hexam-EC&amp;M" Facility #350.</t>
  </si>
  <si>
    <t xml:space="preserve">Hexam</t>
  </si>
  <si>
    <t xml:space="preserve">_CLOSED_HFM Fleet ACT</t>
  </si>
  <si>
    <t xml:space="preserve">L9.S.3174.45003852.1</t>
  </si>
  <si>
    <t xml:space="preserve">9181</t>
  </si>
  <si>
    <t xml:space="preserve">_CLOSED_HFM Fleet NSW</t>
  </si>
  <si>
    <t xml:space="preserve">9182</t>
  </si>
  <si>
    <t xml:space="preserve">_CLOSED_HFM Fleet NT</t>
  </si>
  <si>
    <t xml:space="preserve">9178</t>
  </si>
  <si>
    <t xml:space="preserve">_CLOSED_HFM Fleet QLD</t>
  </si>
  <si>
    <t xml:space="preserve">9183</t>
  </si>
  <si>
    <t xml:space="preserve">_CLOSED_HFM Fleet SA</t>
  </si>
  <si>
    <t xml:space="preserve">9180</t>
  </si>
  <si>
    <t xml:space="preserve">_CLOSED_HFM Fleet TAS</t>
  </si>
  <si>
    <t xml:space="preserve">9185</t>
  </si>
  <si>
    <t xml:space="preserve">_CLOSED_HFM Fleet VIC</t>
  </si>
  <si>
    <t xml:space="preserve">9184</t>
  </si>
  <si>
    <t xml:space="preserve">_CLOSED_HFM Fleet WA</t>
  </si>
  <si>
    <t xml:space="preserve">9179</t>
  </si>
  <si>
    <t xml:space="preserve">_CLOSED_Hydrogen Jobs Plan</t>
  </si>
  <si>
    <t xml:space="preserve">l9.J.37740124</t>
  </si>
  <si>
    <t xml:space="preserve">37740124</t>
  </si>
  <si>
    <t xml:space="preserve">Whyalla</t>
  </si>
  <si>
    <t xml:space="preserve">2024/08/01</t>
  </si>
  <si>
    <t xml:space="preserve">2026/01/23</t>
  </si>
  <si>
    <t xml:space="preserve">_CLOSED_I&amp;C Fleet ACT</t>
  </si>
  <si>
    <t xml:space="preserve">L9.S.13001002</t>
  </si>
  <si>
    <t xml:space="preserve">9197</t>
  </si>
  <si>
    <t xml:space="preserve">_CLOSED_I&amp;C Fleet NSW</t>
  </si>
  <si>
    <t xml:space="preserve">L9.S.13001001</t>
  </si>
  <si>
    <t xml:space="preserve">9187</t>
  </si>
  <si>
    <t xml:space="preserve">_CLOSED_I&amp;C Fleet NT</t>
  </si>
  <si>
    <t xml:space="preserve">L9.S.13001014</t>
  </si>
  <si>
    <t xml:space="preserve">9211</t>
  </si>
  <si>
    <t xml:space="preserve">_CLOSED_I&amp;C Fleet QLD</t>
  </si>
  <si>
    <t xml:space="preserve">L9.S.13001037</t>
  </si>
  <si>
    <t xml:space="preserve">9188</t>
  </si>
  <si>
    <t xml:space="preserve">_CLOSED_I&amp;C Fleet TAS</t>
  </si>
  <si>
    <t xml:space="preserve">L9.S.13001045</t>
  </si>
  <si>
    <t xml:space="preserve">9189</t>
  </si>
  <si>
    <t xml:space="preserve">_CLOSED_I&amp;C Fleet VIC</t>
  </si>
  <si>
    <t xml:space="preserve">L9.S.13001006</t>
  </si>
  <si>
    <t xml:space="preserve">9190</t>
  </si>
  <si>
    <t xml:space="preserve">_CLOSED_I&amp;C Fleet WA</t>
  </si>
  <si>
    <t xml:space="preserve">L9.S.13001043</t>
  </si>
  <si>
    <t xml:space="preserve">9186</t>
  </si>
  <si>
    <t xml:space="preserve">_CLOSED_Innisfail SS Replacement</t>
  </si>
  <si>
    <t xml:space="preserve">L9.J.37130005</t>
  </si>
  <si>
    <t xml:space="preserve">37130005</t>
  </si>
  <si>
    <t xml:space="preserve">Innisfail</t>
  </si>
  <si>
    <t xml:space="preserve">2024/01/07</t>
  </si>
  <si>
    <t xml:space="preserve">2024/08/25</t>
  </si>
  <si>
    <t xml:space="preserve">_CLOSED_Inpex</t>
  </si>
  <si>
    <t xml:space="preserve">L9.S.16015097</t>
  </si>
  <si>
    <t xml:space="preserve">4049</t>
  </si>
  <si>
    <t xml:space="preserve">144 Wickham Point Road</t>
  </si>
  <si>
    <t xml:space="preserve">Wickham</t>
  </si>
  <si>
    <t xml:space="preserve">NT</t>
  </si>
  <si>
    <t xml:space="preserve">0822</t>
  </si>
  <si>
    <t xml:space="preserve">Asset Development Services (ADS)</t>
  </si>
  <si>
    <t xml:space="preserve">-12.522136</t>
  </si>
  <si>
    <t xml:space="preserve">130.922439</t>
  </si>
  <si>
    <t xml:space="preserve">_CLOSED_IP WA Rail Fleet</t>
  </si>
  <si>
    <t xml:space="preserve">L9.J.200443</t>
  </si>
  <si>
    <t xml:space="preserve">IPWA</t>
  </si>
  <si>
    <t xml:space="preserve">_CLOSED_IP_North_CRL-C2-JV</t>
  </si>
  <si>
    <t xml:space="preserve">L9.DNZJ.PN4200</t>
  </si>
  <si>
    <t xml:space="preserve">5300</t>
  </si>
  <si>
    <t xml:space="preserve">Project Site Office - New facilities established in FY19 as a new JV</t>
  </si>
  <si>
    <t xml:space="preserve">_CLOSED_IP_SubContractors</t>
  </si>
  <si>
    <t xml:space="preserve">L9.DNZJ.8840</t>
  </si>
  <si>
    <t xml:space="preserve">5322</t>
  </si>
  <si>
    <t xml:space="preserve">_CLOSED_IPD NSW</t>
  </si>
  <si>
    <t xml:space="preserve">L9.J.200901</t>
  </si>
  <si>
    <t xml:space="preserve">6013</t>
  </si>
  <si>
    <t xml:space="preserve">-33.795051</t>
  </si>
  <si>
    <t xml:space="preserve">151.139563</t>
  </si>
  <si>
    <t xml:space="preserve">_CLOSED_IPD Qld</t>
  </si>
  <si>
    <t xml:space="preserve">L9.J.200453</t>
  </si>
  <si>
    <t xml:space="preserve">4012</t>
  </si>
  <si>
    <t xml:space="preserve">-27.494707</t>
  </si>
  <si>
    <t xml:space="preserve">153.033986</t>
  </si>
  <si>
    <t xml:space="preserve">_CLOSED_ITS QLD</t>
  </si>
  <si>
    <t xml:space="preserve">L9.J.170257</t>
  </si>
  <si>
    <t xml:space="preserve">2022/05/01</t>
  </si>
  <si>
    <t xml:space="preserve">_CLOSED_Karratha</t>
  </si>
  <si>
    <t xml:space="preserve">L9.WAU.000605</t>
  </si>
  <si>
    <t xml:space="preserve">153</t>
  </si>
  <si>
    <t xml:space="preserve">No operations - closing.</t>
  </si>
  <si>
    <t xml:space="preserve">Cinders Rd</t>
  </si>
  <si>
    <t xml:space="preserve">Nickol</t>
  </si>
  <si>
    <t xml:space="preserve">6714</t>
  </si>
  <si>
    <t xml:space="preserve">-20.74</t>
  </si>
  <si>
    <t xml:space="preserve">116.801</t>
  </si>
  <si>
    <t xml:space="preserve">_CLOSED_Karratha Regional Operations Centre (ROC)</t>
  </si>
  <si>
    <t xml:space="preserve">L9.J.20044042</t>
  </si>
  <si>
    <t xml:space="preserve">107 Exploration Drive</t>
  </si>
  <si>
    <t xml:space="preserve">Gap Ridge</t>
  </si>
  <si>
    <t xml:space="preserve">Karratha</t>
  </si>
  <si>
    <t xml:space="preserve">_CLOSED_Kestrel Dry Disposal</t>
  </si>
  <si>
    <t xml:space="preserve">L9.J.36400012</t>
  </si>
  <si>
    <t xml:space="preserve">COR-36400012</t>
  </si>
  <si>
    <t xml:space="preserve">2020/07/31</t>
  </si>
  <si>
    <t xml:space="preserve">_CLOSED_Kewdale Depot (DMJV)</t>
  </si>
  <si>
    <t xml:space="preserve">L9.J.170248</t>
  </si>
  <si>
    <t xml:space="preserve">224</t>
  </si>
  <si>
    <t xml:space="preserve">Perth Metro ISA South Depot</t>
  </si>
  <si>
    <t xml:space="preserve">63 Dowd Street</t>
  </si>
  <si>
    <t xml:space="preserve">Welshpool</t>
  </si>
  <si>
    <t xml:space="preserve">6106</t>
  </si>
  <si>
    <t xml:space="preserve">-31.99</t>
  </si>
  <si>
    <t xml:space="preserve">115.955</t>
  </si>
  <si>
    <t xml:space="preserve">_CLOSED_Kooragang</t>
  </si>
  <si>
    <t xml:space="preserve">L9.J.70930009</t>
  </si>
  <si>
    <t xml:space="preserve">157</t>
  </si>
  <si>
    <t xml:space="preserve">Off Cormorant Road</t>
  </si>
  <si>
    <t xml:space="preserve">Kooragang Island</t>
  </si>
  <si>
    <t xml:space="preserve">2304</t>
  </si>
  <si>
    <t xml:space="preserve">-32.863</t>
  </si>
  <si>
    <t xml:space="preserve">151.741</t>
  </si>
  <si>
    <t xml:space="preserve">_CLOSED_Kwinana Rail Depot</t>
  </si>
  <si>
    <t xml:space="preserve">L9.D.20144004</t>
  </si>
  <si>
    <t xml:space="preserve">8 Richardson Street</t>
  </si>
  <si>
    <t xml:space="preserve">Kwinana Beach</t>
  </si>
  <si>
    <t xml:space="preserve">6167</t>
  </si>
  <si>
    <t xml:space="preserve">-32.241</t>
  </si>
  <si>
    <t xml:space="preserve">115.78</t>
  </si>
  <si>
    <t xml:space="preserve">_CLOSED_Labs_Auckland</t>
  </si>
  <si>
    <t xml:space="preserve">L9.DNZJ.3521</t>
  </si>
  <si>
    <t xml:space="preserve">5074</t>
  </si>
  <si>
    <t xml:space="preserve">Technical Support for Construction activities - New facilities established for more granular reporting and to reflect new structure for FY17. See facility named "NZ-Infrastructure Services" for historical data.</t>
  </si>
  <si>
    <t xml:space="preserve">_CLOSED_Labs_Christchurch</t>
  </si>
  <si>
    <t xml:space="preserve">L9.DNZJ.3523</t>
  </si>
  <si>
    <t xml:space="preserve">5075</t>
  </si>
  <si>
    <t xml:space="preserve">_CLOSED_Labs_Mobile</t>
  </si>
  <si>
    <t xml:space="preserve">L9.DNZJ.3524</t>
  </si>
  <si>
    <t xml:space="preserve">5076</t>
  </si>
  <si>
    <t xml:space="preserve">_CLOSED_Labs_Mt Maunganui</t>
  </si>
  <si>
    <t xml:space="preserve">L9.DNZJ.3525</t>
  </si>
  <si>
    <t xml:space="preserve">5077</t>
  </si>
  <si>
    <t xml:space="preserve">_CLOSED_Labs_Wellington</t>
  </si>
  <si>
    <t xml:space="preserve">L9.DNZJ.3522</t>
  </si>
  <si>
    <t xml:space="preserve">5078</t>
  </si>
  <si>
    <t xml:space="preserve">_CLOSED_Lane Cove (DMJV)</t>
  </si>
  <si>
    <t xml:space="preserve">L9.J.17020806</t>
  </si>
  <si>
    <t xml:space="preserve">8012</t>
  </si>
  <si>
    <t xml:space="preserve">166 Epping Road NSW</t>
  </si>
  <si>
    <t xml:space="preserve">Lane Cove West</t>
  </si>
  <si>
    <t xml:space="preserve">2066</t>
  </si>
  <si>
    <t xml:space="preserve">-33.803952</t>
  </si>
  <si>
    <t xml:space="preserve">151.145512</t>
  </si>
  <si>
    <t xml:space="preserve">_CLOSED_Laundries_NSW</t>
  </si>
  <si>
    <t xml:space="preserve">L9.S.13001170</t>
  </si>
  <si>
    <t xml:space="preserve">9145</t>
  </si>
  <si>
    <t xml:space="preserve">_CLOSED_Laundries_QLD</t>
  </si>
  <si>
    <t xml:space="preserve">9146</t>
  </si>
  <si>
    <t xml:space="preserve">_CLOSED_Laundries_SA</t>
  </si>
  <si>
    <t xml:space="preserve">9147</t>
  </si>
  <si>
    <t xml:space="preserve">_CLOSED_Laundries_VIC</t>
  </si>
  <si>
    <t xml:space="preserve">9148</t>
  </si>
  <si>
    <t xml:space="preserve">_CLOSED_Laundries_WA</t>
  </si>
  <si>
    <t xml:space="preserve">9149</t>
  </si>
  <si>
    <t xml:space="preserve">_CLOSED_Laundry - Caloundra (QLD)</t>
  </si>
  <si>
    <t xml:space="preserve">T4.3082</t>
  </si>
  <si>
    <t xml:space="preserve">1 Industrial Ave</t>
  </si>
  <si>
    <t xml:space="preserve">Caloundra</t>
  </si>
  <si>
    <t xml:space="preserve">4551</t>
  </si>
  <si>
    <t xml:space="preserve">_CLOSED_Laundry - Coffs Harbour (NSW)</t>
  </si>
  <si>
    <t xml:space="preserve">L9.S.14001713</t>
  </si>
  <si>
    <t xml:space="preserve">T2.9246</t>
  </si>
  <si>
    <t xml:space="preserve">Owned</t>
  </si>
  <si>
    <t xml:space="preserve">Unit 3 &amp; 4 8 Seccombe Cl</t>
  </si>
  <si>
    <t xml:space="preserve">Coffs Harbour</t>
  </si>
  <si>
    <t xml:space="preserve">_CLOSED_Laundry - Cross Dock (VIC)</t>
  </si>
  <si>
    <t xml:space="preserve">9124</t>
  </si>
  <si>
    <t xml:space="preserve">New lease from 1/10/2018.  This is a logistics hub for Dandenong Laundry.</t>
  </si>
  <si>
    <t xml:space="preserve">8 Thomas Street</t>
  </si>
  <si>
    <t xml:space="preserve">Yarraville</t>
  </si>
  <si>
    <t xml:space="preserve">3013</t>
  </si>
  <si>
    <t xml:space="preserve">Port Melbourne</t>
  </si>
  <si>
    <t xml:space="preserve">-37.824027</t>
  </si>
  <si>
    <t xml:space="preserve">144.882462</t>
  </si>
  <si>
    <t xml:space="preserve">_CLOSED_Laundry - Dandenong (VIC)</t>
  </si>
  <si>
    <t xml:space="preserve">L9.S.14001850</t>
  </si>
  <si>
    <t xml:space="preserve">9054</t>
  </si>
  <si>
    <t xml:space="preserve">Settlement for the purchasing of this site was 01/07/2017</t>
  </si>
  <si>
    <t xml:space="preserve">3 Logis Boulevard</t>
  </si>
  <si>
    <t xml:space="preserve">-38.005975</t>
  </si>
  <si>
    <t xml:space="preserve">145.205721</t>
  </si>
  <si>
    <t xml:space="preserve">_CLOSED_Laundry - Darra (QLD)</t>
  </si>
  <si>
    <t xml:space="preserve">L9.S.14001760</t>
  </si>
  <si>
    <t xml:space="preserve">9055</t>
  </si>
  <si>
    <t xml:space="preserve">Lot 23/ 2666 IPSWICH ROAD</t>
  </si>
  <si>
    <t xml:space="preserve">DARRA</t>
  </si>
  <si>
    <t xml:space="preserve">4076</t>
  </si>
  <si>
    <t xml:space="preserve">-27.574457</t>
  </si>
  <si>
    <t xml:space="preserve">152.957834</t>
  </si>
  <si>
    <t xml:space="preserve">_CLOSED_Laundry - Darwin Woolner (NT)</t>
  </si>
  <si>
    <t xml:space="preserve">L9.S.13001174</t>
  </si>
  <si>
    <t xml:space="preserve">9056</t>
  </si>
  <si>
    <t xml:space="preserve">11 Bishop Street</t>
  </si>
  <si>
    <t xml:space="preserve">Woolner</t>
  </si>
  <si>
    <t xml:space="preserve">-12.433106</t>
  </si>
  <si>
    <t xml:space="preserve">130.851033</t>
  </si>
  <si>
    <t xml:space="preserve">_CLOSED_Laundry - Dudley Park (SA)</t>
  </si>
  <si>
    <t xml:space="preserve">L9.S.14001810</t>
  </si>
  <si>
    <t xml:space="preserve">9057</t>
  </si>
  <si>
    <t xml:space="preserve">2-6 Oxenham St</t>
  </si>
  <si>
    <t xml:space="preserve">Dudley Park</t>
  </si>
  <si>
    <t xml:space="preserve">5008</t>
  </si>
  <si>
    <t xml:space="preserve">-34.877919</t>
  </si>
  <si>
    <t xml:space="preserve">138.580897</t>
  </si>
  <si>
    <t xml:space="preserve">_CLOSED_Laundry - Geelong (VIC)</t>
  </si>
  <si>
    <t xml:space="preserve">L9.S.13001173</t>
  </si>
  <si>
    <t xml:space="preserve">T3.9581</t>
  </si>
  <si>
    <t xml:space="preserve">34 Gordon Ave</t>
  </si>
  <si>
    <t xml:space="preserve">3218</t>
  </si>
  <si>
    <t xml:space="preserve">_CLOSED_Laundry - Kelvin Grove (QLD)</t>
  </si>
  <si>
    <t xml:space="preserve">T4.9585</t>
  </si>
  <si>
    <t xml:space="preserve">113 Kelvin Grove Rd</t>
  </si>
  <si>
    <t xml:space="preserve">Kelvin Grove</t>
  </si>
  <si>
    <t xml:space="preserve">4059</t>
  </si>
  <si>
    <t xml:space="preserve">_CLOSED_Laundry - Marrickville (NSW)</t>
  </si>
  <si>
    <t xml:space="preserve">T2.8986</t>
  </si>
  <si>
    <t xml:space="preserve">33-45 Buckley St</t>
  </si>
  <si>
    <t xml:space="preserve">Marrickville</t>
  </si>
  <si>
    <t xml:space="preserve">2204</t>
  </si>
  <si>
    <t xml:space="preserve">_CLOSED_Laundry - Murdoch (WA)</t>
  </si>
  <si>
    <t xml:space="preserve">L9.S.14001880</t>
  </si>
  <si>
    <t xml:space="preserve">9058</t>
  </si>
  <si>
    <t xml:space="preserve">Lot 2338 Murdoch Dr</t>
  </si>
  <si>
    <t xml:space="preserve">Murdoch</t>
  </si>
  <si>
    <t xml:space="preserve">6150</t>
  </si>
  <si>
    <t xml:space="preserve">-32.061501</t>
  </si>
  <si>
    <t xml:space="preserve">115.842616</t>
  </si>
  <si>
    <t xml:space="preserve">_CLOSED_Laundry - North Parramatta (NSW)</t>
  </si>
  <si>
    <t xml:space="preserve">8 Dunlop Street</t>
  </si>
  <si>
    <t xml:space="preserve">North Parramatta</t>
  </si>
  <si>
    <t xml:space="preserve">2151</t>
  </si>
  <si>
    <t xml:space="preserve">_CLOSED_Laundry - North Rocks (NSW)</t>
  </si>
  <si>
    <t xml:space="preserve">L9.S.14001720</t>
  </si>
  <si>
    <t xml:space="preserve">9059</t>
  </si>
  <si>
    <t xml:space="preserve">Unit C  19-21 Loyalty Road</t>
  </si>
  <si>
    <t xml:space="preserve">North Rocks</t>
  </si>
  <si>
    <t xml:space="preserve">-33.773547</t>
  </si>
  <si>
    <t xml:space="preserve">151.009662</t>
  </si>
  <si>
    <t xml:space="preserve">_CLOSED_Laundry - Northcote (VIC)</t>
  </si>
  <si>
    <t xml:space="preserve">L9.S.13001172</t>
  </si>
  <si>
    <t xml:space="preserve">9060</t>
  </si>
  <si>
    <t xml:space="preserve">24 Leinster Grove</t>
  </si>
  <si>
    <t xml:space="preserve">Northcote</t>
  </si>
  <si>
    <t xml:space="preserve">3070</t>
  </si>
  <si>
    <t xml:space="preserve">-37.762366</t>
  </si>
  <si>
    <t xml:space="preserve">144.98739</t>
  </si>
  <si>
    <t xml:space="preserve">_CLOSED_Laundry - Punchbowl (NSW)</t>
  </si>
  <si>
    <t xml:space="preserve">L9.S.13001171</t>
  </si>
  <si>
    <t xml:space="preserve">9061</t>
  </si>
  <si>
    <t xml:space="preserve">42 Belmore Road</t>
  </si>
  <si>
    <t xml:space="preserve">Punchbowl</t>
  </si>
  <si>
    <t xml:space="preserve">2196</t>
  </si>
  <si>
    <t xml:space="preserve">-33.935729</t>
  </si>
  <si>
    <t xml:space="preserve">151.056255</t>
  </si>
  <si>
    <t xml:space="preserve">_CLOSED_Laundry - Rosebery (NSW)</t>
  </si>
  <si>
    <t xml:space="preserve">L9.S.14001740</t>
  </si>
  <si>
    <t xml:space="preserve">9062</t>
  </si>
  <si>
    <t xml:space="preserve">Units 1, 1A, 2 7 3, 45-55, Epsom Rd</t>
  </si>
  <si>
    <t xml:space="preserve">Rosebery</t>
  </si>
  <si>
    <t xml:space="preserve">2018</t>
  </si>
  <si>
    <t xml:space="preserve">-33.911165</t>
  </si>
  <si>
    <t xml:space="preserve">151.208191</t>
  </si>
  <si>
    <t xml:space="preserve">_CLOSED_Laundry - Somersby (NSW)</t>
  </si>
  <si>
    <t xml:space="preserve">L9.S.14001750</t>
  </si>
  <si>
    <t xml:space="preserve">9063</t>
  </si>
  <si>
    <t xml:space="preserve">LOT 1 &amp; 2, 15 GINDURRA RD</t>
  </si>
  <si>
    <t xml:space="preserve">SOMERSBY</t>
  </si>
  <si>
    <t xml:space="preserve">-33.412883</t>
  </si>
  <si>
    <t xml:space="preserve">151.291292</t>
  </si>
  <si>
    <t xml:space="preserve">_CLOSED_Laundry - Torrensville (SA)</t>
  </si>
  <si>
    <t xml:space="preserve">59 Stephens Ave</t>
  </si>
  <si>
    <t xml:space="preserve">Torrensville</t>
  </si>
  <si>
    <t xml:space="preserve">_CLOSED_LND Fleet ACT</t>
  </si>
  <si>
    <t xml:space="preserve">9201</t>
  </si>
  <si>
    <t xml:space="preserve">_CLOSED_LND Fleet NSW</t>
  </si>
  <si>
    <t xml:space="preserve">9202</t>
  </si>
  <si>
    <t xml:space="preserve">_CLOSED_LND Fleet NT</t>
  </si>
  <si>
    <t xml:space="preserve">9198</t>
  </si>
  <si>
    <t xml:space="preserve">_CLOSED_LND Fleet QLD</t>
  </si>
  <si>
    <t xml:space="preserve">9203</t>
  </si>
  <si>
    <t xml:space="preserve">_CLOSED_LND Fleet SA</t>
  </si>
  <si>
    <t xml:space="preserve">9199</t>
  </si>
  <si>
    <t xml:space="preserve">_CLOSED_LND Fleet TAS</t>
  </si>
  <si>
    <t xml:space="preserve">9204</t>
  </si>
  <si>
    <t xml:space="preserve">_CLOSED_LND Fleet VIC</t>
  </si>
  <si>
    <t xml:space="preserve">9205</t>
  </si>
  <si>
    <t xml:space="preserve">_CLOSED_LND Fleet WA</t>
  </si>
  <si>
    <t xml:space="preserve">9200</t>
  </si>
  <si>
    <t xml:space="preserve">_CLOSED_Lollipops Edu Centre AKL 45004945</t>
  </si>
  <si>
    <t xml:space="preserve">L9.S.26020223</t>
  </si>
  <si>
    <t xml:space="preserve">2000005185</t>
  </si>
  <si>
    <t xml:space="preserve">2023/11/10</t>
  </si>
  <si>
    <t xml:space="preserve">_CLOSED_Lollipops Educare ChCh 45004949</t>
  </si>
  <si>
    <t xml:space="preserve">L9.S.26020292</t>
  </si>
  <si>
    <t xml:space="preserve">2000005195</t>
  </si>
  <si>
    <t xml:space="preserve">_CLOSED_Lollipops Educare Wellington 45004951</t>
  </si>
  <si>
    <t xml:space="preserve">L9.S.26020411</t>
  </si>
  <si>
    <t xml:space="preserve">2000005200</t>
  </si>
  <si>
    <t xml:space="preserve">_CLOSED_Loxton</t>
  </si>
  <si>
    <t xml:space="preserve">L9.J.17020606</t>
  </si>
  <si>
    <t xml:space="preserve">167</t>
  </si>
  <si>
    <t xml:space="preserve">Vacated in 2020.</t>
  </si>
  <si>
    <t xml:space="preserve">Lot 306 Trennery Avenue</t>
  </si>
  <si>
    <t xml:space="preserve">Loxton</t>
  </si>
  <si>
    <t xml:space="preserve">5333</t>
  </si>
  <si>
    <t xml:space="preserve">-34.45</t>
  </si>
  <si>
    <t xml:space="preserve">140.585</t>
  </si>
  <si>
    <t xml:space="preserve">_CLOSED_LSE - Melbourne Town Hall</t>
  </si>
  <si>
    <t xml:space="preserve">L9.S.13000853</t>
  </si>
  <si>
    <t xml:space="preserve">9066</t>
  </si>
  <si>
    <t xml:space="preserve">Contract ended June 30, 2022.</t>
  </si>
  <si>
    <t xml:space="preserve">90-130 Swanston Street</t>
  </si>
  <si>
    <t xml:space="preserve">-37.814983</t>
  </si>
  <si>
    <t xml:space="preserve">144.966839</t>
  </si>
  <si>
    <t xml:space="preserve">451</t>
  </si>
  <si>
    <t xml:space="preserve">_CLOSED_LSE - Mile End Warehouse</t>
  </si>
  <si>
    <t xml:space="preserve">L9.S.16012581</t>
  </si>
  <si>
    <t xml:space="preserve">9067</t>
  </si>
  <si>
    <t xml:space="preserve">8/ 9 William Street</t>
  </si>
  <si>
    <t xml:space="preserve">Mile End</t>
  </si>
  <si>
    <t xml:space="preserve">-34.933488</t>
  </si>
  <si>
    <t xml:space="preserve">138.571744</t>
  </si>
  <si>
    <t xml:space="preserve">_CLOSED_LSE - The Ellington Venue</t>
  </si>
  <si>
    <t xml:space="preserve">9069</t>
  </si>
  <si>
    <t xml:space="preserve">23 Hackney Rd</t>
  </si>
  <si>
    <t xml:space="preserve">Hackney</t>
  </si>
  <si>
    <t xml:space="preserve">-34.91772</t>
  </si>
  <si>
    <t xml:space="preserve">138.615059</t>
  </si>
  <si>
    <t xml:space="preserve">_CLOSED_Maddington - DM Roads</t>
  </si>
  <si>
    <t xml:space="preserve">L9.J.170273</t>
  </si>
  <si>
    <t xml:space="preserve">Head office.</t>
  </si>
  <si>
    <t xml:space="preserve">2023/10/31</t>
  </si>
  <si>
    <t xml:space="preserve">_CLOSED_Maitland Works</t>
  </si>
  <si>
    <t xml:space="preserve">L9.J.17012185</t>
  </si>
  <si>
    <t xml:space="preserve">174</t>
  </si>
  <si>
    <t xml:space="preserve">32 Junction Road</t>
  </si>
  <si>
    <t xml:space="preserve">Maitland</t>
  </si>
  <si>
    <t xml:space="preserve">5573</t>
  </si>
  <si>
    <t xml:space="preserve">-34.368</t>
  </si>
  <si>
    <t xml:space="preserve">137.671</t>
  </si>
  <si>
    <t xml:space="preserve">_CLOSED_Major Renewals - Karratha</t>
  </si>
  <si>
    <t xml:space="preserve">L9.J.20044081</t>
  </si>
  <si>
    <t xml:space="preserve">2023/07/31</t>
  </si>
  <si>
    <t xml:space="preserve">_CLOSED_Malaga</t>
  </si>
  <si>
    <t xml:space="preserve">L9.J.709601</t>
  </si>
  <si>
    <t xml:space="preserve">378</t>
  </si>
  <si>
    <t xml:space="preserve">currently ordering through canning vale cost centre</t>
  </si>
  <si>
    <t xml:space="preserve">10 Irvine Drive</t>
  </si>
  <si>
    <t xml:space="preserve">Malaga</t>
  </si>
  <si>
    <t xml:space="preserve">6090</t>
  </si>
  <si>
    <t xml:space="preserve">-31.8604</t>
  </si>
  <si>
    <t xml:space="preserve">115.887</t>
  </si>
  <si>
    <t xml:space="preserve">_CLOSED_Malaga (DMJV)</t>
  </si>
  <si>
    <t xml:space="preserve">L9.WAU.000395</t>
  </si>
  <si>
    <t xml:space="preserve">223</t>
  </si>
  <si>
    <t xml:space="preserve">Perth Metro ISA North Depot
Office has moved to Neerabup.</t>
  </si>
  <si>
    <t xml:space="preserve">54 Weschester Road</t>
  </si>
  <si>
    <t xml:space="preserve">-31.855</t>
  </si>
  <si>
    <t xml:space="preserve">115.881</t>
  </si>
  <si>
    <t xml:space="preserve">_CLOSED_Maylands Station</t>
  </si>
  <si>
    <t xml:space="preserve">L9.J.20020041</t>
  </si>
  <si>
    <t xml:space="preserve">Facility part of spotless maintenance contract in WA - moved waste accounts to waste_wa overarching account and closing facility.</t>
  </si>
  <si>
    <t xml:space="preserve">Maylands</t>
  </si>
  <si>
    <t xml:space="preserve">_CLOSED_Meandu TXL</t>
  </si>
  <si>
    <t xml:space="preserve">L9.J.37740114</t>
  </si>
  <si>
    <t xml:space="preserve">UTIL-360.369.261.278 - Powerlink</t>
  </si>
  <si>
    <t xml:space="preserve">Ridge Road Tarong QLD 4615</t>
  </si>
  <si>
    <t xml:space="preserve">2023/01/30</t>
  </si>
  <si>
    <t xml:space="preserve">2024/05/15</t>
  </si>
  <si>
    <t xml:space="preserve">_CLOSED_Melbourne - 468 St Kilda Rd</t>
  </si>
  <si>
    <t xml:space="preserve">1002</t>
  </si>
  <si>
    <t xml:space="preserve">Office vacated in August 2015</t>
  </si>
  <si>
    <t xml:space="preserve">Level 11, 468 St Kilda Road</t>
  </si>
  <si>
    <t xml:space="preserve">-37.841</t>
  </si>
  <si>
    <t xml:space="preserve">144.976</t>
  </si>
  <si>
    <t xml:space="preserve">_CLOSED_Melton</t>
  </si>
  <si>
    <t xml:space="preserve">176</t>
  </si>
  <si>
    <t xml:space="preserve">90-92 High Street</t>
  </si>
  <si>
    <t xml:space="preserve">Melton</t>
  </si>
  <si>
    <t xml:space="preserve">3337</t>
  </si>
  <si>
    <t xml:space="preserve">-37.688</t>
  </si>
  <si>
    <t xml:space="preserve">144.6</t>
  </si>
  <si>
    <t xml:space="preserve">_CLOSED_MHPS - Callide</t>
  </si>
  <si>
    <t xml:space="preserve">4060</t>
  </si>
  <si>
    <t xml:space="preserve">Biloela</t>
  </si>
  <si>
    <t xml:space="preserve">Infrastructure Projects</t>
  </si>
  <si>
    <t xml:space="preserve">_CLOSED_MHPS - Dyno Nobel</t>
  </si>
  <si>
    <t xml:space="preserve">4061</t>
  </si>
  <si>
    <t xml:space="preserve">_CLOSED_MHPS - Moura</t>
  </si>
  <si>
    <t xml:space="preserve">4063</t>
  </si>
  <si>
    <t xml:space="preserve">_CLOSED_MHPS - Orica</t>
  </si>
  <si>
    <t xml:space="preserve">_CLOSED_MHPS - Wivenhoe</t>
  </si>
  <si>
    <t xml:space="preserve">L9.J.39210225</t>
  </si>
  <si>
    <t xml:space="preserve">4065</t>
  </si>
  <si>
    <t xml:space="preserve">North Ipswich</t>
  </si>
  <si>
    <t xml:space="preserve">_CLOSED_Milford Road Alliance - RCM</t>
  </si>
  <si>
    <t xml:space="preserve">L9.DNZJ.55393</t>
  </si>
  <si>
    <t xml:space="preserve">55393</t>
  </si>
  <si>
    <t xml:space="preserve">_CLOSED_MIN_Boggabri</t>
  </si>
  <si>
    <t xml:space="preserve">L9.MIN.EST.4826</t>
  </si>
  <si>
    <t xml:space="preserve">4005</t>
  </si>
  <si>
    <t xml:space="preserve">388</t>
  </si>
  <si>
    <t xml:space="preserve">386 Leard Forrest Road</t>
  </si>
  <si>
    <t xml:space="preserve">Boggabri</t>
  </si>
  <si>
    <t xml:space="preserve">2382</t>
  </si>
  <si>
    <t xml:space="preserve">-30.629041</t>
  </si>
  <si>
    <t xml:space="preserve">150.14439</t>
  </si>
  <si>
    <t xml:space="preserve">_CLOSED_MIN_Brisbane Office</t>
  </si>
  <si>
    <t xml:space="preserve">4001</t>
  </si>
  <si>
    <t xml:space="preserve">29</t>
  </si>
  <si>
    <t xml:space="preserve">22 Cordelia Street</t>
  </si>
  <si>
    <t xml:space="preserve">South Brisbane</t>
  </si>
  <si>
    <t xml:space="preserve">4101</t>
  </si>
  <si>
    <t xml:space="preserve">-27.475</t>
  </si>
  <si>
    <t xml:space="preserve">153.015</t>
  </si>
  <si>
    <t xml:space="preserve">_CLOSED_MIN_Cadia</t>
  </si>
  <si>
    <t xml:space="preserve">L9.J.8307</t>
  </si>
  <si>
    <t xml:space="preserve">4057</t>
  </si>
  <si>
    <t xml:space="preserve">Demobilised from site in January 2020.</t>
  </si>
  <si>
    <t xml:space="preserve">Orange</t>
  </si>
  <si>
    <t xml:space="preserve">-33.4580</t>
  </si>
  <si>
    <t xml:space="preserve">148.9966</t>
  </si>
  <si>
    <t xml:space="preserve">080</t>
  </si>
  <si>
    <t xml:space="preserve">_CLOSED_MIN_Carrapateena</t>
  </si>
  <si>
    <t xml:space="preserve">L9.J.8306</t>
  </si>
  <si>
    <t xml:space="preserve">4043</t>
  </si>
  <si>
    <t xml:space="preserve">Closed 04/03/2021 with sale of Underground Mining.</t>
  </si>
  <si>
    <t xml:space="preserve">Port Augusta</t>
  </si>
  <si>
    <t xml:space="preserve">-31.2404</t>
  </si>
  <si>
    <t xml:space="preserve">137.4927</t>
  </si>
  <si>
    <t xml:space="preserve">_CLOSED_MIN_Cosmo Deeps</t>
  </si>
  <si>
    <t xml:space="preserve">L9.J.8301</t>
  </si>
  <si>
    <t xml:space="preserve">387</t>
  </si>
  <si>
    <t xml:space="preserve">0804 Gold Ore Mining.
Downer demobilised from site May 2019.</t>
  </si>
  <si>
    <t xml:space="preserve">Hayes Creek</t>
  </si>
  <si>
    <t xml:space="preserve">822</t>
  </si>
  <si>
    <t xml:space="preserve">-13.3202</t>
  </si>
  <si>
    <t xml:space="preserve">131.2230</t>
  </si>
  <si>
    <t xml:space="preserve">_CLOSED_MIN_Koojan</t>
  </si>
  <si>
    <t xml:space="preserve">4018</t>
  </si>
  <si>
    <t xml:space="preserve">526</t>
  </si>
  <si>
    <t xml:space="preserve">_CLOSED_MIN_Perth Office</t>
  </si>
  <si>
    <t xml:space="preserve">4015</t>
  </si>
  <si>
    <t xml:space="preserve">221</t>
  </si>
  <si>
    <t xml:space="preserve">Lease completed 30/06/2021</t>
  </si>
  <si>
    <t xml:space="preserve">Level 6, 130 Stirling Street</t>
  </si>
  <si>
    <t xml:space="preserve">Perth</t>
  </si>
  <si>
    <t xml:space="preserve">6000</t>
  </si>
  <si>
    <t xml:space="preserve">-31.948732</t>
  </si>
  <si>
    <t xml:space="preserve">115.865256</t>
  </si>
  <si>
    <t xml:space="preserve">_CLOSED_MIN_Roy Hill</t>
  </si>
  <si>
    <t xml:space="preserve">L9.J.8701</t>
  </si>
  <si>
    <t xml:space="preserve">4032</t>
  </si>
  <si>
    <t xml:space="preserve">394</t>
  </si>
  <si>
    <t xml:space="preserve">0801 Iron Ore Mining
Site closed 12/12/2018</t>
  </si>
  <si>
    <t xml:space="preserve">Roy Hill Minesite Via Newman</t>
  </si>
  <si>
    <t xml:space="preserve">-22.443754</t>
  </si>
  <si>
    <t xml:space="preserve">119.925397</t>
  </si>
  <si>
    <t xml:space="preserve">_CLOSED_MIN_Sunrise Dam</t>
  </si>
  <si>
    <t xml:space="preserve">Open-cut Mine</t>
  </si>
  <si>
    <t xml:space="preserve">4042</t>
  </si>
  <si>
    <t xml:space="preserve">55 km south of Laverton,</t>
  </si>
  <si>
    <t xml:space="preserve">Laverton</t>
  </si>
  <si>
    <t xml:space="preserve">6440</t>
  </si>
  <si>
    <t xml:space="preserve">-29.04347</t>
  </si>
  <si>
    <t xml:space="preserve">122.25188</t>
  </si>
  <si>
    <t xml:space="preserve">_CLOSED_Mobile Asphalt Plant NT</t>
  </si>
  <si>
    <t xml:space="preserve">L9.J.170537</t>
  </si>
  <si>
    <t xml:space="preserve">8023</t>
  </si>
  <si>
    <t xml:space="preserve">Mobile Asphalt Plant in NT. Temporary facility - closed in FY21.</t>
  </si>
  <si>
    <t xml:space="preserve">Alice Springs</t>
  </si>
  <si>
    <t xml:space="preserve">_CLOSED_Molonglo Zone Substation</t>
  </si>
  <si>
    <t xml:space="preserve">L9.J.37740119</t>
  </si>
  <si>
    <t xml:space="preserve">37740119</t>
  </si>
  <si>
    <t xml:space="preserve">2024/07/01</t>
  </si>
  <si>
    <t xml:space="preserve">2026/06/02</t>
  </si>
  <si>
    <t xml:space="preserve">_CLOSED_Mornington</t>
  </si>
  <si>
    <t xml:space="preserve">L9.J.17020077</t>
  </si>
  <si>
    <t xml:space="preserve">181</t>
  </si>
  <si>
    <t xml:space="preserve">337 Racecourse Road</t>
  </si>
  <si>
    <t xml:space="preserve">3931</t>
  </si>
  <si>
    <t xml:space="preserve">-38.235</t>
  </si>
  <si>
    <t xml:space="preserve">145.066</t>
  </si>
  <si>
    <t xml:space="preserve">_CLOSED_MS - Blackwater Office (QLD)</t>
  </si>
  <si>
    <t xml:space="preserve">L9.MIN.4877.ADMI.OFF</t>
  </si>
  <si>
    <t xml:space="preserve">Cnr McKenzie and Acacia Sts</t>
  </si>
  <si>
    <t xml:space="preserve">_CLOSED_MS - ETSA Contract (No NGER)</t>
  </si>
  <si>
    <t xml:space="preserve">Regional Office</t>
  </si>
  <si>
    <t xml:space="preserve">L9.S.16012731</t>
  </si>
  <si>
    <t xml:space="preserve">Z5.A501</t>
  </si>
  <si>
    <t xml:space="preserve">Not for NGER reporting</t>
  </si>
  <si>
    <t xml:space="preserve">ETSA</t>
  </si>
  <si>
    <t xml:space="preserve">_CLOSED_MS - Kingston Links (VIC)</t>
  </si>
  <si>
    <t xml:space="preserve">N3.F488</t>
  </si>
  <si>
    <t xml:space="preserve">Changed from Cleaning Services on 26 Oct 10 to reflect current business management</t>
  </si>
  <si>
    <t xml:space="preserve">Corporate Av</t>
  </si>
  <si>
    <t xml:space="preserve">Rowville</t>
  </si>
  <si>
    <t xml:space="preserve">3178</t>
  </si>
  <si>
    <t xml:space="preserve">_CLOSED_MS - UniTAS (No NGER)</t>
  </si>
  <si>
    <t xml:space="preserve">N7.F773</t>
  </si>
  <si>
    <t xml:space="preserve">Unitas</t>
  </si>
  <si>
    <t xml:space="preserve">_CLOSED_Mt Evelyn</t>
  </si>
  <si>
    <t xml:space="preserve">L9.J.170258</t>
  </si>
  <si>
    <t xml:space="preserve">183</t>
  </si>
  <si>
    <t xml:space="preserve">115 Hereford Road</t>
  </si>
  <si>
    <t xml:space="preserve">Mt Evelyn</t>
  </si>
  <si>
    <t xml:space="preserve">3796</t>
  </si>
  <si>
    <t xml:space="preserve">-37.77</t>
  </si>
  <si>
    <t xml:space="preserve">145.378</t>
  </si>
  <si>
    <t xml:space="preserve">2023/05/31</t>
  </si>
  <si>
    <t xml:space="preserve">_CLOSED_Mt Isa</t>
  </si>
  <si>
    <t xml:space="preserve">L9.ENG.360.12932</t>
  </si>
  <si>
    <t xml:space="preserve">2017</t>
  </si>
  <si>
    <t xml:space="preserve">184</t>
  </si>
  <si>
    <t xml:space="preserve">Closed on the 19.10.2018</t>
  </si>
  <si>
    <t xml:space="preserve">23 Richardson Rd</t>
  </si>
  <si>
    <t xml:space="preserve">Ryan</t>
  </si>
  <si>
    <t xml:space="preserve">4825</t>
  </si>
  <si>
    <t xml:space="preserve">-20.697093</t>
  </si>
  <si>
    <t xml:space="preserve">139.495756</t>
  </si>
  <si>
    <t xml:space="preserve">_CLOSED_Mt Isa Yard</t>
  </si>
  <si>
    <t xml:space="preserve">L9.ENG.360.80.643</t>
  </si>
  <si>
    <t xml:space="preserve">186</t>
  </si>
  <si>
    <t xml:space="preserve">13/17 Richardson Road</t>
  </si>
  <si>
    <t xml:space="preserve">Mt Isa</t>
  </si>
  <si>
    <t xml:space="preserve">-20.698</t>
  </si>
  <si>
    <t xml:space="preserve">139.495</t>
  </si>
  <si>
    <t xml:space="preserve">_CLOSED_Mt Thorley - Engineering</t>
  </si>
  <si>
    <t xml:space="preserve">L9.ENG.360.01420</t>
  </si>
  <si>
    <t xml:space="preserve">2019</t>
  </si>
  <si>
    <t xml:space="preserve">188</t>
  </si>
  <si>
    <t xml:space="preserve">6 Woodland Road</t>
  </si>
  <si>
    <t xml:space="preserve">-32.6254004</t>
  </si>
  <si>
    <t xml:space="preserve">151.1064578</t>
  </si>
  <si>
    <t xml:space="preserve">_CLOSED_MT-USA</t>
  </si>
  <si>
    <t xml:space="preserve">L9.J.39520067</t>
  </si>
  <si>
    <t xml:space="preserve">MT-39520067</t>
  </si>
  <si>
    <t xml:space="preserve">78</t>
  </si>
  <si>
    <t xml:space="preserve">24 Cathedral Place, Suite 501, St Augustine, Florida 32084, USA</t>
  </si>
  <si>
    <t xml:space="preserve">Florida</t>
  </si>
  <si>
    <t xml:space="preserve">United States</t>
  </si>
  <si>
    <t xml:space="preserve">29.893036</t>
  </si>
  <si>
    <t xml:space="preserve">-81.312114</t>
  </si>
  <si>
    <t xml:space="preserve">_CLOSED_Newcastle Light Rail</t>
  </si>
  <si>
    <t xml:space="preserve">L9.J.70960002</t>
  </si>
  <si>
    <t xml:space="preserve">Argyle Street</t>
  </si>
  <si>
    <t xml:space="preserve">2300</t>
  </si>
  <si>
    <t xml:space="preserve">-32.927277</t>
  </si>
  <si>
    <t xml:space="preserve">151.769164</t>
  </si>
  <si>
    <t xml:space="preserve">2017/05/01</t>
  </si>
  <si>
    <t xml:space="preserve">_CLOSED_Newman Chlorine Risk Reduction</t>
  </si>
  <si>
    <t xml:space="preserve">L9.J.37120003</t>
  </si>
  <si>
    <t xml:space="preserve">4047</t>
  </si>
  <si>
    <t xml:space="preserve">_CLOSED_Norlane</t>
  </si>
  <si>
    <t xml:space="preserve">L9.ENG.360.12813</t>
  </si>
  <si>
    <t xml:space="preserve">2020</t>
  </si>
  <si>
    <t xml:space="preserve">199</t>
  </si>
  <si>
    <t xml:space="preserve">Contract ended at 06.2020</t>
  </si>
  <si>
    <t xml:space="preserve">87 St Georges Road</t>
  </si>
  <si>
    <t xml:space="preserve">Norlane</t>
  </si>
  <si>
    <t xml:space="preserve">3214</t>
  </si>
  <si>
    <t xml:space="preserve">-38.0857264</t>
  </si>
  <si>
    <t xml:space="preserve">144.3699769</t>
  </si>
  <si>
    <t xml:space="preserve">_CLOSED_North Ryde T1 - Rail</t>
  </si>
  <si>
    <t xml:space="preserve">409</t>
  </si>
  <si>
    <t xml:space="preserve">Rail Head office</t>
  </si>
  <si>
    <t xml:space="preserve">-33.794</t>
  </si>
  <si>
    <t xml:space="preserve">151.139</t>
  </si>
  <si>
    <t xml:space="preserve">_CLOSED_North Ryde T2 - Level 6</t>
  </si>
  <si>
    <t xml:space="preserve">L9.J.106001</t>
  </si>
  <si>
    <t xml:space="preserve">1010</t>
  </si>
  <si>
    <t xml:space="preserve">Syndey</t>
  </si>
  <si>
    <t xml:space="preserve">_CLOSED_NSW</t>
  </si>
  <si>
    <t xml:space="preserve">L9.S.13000856</t>
  </si>
  <si>
    <t xml:space="preserve">_CLOSED_NSW / ACT Plant and OH</t>
  </si>
  <si>
    <t xml:space="preserve">L9.J.200411</t>
  </si>
  <si>
    <t xml:space="preserve">_CLOSED_NT</t>
  </si>
  <si>
    <t xml:space="preserve">_CLOSED_NW Tas Maint</t>
  </si>
  <si>
    <t xml:space="preserve">L9.J.17021160</t>
  </si>
  <si>
    <t xml:space="preserve">17021160</t>
  </si>
  <si>
    <t xml:space="preserve">10b Industrial Drive</t>
  </si>
  <si>
    <t xml:space="preserve">7315</t>
  </si>
  <si>
    <t xml:space="preserve">Ulverstone</t>
  </si>
  <si>
    <t xml:space="preserve">-41.157985</t>
  </si>
  <si>
    <t xml:space="preserve">146.19911</t>
  </si>
  <si>
    <t xml:space="preserve">_CLOSED_NZ_Niue</t>
  </si>
  <si>
    <t xml:space="preserve">L9.DNZJ.DI0001</t>
  </si>
  <si>
    <t xml:space="preserve">404</t>
  </si>
  <si>
    <t xml:space="preserve">Niue</t>
  </si>
  <si>
    <t xml:space="preserve">_CLOSED_NZ_Post_Wellington 45002433</t>
  </si>
  <si>
    <t xml:space="preserve">L9.S.26010800</t>
  </si>
  <si>
    <t xml:space="preserve">2000004586</t>
  </si>
  <si>
    <t xml:space="preserve">_CLOSED_NZ-AE Smith - New Zealand</t>
  </si>
  <si>
    <t xml:space="preserve">L9.S.23016541</t>
  </si>
  <si>
    <t xml:space="preserve">R51</t>
  </si>
  <si>
    <t xml:space="preserve">_CLOSED_NZ-BP_Auckland_10 Madden St</t>
  </si>
  <si>
    <t xml:space="preserve">L9.DNZ.HA0379</t>
  </si>
  <si>
    <t xml:space="preserve">5254</t>
  </si>
  <si>
    <t xml:space="preserve">-36.841898</t>
  </si>
  <si>
    <t xml:space="preserve">174.756711</t>
  </si>
  <si>
    <t xml:space="preserve">_CLOSED_NZ-BP_Auckland_135 Albert St Façade Works</t>
  </si>
  <si>
    <t xml:space="preserve">L9.DNZ.HA0376</t>
  </si>
  <si>
    <t xml:space="preserve">5192</t>
  </si>
  <si>
    <t xml:space="preserve">Project Site - Building Construction - New location established following purchase of Hawkins 2024 - Auckland Council</t>
  </si>
  <si>
    <t xml:space="preserve">135 Albert Street, Auckland CBD</t>
  </si>
  <si>
    <t xml:space="preserve">-36.849908</t>
  </si>
  <si>
    <t xml:space="preserve">174.762402</t>
  </si>
  <si>
    <t xml:space="preserve">_CLOSED_NZ-BP_Auckland_AIAL Pier B Extension</t>
  </si>
  <si>
    <t xml:space="preserve">L9.DNZ.HA0156</t>
  </si>
  <si>
    <t xml:space="preserve">5188</t>
  </si>
  <si>
    <t xml:space="preserve">Project Site - Building Construction - New location established following purchase of Hawkins 2020 - Auckland Airport Limited</t>
  </si>
  <si>
    <t xml:space="preserve">AIAL 10 Manu Tapu Drive, Auckland CBD</t>
  </si>
  <si>
    <t xml:space="preserve">-36.999982</t>
  </si>
  <si>
    <t xml:space="preserve">174.782127</t>
  </si>
  <si>
    <t xml:space="preserve">_CLOSED_NZ-BP_Auckland_ATEED Mason Brothers</t>
  </si>
  <si>
    <t xml:space="preserve">L9.DNZ.HC0349</t>
  </si>
  <si>
    <t xml:space="preserve">5191</t>
  </si>
  <si>
    <t xml:space="preserve">Project Site - Building Construction - New location established following purchase of Hawkins 2023 - Ateed</t>
  </si>
  <si>
    <t xml:space="preserve">12 Madden Street, Auckland CBD</t>
  </si>
  <si>
    <t xml:space="preserve">1023</t>
  </si>
  <si>
    <t xml:space="preserve">-36.842118</t>
  </si>
  <si>
    <t xml:space="preserve">174.756572</t>
  </si>
  <si>
    <t xml:space="preserve">_CLOSED_NZ-BP_Auckland_Britomart East 3 Lifts</t>
  </si>
  <si>
    <t xml:space="preserve">L9.DNZ.HA0170</t>
  </si>
  <si>
    <t xml:space="preserve">5194</t>
  </si>
  <si>
    <t xml:space="preserve">Project Site - Building Construction - New location established following purchase of Hawkins 2026 - Britomart East Company</t>
  </si>
  <si>
    <t xml:space="preserve">2-16 Takutai Square &amp; 52-70 Galway St, Auckland CBD</t>
  </si>
  <si>
    <t xml:space="preserve">3204</t>
  </si>
  <si>
    <t xml:space="preserve">-36.844811</t>
  </si>
  <si>
    <t xml:space="preserve">174.769327</t>
  </si>
  <si>
    <t xml:space="preserve">2017/10/10</t>
  </si>
  <si>
    <t xml:space="preserve">_CLOSED_NZ-BP_Auckland_Building 5A Stage 2</t>
  </si>
  <si>
    <t xml:space="preserve">L9.DNZ.HA0154</t>
  </si>
  <si>
    <t xml:space="preserve">5187</t>
  </si>
  <si>
    <t xml:space="preserve">Project Site - Building Construction - New location established following purchase of Hawkins 2019 - Precinct Properties Wynyard Ltd</t>
  </si>
  <si>
    <t xml:space="preserve">_CLOSED_NZ-BP_Auckland_Connect ANZAC Apartments</t>
  </si>
  <si>
    <t xml:space="preserve">L9.DNZ.HA0157</t>
  </si>
  <si>
    <t xml:space="preserve">5189</t>
  </si>
  <si>
    <t xml:space="preserve">Project Site - Building Construction - New location established following purchase of Hawkins 2021 - Nereus Properties Limited</t>
  </si>
  <si>
    <t xml:space="preserve">70-74 Anzac Avenue, Auckland CBD</t>
  </si>
  <si>
    <t xml:space="preserve">-36.847581</t>
  </si>
  <si>
    <t xml:space="preserve">174.772884</t>
  </si>
  <si>
    <t xml:space="preserve">_CLOSED_NZ-BP_Auckland_Middlemore Hospital Scott B</t>
  </si>
  <si>
    <t xml:space="preserve">L9.DNZ.HA0171</t>
  </si>
  <si>
    <t xml:space="preserve">5253</t>
  </si>
  <si>
    <t xml:space="preserve">_CLOSED_NZ-BP_Auckland_Park Hyatt Auckland Hotel_J</t>
  </si>
  <si>
    <t xml:space="preserve">L9.DNZ.CH001</t>
  </si>
  <si>
    <t xml:space="preserve">5195</t>
  </si>
  <si>
    <t xml:space="preserve">Project Site - Building Construction - New location established following purchase of Hawkins 2027 - Auckland Hotel Investments Limited</t>
  </si>
  <si>
    <t xml:space="preserve">99-135 Halsley Street, Auckland CBD</t>
  </si>
  <si>
    <t xml:space="preserve">3015</t>
  </si>
  <si>
    <t xml:space="preserve">-36.842462</t>
  </si>
  <si>
    <t xml:space="preserve">174.757948</t>
  </si>
  <si>
    <t xml:space="preserve">_CLOSED_NZ-BP_Auckland_UOA B507 Park West</t>
  </si>
  <si>
    <t xml:space="preserve">L9.DNZ.HA0167</t>
  </si>
  <si>
    <t xml:space="preserve">5193</t>
  </si>
  <si>
    <t xml:space="preserve">Project Site - Building Construction - New location established following purchase of Hawkins 2025 - University of Auckland</t>
  </si>
  <si>
    <t xml:space="preserve">26 Park Avenue, Grafton</t>
  </si>
  <si>
    <t xml:space="preserve">-36.861762</t>
  </si>
  <si>
    <t xml:space="preserve">174.768334</t>
  </si>
  <si>
    <t xml:space="preserve">2017/08/25</t>
  </si>
  <si>
    <t xml:space="preserve">_CLOSED_NZ-BP_Auckland_UOA Engineering Building</t>
  </si>
  <si>
    <t xml:space="preserve">L9.DNZ.HA0163</t>
  </si>
  <si>
    <t xml:space="preserve">5190</t>
  </si>
  <si>
    <t xml:space="preserve">Project Site - Building Construction - New location established following purchase of Hawkins 2022 - University of Auckland</t>
  </si>
  <si>
    <t xml:space="preserve">20-26 Symonds Street, Auckland CBD</t>
  </si>
  <si>
    <t xml:space="preserve">-36.853835</t>
  </si>
  <si>
    <t xml:space="preserve">174.768859</t>
  </si>
  <si>
    <t xml:space="preserve">_CLOSED_NZ-BP_Central_Cook Street Social Club</t>
  </si>
  <si>
    <t xml:space="preserve">L9.DNZJ.149080</t>
  </si>
  <si>
    <t xml:space="preserve">Project Site - Building Construction - New location established following purchase of Hawkins 2038 - Odd Fellows Hospitality Ltd</t>
  </si>
  <si>
    <t xml:space="preserve">7 Cook Street, Hamilton East</t>
  </si>
  <si>
    <t xml:space="preserve">-37.793315</t>
  </si>
  <si>
    <t xml:space="preserve">175.294028</t>
  </si>
  <si>
    <t xml:space="preserve">2017/10/16</t>
  </si>
  <si>
    <t xml:space="preserve">_CLOSED_NZ-BP_Central_Gilmours Fitout from Basebui</t>
  </si>
  <si>
    <t xml:space="preserve">L9.DNZ.HC0319</t>
  </si>
  <si>
    <t xml:space="preserve">5209</t>
  </si>
  <si>
    <t xml:space="preserve">Project Site - Building Construction - New location established following purchase of Hawkins 2041 - Foodstuffs North Island Limited</t>
  </si>
  <si>
    <t xml:space="preserve">31 Taurikura Drive, Tauriko</t>
  </si>
  <si>
    <t xml:space="preserve">6022</t>
  </si>
  <si>
    <t xml:space="preserve">-37.741582</t>
  </si>
  <si>
    <t xml:space="preserve">176.102554</t>
  </si>
  <si>
    <t xml:space="preserve">2018/01/08</t>
  </si>
  <si>
    <t xml:space="preserve">_CLOSED_NZ-BP_Central_Red Stag New Planer Mill</t>
  </si>
  <si>
    <t xml:space="preserve">L9.DNZ.HC0322</t>
  </si>
  <si>
    <t xml:space="preserve">5204</t>
  </si>
  <si>
    <t xml:space="preserve">Project Site - Building Construction - New location established following purchase of Hawkins 2036 - Red Stag Timber Ltd</t>
  </si>
  <si>
    <t xml:space="preserve">Waipa State Mill Road, Whakarewarewa</t>
  </si>
  <si>
    <t xml:space="preserve">3216</t>
  </si>
  <si>
    <t xml:space="preserve">-38.179751</t>
  </si>
  <si>
    <t xml:space="preserve">176.260858</t>
  </si>
  <si>
    <t xml:space="preserve">2017/06/20</t>
  </si>
  <si>
    <t xml:space="preserve">_CLOSED_NZ-BP_Central_Skycity L3 Office Redevelopm</t>
  </si>
  <si>
    <t xml:space="preserve">L9.DNZ.HC0332</t>
  </si>
  <si>
    <t xml:space="preserve">5208</t>
  </si>
  <si>
    <t xml:space="preserve">Project Site - Building Construction - New location established following purchase of Hawkins 2040 - Sky City Hamilton Limited</t>
  </si>
  <si>
    <t xml:space="preserve">346 Victoria Street, Hamilton Central</t>
  </si>
  <si>
    <t xml:space="preserve">-37.787019</t>
  </si>
  <si>
    <t xml:space="preserve">175.283838</t>
  </si>
  <si>
    <t xml:space="preserve">2017/11/29</t>
  </si>
  <si>
    <t xml:space="preserve">_CLOSED_NZ-BP_Central_Tauranga Crossing Stage 2</t>
  </si>
  <si>
    <t xml:space="preserve">L9.DNZ.HC0318</t>
  </si>
  <si>
    <t xml:space="preserve">5201</t>
  </si>
  <si>
    <t xml:space="preserve">Project Site - Building Construction - New location established following purchase of Hawkins 2033 - Tauranga Crossing Ltd</t>
  </si>
  <si>
    <t xml:space="preserve">2 Taurikura Drive, Tauriko</t>
  </si>
  <si>
    <t xml:space="preserve">-37.740885</t>
  </si>
  <si>
    <t xml:space="preserve">176.103612</t>
  </si>
  <si>
    <t xml:space="preserve">2017/05/04</t>
  </si>
  <si>
    <t xml:space="preserve">_CLOSED_NZ-BP_Central_The-Depot-Farmers</t>
  </si>
  <si>
    <t xml:space="preserve">L9.DNZ.HC0325</t>
  </si>
  <si>
    <t xml:space="preserve">5207</t>
  </si>
  <si>
    <t xml:space="preserve">Project Site - Building Construction - New location established following purchase of Hawkins 2039 - Tauranga Crossing Ltd</t>
  </si>
  <si>
    <t xml:space="preserve">_CLOSED_NZ-BP_Central_The-Depot-Gilmours</t>
  </si>
  <si>
    <t xml:space="preserve">5202</t>
  </si>
  <si>
    <t xml:space="preserve">Project Site - Building Construction - New location established following purchase of Hawkins 2034 - Tauranga Crossing Ltd</t>
  </si>
  <si>
    <t xml:space="preserve">5 Taurikura Drive, Tauriko</t>
  </si>
  <si>
    <t xml:space="preserve">3073</t>
  </si>
  <si>
    <t xml:space="preserve">-37.741014</t>
  </si>
  <si>
    <t xml:space="preserve">176.104118</t>
  </si>
  <si>
    <t xml:space="preserve">2017/06/19</t>
  </si>
  <si>
    <t xml:space="preserve">_CLOSED_NZ-BP_Central_UOW Tauranga Campus</t>
  </si>
  <si>
    <t xml:space="preserve">L9.DNZ.HC0321</t>
  </si>
  <si>
    <t xml:space="preserve">5203</t>
  </si>
  <si>
    <t xml:space="preserve">Project Site - Building Construction - New location established following purchase of Hawkins 2035 - The University of Waikato</t>
  </si>
  <si>
    <t xml:space="preserve">Durham Street</t>
  </si>
  <si>
    <t xml:space="preserve">3189</t>
  </si>
  <si>
    <t xml:space="preserve">-37.684281</t>
  </si>
  <si>
    <t xml:space="preserve">176.16743</t>
  </si>
  <si>
    <t xml:space="preserve">2017/07/17</t>
  </si>
  <si>
    <t xml:space="preserve">_CLOSED_NZ-BP_Central_Wananga Precinct Te Puia</t>
  </si>
  <si>
    <t xml:space="preserve">L9.DNZ.HC0304</t>
  </si>
  <si>
    <t xml:space="preserve">5199</t>
  </si>
  <si>
    <t xml:space="preserve">Project Site - Building Construction - New location established following purchase of Hawkins 2031 - NZ Maori Arts &amp; Crafts Institute</t>
  </si>
  <si>
    <t xml:space="preserve">Hemo Road, Tihiotonga</t>
  </si>
  <si>
    <t xml:space="preserve">-38.163475</t>
  </si>
  <si>
    <t xml:space="preserve">176.249671</t>
  </si>
  <si>
    <t xml:space="preserve">_CLOSED_NZ-BP_Central_Zespri Head Office</t>
  </si>
  <si>
    <t xml:space="preserve">L9.DNZ.HC0316</t>
  </si>
  <si>
    <t xml:space="preserve">5200</t>
  </si>
  <si>
    <t xml:space="preserve">Project Site - Building Construction - New location established following purchase of Hawkins 2032 - Zespri Group Ltd</t>
  </si>
  <si>
    <t xml:space="preserve">400 Maunganui Road, Mount Maunganui</t>
  </si>
  <si>
    <t xml:space="preserve">-37.646341</t>
  </si>
  <si>
    <t xml:space="preserve">176.190217</t>
  </si>
  <si>
    <t xml:space="preserve">_CLOSED_NZ-BP_South-Island_Ashburton Fire Station</t>
  </si>
  <si>
    <t xml:space="preserve">L9.DNZ.HI0316</t>
  </si>
  <si>
    <t xml:space="preserve">5243</t>
  </si>
  <si>
    <t xml:space="preserve">Project Site - Building Construction - New location established following purchase of Hawkins 2075 - New Zealand Fire Service</t>
  </si>
  <si>
    <t xml:space="preserve">332 Burnett Street</t>
  </si>
  <si>
    <t xml:space="preserve">Ashburton</t>
  </si>
  <si>
    <t xml:space="preserve">-43.9069686</t>
  </si>
  <si>
    <t xml:space="preserve">171.7505008</t>
  </si>
  <si>
    <t xml:space="preserve">2017/08/21</t>
  </si>
  <si>
    <t xml:space="preserve">2018/02/26</t>
  </si>
  <si>
    <t xml:space="preserve">_CLOSED_NZ-BP_South-Island_Balclutha Primary Schoo</t>
  </si>
  <si>
    <t xml:space="preserve">L9.DNZ.HI0320</t>
  </si>
  <si>
    <t xml:space="preserve">5247</t>
  </si>
  <si>
    <t xml:space="preserve">Project Site - Building Construction - New location established following purchase of Hawkins 2079 - Balclutha Primary School Board</t>
  </si>
  <si>
    <t xml:space="preserve">19 Lanark Street</t>
  </si>
  <si>
    <t xml:space="preserve">-46.2395243</t>
  </si>
  <si>
    <t xml:space="preserve">169.742956199999</t>
  </si>
  <si>
    <t xml:space="preserve">2017/11/19</t>
  </si>
  <si>
    <t xml:space="preserve">_CLOSED_NZ-BP_South-Island_CIAL Swirl Replacement</t>
  </si>
  <si>
    <t xml:space="preserve">L9.DNZJ.55533</t>
  </si>
  <si>
    <t xml:space="preserve">Project Site - Building Construction - New location established following purchase of Hawkins 2069 - Airways Corporation of NZ</t>
  </si>
  <si>
    <t xml:space="preserve">Christchurch Airport,Orchard Road</t>
  </si>
  <si>
    <t xml:space="preserve">-43.4863981</t>
  </si>
  <si>
    <t xml:space="preserve">172.536870499999</t>
  </si>
  <si>
    <t xml:space="preserve">2017/06/02</t>
  </si>
  <si>
    <t xml:space="preserve">2017/07/07</t>
  </si>
  <si>
    <t xml:space="preserve">_CLOSED_NZ-BP_South-Island_KEB DOSE Café Fitout</t>
  </si>
  <si>
    <t xml:space="preserve">L9.DNZ.HI0315</t>
  </si>
  <si>
    <t xml:space="preserve">5239</t>
  </si>
  <si>
    <t xml:space="preserve">Project Site - Building Construction - New location established following purchase of Hawkins 2071 - WESTEND STORIES LIMITED</t>
  </si>
  <si>
    <t xml:space="preserve">65 Cashel Street</t>
  </si>
  <si>
    <t xml:space="preserve">-43.5328097</t>
  </si>
  <si>
    <t xml:space="preserve">172.6315719</t>
  </si>
  <si>
    <t xml:space="preserve">2017/10/18</t>
  </si>
  <si>
    <t xml:space="preserve">_CLOSED_NZ-BP_South-Island_KOHA Fitness Fitout</t>
  </si>
  <si>
    <t xml:space="preserve">L9.S.26017887</t>
  </si>
  <si>
    <t xml:space="preserve">5245</t>
  </si>
  <si>
    <t xml:space="preserve">Project Site - Building Construction - New location established following purchase of Hawkins 2077 - Koha Fitness Christchurch Limi</t>
  </si>
  <si>
    <t xml:space="preserve">48 Hereford Street</t>
  </si>
  <si>
    <t xml:space="preserve">-43.5322111</t>
  </si>
  <si>
    <t xml:space="preserve">172.6325083</t>
  </si>
  <si>
    <t xml:space="preserve">2017/09/11</t>
  </si>
  <si>
    <t xml:space="preserve">2017/12/08</t>
  </si>
  <si>
    <t xml:space="preserve">_CLOSED_NZ-BP_South-Island_KPMG Office Fitout</t>
  </si>
  <si>
    <t xml:space="preserve">L9.DNZ.HI0322</t>
  </si>
  <si>
    <t xml:space="preserve">5249</t>
  </si>
  <si>
    <t xml:space="preserve">Project Site - Building Construction - New location established following purchase of Hawkins 2081 - KPMG</t>
  </si>
  <si>
    <t xml:space="preserve">90 Hereford Street</t>
  </si>
  <si>
    <t xml:space="preserve">-43.5322485</t>
  </si>
  <si>
    <t xml:space="preserve">172.634727</t>
  </si>
  <si>
    <t xml:space="preserve">2017/12/04</t>
  </si>
  <si>
    <t xml:space="preserve">_CLOSED_NZ-BP_South-Island_La Residence Du Parc</t>
  </si>
  <si>
    <t xml:space="preserve">L9.DNZ.HS0128</t>
  </si>
  <si>
    <t xml:space="preserve">5233</t>
  </si>
  <si>
    <t xml:space="preserve">Project Site - Building Construction - New location established following purchase of Hawkins 2065 - Residence Du Parc Limited</t>
  </si>
  <si>
    <t xml:space="preserve">154 Arthurs Point Road, Arthurs Point</t>
  </si>
  <si>
    <t xml:space="preserve">Central Otago</t>
  </si>
  <si>
    <t xml:space="preserve">9300</t>
  </si>
  <si>
    <t xml:space="preserve">-44.9805465</t>
  </si>
  <si>
    <t xml:space="preserve">168.685422099999</t>
  </si>
  <si>
    <t xml:space="preserve">2017/10/09</t>
  </si>
  <si>
    <t xml:space="preserve">_CLOSED_NZ-BP_South-Island_Lot 32 Glenda Drive</t>
  </si>
  <si>
    <t xml:space="preserve">L9.DNZ.HI0319</t>
  </si>
  <si>
    <t xml:space="preserve">5242</t>
  </si>
  <si>
    <t xml:space="preserve">Project Site - Building Construction - New location established following purchase of Hawkins 2074 - M-Space Limited Partnership</t>
  </si>
  <si>
    <t xml:space="preserve">Lot 32 Glenda Drive</t>
  </si>
  <si>
    <t xml:space="preserve">-45.0082185</t>
  </si>
  <si>
    <t xml:space="preserve">168.749545099999</t>
  </si>
  <si>
    <t xml:space="preserve">2017/08/01</t>
  </si>
  <si>
    <t xml:space="preserve">_CLOSED_NZ-BP_South-Island_Lyttelton Timeball Stat</t>
  </si>
  <si>
    <t xml:space="preserve">5241</t>
  </si>
  <si>
    <t xml:space="preserve">Project Site - Building Construction - New location established following purchase of Hawkins 2073 - Heritage New Zealand Pouhere Taonga</t>
  </si>
  <si>
    <t xml:space="preserve">2 Reserve Terrace</t>
  </si>
  <si>
    <t xml:space="preserve">7700</t>
  </si>
  <si>
    <t xml:space="preserve">-43.6066552</t>
  </si>
  <si>
    <t xml:space="preserve">172.726175199999</t>
  </si>
  <si>
    <t xml:space="preserve">_CLOSED_NZ-BP_South-Island_Mainstream Building Upg</t>
  </si>
  <si>
    <t xml:space="preserve">5246</t>
  </si>
  <si>
    <t xml:space="preserve">Project Site - Building Construction - New location established following purchase of Hawkins 2078 - Saltire Trust</t>
  </si>
  <si>
    <t xml:space="preserve">6 Jipcho Place, Sockburn</t>
  </si>
  <si>
    <t xml:space="preserve">8013</t>
  </si>
  <si>
    <t xml:space="preserve">-43.5429275</t>
  </si>
  <si>
    <t xml:space="preserve">172.5656689</t>
  </si>
  <si>
    <t xml:space="preserve">2017/09/27</t>
  </si>
  <si>
    <t xml:space="preserve">2018/01/22</t>
  </si>
  <si>
    <t xml:space="preserve">_CLOSED_NZ-BP_South-Island_NBS Seismic Strengtheni</t>
  </si>
  <si>
    <t xml:space="preserve">L9.DNZ.HW0151</t>
  </si>
  <si>
    <t xml:space="preserve">5248</t>
  </si>
  <si>
    <t xml:space="preserve">Project Site - Building Construction - New location established following purchase of Hawkins 2080 - KOREAN PRESBYTERIAN CHURCH</t>
  </si>
  <si>
    <t xml:space="preserve">75 Packe Street, St Albans</t>
  </si>
  <si>
    <t xml:space="preserve">-43.5177993</t>
  </si>
  <si>
    <t xml:space="preserve">172.6446773</t>
  </si>
  <si>
    <t xml:space="preserve">2017/10/19</t>
  </si>
  <si>
    <t xml:space="preserve">2017/12/20</t>
  </si>
  <si>
    <t xml:space="preserve">_CLOSED_NZ-BP_South-Island_NEB Building</t>
  </si>
  <si>
    <t xml:space="preserve">L9.DNZ.HS0124</t>
  </si>
  <si>
    <t xml:space="preserve">5231</t>
  </si>
  <si>
    <t xml:space="preserve">Project Site - Building Construction - New location established following purchase of Hawkins 2063 - University of Canterbury</t>
  </si>
  <si>
    <t xml:space="preserve">Cnr Arts &amp; Forestry Roads, Univeristy of Canterbury</t>
  </si>
  <si>
    <t xml:space="preserve">-43.5236223</t>
  </si>
  <si>
    <t xml:space="preserve">172.5847314</t>
  </si>
  <si>
    <t xml:space="preserve">_CLOSED_NZ-BP_South-Island_Nga Puna Wai Sports Hub</t>
  </si>
  <si>
    <t xml:space="preserve">L9.DNZ.HS0132</t>
  </si>
  <si>
    <t xml:space="preserve">5251</t>
  </si>
  <si>
    <t xml:space="preserve">Project Site - Building Construction - New location established following purchase of Hawkins 2017 - Nga Puna Wai</t>
  </si>
  <si>
    <t xml:space="preserve">2018/03/01</t>
  </si>
  <si>
    <t xml:space="preserve">_CLOSED_NZ-BP_South-Island_NZ Post Small Works 201</t>
  </si>
  <si>
    <t xml:space="preserve">5236</t>
  </si>
  <si>
    <t xml:space="preserve">Project Site - Building Construction - New location established following purchase of Hawkins 2068 - NZ Post Properties</t>
  </si>
  <si>
    <t xml:space="preserve">Various - supported from Unit 14 Barry Hogan Place</t>
  </si>
  <si>
    <t xml:space="preserve">_CLOSED_NZ-BP_South-Island_Opus Int Office Fitout</t>
  </si>
  <si>
    <t xml:space="preserve">L9.DNZ.HI0306</t>
  </si>
  <si>
    <t xml:space="preserve">5235</t>
  </si>
  <si>
    <t xml:space="preserve">Project Site - Building Construction - New location established following purchase of Hawkins 2067 - Opus International Consultants</t>
  </si>
  <si>
    <t xml:space="preserve">Level 1, Five Mile Centre, Grant Road, Frankton</t>
  </si>
  <si>
    <t xml:space="preserve">-45.0156059</t>
  </si>
  <si>
    <t xml:space="preserve">168.747069799999</t>
  </si>
  <si>
    <t xml:space="preserve">2017/04/26</t>
  </si>
  <si>
    <t xml:space="preserve">2017/07/06</t>
  </si>
  <si>
    <t xml:space="preserve">_CLOSED_NZ-BP_South-Island_Pacific After Hours Rad</t>
  </si>
  <si>
    <t xml:space="preserve">L9.DNZ.HI0305</t>
  </si>
  <si>
    <t xml:space="preserve">5234</t>
  </si>
  <si>
    <t xml:space="preserve">Project Site - Building Construction - New location established following purchase of Hawkins 2066 - Pacific Radiology</t>
  </si>
  <si>
    <t xml:space="preserve">401 Madras Street</t>
  </si>
  <si>
    <t xml:space="preserve">-43.5217193999999</t>
  </si>
  <si>
    <t xml:space="preserve">172.6416341</t>
  </si>
  <si>
    <t xml:space="preserve">2010/04/03</t>
  </si>
  <si>
    <t xml:space="preserve">2018/04/04</t>
  </si>
  <si>
    <t xml:space="preserve">_CLOSED_NZ-BP_South-Island_Skope Warehouse Extensi</t>
  </si>
  <si>
    <t xml:space="preserve">L9.DNZ.HI0310</t>
  </si>
  <si>
    <t xml:space="preserve">5238</t>
  </si>
  <si>
    <t xml:space="preserve">Project Site - Building Construction - New location established following purchase of Hawkins 2070 - Skope Industries Ltd</t>
  </si>
  <si>
    <t xml:space="preserve">Princess Street, Addington</t>
  </si>
  <si>
    <t xml:space="preserve">8223</t>
  </si>
  <si>
    <t xml:space="preserve">-43.5386521</t>
  </si>
  <si>
    <t xml:space="preserve">172.6000409</t>
  </si>
  <si>
    <t xml:space="preserve">2017/06/21</t>
  </si>
  <si>
    <t xml:space="preserve">2017/10/25</t>
  </si>
  <si>
    <t xml:space="preserve">_CLOSED_NZ-BP_South-Island_Terraces-Stage-1 - BLD</t>
  </si>
  <si>
    <t xml:space="preserve">L9.DNZJ.700097</t>
  </si>
  <si>
    <t xml:space="preserve">5230</t>
  </si>
  <si>
    <t xml:space="preserve">Project Site - Building Construction - New location established following purchase of Hawkins 2062 - Hereford Holdings Limited</t>
  </si>
  <si>
    <t xml:space="preserve">8024</t>
  </si>
  <si>
    <t xml:space="preserve">_CLOSED_NZ-BP_South-Island_Terraces-Stage-2 - Buil</t>
  </si>
  <si>
    <t xml:space="preserve">5228</t>
  </si>
  <si>
    <t xml:space="preserve">Project Site - Building Construction - New location established following purchase of Hawkins 2060 - The Terrace on Avon Ltd</t>
  </si>
  <si>
    <t xml:space="preserve">90 Hereford Street, Christchurch</t>
  </si>
  <si>
    <t xml:space="preserve">_CLOSED_NZ-BP_South-Island_Tower Junction Building</t>
  </si>
  <si>
    <t xml:space="preserve">L9.DNZ.HS0127</t>
  </si>
  <si>
    <t xml:space="preserve">5232</t>
  </si>
  <si>
    <t xml:space="preserve">Project Site - Building Construction - New location established following purchase of Hawkins 2064 - Ngai Tahu Property Limited</t>
  </si>
  <si>
    <t xml:space="preserve">Whiteleigh Avenue</t>
  </si>
  <si>
    <t xml:space="preserve">-43.5387454</t>
  </si>
  <si>
    <t xml:space="preserve">172.6064238</t>
  </si>
  <si>
    <t xml:space="preserve">_CLOSED_NZ-BP_South-Island_Westpac -SHF Fitout</t>
  </si>
  <si>
    <t xml:space="preserve">5244</t>
  </si>
  <si>
    <t xml:space="preserve">Project Site - Building Construction - New location established following purchase of Hawkins 2076 - WESTPAC NZ INVESTMENTS LTD</t>
  </si>
  <si>
    <t xml:space="preserve">83 Cashel Street</t>
  </si>
  <si>
    <t xml:space="preserve">-43.532985</t>
  </si>
  <si>
    <t xml:space="preserve">172.6343614</t>
  </si>
  <si>
    <t xml:space="preserve">2018/01/26</t>
  </si>
  <si>
    <t xml:space="preserve">_CLOSED_NZ-BP_South-Island_Westpac-on-the-Terrace</t>
  </si>
  <si>
    <t xml:space="preserve">5250</t>
  </si>
  <si>
    <t xml:space="preserve">Project Site - Building Construction - New location established following purchase of Hawkins 2082 - WESTPAC NZ INVESTMENTS LTD</t>
  </si>
  <si>
    <t xml:space="preserve">_CLOSED_NZ-BP_South-Island_Woolston Fire Station</t>
  </si>
  <si>
    <t xml:space="preserve">L9.DNZ.HI0312</t>
  </si>
  <si>
    <t xml:space="preserve">5240</t>
  </si>
  <si>
    <t xml:space="preserve">Project Site - Building Construction - New location established following purchase of Hawkins 2072 - New Zealand Fire Service</t>
  </si>
  <si>
    <t xml:space="preserve">925 Ferry Road, Woolston</t>
  </si>
  <si>
    <t xml:space="preserve">-43.5558485</t>
  </si>
  <si>
    <t xml:space="preserve">172.695747799999</t>
  </si>
  <si>
    <t xml:space="preserve">_CLOSED_NZ-BP_Wellington_Arlington Apartments</t>
  </si>
  <si>
    <t xml:space="preserve">L9.DNZ.HW0116</t>
  </si>
  <si>
    <t xml:space="preserve">5212</t>
  </si>
  <si>
    <t xml:space="preserve">Project Site - Building Construction - New location established following purchase of Hawkins 2044 - Wellington City Council</t>
  </si>
  <si>
    <t xml:space="preserve">Corner of Taranaki and Hopper Street, Mt Cook</t>
  </si>
  <si>
    <t xml:space="preserve">Kelburn</t>
  </si>
  <si>
    <t xml:space="preserve">-41.300846</t>
  </si>
  <si>
    <t xml:space="preserve">174.773601</t>
  </si>
  <si>
    <t xml:space="preserve">_CLOSED_NZ-BP_Wellington_Callaghan MSL Project</t>
  </si>
  <si>
    <t xml:space="preserve">L9.DNZ.HW0165</t>
  </si>
  <si>
    <t xml:space="preserve">5224</t>
  </si>
  <si>
    <t xml:space="preserve">Project Site - Building Construction - New location established following purchase of Hawkins 2056 - Callaghan Innovation</t>
  </si>
  <si>
    <t xml:space="preserve">69 Gracefield Road, Lower Hutt</t>
  </si>
  <si>
    <t xml:space="preserve">-41.234943</t>
  </si>
  <si>
    <t xml:space="preserve">174.917233</t>
  </si>
  <si>
    <t xml:space="preserve">2017/12/07</t>
  </si>
  <si>
    <t xml:space="preserve">_CLOSED_NZ-BP_Wellington_Kelburn Normal School Red</t>
  </si>
  <si>
    <t xml:space="preserve">L9.DNZ.HW0146</t>
  </si>
  <si>
    <t xml:space="preserve">5217</t>
  </si>
  <si>
    <t xml:space="preserve">Project Site - Building Construction - New location established following purchase of Hawkins 2049 - Ministry of Education</t>
  </si>
  <si>
    <t xml:space="preserve">16 Kowhai Road, Kelburn</t>
  </si>
  <si>
    <t xml:space="preserve">6012</t>
  </si>
  <si>
    <t xml:space="preserve">-41.286987</t>
  </si>
  <si>
    <t xml:space="preserve">174.762153</t>
  </si>
  <si>
    <t xml:space="preserve">_CLOSED_NZ-BP_Wellington_Kiwibank Fitout</t>
  </si>
  <si>
    <t xml:space="preserve">L9.DNZ.HW0158</t>
  </si>
  <si>
    <t xml:space="preserve">5223</t>
  </si>
  <si>
    <t xml:space="preserve">Project Site - Building Construction - New location established following purchase of Hawkins 2055 - Kiwibank Limited</t>
  </si>
  <si>
    <t xml:space="preserve">20 Customhouse Quay, Thorndon</t>
  </si>
  <si>
    <t xml:space="preserve">-41.282892</t>
  </si>
  <si>
    <t xml:space="preserve">174.777897</t>
  </si>
  <si>
    <t xml:space="preserve">2017/12/21</t>
  </si>
  <si>
    <t xml:space="preserve">_CLOSED_NZ-BP_Wellington_Laby Building Level 2 LAB</t>
  </si>
  <si>
    <t xml:space="preserve">L9.DNZ.HW0148</t>
  </si>
  <si>
    <t xml:space="preserve">5219</t>
  </si>
  <si>
    <t xml:space="preserve">Project Site - Building Construction - New location established following purchase of Hawkins 2051 - Victoria University of Wellington</t>
  </si>
  <si>
    <t xml:space="preserve">1-21 Kelburn Parade, Victoria University of Wellington</t>
  </si>
  <si>
    <t xml:space="preserve">-41.289319</t>
  </si>
  <si>
    <t xml:space="preserve">174.768741</t>
  </si>
  <si>
    <t xml:space="preserve">2017/08/31</t>
  </si>
  <si>
    <t xml:space="preserve">_CLOSED_NZ-BP_Wellington_Scots College Boarding Ho</t>
  </si>
  <si>
    <t xml:space="preserve">L9.DNZ.HW0144</t>
  </si>
  <si>
    <t xml:space="preserve">5215</t>
  </si>
  <si>
    <t xml:space="preserve">Project Site - Building Construction - New location established following purchase of Hawkins 2047 - Scots College Incorporated</t>
  </si>
  <si>
    <t xml:space="preserve">1 Monorgan Road, Strathmore Park</t>
  </si>
  <si>
    <t xml:space="preserve">-41.328311</t>
  </si>
  <si>
    <t xml:space="preserve">174.819293</t>
  </si>
  <si>
    <t xml:space="preserve">2018/01/31</t>
  </si>
  <si>
    <t xml:space="preserve">_CLOSED_NZ-BP_Wellington_St-Pauls-Apartments-Compl</t>
  </si>
  <si>
    <t xml:space="preserve">L9.DNZ.HW0149</t>
  </si>
  <si>
    <t xml:space="preserve">5220</t>
  </si>
  <si>
    <t xml:space="preserve">Project Site - Building Construction - New location established following purchase of Hawkins 2052 - Body Corporate A5978</t>
  </si>
  <si>
    <t xml:space="preserve">37 Pipitea Street, Thorndon</t>
  </si>
  <si>
    <t xml:space="preserve">-41.275699</t>
  </si>
  <si>
    <t xml:space="preserve">174.779311</t>
  </si>
  <si>
    <t xml:space="preserve">_CLOSED_NZ-BP_Wellington_St-Pauls-Square-Office-Re</t>
  </si>
  <si>
    <t xml:space="preserve">L9.DNZ.HW0138</t>
  </si>
  <si>
    <t xml:space="preserve">5213</t>
  </si>
  <si>
    <t xml:space="preserve">Project Site - Building Construction - New location established following purchase of Hawkins 2045 - PSPIB Waiheke Ltd</t>
  </si>
  <si>
    <t xml:space="preserve">45-47 Pipitea Street, Thorndon</t>
  </si>
  <si>
    <t xml:space="preserve">-41.276081</t>
  </si>
  <si>
    <t xml:space="preserve">174.778726</t>
  </si>
  <si>
    <t xml:space="preserve">2017/12/31</t>
  </si>
  <si>
    <t xml:space="preserve">_CLOSED_NZ-BP_Wellington_St-Pauls-Square-SHF-Contr</t>
  </si>
  <si>
    <t xml:space="preserve">5214</t>
  </si>
  <si>
    <t xml:space="preserve">Project Site - Building Construction - New location established following purchase of Hawkins 2046 - Department of Internal Affairs</t>
  </si>
  <si>
    <t xml:space="preserve">_CLOSED_NZ-BP_Wellington_Te Papa Museum Renewal L4</t>
  </si>
  <si>
    <t xml:space="preserve">L9.DNZ.HW0145</t>
  </si>
  <si>
    <t xml:space="preserve">5216</t>
  </si>
  <si>
    <t xml:space="preserve">Project Site - Building Construction - New location established following purchase of Hawkins 2048 - Museum of New Zealand</t>
  </si>
  <si>
    <t xml:space="preserve">55 Cable Street, CBD</t>
  </si>
  <si>
    <t xml:space="preserve">-41.290502</t>
  </si>
  <si>
    <t xml:space="preserve">174.781737</t>
  </si>
  <si>
    <t xml:space="preserve">2018/02/28</t>
  </si>
  <si>
    <t xml:space="preserve">_CLOSED_NZ-BP_Wellington_Thorndon School Refurb</t>
  </si>
  <si>
    <t xml:space="preserve">L9.DNZ.HW0147</t>
  </si>
  <si>
    <t xml:space="preserve">5218</t>
  </si>
  <si>
    <t xml:space="preserve">Project Site - Building Construction - New location established following purchase of Hawkins 2050 - Ministry of Education</t>
  </si>
  <si>
    <t xml:space="preserve">20 Turnbull Street, Thorndon</t>
  </si>
  <si>
    <t xml:space="preserve">-41.273976</t>
  </si>
  <si>
    <t xml:space="preserve">174.779994</t>
  </si>
  <si>
    <t xml:space="preserve">_CLOSED_NZ-BP_Wellington_TW-487 PN Hospital Substa</t>
  </si>
  <si>
    <t xml:space="preserve">L9.DNZ.HW0160</t>
  </si>
  <si>
    <t xml:space="preserve">5225</t>
  </si>
  <si>
    <t xml:space="preserve">Project Site - Building Construction - New location established following purchase of Hawkins 2057 - Downer New Zealand Limited</t>
  </si>
  <si>
    <t xml:space="preserve">Ruahine St, Roslyn, Palmerston North</t>
  </si>
  <si>
    <t xml:space="preserve">Manawatu</t>
  </si>
  <si>
    <t xml:space="preserve">-40.338988</t>
  </si>
  <si>
    <t xml:space="preserve">175.619717</t>
  </si>
  <si>
    <t xml:space="preserve">2018/03/07</t>
  </si>
  <si>
    <t xml:space="preserve">_CLOSED_NZ-BP_Wellington_Victoria Villas</t>
  </si>
  <si>
    <t xml:space="preserve">L9.DNZ.HW0156</t>
  </si>
  <si>
    <t xml:space="preserve">5222</t>
  </si>
  <si>
    <t xml:space="preserve">Project Site - Building Construction - New location established following purchase of Hawkins 2054 - Victoria Villas Body Corporate</t>
  </si>
  <si>
    <t xml:space="preserve">35 Pirie Street, Mt. Victoria</t>
  </si>
  <si>
    <t xml:space="preserve">-41.297232</t>
  </si>
  <si>
    <t xml:space="preserve">174.783971</t>
  </si>
  <si>
    <t xml:space="preserve">2017/09/28</t>
  </si>
  <si>
    <t xml:space="preserve">_CLOSED_NZ-BP_Wellington_Wellington Control Tower</t>
  </si>
  <si>
    <t xml:space="preserve">L9.DNZ.HW0082</t>
  </si>
  <si>
    <t xml:space="preserve">5211</t>
  </si>
  <si>
    <t xml:space="preserve">Project Site - Building Construction - New location established following purchase of Hawkins 2043 - Various</t>
  </si>
  <si>
    <t xml:space="preserve">1 George Bolt Street, Rongotai</t>
  </si>
  <si>
    <t xml:space="preserve">-41.326272</t>
  </si>
  <si>
    <t xml:space="preserve">174.802668</t>
  </si>
  <si>
    <t xml:space="preserve">_CLOSED_NZ-Central Services (IT/NSC)</t>
  </si>
  <si>
    <t xml:space="preserve">L9.DNZJ.101240</t>
  </si>
  <si>
    <t xml:space="preserve">524</t>
  </si>
  <si>
    <t xml:space="preserve">New "facility" established for divisional restructure from FY16. Previously included in facility named "Downer-NZ-Transport" for historical data.</t>
  </si>
  <si>
    <t xml:space="preserve">130 Kerrs Rd</t>
  </si>
  <si>
    <t xml:space="preserve">Wirri, Auckland</t>
  </si>
  <si>
    <t xml:space="preserve">-37.008338</t>
  </si>
  <si>
    <t xml:space="preserve">174.870574</t>
  </si>
  <si>
    <t xml:space="preserve">_CLOSED_NZ-Depot_FSU_AESmith_AucklandCBD</t>
  </si>
  <si>
    <t xml:space="preserve">L9.DUN.70110</t>
  </si>
  <si>
    <t xml:space="preserve">_CLOSED_NZ-Depot_FSU_Dunedin</t>
  </si>
  <si>
    <t xml:space="preserve">L9.DNZ.810.20162</t>
  </si>
  <si>
    <t xml:space="preserve">5262</t>
  </si>
  <si>
    <t xml:space="preserve">Support Services for FSU - added in FY19 following integration of Spotless business</t>
  </si>
  <si>
    <t xml:space="preserve">_CLOSED_NZ-Depot_FSU_Hamilton</t>
  </si>
  <si>
    <t xml:space="preserve">L9.DNZJ.159370</t>
  </si>
  <si>
    <t xml:space="preserve">5264</t>
  </si>
  <si>
    <t xml:space="preserve">_CLOSED_NZ-Depot_FSU_Napier</t>
  </si>
  <si>
    <t xml:space="preserve">L9.DNZ.810.20648</t>
  </si>
  <si>
    <t xml:space="preserve">5266</t>
  </si>
  <si>
    <t xml:space="preserve">Napier</t>
  </si>
  <si>
    <t xml:space="preserve">_CLOSED_NZ-Depot_FSU_New Plymouth</t>
  </si>
  <si>
    <t xml:space="preserve">5265</t>
  </si>
  <si>
    <t xml:space="preserve">_CLOSED_NZ-Depot_FSU_Palmerston North</t>
  </si>
  <si>
    <t xml:space="preserve">L9.DUN.1522</t>
  </si>
  <si>
    <t xml:space="preserve">5261</t>
  </si>
  <si>
    <t xml:space="preserve">_CLOSED_NZ-Depot_FSU_Penrose</t>
  </si>
  <si>
    <t xml:space="preserve">L9.DNZJ.1003</t>
  </si>
  <si>
    <t xml:space="preserve">5263</t>
  </si>
  <si>
    <t xml:space="preserve">_CLOSED_NZ-Depot_FSU_Util_P&amp;G_Elec_Coromandel</t>
  </si>
  <si>
    <t xml:space="preserve">L9.DNZ.810.20935</t>
  </si>
  <si>
    <t xml:space="preserve">5156</t>
  </si>
  <si>
    <t xml:space="preserve">710 Wharf Road</t>
  </si>
  <si>
    <t xml:space="preserve">-36.7619366</t>
  </si>
  <si>
    <t xml:space="preserve">175.4898005</t>
  </si>
  <si>
    <t xml:space="preserve">_CLOSED_NZ-Depot_TS_Gore</t>
  </si>
  <si>
    <t xml:space="preserve">L9.DNZJ.55672</t>
  </si>
  <si>
    <t xml:space="preserve">5030</t>
  </si>
  <si>
    <t xml:space="preserve">A</t>
  </si>
  <si>
    <t xml:space="preserve">12 Oreti Street, East Gore</t>
  </si>
  <si>
    <t xml:space="preserve">Gore</t>
  </si>
  <si>
    <t xml:space="preserve">4175</t>
  </si>
  <si>
    <t xml:space="preserve">-46.1162293999999</t>
  </si>
  <si>
    <t xml:space="preserve">168.927541199999</t>
  </si>
  <si>
    <t xml:space="preserve">_CLOSED_NZ-Depot_TS_Kurow (Excell)</t>
  </si>
  <si>
    <t xml:space="preserve">L9.DNZJ.55638</t>
  </si>
  <si>
    <t xml:space="preserve">5038</t>
  </si>
  <si>
    <t xml:space="preserve">2 Gordon Street</t>
  </si>
  <si>
    <t xml:space="preserve">Kurow</t>
  </si>
  <si>
    <t xml:space="preserve">-44.7369898</t>
  </si>
  <si>
    <t xml:space="preserve">170.470681</t>
  </si>
  <si>
    <t xml:space="preserve">_CLOSED_NZ-Infrastructure Services</t>
  </si>
  <si>
    <t xml:space="preserve">L9.DNZJ.881003</t>
  </si>
  <si>
    <t xml:space="preserve">522</t>
  </si>
  <si>
    <t xml:space="preserve">New "facility" established for divisional restructure from FY16. Historical data included in previously facility named "Downer-NZ-Transport" for.</t>
  </si>
  <si>
    <t xml:space="preserve">NZ wide - H/O 130 Kerrs Rd</t>
  </si>
  <si>
    <t xml:space="preserve">_CLOSED_NZ-IP_South_Dundas-St-Bridge-Culvert-Upgra</t>
  </si>
  <si>
    <t xml:space="preserve">L9.DNZJ.DS2641</t>
  </si>
  <si>
    <t xml:space="preserve">5313</t>
  </si>
  <si>
    <t xml:space="preserve">_CLOSED_NZ-Major Projects</t>
  </si>
  <si>
    <t xml:space="preserve">L9.DNZJ.550206</t>
  </si>
  <si>
    <t xml:space="preserve">87</t>
  </si>
  <si>
    <t xml:space="preserve">Numerous project sites throughout New Zealand</t>
  </si>
  <si>
    <t xml:space="preserve">103 Carbine Road, Mt Wellington and NZ wide locations</t>
  </si>
  <si>
    <t xml:space="preserve">-36.921345</t>
  </si>
  <si>
    <t xml:space="preserve">174.846378</t>
  </si>
  <si>
    <t xml:space="preserve">_CLOSED_NZ-Office_BP_Central_RSO-Rotorua</t>
  </si>
  <si>
    <t xml:space="preserve">L9.DNZJ.2409</t>
  </si>
  <si>
    <t xml:space="preserve">5197</t>
  </si>
  <si>
    <t xml:space="preserve">Support services for projects located at numerous sites throughout Western BOP - New location established following purchase of Hawkins 2029</t>
  </si>
  <si>
    <t xml:space="preserve">79-81 Riri Street</t>
  </si>
  <si>
    <t xml:space="preserve">3010</t>
  </si>
  <si>
    <t xml:space="preserve">-38.113175</t>
  </si>
  <si>
    <t xml:space="preserve">176.229595</t>
  </si>
  <si>
    <t xml:space="preserve">_CLOSED_NZ-Office_BP_Central_RSO-Tauranga</t>
  </si>
  <si>
    <t xml:space="preserve">L9.DUN.1617</t>
  </si>
  <si>
    <t xml:space="preserve">5198</t>
  </si>
  <si>
    <t xml:space="preserve">Support services for projects located at numerous sites throughout Eastern BOP - New location established following purchase of Hawkins 2030</t>
  </si>
  <si>
    <t xml:space="preserve">Unit 3, 144 Third Avenue</t>
  </si>
  <si>
    <t xml:space="preserve">-37.689342</t>
  </si>
  <si>
    <t xml:space="preserve">176.160316</t>
  </si>
  <si>
    <t xml:space="preserve">2017/11/30</t>
  </si>
  <si>
    <t xml:space="preserve">_CLOSED_NZ-Office_BP_PMO Office</t>
  </si>
  <si>
    <t xml:space="preserve">L9.DNZJ.6021</t>
  </si>
  <si>
    <t xml:space="preserve">5227</t>
  </si>
  <si>
    <t xml:space="preserve">Support services for Insurance earthquake repair work throughout South Island (Housing Construction) - New location established following purchase of Hawkins 2059</t>
  </si>
  <si>
    <t xml:space="preserve">Unit 9, Barry Hogan Place</t>
  </si>
  <si>
    <t xml:space="preserve">-43.5403161</t>
  </si>
  <si>
    <t xml:space="preserve">172.5995169</t>
  </si>
  <si>
    <t xml:space="preserve">_CLOSED_NZ-Products</t>
  </si>
  <si>
    <t xml:space="preserve">L9.DNZJ.3019</t>
  </si>
  <si>
    <t xml:space="preserve">520</t>
  </si>
  <si>
    <t xml:space="preserve">New "facility" established for divisional restructure from FY16</t>
  </si>
  <si>
    <t xml:space="preserve">All Bitumen Supply (Road Science) Sites across NZ (Mt Maunganui, New Plymouth, Lyttelton, Bluff Plants, Office and Laboratory)</t>
  </si>
  <si>
    <t xml:space="preserve">NZ</t>
  </si>
  <si>
    <t xml:space="preserve">_CLOSED_NZ-Samoa</t>
  </si>
  <si>
    <t xml:space="preserve">L9.DNZJ.300203</t>
  </si>
  <si>
    <t xml:space="preserve">5260</t>
  </si>
  <si>
    <t xml:space="preserve">Project Site - Infrastructure Projects - New location established in FY19</t>
  </si>
  <si>
    <t xml:space="preserve">Fa‘asaleleaga</t>
  </si>
  <si>
    <t xml:space="preserve">Samoa</t>
  </si>
  <si>
    <t xml:space="preserve">_CLOSED_NZ-Support_BP_Recharges</t>
  </si>
  <si>
    <t xml:space="preserve">5304</t>
  </si>
  <si>
    <t xml:space="preserve">_CLOSED_NZ-Technology Solutions &amp; Corporate Servic</t>
  </si>
  <si>
    <t xml:space="preserve">L9.WAU.000824</t>
  </si>
  <si>
    <t xml:space="preserve">New "facility" established for divisional restructure from FY16. See facility named "Telco FM" fro historical data.</t>
  </si>
  <si>
    <t xml:space="preserve">5809</t>
  </si>
  <si>
    <t xml:space="preserve">_CLOSED_NZ-TS-Power &amp; Gas</t>
  </si>
  <si>
    <t xml:space="preserve">L9.DUN.15050</t>
  </si>
  <si>
    <t xml:space="preserve">523</t>
  </si>
  <si>
    <t xml:space="preserve">New "facility" established for divisional restructure from FY16. (previously reported through Tenix NZ)</t>
  </si>
  <si>
    <t xml:space="preserve">_CLOSED_O&amp;M Elec - Benalla</t>
  </si>
  <si>
    <t xml:space="preserve">L9.J.241937</t>
  </si>
  <si>
    <t xml:space="preserve">_CLOSED_Oberon Asphalt Plant</t>
  </si>
  <si>
    <t xml:space="preserve">L9.J.17010660</t>
  </si>
  <si>
    <t xml:space="preserve">RSV-173.171.165 - Riverina Asp Services</t>
  </si>
  <si>
    <t xml:space="preserve">IS-Road Services/Road Surfacing</t>
  </si>
  <si>
    <t xml:space="preserve">60 &amp; 71 Hawken St</t>
  </si>
  <si>
    <t xml:space="preserve">Oberon</t>
  </si>
  <si>
    <t xml:space="preserve">2787</t>
  </si>
  <si>
    <t xml:space="preserve">-33.697863</t>
  </si>
  <si>
    <t xml:space="preserve">149.866069</t>
  </si>
  <si>
    <t xml:space="preserve">2017/12/30</t>
  </si>
  <si>
    <t xml:space="preserve">_CLOSED_Office_Amelia Earhart</t>
  </si>
  <si>
    <t xml:space="preserve">L9.DNZJ.91140</t>
  </si>
  <si>
    <t xml:space="preserve">5006</t>
  </si>
  <si>
    <t xml:space="preserve">Sub Let Site - New facilities established for more granular reporting and to reflect new structure for FY17. See facility named "NZ-Central Services (IT/NSC)" for historical data.</t>
  </si>
  <si>
    <t xml:space="preserve">14 Amelia Earhart Avenue, Airport Oaks</t>
  </si>
  <si>
    <t xml:space="preserve">-36.978962</t>
  </si>
  <si>
    <t xml:space="preserve">174.785367</t>
  </si>
  <si>
    <t xml:space="preserve">_CLOSED_Office_BP_Auckland_HO-Auckland</t>
  </si>
  <si>
    <t xml:space="preserve">L9.DNZ.AKL</t>
  </si>
  <si>
    <t xml:space="preserve">5185</t>
  </si>
  <si>
    <t xml:space="preserve">Support services for projects located at numerous sites throughout NZ - New location established following purchase of Hawkins 2017</t>
  </si>
  <si>
    <t xml:space="preserve">60 Stanley Street, Parnell</t>
  </si>
  <si>
    <t xml:space="preserve">-36.853218</t>
  </si>
  <si>
    <t xml:space="preserve">174.773841</t>
  </si>
  <si>
    <t xml:space="preserve">_CLOSED_Office_Kerrs Road</t>
  </si>
  <si>
    <t xml:space="preserve">L9.DNZJ.9016</t>
  </si>
  <si>
    <t xml:space="preserve">5005</t>
  </si>
  <si>
    <t xml:space="preserve">Corporate Central Support Services / Shared Services - New facilities established for more granular reporting and to reflect new structure for FY17. See facility named "NZ-Central Services (IT/NSC)" for historical data.</t>
  </si>
  <si>
    <t xml:space="preserve">_CLOSED_Office_Masterton</t>
  </si>
  <si>
    <t xml:space="preserve">L9.DNZJ.91001</t>
  </si>
  <si>
    <t xml:space="preserve">_CLOSED_Office_T_Christchurch</t>
  </si>
  <si>
    <t xml:space="preserve">L9.DNZJ.1992</t>
  </si>
  <si>
    <t xml:space="preserve">5268</t>
  </si>
  <si>
    <t xml:space="preserve">_CLOSED_Office_U_Ellerslie</t>
  </si>
  <si>
    <t xml:space="preserve">5269</t>
  </si>
  <si>
    <t xml:space="preserve">_CLOSED_Office_U_Petone</t>
  </si>
  <si>
    <t xml:space="preserve">5267</t>
  </si>
  <si>
    <t xml:space="preserve">_CLOSED_O'Herns Rd</t>
  </si>
  <si>
    <t xml:space="preserve">L9.J.20042031</t>
  </si>
  <si>
    <t xml:space="preserve">6015</t>
  </si>
  <si>
    <t xml:space="preserve">Cheryl Ward is main contact.</t>
  </si>
  <si>
    <t xml:space="preserve">O'Herns Rd</t>
  </si>
  <si>
    <t xml:space="preserve">Epping</t>
  </si>
  <si>
    <t xml:space="preserve">3076</t>
  </si>
  <si>
    <t xml:space="preserve">_CLOSED_Orbost</t>
  </si>
  <si>
    <t xml:space="preserve">L9.J.37110047</t>
  </si>
  <si>
    <t xml:space="preserve">IP-37110047</t>
  </si>
  <si>
    <t xml:space="preserve">73 Ewings Marsh Road</t>
  </si>
  <si>
    <t xml:space="preserve">Corringle</t>
  </si>
  <si>
    <t xml:space="preserve">3888</t>
  </si>
  <si>
    <t xml:space="preserve">-37.782918</t>
  </si>
  <si>
    <t xml:space="preserve">148.435136</t>
  </si>
  <si>
    <t xml:space="preserve">_CLOSED_OSM_Auckland</t>
  </si>
  <si>
    <t xml:space="preserve">L9.DNZJ.55877</t>
  </si>
  <si>
    <t xml:space="preserve">5079</t>
  </si>
  <si>
    <t xml:space="preserve">_CLOSED_OSM_Blenheim</t>
  </si>
  <si>
    <t xml:space="preserve">L9.DNZJ.55875</t>
  </si>
  <si>
    <t xml:space="preserve">5080</t>
  </si>
  <si>
    <t xml:space="preserve">_CLOSED_OSM_Canterbury</t>
  </si>
  <si>
    <t xml:space="preserve">L9.DNZJ.55835</t>
  </si>
  <si>
    <t xml:space="preserve">5290</t>
  </si>
  <si>
    <t xml:space="preserve">Support Services for OSM Waitaki contract</t>
  </si>
  <si>
    <t xml:space="preserve">_CLOSED_OSM_Gisborne</t>
  </si>
  <si>
    <t xml:space="preserve">L9.DNZJ.55872</t>
  </si>
  <si>
    <t xml:space="preserve">5081</t>
  </si>
  <si>
    <t xml:space="preserve">_CLOSED_OSM_Kaipara</t>
  </si>
  <si>
    <t xml:space="preserve">L9.DNZJ.55264</t>
  </si>
  <si>
    <t xml:space="preserve">5082</t>
  </si>
  <si>
    <t xml:space="preserve">Dargaville</t>
  </si>
  <si>
    <t xml:space="preserve">Kaipara</t>
  </si>
  <si>
    <t xml:space="preserve">-35.94</t>
  </si>
  <si>
    <t xml:space="preserve">173.87</t>
  </si>
  <si>
    <t xml:space="preserve">_CLOSED_OSM_Marlborough</t>
  </si>
  <si>
    <t xml:space="preserve">L9.DNZJ.55411</t>
  </si>
  <si>
    <t xml:space="preserve">_CLOSED_OSM_Renovation</t>
  </si>
  <si>
    <t xml:space="preserve">L9.DNZJ.55899</t>
  </si>
  <si>
    <t xml:space="preserve">5083</t>
  </si>
  <si>
    <t xml:space="preserve">_CLOSED_OSM_Ruapehu</t>
  </si>
  <si>
    <t xml:space="preserve">L9.DNZJ.55414</t>
  </si>
  <si>
    <t xml:space="preserve">5084</t>
  </si>
  <si>
    <t xml:space="preserve">_CLOSED_OSM_Stratford</t>
  </si>
  <si>
    <t xml:space="preserve">L9.DNZJ.55408</t>
  </si>
  <si>
    <t xml:space="preserve">_CLOSED_OSM_Waikato/BOP</t>
  </si>
  <si>
    <t xml:space="preserve">L9.DNZJ.66106</t>
  </si>
  <si>
    <t xml:space="preserve">5087</t>
  </si>
  <si>
    <t xml:space="preserve">_CLOSED_OSM_Wellington</t>
  </si>
  <si>
    <t xml:space="preserve">L9.DNZJ.55874</t>
  </si>
  <si>
    <t xml:space="preserve">5089</t>
  </si>
  <si>
    <t xml:space="preserve">_CLOSED_Otraco_Antofagasta Office (Chile)</t>
  </si>
  <si>
    <t xml:space="preserve">4007</t>
  </si>
  <si>
    <t xml:space="preserve">45</t>
  </si>
  <si>
    <t xml:space="preserve">Office moved to Santiago in October 2015.</t>
  </si>
  <si>
    <t xml:space="preserve">Avda, Edmundo Perez Zujovic 5554, Oficina 4 - Antofagasta</t>
  </si>
  <si>
    <t xml:space="preserve">Chile</t>
  </si>
  <si>
    <t xml:space="preserve">Antofagasta</t>
  </si>
  <si>
    <t xml:space="preserve">_CLOSED_Otraco_Bentley (WA)</t>
  </si>
  <si>
    <t xml:space="preserve">4003</t>
  </si>
  <si>
    <t xml:space="preserve">23</t>
  </si>
  <si>
    <t xml:space="preserve">Closed 30/09/2013*Occupied from July 2014. Leased by Otraco to a tenant in October 2014.</t>
  </si>
  <si>
    <t xml:space="preserve">Suite 2, 18 Brodie Hall Drive, Technology Park</t>
  </si>
  <si>
    <t xml:space="preserve">Bentley</t>
  </si>
  <si>
    <t xml:space="preserve">6102</t>
  </si>
  <si>
    <t xml:space="preserve">-31.995</t>
  </si>
  <si>
    <t xml:space="preserve">115.892</t>
  </si>
  <si>
    <t xml:space="preserve">_CLOSED_Otraco_Brazil</t>
  </si>
  <si>
    <t xml:space="preserve">27</t>
  </si>
  <si>
    <t xml:space="preserve">Sales of industrial products to mines in Brazil</t>
  </si>
  <si>
    <t xml:space="preserve">Rua D N 597 Bairro Uniao. Paraupebas</t>
  </si>
  <si>
    <t xml:space="preserve">Brazil</t>
  </si>
  <si>
    <t xml:space="preserve">Parauapebas</t>
  </si>
  <si>
    <t xml:space="preserve">_CLOSED_Otraco_Calama Tyre Repair Facility (Chile)</t>
  </si>
  <si>
    <t xml:space="preserve">L9.J.8250001.A.OFF</t>
  </si>
  <si>
    <t xml:space="preserve">363</t>
  </si>
  <si>
    <t xml:space="preserve">Office, equipment maintenance and tyre repair workshop.</t>
  </si>
  <si>
    <t xml:space="preserve">No.1, G, Ampliación Puerto Seco, Calama, El Loa, Antofagasta.</t>
  </si>
  <si>
    <t xml:space="preserve">-22.436132</t>
  </si>
  <si>
    <t xml:space="preserve">-68.905722</t>
  </si>
  <si>
    <t xml:space="preserve">_CLOSED_Otraco_Kewdale (WA)</t>
  </si>
  <si>
    <t xml:space="preserve">4025</t>
  </si>
  <si>
    <t xml:space="preserve">242</t>
  </si>
  <si>
    <t xml:space="preserve">Relocated from Redcliffe to Kewdale</t>
  </si>
  <si>
    <t xml:space="preserve">491 Abernethy Rd</t>
  </si>
  <si>
    <t xml:space="preserve">115.95</t>
  </si>
  <si>
    <t xml:space="preserve">_CLOSED_Otraco_Maddington (WA)</t>
  </si>
  <si>
    <t xml:space="preserve">4021</t>
  </si>
  <si>
    <t xml:space="preserve">172</t>
  </si>
  <si>
    <t xml:space="preserve">589 Bickley Rd</t>
  </si>
  <si>
    <t xml:space="preserve">Maddington</t>
  </si>
  <si>
    <t xml:space="preserve">6109</t>
  </si>
  <si>
    <t xml:space="preserve">-32.035</t>
  </si>
  <si>
    <t xml:space="preserve">116.004</t>
  </si>
  <si>
    <t xml:space="preserve">_CLOSED_Otraco_Newman (WA)</t>
  </si>
  <si>
    <t xml:space="preserve">4027</t>
  </si>
  <si>
    <t xml:space="preserve">379</t>
  </si>
  <si>
    <t xml:space="preserve">site set up for IT Service</t>
  </si>
  <si>
    <t xml:space="preserve">BHP Mine Site</t>
  </si>
  <si>
    <t xml:space="preserve">6743</t>
  </si>
  <si>
    <t xml:space="preserve">-23.361737</t>
  </si>
  <si>
    <t xml:space="preserve">119.716733</t>
  </si>
  <si>
    <t xml:space="preserve">_CLOSED_Otraco_Santiago (Chile)</t>
  </si>
  <si>
    <t xml:space="preserve">4028</t>
  </si>
  <si>
    <t xml:space="preserve">527</t>
  </si>
  <si>
    <t xml:space="preserve">Office at Chile-Antofagasta Office (No. 45) in EDRS, with address as Avda, Edmundo Perez Zujovic 5554, Oficina 4 – Antofagasta has relocated to Avda del Valle N524 Oficina 404, Huechuraba, Santiago, Chile.</t>
  </si>
  <si>
    <t xml:space="preserve">Avda del Valle N 524 Oficina 404</t>
  </si>
  <si>
    <t xml:space="preserve">Huechuraba, Santiago</t>
  </si>
  <si>
    <t xml:space="preserve">Santiago</t>
  </si>
  <si>
    <t xml:space="preserve">-33.394084</t>
  </si>
  <si>
    <t xml:space="preserve">-70.618768</t>
  </si>
  <si>
    <t xml:space="preserve">_CLOSED_Otraco_South Africa</t>
  </si>
  <si>
    <t xml:space="preserve">L9.J.8260002</t>
  </si>
  <si>
    <t xml:space="preserve">4029</t>
  </si>
  <si>
    <t xml:space="preserve">501</t>
  </si>
  <si>
    <t xml:space="preserve">Downer is sole occupier of facilityTyre management and maintenance services</t>
  </si>
  <si>
    <t xml:space="preserve">70 Mokwa Street</t>
  </si>
  <si>
    <t xml:space="preserve">Gauteng</t>
  </si>
  <si>
    <t xml:space="preserve">South Africa</t>
  </si>
  <si>
    <t xml:space="preserve">Southern Province</t>
  </si>
  <si>
    <t xml:space="preserve">-25.410776</t>
  </si>
  <si>
    <t xml:space="preserve">28.111296</t>
  </si>
  <si>
    <t xml:space="preserve">_CLOSED_P31258 - Maribyrnong Main Sewer Augmentation</t>
  </si>
  <si>
    <t xml:space="preserve">L9.J.25820015</t>
  </si>
  <si>
    <t xml:space="preserve">UTIL-25820015</t>
  </si>
  <si>
    <t xml:space="preserve">SFP Maribyrnong Main Sewer Augmentation</t>
  </si>
  <si>
    <t xml:space="preserve">2025/08/11</t>
  </si>
  <si>
    <t xml:space="preserve">_CLOSED_Pakenham</t>
  </si>
  <si>
    <t xml:space="preserve">214</t>
  </si>
  <si>
    <t xml:space="preserve">relocated to Somerton Emulsion Plant from FY17</t>
  </si>
  <si>
    <t xml:space="preserve">10-12 Purton Road</t>
  </si>
  <si>
    <t xml:space="preserve">Pakenham</t>
  </si>
  <si>
    <t xml:space="preserve">3810</t>
  </si>
  <si>
    <t xml:space="preserve">-38.062</t>
  </si>
  <si>
    <t xml:space="preserve">145.463</t>
  </si>
  <si>
    <t xml:space="preserve">_CLOSED_Parkes</t>
  </si>
  <si>
    <t xml:space="preserve">Off East Street</t>
  </si>
  <si>
    <t xml:space="preserve">Parkes</t>
  </si>
  <si>
    <t xml:space="preserve">2870</t>
  </si>
  <si>
    <t xml:space="preserve">_CLOSED_Parramatta Light Rail</t>
  </si>
  <si>
    <t xml:space="preserve">6014</t>
  </si>
  <si>
    <t xml:space="preserve">-33.814922</t>
  </si>
  <si>
    <t xml:space="preserve">151.000652</t>
  </si>
  <si>
    <t xml:space="preserve">2019/05/01</t>
  </si>
  <si>
    <t xml:space="preserve">_CLOSED_PB0202 - Cleaning NZ Ctrl Auckland</t>
  </si>
  <si>
    <t xml:space="preserve">L9.S.26007390</t>
  </si>
  <si>
    <t xml:space="preserve">2000000470</t>
  </si>
  <si>
    <t xml:space="preserve">2025/07/31</t>
  </si>
  <si>
    <t xml:space="preserve">_CLOSED_PC0201 - Cleaning NZ Central Otago</t>
  </si>
  <si>
    <t xml:space="preserve">L9.S.23000180</t>
  </si>
  <si>
    <t xml:space="preserve">2000000220</t>
  </si>
  <si>
    <t xml:space="preserve">_CLOSED_PC0201 - Cleaning NZ Christchurch1</t>
  </si>
  <si>
    <t xml:space="preserve">L9.S.26001700</t>
  </si>
  <si>
    <t xml:space="preserve">2000000100</t>
  </si>
  <si>
    <t xml:space="preserve">_CLOSED_PC0201 - Cleaning NZ Dunedin Management</t>
  </si>
  <si>
    <t xml:space="preserve">L9.S.23000270</t>
  </si>
  <si>
    <t xml:space="preserve">2000000300</t>
  </si>
  <si>
    <t xml:space="preserve">_CLOSED_PC0201 - Cleaning NZ Dunedin4</t>
  </si>
  <si>
    <t xml:space="preserve">L9.S.23000250</t>
  </si>
  <si>
    <t xml:space="preserve">2000000280</t>
  </si>
  <si>
    <t xml:space="preserve">_CLOSED_PC0201 - Cleaning NZ Invcargll Managemen</t>
  </si>
  <si>
    <t xml:space="preserve">L9.S.26019486</t>
  </si>
  <si>
    <t xml:space="preserve">2000000350</t>
  </si>
  <si>
    <t xml:space="preserve">_CLOSED_PC0201 - Cleaning NZ Nelson2</t>
  </si>
  <si>
    <t xml:space="preserve">L9.S.26000740</t>
  </si>
  <si>
    <t xml:space="preserve">2000000020</t>
  </si>
  <si>
    <t xml:space="preserve">_CLOSED_PC0201 - Cleaning NZ Timaru</t>
  </si>
  <si>
    <t xml:space="preserve">L9.S.26003470</t>
  </si>
  <si>
    <t xml:space="preserve">2000000200</t>
  </si>
  <si>
    <t xml:space="preserve">_CLOSED_PC0201 - Cleaning NZ West Coast</t>
  </si>
  <si>
    <t xml:space="preserve">L9.S.26002660</t>
  </si>
  <si>
    <t xml:space="preserve">2000000180</t>
  </si>
  <si>
    <t xml:space="preserve">Confirmed from Krishna Patten, this project belongs to SI-NZF-26002660 - Downer West Coast.</t>
  </si>
  <si>
    <t xml:space="preserve">_CLOSED_PC0202 - Cleaning NZ Gisborne</t>
  </si>
  <si>
    <t xml:space="preserve">L9.S.26011910</t>
  </si>
  <si>
    <t xml:space="preserve">2000000680</t>
  </si>
  <si>
    <t xml:space="preserve">_CLOSED_PC0202 - Cleaning NZ Hamilton1</t>
  </si>
  <si>
    <t xml:space="preserve">L9.S.26008880</t>
  </si>
  <si>
    <t xml:space="preserve">2000000550</t>
  </si>
  <si>
    <t xml:space="preserve">_CLOSED_PC0202 - Cleaning NZ Hawkes Bay</t>
  </si>
  <si>
    <t xml:space="preserve">L9.S.26012560</t>
  </si>
  <si>
    <t xml:space="preserve">2000000690</t>
  </si>
  <si>
    <t xml:space="preserve">_CLOSED_PC0202 - Cleaning NZ Palmerston</t>
  </si>
  <si>
    <t xml:space="preserve">L9.S.26013450</t>
  </si>
  <si>
    <t xml:space="preserve">2000000720</t>
  </si>
  <si>
    <t xml:space="preserve">_CLOSED_PC0202 - Cleaning NZ Taranaki</t>
  </si>
  <si>
    <t xml:space="preserve">L9.S.26018535</t>
  </si>
  <si>
    <t xml:space="preserve">_CLOSED_PC0202 - Cleaning NZ Tauranga</t>
  </si>
  <si>
    <t xml:space="preserve">L9.S.26010610</t>
  </si>
  <si>
    <t xml:space="preserve">2000000650</t>
  </si>
  <si>
    <t xml:space="preserve">_CLOSED_PC0202 - Cleaning NZ Welington Managemen</t>
  </si>
  <si>
    <t xml:space="preserve">L9.S.26016560</t>
  </si>
  <si>
    <t xml:space="preserve">2000000860</t>
  </si>
  <si>
    <t xml:space="preserve">_CLOSED_PC0202 - Cleaning NZ Whakatane</t>
  </si>
  <si>
    <t xml:space="preserve">L9.S.26010640</t>
  </si>
  <si>
    <t xml:space="preserve">2000000660</t>
  </si>
  <si>
    <t xml:space="preserve">_CLOSED_PC0202 - Cleaning NZ Whangarei</t>
  </si>
  <si>
    <t xml:space="preserve">L9.S.26006860</t>
  </si>
  <si>
    <t xml:space="preserve">2000000390</t>
  </si>
  <si>
    <t xml:space="preserve">_CLOSED_People (Transport Wgtn)</t>
  </si>
  <si>
    <t xml:space="preserve">L9.DNZJ.55718</t>
  </si>
  <si>
    <t xml:space="preserve">55718</t>
  </si>
  <si>
    <t xml:space="preserve">_CLOSED_PL - City West Water</t>
  </si>
  <si>
    <t xml:space="preserve">L9.DUA.105524</t>
  </si>
  <si>
    <t xml:space="preserve">42</t>
  </si>
  <si>
    <t xml:space="preserve">638 St Kilda Road</t>
  </si>
  <si>
    <t xml:space="preserve">-37.836927</t>
  </si>
  <si>
    <t xml:space="preserve">144.975583</t>
  </si>
  <si>
    <t xml:space="preserve">_CLOSED_Plant (Waikato Other)</t>
  </si>
  <si>
    <t xml:space="preserve">L9.DNZJ.55808</t>
  </si>
  <si>
    <t xml:space="preserve">55808</t>
  </si>
  <si>
    <t xml:space="preserve">_CLOSED_Plant_Cranes</t>
  </si>
  <si>
    <t xml:space="preserve">L9.DNZJ.1925</t>
  </si>
  <si>
    <t xml:space="preserve">5090</t>
  </si>
  <si>
    <t xml:space="preserve">Organisation and provision of Plant to operations - New facilities established for more granular reporting and to reflect new structure for FY17. See facility named "NZ-Infrastructure Services" for historical data.</t>
  </si>
  <si>
    <t xml:space="preserve">NZ Wide - Head Office - 130 Kerrs Rd</t>
  </si>
  <si>
    <t xml:space="preserve">_CLOSED_Plant_Provisioning</t>
  </si>
  <si>
    <t xml:space="preserve">L9.DNZJ.1911</t>
  </si>
  <si>
    <t xml:space="preserve">5091</t>
  </si>
  <si>
    <t xml:space="preserve">7801</t>
  </si>
  <si>
    <t xml:space="preserve">_CLOSED_Plant_T_ UFB</t>
  </si>
  <si>
    <t xml:space="preserve">L9.DNZJ.1924</t>
  </si>
  <si>
    <t xml:space="preserve">5092</t>
  </si>
  <si>
    <t xml:space="preserve">7011</t>
  </si>
  <si>
    <t xml:space="preserve">_CLOSED_Porirua CCWRT</t>
  </si>
  <si>
    <t xml:space="preserve">L9.DNZJ.UN0001</t>
  </si>
  <si>
    <t xml:space="preserve">UN0001</t>
  </si>
  <si>
    <t xml:space="preserve">UT-NZU-UN0001-Porirua CCWRT
Installation address: BTS - END OF PORIRA PARK AND RIDE/LOT2 DP12953 STATE HIGHWAY 59  PORIRUA CITY CENTRE  PORIRUA 5022 (parking)
Installation address: Wellington (Unit 504, 15 Holland St)</t>
  </si>
  <si>
    <t xml:space="preserve">504/15 Holland Street</t>
  </si>
  <si>
    <t xml:space="preserve">Te Aro</t>
  </si>
  <si>
    <t xml:space="preserve">_CLOSED_Port Augusta Rail Depot</t>
  </si>
  <si>
    <t xml:space="preserve">L9.J.20043033</t>
  </si>
  <si>
    <t xml:space="preserve">228</t>
  </si>
  <si>
    <t xml:space="preserve">Unit 4, Flinders View (cnr National Hwy One &amp; Power Station Rd)</t>
  </si>
  <si>
    <t xml:space="preserve">5700</t>
  </si>
  <si>
    <t xml:space="preserve">-32.51</t>
  </si>
  <si>
    <t xml:space="preserve">137.786</t>
  </si>
  <si>
    <t xml:space="preserve">_CLOSED_Port Augusta-Rail</t>
  </si>
  <si>
    <t xml:space="preserve">L9.J.709004</t>
  </si>
  <si>
    <t xml:space="preserve">229</t>
  </si>
  <si>
    <t xml:space="preserve">Carlton Parade</t>
  </si>
  <si>
    <t xml:space="preserve">-32.488</t>
  </si>
  <si>
    <t xml:space="preserve">137.78</t>
  </si>
  <si>
    <t xml:space="preserve">_CLOSED_Port Kembla</t>
  </si>
  <si>
    <t xml:space="preserve">3014</t>
  </si>
  <si>
    <t xml:space="preserve">396</t>
  </si>
  <si>
    <t xml:space="preserve">Off Old Port Road</t>
  </si>
  <si>
    <t xml:space="preserve">Port Kembla</t>
  </si>
  <si>
    <t xml:space="preserve">2505</t>
  </si>
  <si>
    <t xml:space="preserve">_Closed_Port Macquarie - Jindalee Rd</t>
  </si>
  <si>
    <t xml:space="preserve">L9.J.23900027</t>
  </si>
  <si>
    <t xml:space="preserve">9120</t>
  </si>
  <si>
    <t xml:space="preserve">1/37 Jindalee Road</t>
  </si>
  <si>
    <t xml:space="preserve">Port Macquarie</t>
  </si>
  <si>
    <t xml:space="preserve">2444</t>
  </si>
  <si>
    <t xml:space="preserve">-31.452044</t>
  </si>
  <si>
    <t xml:space="preserve">152.884119</t>
  </si>
  <si>
    <t xml:space="preserve">2023/01/25</t>
  </si>
  <si>
    <t xml:space="preserve">_CLOSED_Port Melbourne-EC&amp;M</t>
  </si>
  <si>
    <t xml:space="preserve">L9.S.16015072</t>
  </si>
  <si>
    <t xml:space="preserve">519</t>
  </si>
  <si>
    <t xml:space="preserve">This facility established January 2016 to allow for separate reporting for IS &amp; EC&amp;M - data previously reported through "Port Melbourne" which has been renamed as "Port Melbourne-Infrastructure Services" Facility #350.
Site closed - replaced by Collins Street, Collins Street electricity should be captured by T&amp;I.</t>
  </si>
  <si>
    <t xml:space="preserve">Level 2 650 Lorimer St</t>
  </si>
  <si>
    <t xml:space="preserve">3207</t>
  </si>
  <si>
    <t xml:space="preserve">-37.821</t>
  </si>
  <si>
    <t xml:space="preserve">144.92</t>
  </si>
  <si>
    <t xml:space="preserve">_CLOSED_Port Melbourne-Infrastructure Services</t>
  </si>
  <si>
    <t xml:space="preserve">233</t>
  </si>
  <si>
    <t xml:space="preserve">Facility renamed from "Port Melbourne" (Jan 2016) to allow separate reporting for IS &amp; EC&amp;M. See "Port Melbourne_EC&amp;M Services" (Facility #519).</t>
  </si>
  <si>
    <t xml:space="preserve">_CLOSED_Power - ElectraNet SA</t>
  </si>
  <si>
    <t xml:space="preserve">L9.J.37740078</t>
  </si>
  <si>
    <t xml:space="preserve">IP-37740078</t>
  </si>
  <si>
    <t xml:space="preserve">DO_Regency Park (Adelaide)</t>
  </si>
  <si>
    <t xml:space="preserve">24 Taminga Street</t>
  </si>
  <si>
    <t xml:space="preserve">-34.860023</t>
  </si>
  <si>
    <t xml:space="preserve">138.572964</t>
  </si>
  <si>
    <t xml:space="preserve">_CLOSED_Power - Ergon Energy</t>
  </si>
  <si>
    <t xml:space="preserve">L9.J.37740054</t>
  </si>
  <si>
    <t xml:space="preserve">43</t>
  </si>
  <si>
    <t xml:space="preserve">Combined 0043 and 0051Project finished up Mar 2016 - fuel cards continued</t>
  </si>
  <si>
    <t xml:space="preserve">2016/03/30</t>
  </si>
  <si>
    <t xml:space="preserve">_CLOSED_Power - Substations VIC</t>
  </si>
  <si>
    <t xml:space="preserve">L9.J.37740074</t>
  </si>
  <si>
    <t xml:space="preserve">7034</t>
  </si>
  <si>
    <t xml:space="preserve">_CLOSED_PPP - Bonnyrigg Management Office (NSW)</t>
  </si>
  <si>
    <t xml:space="preserve">L9.S.16008016</t>
  </si>
  <si>
    <t xml:space="preserve">9091</t>
  </si>
  <si>
    <t xml:space="preserve">Shop 38,Bonnyrigg Plaza,Bonnyrigg Ave</t>
  </si>
  <si>
    <t xml:space="preserve">Bonnyrigg</t>
  </si>
  <si>
    <t xml:space="preserve">2177</t>
  </si>
  <si>
    <t xml:space="preserve">-33.886363</t>
  </si>
  <si>
    <t xml:space="preserve">150.888108</t>
  </si>
  <si>
    <t xml:space="preserve">_closed_Prime Laundry - Belmont (WA)</t>
  </si>
  <si>
    <t xml:space="preserve">L9.S.16015965</t>
  </si>
  <si>
    <t xml:space="preserve">9050</t>
  </si>
  <si>
    <t xml:space="preserve">Closed on 31 Aug 2017</t>
  </si>
  <si>
    <t xml:space="preserve">11 Faulkner Avenue Belmont</t>
  </si>
  <si>
    <t xml:space="preserve">                            953</t>
  </si>
  <si>
    <t xml:space="preserve">_CLOSED_Printing</t>
  </si>
  <si>
    <t xml:space="preserve">L9.J.104</t>
  </si>
  <si>
    <t xml:space="preserve">1015</t>
  </si>
  <si>
    <t xml:space="preserve">_CLOSED_Prospect - Sydney Water</t>
  </si>
  <si>
    <t xml:space="preserve">L9.J.24160213</t>
  </si>
  <si>
    <t xml:space="preserve">UTIL-252.781.347.448</t>
  </si>
  <si>
    <t xml:space="preserve">UTIL-252.781.347.448 - ProMac Prospect</t>
  </si>
  <si>
    <t xml:space="preserve">_CLOSED_Pymble Underpass Upgrade</t>
  </si>
  <si>
    <t xml:space="preserve">Public Amenity</t>
  </si>
  <si>
    <t xml:space="preserve">L9.J.30130044</t>
  </si>
  <si>
    <t xml:space="preserve">9209</t>
  </si>
  <si>
    <t xml:space="preserve">3232</t>
  </si>
  <si>
    <t xml:space="preserve">_CLOSED_Q02707 - M76 Pipeline Renewal</t>
  </si>
  <si>
    <t xml:space="preserve">L9.J.25820026</t>
  </si>
  <si>
    <t xml:space="preserve">UT-25820026 - M76 Water Main Renewal</t>
  </si>
  <si>
    <t xml:space="preserve">2023/09/01</t>
  </si>
  <si>
    <t xml:space="preserve">2025/06/30</t>
  </si>
  <si>
    <t xml:space="preserve">_CLOSED_Q04385 - Yan Yean WTP Upgrade</t>
  </si>
  <si>
    <t xml:space="preserve">L9.J.25860002</t>
  </si>
  <si>
    <t xml:space="preserve">UTIL-25860002</t>
  </si>
  <si>
    <t xml:space="preserve">SFP Yan Yean WTP Upgrade</t>
  </si>
  <si>
    <t xml:space="preserve">2024/11/30</t>
  </si>
  <si>
    <t xml:space="preserve">_CLOSED_Q05102 - ETP WAS Capacity Upgrade Project</t>
  </si>
  <si>
    <t xml:space="preserve">L9.J.25820011</t>
  </si>
  <si>
    <t xml:space="preserve">UTIL-25820011</t>
  </si>
  <si>
    <t xml:space="preserve">SFP ETP WAS Capacity Upgrade Project</t>
  </si>
  <si>
    <t xml:space="preserve">2024/12/31</t>
  </si>
  <si>
    <t xml:space="preserve">_CLOSED_Q05322 - Yan Yean Pump Station</t>
  </si>
  <si>
    <t xml:space="preserve">L9.J.25820020</t>
  </si>
  <si>
    <t xml:space="preserve">UTIL-25820020 - Yan Yean Pumping Station</t>
  </si>
  <si>
    <t xml:space="preserve">_CLOSED_Q05333 - Yan Yean Bald Hill Pipeline</t>
  </si>
  <si>
    <t xml:space="preserve">L9.J.25820021</t>
  </si>
  <si>
    <t xml:space="preserve">2024/11/26</t>
  </si>
  <si>
    <t xml:space="preserve">_CLOSED_QLD</t>
  </si>
  <si>
    <t xml:space="preserve">_CLOSED_QLD (DMJV)</t>
  </si>
  <si>
    <t xml:space="preserve">L9.J.17020953</t>
  </si>
  <si>
    <t xml:space="preserve">385</t>
  </si>
  <si>
    <t xml:space="preserve">Multiple Depots:
Nov 2019: 28 ENTERPRISE ST KUNDA PARK QLD 4556</t>
  </si>
  <si>
    <t xml:space="preserve">21 Lear Jet Drive</t>
  </si>
  <si>
    <t xml:space="preserve">Caboolture</t>
  </si>
  <si>
    <t xml:space="preserve">4510</t>
  </si>
  <si>
    <t xml:space="preserve">-27.0795</t>
  </si>
  <si>
    <t xml:space="preserve">152.9782</t>
  </si>
  <si>
    <t xml:space="preserve">_CLOSED_Quarry_Bartletts</t>
  </si>
  <si>
    <t xml:space="preserve">L9.DNZJ.55330</t>
  </si>
  <si>
    <t xml:space="preserve">5093</t>
  </si>
  <si>
    <t xml:space="preserve">Quarrying of construction materials - New facilities established for more granular reporting and to reflect new structure for FY17. See facility named "NZ-Infrastructure Services" for historical data.</t>
  </si>
  <si>
    <t xml:space="preserve">272 Bartlett Road</t>
  </si>
  <si>
    <t xml:space="preserve">Appleby</t>
  </si>
  <si>
    <t xml:space="preserve">Tasman</t>
  </si>
  <si>
    <t xml:space="preserve">4072</t>
  </si>
  <si>
    <t xml:space="preserve">Brightwater</t>
  </si>
  <si>
    <t xml:space="preserve">-41.3417226</t>
  </si>
  <si>
    <t xml:space="preserve">173.120736999999</t>
  </si>
  <si>
    <t xml:space="preserve">091</t>
  </si>
  <si>
    <t xml:space="preserve">_CLOSED_Quarry_Marsden</t>
  </si>
  <si>
    <t xml:space="preserve">L9.DNZJ.55331</t>
  </si>
  <si>
    <t xml:space="preserve">265 Marsden Valley Road, Stoke</t>
  </si>
  <si>
    <t xml:space="preserve">-41.3259455</t>
  </si>
  <si>
    <t xml:space="preserve">173.261836099999</t>
  </si>
  <si>
    <t xml:space="preserve">_CLOSED_Quarry_WOK</t>
  </si>
  <si>
    <t xml:space="preserve">L9.DNZJ.55192</t>
  </si>
  <si>
    <t xml:space="preserve">5095</t>
  </si>
  <si>
    <t xml:space="preserve">Tiniroto Rd (Warenga-O-Kuri (WOK) Quarry), Tiniroto</t>
  </si>
  <si>
    <t xml:space="preserve">Manutuke</t>
  </si>
  <si>
    <t xml:space="preserve">-38.7566135</t>
  </si>
  <si>
    <t xml:space="preserve">177.5963337</t>
  </si>
  <si>
    <t xml:space="preserve">_CLOSED_Recharges_BP</t>
  </si>
  <si>
    <t xml:space="preserve">L9.J.17031978</t>
  </si>
  <si>
    <t xml:space="preserve">_CLOSED_Recharges_HO_P&amp;G</t>
  </si>
  <si>
    <t xml:space="preserve">L9.DNZJ.9009</t>
  </si>
  <si>
    <t xml:space="preserve">5002</t>
  </si>
  <si>
    <t xml:space="preserve">_CLOSED_Recharges_U_Telco</t>
  </si>
  <si>
    <t xml:space="preserve">L9.DNZJ.9012</t>
  </si>
  <si>
    <t xml:space="preserve">5004</t>
  </si>
  <si>
    <t xml:space="preserve">_CLOSED_Reconomy GreenVision</t>
  </si>
  <si>
    <t xml:space="preserve">L9.J.170722</t>
  </si>
  <si>
    <t xml:space="preserve">8021</t>
  </si>
  <si>
    <t xml:space="preserve">460 Cooper Street</t>
  </si>
  <si>
    <t xml:space="preserve">-37.646279</t>
  </si>
  <si>
    <t xml:space="preserve">144.980432</t>
  </si>
  <si>
    <t xml:space="preserve">292</t>
  </si>
  <si>
    <t xml:space="preserve">_CLOSED_Reconomy Rosehill</t>
  </si>
  <si>
    <t xml:space="preserve">L9.J.17072014</t>
  </si>
  <si>
    <t xml:space="preserve">8015</t>
  </si>
  <si>
    <t xml:space="preserve">Handed back in the end of June 2022.</t>
  </si>
  <si>
    <t xml:space="preserve">-33.829059</t>
  </si>
  <si>
    <t xml:space="preserve">151.022737</t>
  </si>
  <si>
    <t xml:space="preserve">_CLOSED_Resources - Moura Office</t>
  </si>
  <si>
    <t xml:space="preserve">9113</t>
  </si>
  <si>
    <t xml:space="preserve">B/5 Theodore-Baralaba Rd</t>
  </si>
  <si>
    <t xml:space="preserve">Moura</t>
  </si>
  <si>
    <t xml:space="preserve">4718</t>
  </si>
  <si>
    <t xml:space="preserve">-24.52691</t>
  </si>
  <si>
    <t xml:space="preserve">150.013792</t>
  </si>
  <si>
    <t xml:space="preserve">2020/11/30</t>
  </si>
  <si>
    <t xml:space="preserve">_CLOSED_REV_AGIS Group Pty Limited</t>
  </si>
  <si>
    <t xml:space="preserve">R31</t>
  </si>
  <si>
    <t xml:space="preserve">_CLOSED_REV_Asia</t>
  </si>
  <si>
    <t xml:space="preserve">_CLOSED_REV_Asset &amp; Development Services</t>
  </si>
  <si>
    <t xml:space="preserve">L9.S.13000752</t>
  </si>
  <si>
    <t xml:space="preserve">FAS3197</t>
  </si>
  <si>
    <t xml:space="preserve">_CLOSED_REV_Asset &amp; Development Services (SAP)</t>
  </si>
  <si>
    <t xml:space="preserve">_CLOSED_REV_Base &amp; Estate Management</t>
  </si>
  <si>
    <t xml:space="preserve">L9.S.16016104</t>
  </si>
  <si>
    <t xml:space="preserve">BEM</t>
  </si>
  <si>
    <t xml:space="preserve">_CLOSED_REV_BD &amp; Growth</t>
  </si>
  <si>
    <t xml:space="preserve">L9.J.24130028</t>
  </si>
  <si>
    <t xml:space="preserve">MPTEP</t>
  </si>
  <si>
    <t xml:space="preserve">_CLOSED_REV_Binders and Circular Technology</t>
  </si>
  <si>
    <t xml:space="preserve">L9.J.170944</t>
  </si>
  <si>
    <t xml:space="preserve">BCT</t>
  </si>
  <si>
    <t xml:space="preserve">_CLOSED_REV_Blasting</t>
  </si>
  <si>
    <t xml:space="preserve">L9.J.8150</t>
  </si>
  <si>
    <t xml:space="preserve">R37</t>
  </si>
  <si>
    <t xml:space="preserve">_CLOSED_REV_Commercial Electrical</t>
  </si>
  <si>
    <t xml:space="preserve">L9.S.30001</t>
  </si>
  <si>
    <t xml:space="preserve">COMELC</t>
  </si>
  <si>
    <t xml:space="preserve">_CLOSED_REV_Commerical Electrical</t>
  </si>
  <si>
    <t xml:space="preserve">L9.S.13000756</t>
  </si>
  <si>
    <t xml:space="preserve">_CLOSED_REV_Confluence Water</t>
  </si>
  <si>
    <t xml:space="preserve">L9.J.241606</t>
  </si>
  <si>
    <t xml:space="preserve">UTIL700</t>
  </si>
  <si>
    <t xml:space="preserve">In April 2023, Confluence Water revenue merged with Water Services Programs and Water Services Projects NSW/VIC to become Water Services.</t>
  </si>
  <si>
    <t xml:space="preserve">_CLOSED_REV_Corporate Office</t>
  </si>
  <si>
    <t xml:space="preserve">L9.J.362001</t>
  </si>
  <si>
    <t xml:space="preserve">R64</t>
  </si>
  <si>
    <t xml:space="preserve">_CLOSED_REV_Defence</t>
  </si>
  <si>
    <t xml:space="preserve">R56</t>
  </si>
  <si>
    <t xml:space="preserve">_CLOSED_REV_Defence Overhead</t>
  </si>
  <si>
    <t xml:space="preserve">L9.J.500002</t>
  </si>
  <si>
    <t xml:space="preserve">DO</t>
  </si>
  <si>
    <t xml:space="preserve">_CLOSED_REV_DEP Ops &amp; Delivery</t>
  </si>
  <si>
    <t xml:space="preserve">L9.J.362005</t>
  </si>
  <si>
    <t xml:space="preserve">R34</t>
  </si>
  <si>
    <t xml:space="preserve">_CLOSED_REV_DIVESTED_NZ-Laundry</t>
  </si>
  <si>
    <t xml:space="preserve">L9.S.23900014</t>
  </si>
  <si>
    <t xml:space="preserve">R49</t>
  </si>
  <si>
    <t xml:space="preserve">_CLOSED_REV_DM Roads</t>
  </si>
  <si>
    <t xml:space="preserve">R3</t>
  </si>
  <si>
    <t xml:space="preserve">_CLOSED_REV_Downer Professional Services</t>
  </si>
  <si>
    <t xml:space="preserve">L9.J.504002</t>
  </si>
  <si>
    <t xml:space="preserve">DPS</t>
  </si>
  <si>
    <t xml:space="preserve">_CLOSED_REV_E&amp;C HO</t>
  </si>
  <si>
    <t xml:space="preserve">L9.J.372011</t>
  </si>
  <si>
    <t xml:space="preserve">R27</t>
  </si>
  <si>
    <t xml:space="preserve">_CLOSED_REV_East Opencut</t>
  </si>
  <si>
    <t xml:space="preserve">L9.MIN.SSV.1042</t>
  </si>
  <si>
    <t xml:space="preserve">R35</t>
  </si>
  <si>
    <t xml:space="preserve">_CLOSED_REV_EC&amp;M Head Office &amp; Management</t>
  </si>
  <si>
    <t xml:space="preserve">L9.WAU.000812</t>
  </si>
  <si>
    <t xml:space="preserve">_CLOSED_REV_Eden Park Catering</t>
  </si>
  <si>
    <t xml:space="preserve">L9.S.24000164</t>
  </si>
  <si>
    <t xml:space="preserve">L9.S.26017124</t>
  </si>
  <si>
    <t xml:space="preserve">_CLOSED_REV_Energy</t>
  </si>
  <si>
    <t xml:space="preserve">L9.J.230500</t>
  </si>
  <si>
    <t xml:space="preserve">_CLOSED_REV_Engineering</t>
  </si>
  <si>
    <t xml:space="preserve">L9.J.39210066</t>
  </si>
  <si>
    <t xml:space="preserve">UTIL-359</t>
  </si>
  <si>
    <t xml:space="preserve">_CLOSED_REV_Engineering IPD</t>
  </si>
  <si>
    <t xml:space="preserve">L9.J.377101</t>
  </si>
  <si>
    <t xml:space="preserve">IP359</t>
  </si>
  <si>
    <t xml:space="preserve">_CLOSED_REV_Envista Pty Ltd</t>
  </si>
  <si>
    <t xml:space="preserve">L9.J.50050002</t>
  </si>
  <si>
    <t xml:space="preserve">R33</t>
  </si>
  <si>
    <t xml:space="preserve">_CLOSED_REV_Estate Development &amp; Base Upgrades</t>
  </si>
  <si>
    <t xml:space="preserve">R71</t>
  </si>
  <si>
    <t xml:space="preserve">_CLOSED_REV_FAS Support</t>
  </si>
  <si>
    <t xml:space="preserve">FSO</t>
  </si>
  <si>
    <t xml:space="preserve">Creating new location to align to finance naming change in FY23 - previous name was "FAS Support Overhead".</t>
  </si>
  <si>
    <t xml:space="preserve">_CLOSED_REV_FAS Support Overhead</t>
  </si>
  <si>
    <t xml:space="preserve">_CLOSED_REV_Fowlers Asphalting</t>
  </si>
  <si>
    <t xml:space="preserve">L9.J.17030829</t>
  </si>
  <si>
    <t xml:space="preserve">Separating out Fowlers Revenue from Roads &gt; Pavements. This was done to allow time for the acquisition to set up a baseline intensity.</t>
  </si>
  <si>
    <t xml:space="preserve">_CLOSED_REV_FY20_Asset &amp; Development Services</t>
  </si>
  <si>
    <t xml:space="preserve">L9.S.12000330</t>
  </si>
  <si>
    <t xml:space="preserve">_CLOSED_REV_FY20_Corporate</t>
  </si>
  <si>
    <t xml:space="preserve">L9.WAU.000895</t>
  </si>
  <si>
    <t xml:space="preserve">_CLOSED_REV_FY20_DNZ-New Zealand</t>
  </si>
  <si>
    <t xml:space="preserve">L9.DNZJ.91000</t>
  </si>
  <si>
    <t xml:space="preserve">_CLOSED_REV_FY20_Downer Defence</t>
  </si>
  <si>
    <t xml:space="preserve">L9.J.500004</t>
  </si>
  <si>
    <t xml:space="preserve">_CLOSED_REV_FY20_Facilities &amp; Asset Services</t>
  </si>
  <si>
    <t xml:space="preserve">L9.S.11000190</t>
  </si>
  <si>
    <t xml:space="preserve">_CLOSED_REV_FY20_Infrastructure Projects</t>
  </si>
  <si>
    <t xml:space="preserve">L9.J.200998</t>
  </si>
  <si>
    <t xml:space="preserve">_CLOSED_REV_FY20_Mineral Technologies</t>
  </si>
  <si>
    <t xml:space="preserve">L9.ENG.360.01200</t>
  </si>
  <si>
    <t xml:space="preserve">_CLOSED_REV_FY20_Rail &amp; Transit Systems</t>
  </si>
  <si>
    <t xml:space="preserve">L9.J.70930031</t>
  </si>
  <si>
    <t xml:space="preserve">_CLOSED_REV_FY20_Road Services</t>
  </si>
  <si>
    <t xml:space="preserve">L9.J.170600</t>
  </si>
  <si>
    <t xml:space="preserve">REV_FY20_RoadServices</t>
  </si>
  <si>
    <t xml:space="preserve">_CLOSED_REV_FY20_Utilities</t>
  </si>
  <si>
    <t xml:space="preserve">L9.J.247103</t>
  </si>
  <si>
    <t xml:space="preserve">_CLOSED_REV_Government &amp; Citizen Services</t>
  </si>
  <si>
    <t xml:space="preserve">L9.S.13000740</t>
  </si>
  <si>
    <t xml:space="preserve">13000740</t>
  </si>
  <si>
    <t xml:space="preserve">Creating new location to account for the new financial naming "Government &amp; IFM". Previous location ref: R53; Ref No: L9.S.3174.001.999.10</t>
  </si>
  <si>
    <t xml:space="preserve">_CLOSED_REV_Government &amp; IFM</t>
  </si>
  <si>
    <t xml:space="preserve">L9.S.14000947</t>
  </si>
  <si>
    <t xml:space="preserve">GOVIFM</t>
  </si>
  <si>
    <t xml:space="preserve">Previous location was "REV_Government &amp; Citizen Services" in FY22.</t>
  </si>
  <si>
    <t xml:space="preserve">_CLOSED_REV_HCMT</t>
  </si>
  <si>
    <t xml:space="preserve">L9.J.20042010</t>
  </si>
  <si>
    <t xml:space="preserve">R62</t>
  </si>
  <si>
    <t xml:space="preserve">_CLOSED_REV_Health &amp; Education</t>
  </si>
  <si>
    <t xml:space="preserve">R55</t>
  </si>
  <si>
    <t xml:space="preserve">_CLOSED_REV_Hospitality</t>
  </si>
  <si>
    <t xml:space="preserve">L9.S.13000909</t>
  </si>
  <si>
    <t xml:space="preserve">R54</t>
  </si>
  <si>
    <t xml:space="preserve">_CLOSED_REV_HT HoldCo</t>
  </si>
  <si>
    <t xml:space="preserve">HTHCO</t>
  </si>
  <si>
    <t xml:space="preserve">_CLOSED_REV_Indirect Overhead (IPD)</t>
  </si>
  <si>
    <t xml:space="preserve">_CLOSED_REV_Industrial</t>
  </si>
  <si>
    <t xml:space="preserve">L9.J.30050001</t>
  </si>
  <si>
    <t xml:space="preserve">R28</t>
  </si>
  <si>
    <t xml:space="preserve">_CLOSED_REV_Industrial &amp; Marine</t>
  </si>
  <si>
    <t xml:space="preserve">L9.J.38220031</t>
  </si>
  <si>
    <t xml:space="preserve">_CLOSED_REV_Infrastructure and Construction incl. Comm</t>
  </si>
  <si>
    <t xml:space="preserve">L9.S.13001196</t>
  </si>
  <si>
    <t xml:space="preserve">R57</t>
  </si>
  <si>
    <t xml:space="preserve">_CLOSED_REV_Infrastructure Projects Engineering</t>
  </si>
  <si>
    <t xml:space="preserve">R14</t>
  </si>
  <si>
    <t xml:space="preserve">_CLOSED_REV_Infrastructure Projects HO Total</t>
  </si>
  <si>
    <t xml:space="preserve">L9.D.201201</t>
  </si>
  <si>
    <t xml:space="preserve">_CLOSED_REV_Infrastructure Projects Legacy</t>
  </si>
  <si>
    <t xml:space="preserve">R69</t>
  </si>
  <si>
    <t xml:space="preserve">_CLOSED_REV_Infrastructure Projects NSW</t>
  </si>
  <si>
    <t xml:space="preserve">L9.J.20061001</t>
  </si>
  <si>
    <t xml:space="preserve">R11</t>
  </si>
  <si>
    <t xml:space="preserve">_CLOSED_REV_Infrastructure Projects QLD &amp; Power</t>
  </si>
  <si>
    <t xml:space="preserve">L9.J.37200206</t>
  </si>
  <si>
    <t xml:space="preserve">R10</t>
  </si>
  <si>
    <t xml:space="preserve">_CLOSED_REV_Infrastructure Projects Southern</t>
  </si>
  <si>
    <t xml:space="preserve">L9.WAU.4912</t>
  </si>
  <si>
    <t xml:space="preserve">R8</t>
  </si>
  <si>
    <t xml:space="preserve">_CLOSED_REV_Intra Elim</t>
  </si>
  <si>
    <t xml:space="preserve">L9.J.150221</t>
  </si>
  <si>
    <t xml:space="preserve">IE</t>
  </si>
  <si>
    <t xml:space="preserve">_CLOSED_REV_Intra Elimination</t>
  </si>
  <si>
    <t xml:space="preserve">R68</t>
  </si>
  <si>
    <t xml:space="preserve">_CLOSED_REV_IP_Miscellaneous</t>
  </si>
  <si>
    <t xml:space="preserve">L9.J.200304</t>
  </si>
  <si>
    <t xml:space="preserve">_CLOSED_REV_Keolis Downer</t>
  </si>
  <si>
    <t xml:space="preserve">L9.KD.YT.9216</t>
  </si>
  <si>
    <t xml:space="preserve">R67</t>
  </si>
  <si>
    <t xml:space="preserve">Joint Ventures</t>
  </si>
  <si>
    <t xml:space="preserve">_CLOSED_REV_Laundries - Australia</t>
  </si>
  <si>
    <t xml:space="preserve">L9.S.16017241</t>
  </si>
  <si>
    <t xml:space="preserve">R58</t>
  </si>
  <si>
    <t xml:space="preserve">_CLOSED_REV_Legacy</t>
  </si>
  <si>
    <t xml:space="preserve">L9.S.11001151</t>
  </si>
  <si>
    <t xml:space="preserve">LEG</t>
  </si>
  <si>
    <t xml:space="preserve">_CLOSED_REV_Maclab Services Pty Limited</t>
  </si>
  <si>
    <t xml:space="preserve">L9.J.36400007</t>
  </si>
  <si>
    <t xml:space="preserve">R66</t>
  </si>
  <si>
    <t xml:space="preserve">_CLOSED_REV_Major Projects &amp; Tenders</t>
  </si>
  <si>
    <t xml:space="preserve">L9.J.372001</t>
  </si>
  <si>
    <t xml:space="preserve">R13</t>
  </si>
  <si>
    <t xml:space="preserve">_CLOSED_REV_Major Projects Tenders and Project Support</t>
  </si>
  <si>
    <t xml:space="preserve">L9.WAU.4931</t>
  </si>
  <si>
    <t xml:space="preserve">RMPTPS</t>
  </si>
  <si>
    <t xml:space="preserve">_CLOSED_REV_Managed Solutions Projects</t>
  </si>
  <si>
    <t xml:space="preserve">MSP</t>
  </si>
  <si>
    <t xml:space="preserve">_CLOSED_REV_MD Mineral Technologies Private Limited</t>
  </si>
  <si>
    <t xml:space="preserve">R21</t>
  </si>
  <si>
    <t xml:space="preserve">_CLOSED_REV_MD Mineral Technologies SA (Pty) Ltd</t>
  </si>
  <si>
    <t xml:space="preserve">L9.MIN.DMT.8021</t>
  </si>
  <si>
    <t xml:space="preserve">R24</t>
  </si>
  <si>
    <t xml:space="preserve">_CLOSED_REV_Metallurgical Lab</t>
  </si>
  <si>
    <t xml:space="preserve">L9.J.39510005</t>
  </si>
  <si>
    <t xml:space="preserve">METLAB</t>
  </si>
  <si>
    <t xml:space="preserve">_CLOSED_REV_Metering Services</t>
  </si>
  <si>
    <t xml:space="preserve">L9.S.13000901</t>
  </si>
  <si>
    <t xml:space="preserve">METSER</t>
  </si>
  <si>
    <t xml:space="preserve">_CLOSED_REV_Mineral Technologies Comercio de Equipamen</t>
  </si>
  <si>
    <t xml:space="preserve">L9.MIN.DMT.8259</t>
  </si>
  <si>
    <t xml:space="preserve">R20</t>
  </si>
  <si>
    <t xml:space="preserve">_CLOSED_REV_Mineral Technologies Pty Ltd</t>
  </si>
  <si>
    <t xml:space="preserve">L9.J.395102</t>
  </si>
  <si>
    <t xml:space="preserve">R22</t>
  </si>
  <si>
    <t xml:space="preserve">_CLOSED_REV_Mineral Technologies Pty Ltd - Elim Inv In</t>
  </si>
  <si>
    <t xml:space="preserve">L9.J.405201</t>
  </si>
  <si>
    <t xml:space="preserve">R23</t>
  </si>
  <si>
    <t xml:space="preserve">_CLOSED_REV_Mineral Technologies, Inc.</t>
  </si>
  <si>
    <t xml:space="preserve">L9.J.395101</t>
  </si>
  <si>
    <t xml:space="preserve">R25</t>
  </si>
  <si>
    <t xml:space="preserve">_CLOSED_REV_Mining East</t>
  </si>
  <si>
    <t xml:space="preserve">MINEAST</t>
  </si>
  <si>
    <t xml:space="preserve">_CLOSED_REV_Mining Head Office</t>
  </si>
  <si>
    <t xml:space="preserve">L9.MIN.RT.PROD.WCF</t>
  </si>
  <si>
    <t xml:space="preserve">MIN-COR-801</t>
  </si>
  <si>
    <t xml:space="preserve">2021/07/01</t>
  </si>
  <si>
    <t xml:space="preserve">_CLOSED_REV_Mining HO</t>
  </si>
  <si>
    <t xml:space="preserve">L9.J.10900018</t>
  </si>
  <si>
    <t xml:space="preserve">MINHO</t>
  </si>
  <si>
    <t xml:space="preserve">_CLOSED_REV_Mining Plant</t>
  </si>
  <si>
    <t xml:space="preserve">L9.J.8100003.P.WCA</t>
  </si>
  <si>
    <t xml:space="preserve">MIN-PLA-8100</t>
  </si>
  <si>
    <t xml:space="preserve">_CLOSED_REV_Mining Plant - DEM</t>
  </si>
  <si>
    <t xml:space="preserve">L9.J.362016</t>
  </si>
  <si>
    <t xml:space="preserve">MINPLT</t>
  </si>
  <si>
    <t xml:space="preserve">_CLOSED_REV_Mining Underground</t>
  </si>
  <si>
    <t xml:space="preserve">L9.J.8300001</t>
  </si>
  <si>
    <t xml:space="preserve">_CLOSED_REV_Mining West</t>
  </si>
  <si>
    <t xml:space="preserve">L9.J.8700001</t>
  </si>
  <si>
    <t xml:space="preserve">R38</t>
  </si>
  <si>
    <t xml:space="preserve">_CLOSED_REV_MSP Downer Defence Services</t>
  </si>
  <si>
    <t xml:space="preserve">L9.J.500007</t>
  </si>
  <si>
    <t xml:space="preserve">R32</t>
  </si>
  <si>
    <t xml:space="preserve">_CLOSED_REV_MT BD &amp; Int'l Operations</t>
  </si>
  <si>
    <t xml:space="preserve">L9.MIN.DPE.8732</t>
  </si>
  <si>
    <t xml:space="preserve">MTBD</t>
  </si>
  <si>
    <t xml:space="preserve">_CLOSED_REV_MT Engineering Services Aus</t>
  </si>
  <si>
    <t xml:space="preserve">L9.ENG.360.11103</t>
  </si>
  <si>
    <t xml:space="preserve">MTESA</t>
  </si>
  <si>
    <t xml:space="preserve">_CLOSED_REV_MT Equipment and R&amp;D Aus</t>
  </si>
  <si>
    <t xml:space="preserve">MTE&amp;R&amp;D</t>
  </si>
  <si>
    <t xml:space="preserve">_CLOSED_REV_NZ - NSC, IT, Property, WF &amp; Elins</t>
  </si>
  <si>
    <t xml:space="preserve">L9.DNZJ.9060</t>
  </si>
  <si>
    <t xml:space="preserve">NZNSC</t>
  </si>
  <si>
    <t xml:space="preserve">_CLOSED_REV_NZ Facilities</t>
  </si>
  <si>
    <t xml:space="preserve">L9.DNZJ.65901</t>
  </si>
  <si>
    <t xml:space="preserve">NZF</t>
  </si>
  <si>
    <t xml:space="preserve">_CLOSED_REV_NZ Head Office and Elim</t>
  </si>
  <si>
    <t xml:space="preserve">_CLOSED_REV_NZ Transport</t>
  </si>
  <si>
    <t xml:space="preserve">NZT</t>
  </si>
  <si>
    <t xml:space="preserve">_CLOSED_REV_NZ Utilities</t>
  </si>
  <si>
    <t xml:space="preserve">L9.DNZJ.63990</t>
  </si>
  <si>
    <t xml:space="preserve">NZU</t>
  </si>
  <si>
    <t xml:space="preserve">_CLOSED_REV_NZ-DNZ - Head Office incl Fin &amp; Elims</t>
  </si>
  <si>
    <t xml:space="preserve">R47</t>
  </si>
  <si>
    <t xml:space="preserve">_CLOSED_REV_NZ-Downer NZ - Building Projects</t>
  </si>
  <si>
    <t xml:space="preserve">Agency</t>
  </si>
  <si>
    <t xml:space="preserve">L9.DNZJ.55653</t>
  </si>
  <si>
    <t xml:space="preserve">R45</t>
  </si>
  <si>
    <t xml:space="preserve">_CLOSED_REV_NZ-Downer NZ - Facilities Services &amp; Utili</t>
  </si>
  <si>
    <t xml:space="preserve">L9.S.21000010</t>
  </si>
  <si>
    <t xml:space="preserve">R46</t>
  </si>
  <si>
    <t xml:space="preserve">_CLOSED_REV_NZ-Downer NZ - Infrastructure Projects</t>
  </si>
  <si>
    <t xml:space="preserve">L9.DNZJ.DN1190</t>
  </si>
  <si>
    <t xml:space="preserve">R44</t>
  </si>
  <si>
    <t xml:space="preserve">_CLOSED_REV_NZ-Downer NZ - Transport Services</t>
  </si>
  <si>
    <t xml:space="preserve">L9.DNZJ.55902</t>
  </si>
  <si>
    <t xml:space="preserve">R43</t>
  </si>
  <si>
    <t xml:space="preserve">_CLOSED_REV_NZ-Facilities Management</t>
  </si>
  <si>
    <t xml:space="preserve">L9.S.24000127</t>
  </si>
  <si>
    <t xml:space="preserve">R48</t>
  </si>
  <si>
    <t xml:space="preserve">_CLOSED_REV_NZ-Hospitality &amp; Soft Services</t>
  </si>
  <si>
    <t xml:space="preserve">L9.S.23000773</t>
  </si>
  <si>
    <t xml:space="preserve">R50</t>
  </si>
  <si>
    <t xml:space="preserve">_CLOSED_REV_NZ-Support - New Zealand</t>
  </si>
  <si>
    <t xml:space="preserve">L9.S.23000796</t>
  </si>
  <si>
    <t xml:space="preserve">R52</t>
  </si>
  <si>
    <t xml:space="preserve">_CLOSED_REV_Oil &amp; Gas</t>
  </si>
  <si>
    <t xml:space="preserve">L9.J.382155</t>
  </si>
  <si>
    <t xml:space="preserve">R30</t>
  </si>
  <si>
    <t xml:space="preserve">_CLOSED_REV_Otraco</t>
  </si>
  <si>
    <t xml:space="preserve">L9.MIN.3031.MAIN.DSH</t>
  </si>
  <si>
    <t xml:space="preserve">MIN-OTR-815</t>
  </si>
  <si>
    <t xml:space="preserve">_CLOSED_REV_Pavements</t>
  </si>
  <si>
    <t xml:space="preserve">L9.J.170615</t>
  </si>
  <si>
    <t xml:space="preserve">R70</t>
  </si>
  <si>
    <t xml:space="preserve">_CLOSED_REV_Plant (IPD)</t>
  </si>
  <si>
    <t xml:space="preserve">L9.J.200303</t>
  </si>
  <si>
    <t xml:space="preserve">ENC371-1</t>
  </si>
  <si>
    <t xml:space="preserve">_CLOSED_REV_Plant and Asset Management (Roads)</t>
  </si>
  <si>
    <t xml:space="preserve">L9.J.170239</t>
  </si>
  <si>
    <t xml:space="preserve">PAM</t>
  </si>
  <si>
    <t xml:space="preserve">_CLOSED_REV_PMS</t>
  </si>
  <si>
    <t xml:space="preserve">L9.J.101</t>
  </si>
  <si>
    <t xml:space="preserve">R61</t>
  </si>
  <si>
    <t xml:space="preserve">_CLOSED_REV_Power &amp; Energy</t>
  </si>
  <si>
    <t xml:space="preserve">L9.ENG.310.10441</t>
  </si>
  <si>
    <t xml:space="preserve">FAS363</t>
  </si>
  <si>
    <t xml:space="preserve">_CLOSED_REV_Power &amp; Gas Distribution Network</t>
  </si>
  <si>
    <t xml:space="preserve">UTIL246</t>
  </si>
  <si>
    <t xml:space="preserve">Name change to "Energy" occurred in FY23.</t>
  </si>
  <si>
    <t xml:space="preserve">_CLOSED_REV_Power Generation</t>
  </si>
  <si>
    <t xml:space="preserve">L9.S.13001081</t>
  </si>
  <si>
    <t xml:space="preserve">R701</t>
  </si>
  <si>
    <t xml:space="preserve">_CLOSED_REV_Power Legacy</t>
  </si>
  <si>
    <t xml:space="preserve">L9.J.37200003</t>
  </si>
  <si>
    <t xml:space="preserve">PWRLG</t>
  </si>
  <si>
    <t xml:space="preserve">_CLOSED_REV_Power Systems</t>
  </si>
  <si>
    <t xml:space="preserve">L9.J.240116</t>
  </si>
  <si>
    <t xml:space="preserve">POWSYS</t>
  </si>
  <si>
    <t xml:space="preserve">_CLOSED_REV_Power, Gas and Communications</t>
  </si>
  <si>
    <t xml:space="preserve">L9.J.234001</t>
  </si>
  <si>
    <t xml:space="preserve">R16</t>
  </si>
  <si>
    <t xml:space="preserve">_CLOSED_REV_QCC Resources</t>
  </si>
  <si>
    <t xml:space="preserve">L9.J.39530161</t>
  </si>
  <si>
    <t xml:space="preserve">R26</t>
  </si>
  <si>
    <t xml:space="preserve">_CLOSED_REV_QLD &amp; Power</t>
  </si>
  <si>
    <t xml:space="preserve">L9.J.20045014</t>
  </si>
  <si>
    <t xml:space="preserve">IP360</t>
  </si>
  <si>
    <t xml:space="preserve">_CLOSED_REV_Rail Services Victoria Pty Ltd</t>
  </si>
  <si>
    <t xml:space="preserve">L9.J.10900002</t>
  </si>
  <si>
    <t xml:space="preserve">RailSV</t>
  </si>
  <si>
    <t xml:space="preserve">_CLOSED_REV_Rail Systems Engineering</t>
  </si>
  <si>
    <t xml:space="preserve">L9.WAU.000633</t>
  </si>
  <si>
    <t xml:space="preserve">IP205</t>
  </si>
  <si>
    <t xml:space="preserve">_CLOSED_REV_Reconomy</t>
  </si>
  <si>
    <t xml:space="preserve">L9.J.170720</t>
  </si>
  <si>
    <t xml:space="preserve">RSV172</t>
  </si>
  <si>
    <t xml:space="preserve">_CLOSED_REV_Reconomy Total</t>
  </si>
  <si>
    <t xml:space="preserve">R5</t>
  </si>
  <si>
    <t xml:space="preserve">_CLOSED_REV_Repurpose IT</t>
  </si>
  <si>
    <t xml:space="preserve">L9.J.190101</t>
  </si>
  <si>
    <t xml:space="preserve">RSV172-1</t>
  </si>
  <si>
    <t xml:space="preserve">_CLOSED_REV_Resources</t>
  </si>
  <si>
    <t xml:space="preserve">L9.J.505002</t>
  </si>
  <si>
    <t xml:space="preserve">Reso</t>
  </si>
  <si>
    <t xml:space="preserve">_CLOSED_REV_Road Services HO</t>
  </si>
  <si>
    <t xml:space="preserve">L9.J.170100</t>
  </si>
  <si>
    <t xml:space="preserve">RRSHO</t>
  </si>
  <si>
    <t xml:space="preserve">_CLOSED_REV_Roads Bitumen</t>
  </si>
  <si>
    <t xml:space="preserve">L9.J.170938</t>
  </si>
  <si>
    <t xml:space="preserve">R4</t>
  </si>
  <si>
    <t xml:space="preserve">_CLOSED_REV_Roads HO Total</t>
  </si>
  <si>
    <t xml:space="preserve">L9.J.170333</t>
  </si>
  <si>
    <t xml:space="preserve">R1</t>
  </si>
  <si>
    <t xml:space="preserve">_CLOSED_REV_Roads Plant</t>
  </si>
  <si>
    <t xml:space="preserve">L9.J.17090179</t>
  </si>
  <si>
    <t xml:space="preserve">R6</t>
  </si>
  <si>
    <t xml:space="preserve">For revenue only, do not use</t>
  </si>
  <si>
    <t xml:space="preserve">_CLOSED_REV_Rolling Stock (NSW)</t>
  </si>
  <si>
    <t xml:space="preserve">L9.J.710001</t>
  </si>
  <si>
    <t xml:space="preserve">R18</t>
  </si>
  <si>
    <t xml:space="preserve">_CLOSED_REV_Rolling Stock (QLD/VIC)</t>
  </si>
  <si>
    <t xml:space="preserve">L9.J.70920032</t>
  </si>
  <si>
    <t xml:space="preserve">R19</t>
  </si>
  <si>
    <t xml:space="preserve">_CLOSED_REV_RPQ Group</t>
  </si>
  <si>
    <t xml:space="preserve">L9.J.17040344</t>
  </si>
  <si>
    <t xml:space="preserve">RPQ</t>
  </si>
  <si>
    <t xml:space="preserve">_CLOSED_REV_RTL</t>
  </si>
  <si>
    <t xml:space="preserve">L9.MIN.SSV.1041</t>
  </si>
  <si>
    <t xml:space="preserve">L9.J.8511</t>
  </si>
  <si>
    <t xml:space="preserve">_CLOSED_REV_RTS Head Office</t>
  </si>
  <si>
    <t xml:space="preserve">L9.J.709001</t>
  </si>
  <si>
    <t xml:space="preserve">RSS-HO</t>
  </si>
  <si>
    <t xml:space="preserve">_CLOSED_REV_RTS NSW</t>
  </si>
  <si>
    <t xml:space="preserve">L9.J.709305</t>
  </si>
  <si>
    <t xml:space="preserve">RSS-NSW</t>
  </si>
  <si>
    <t xml:space="preserve">_CLOSED_REV_RTS Opportunities</t>
  </si>
  <si>
    <t xml:space="preserve">L9.J.710002</t>
  </si>
  <si>
    <t xml:space="preserve">_CLOSED_REV_RTS QLD</t>
  </si>
  <si>
    <t xml:space="preserve">L9.J.70920033</t>
  </si>
  <si>
    <t xml:space="preserve">RSS-Queensland</t>
  </si>
  <si>
    <t xml:space="preserve">_CLOSED_REV_RTS VIC</t>
  </si>
  <si>
    <t xml:space="preserve">L9.J.713002</t>
  </si>
  <si>
    <t xml:space="preserve">RSS-VIC</t>
  </si>
  <si>
    <t xml:space="preserve">_CLOSED_REV_RTS WA</t>
  </si>
  <si>
    <t xml:space="preserve">RSS-WA</t>
  </si>
  <si>
    <t xml:space="preserve">_CLOSED_REV_SGTP</t>
  </si>
  <si>
    <t xml:space="preserve">L9.J.70930030</t>
  </si>
  <si>
    <t xml:space="preserve">R63</t>
  </si>
  <si>
    <t xml:space="preserve">_CLOSED_REV_Signalling</t>
  </si>
  <si>
    <t xml:space="preserve">L9.WAU.000602</t>
  </si>
  <si>
    <t xml:space="preserve">R12</t>
  </si>
  <si>
    <t xml:space="preserve">_CLOSED_REV_Snowden</t>
  </si>
  <si>
    <t xml:space="preserve">L9.CON.SNOWDEN.HA</t>
  </si>
  <si>
    <t xml:space="preserve">R41</t>
  </si>
  <si>
    <t xml:space="preserve">_CLOSED_REV_South East Region</t>
  </si>
  <si>
    <t xml:space="preserve">L9.J.20043032</t>
  </si>
  <si>
    <t xml:space="preserve">IP359-1</t>
  </si>
  <si>
    <t xml:space="preserve">_CLOSED_REV_Spotless accounting adjustment</t>
  </si>
  <si>
    <t xml:space="preserve">L9.S.11000172</t>
  </si>
  <si>
    <t xml:space="preserve">R60</t>
  </si>
  <si>
    <t xml:space="preserve">_CLOSED_REV_Spotless Adjustment</t>
  </si>
  <si>
    <t xml:space="preserve">_CLOSED_REV_Spotless Headoffice Australia</t>
  </si>
  <si>
    <t xml:space="preserve">L9.S.12000010</t>
  </si>
  <si>
    <t xml:space="preserve">R59</t>
  </si>
  <si>
    <t xml:space="preserve">_CLOSED_REV_Tasmania Operations</t>
  </si>
  <si>
    <t xml:space="preserve">L9.J.17030236</t>
  </si>
  <si>
    <t xml:space="preserve">RSV178</t>
  </si>
  <si>
    <t xml:space="preserve">_CLOSED_REV_Technology &amp; Communication Services</t>
  </si>
  <si>
    <t xml:space="preserve">L9.EMS.410.10334</t>
  </si>
  <si>
    <t xml:space="preserve">UTIL245</t>
  </si>
  <si>
    <t xml:space="preserve">_CLOSED_REV_Technology &amp; Communication Services Incl. MS</t>
  </si>
  <si>
    <t xml:space="preserve">L9.WAU.000907</t>
  </si>
  <si>
    <t xml:space="preserve">_CLOSED_REV_Underground</t>
  </si>
  <si>
    <t xml:space="preserve">R36</t>
  </si>
  <si>
    <t xml:space="preserve">_CLOSED_REV_Utilities Legacy &amp; Other</t>
  </si>
  <si>
    <t xml:space="preserve">L9.J.230101</t>
  </si>
  <si>
    <t xml:space="preserve">ULO</t>
  </si>
  <si>
    <t xml:space="preserve">_CLOSED_REV_WA - Civil &amp; Rail</t>
  </si>
  <si>
    <t xml:space="preserve">L9.WAU.000648</t>
  </si>
  <si>
    <t xml:space="preserve">WAC&amp;R</t>
  </si>
  <si>
    <t xml:space="preserve">_CLOSED_REV_Waanyi</t>
  </si>
  <si>
    <t xml:space="preserve">L9.J.8698</t>
  </si>
  <si>
    <t xml:space="preserve">_CLOSED_REV_Water Services</t>
  </si>
  <si>
    <t xml:space="preserve">L9.J.262101</t>
  </si>
  <si>
    <t xml:space="preserve">UTIL248</t>
  </si>
  <si>
    <t xml:space="preserve">In April 2023, Confluence Water revenue merged with Water Services Programs and Water Services Projects NSW/VIC to become Water Services. FY23 Revenue was reuploaded in Water Services.</t>
  </si>
  <si>
    <t xml:space="preserve">_CLOSED_REV_Water Services Programs</t>
  </si>
  <si>
    <t xml:space="preserve">_CLOSED_REV_Water Services Projects NSW/VIC</t>
  </si>
  <si>
    <t xml:space="preserve">L9.J.241210</t>
  </si>
  <si>
    <t xml:space="preserve">_CLOSED_REV_Water Services_OLD</t>
  </si>
  <si>
    <t xml:space="preserve">L9.J.239101</t>
  </si>
  <si>
    <t xml:space="preserve">R17</t>
  </si>
  <si>
    <t xml:space="preserve">_CLOSED_REV_ZFS Functions</t>
  </si>
  <si>
    <t xml:space="preserve">L9.ENG.570.57.570</t>
  </si>
  <si>
    <t xml:space="preserve">_CLOSED_Riley Shelley - Allenby Gardens Office (SA</t>
  </si>
  <si>
    <t xml:space="preserve">L9.S.3174.45000193</t>
  </si>
  <si>
    <t xml:space="preserve">101A Grange Rd</t>
  </si>
  <si>
    <t xml:space="preserve">Allenby Gardens</t>
  </si>
  <si>
    <t xml:space="preserve">5009</t>
  </si>
  <si>
    <t xml:space="preserve">_CLOSED_Riley Shelley - Aurburn Office (NSW)</t>
  </si>
  <si>
    <t xml:space="preserve">Unit 16  191 Parramatta Road</t>
  </si>
  <si>
    <t xml:space="preserve">_CLOSED_Riley Shelley - Bayswater Office (WA)</t>
  </si>
  <si>
    <t xml:space="preserve">52 Irvine Street</t>
  </si>
  <si>
    <t xml:space="preserve">Bayswater</t>
  </si>
  <si>
    <t xml:space="preserve">6053</t>
  </si>
  <si>
    <t xml:space="preserve">_CLOSED_Riley Shelley - Cairns Office (QLD)</t>
  </si>
  <si>
    <t xml:space="preserve">Lot 4/149 Newell St Bungalow</t>
  </si>
  <si>
    <t xml:space="preserve">Cairns</t>
  </si>
  <si>
    <t xml:space="preserve">_CLOSED_Riley Shelley - Cooparoo Office (QLD)</t>
  </si>
  <si>
    <t xml:space="preserve">8/61 Holdsworth Street</t>
  </si>
  <si>
    <t xml:space="preserve">_CLOSED_Riley Shelley - Fyshwick Office (ACT)</t>
  </si>
  <si>
    <t xml:space="preserve">Unit 9 Flat 1 Pirie St</t>
  </si>
  <si>
    <t xml:space="preserve">Fyshwick</t>
  </si>
  <si>
    <t xml:space="preserve">2609</t>
  </si>
  <si>
    <t xml:space="preserve">_CLOSED_Riley Shelley - Hawthorn (VIC)</t>
  </si>
  <si>
    <t xml:space="preserve">395-397 Tooronga Rd</t>
  </si>
  <si>
    <t xml:space="preserve">East Hawthorn</t>
  </si>
  <si>
    <t xml:space="preserve">3123</t>
  </si>
  <si>
    <t xml:space="preserve">_CLOSED_Riley Shelley - Townsville Office (QLD)</t>
  </si>
  <si>
    <t xml:space="preserve">Unit 8 405 Bayswater Rd</t>
  </si>
  <si>
    <t xml:space="preserve">_CLOSED_Riley Shelley - Warana Factory</t>
  </si>
  <si>
    <t xml:space="preserve">Factory</t>
  </si>
  <si>
    <t xml:space="preserve">Leased</t>
  </si>
  <si>
    <t xml:space="preserve">Unit 3 12 Duel Avenue</t>
  </si>
  <si>
    <t xml:space="preserve">Warana</t>
  </si>
  <si>
    <t xml:space="preserve">4575</t>
  </si>
  <si>
    <t xml:space="preserve">2013/06/30</t>
  </si>
  <si>
    <t xml:space="preserve">_CLOSED_Rimtec Kalgoorlie</t>
  </si>
  <si>
    <t xml:space="preserve">4016</t>
  </si>
  <si>
    <t xml:space="preserve">Account closed during early Q3 FY15.</t>
  </si>
  <si>
    <t xml:space="preserve">255C Duggan St</t>
  </si>
  <si>
    <t xml:space="preserve">Kalgoolie</t>
  </si>
  <si>
    <t xml:space="preserve">6430</t>
  </si>
  <si>
    <t xml:space="preserve">-30.757</t>
  </si>
  <si>
    <t xml:space="preserve">121.458</t>
  </si>
  <si>
    <t xml:space="preserve">_CLOSED_Rimtec Mackay</t>
  </si>
  <si>
    <t xml:space="preserve">4020</t>
  </si>
  <si>
    <t xml:space="preserve">Rimtec sold by Downer EDi Mining. Site closed August 2015</t>
  </si>
  <si>
    <t xml:space="preserve">1/1 and 2/1 Titanium Drive, Paget</t>
  </si>
  <si>
    <t xml:space="preserve">Paget</t>
  </si>
  <si>
    <t xml:space="preserve">4740</t>
  </si>
  <si>
    <t xml:space="preserve">-21.17268</t>
  </si>
  <si>
    <t xml:space="preserve">149.166617</t>
  </si>
  <si>
    <t xml:space="preserve">_CLOSED_Rimtec Redcliffe</t>
  </si>
  <si>
    <t xml:space="preserve">4031</t>
  </si>
  <si>
    <t xml:space="preserve">362</t>
  </si>
  <si>
    <t xml:space="preserve">Vacated in Q2 FY16</t>
  </si>
  <si>
    <t xml:space="preserve">31 Redcliffe Road</t>
  </si>
  <si>
    <t xml:space="preserve">-31.928</t>
  </si>
  <si>
    <t xml:space="preserve">115.951</t>
  </si>
  <si>
    <t xml:space="preserve">_CLOSED_Roads Parramatta Office</t>
  </si>
  <si>
    <t xml:space="preserve">L9.J.17012296</t>
  </si>
  <si>
    <t xml:space="preserve">R999</t>
  </si>
  <si>
    <t xml:space="preserve">Parramatta</t>
  </si>
  <si>
    <t xml:space="preserve">_CLOSED_RPQ NSW Kelso</t>
  </si>
  <si>
    <t xml:space="preserve">L9.J.17011283</t>
  </si>
  <si>
    <t xml:space="preserve">This was previously a part of NSW Spray Seal until separate depots were split out.</t>
  </si>
  <si>
    <t xml:space="preserve">24 Lee St</t>
  </si>
  <si>
    <t xml:space="preserve">Kelso</t>
  </si>
  <si>
    <t xml:space="preserve">2795</t>
  </si>
  <si>
    <t xml:space="preserve">-29.717988</t>
  </si>
  <si>
    <t xml:space="preserve">152.948332</t>
  </si>
  <si>
    <t xml:space="preserve">Road Services</t>
  </si>
  <si>
    <t xml:space="preserve">RSV-175 - National Bituminous Products</t>
  </si>
  <si>
    <t xml:space="preserve">RPQ NSW</t>
  </si>
  <si>
    <t xml:space="preserve">_CLOSED_SA</t>
  </si>
  <si>
    <t xml:space="preserve">L9.S.11000040</t>
  </si>
  <si>
    <t xml:space="preserve">9041</t>
  </si>
  <si>
    <t xml:space="preserve">South  Australia</t>
  </si>
  <si>
    <t xml:space="preserve">_CLOSED_SA Project EnergyConnect (PEC)</t>
  </si>
  <si>
    <t xml:space="preserve">Project</t>
  </si>
  <si>
    <t xml:space="preserve">L9.J.37120005</t>
  </si>
  <si>
    <t xml:space="preserve">SA PEC - L9.J.37740097</t>
  </si>
  <si>
    <t xml:space="preserve">_CLOSED_SA Rail Maintenance</t>
  </si>
  <si>
    <t xml:space="preserve">115 Sherriff Street</t>
  </si>
  <si>
    <t xml:space="preserve">Underdale</t>
  </si>
  <si>
    <t xml:space="preserve">-34.916</t>
  </si>
  <si>
    <t xml:space="preserve">138.551</t>
  </si>
  <si>
    <t xml:space="preserve">2023/03/31</t>
  </si>
  <si>
    <t xml:space="preserve">_CLOSED_SCT Forrestfield</t>
  </si>
  <si>
    <t xml:space="preserve">3019</t>
  </si>
  <si>
    <t xml:space="preserve">800-820 Abernathy Rd</t>
  </si>
  <si>
    <t xml:space="preserve">Forrestfield</t>
  </si>
  <si>
    <t xml:space="preserve">6058</t>
  </si>
  <si>
    <t xml:space="preserve">_CLOSED_SCU Hospital - Birtinya</t>
  </si>
  <si>
    <t xml:space="preserve">Hospital</t>
  </si>
  <si>
    <t xml:space="preserve">9049</t>
  </si>
  <si>
    <t xml:space="preserve">Please see PPP - Sunshine Coast for accounts</t>
  </si>
  <si>
    <t xml:space="preserve">_CLOSED_SF - Chichester</t>
  </si>
  <si>
    <t xml:space="preserve">L9.J.37750007</t>
  </si>
  <si>
    <t xml:space="preserve">74</t>
  </si>
  <si>
    <t xml:space="preserve">Data for Chichester Solar Farm, substation and transmission line under this location.</t>
  </si>
  <si>
    <t xml:space="preserve">_CLOSED_SF - Sunshine Coast</t>
  </si>
  <si>
    <t xml:space="preserve">L9.J.24130057</t>
  </si>
  <si>
    <t xml:space="preserve">65</t>
  </si>
  <si>
    <t xml:space="preserve">909 Yandina Coolum Road</t>
  </si>
  <si>
    <t xml:space="preserve">Valdora</t>
  </si>
  <si>
    <t xml:space="preserve">4561</t>
  </si>
  <si>
    <t xml:space="preserve">-26.559283</t>
  </si>
  <si>
    <t xml:space="preserve">153.028631</t>
  </si>
  <si>
    <t xml:space="preserve">2022/12/08</t>
  </si>
  <si>
    <t xml:space="preserve">_CLOSED_SFP JV</t>
  </si>
  <si>
    <t xml:space="preserve">7046</t>
  </si>
  <si>
    <t xml:space="preserve">A JV between Downer, Stantec and Abergeldie where Downer is the Principal Contractor - closed this location in Envizi and opened up locations from each project.</t>
  </si>
  <si>
    <t xml:space="preserve">-37.810332</t>
  </si>
  <si>
    <t xml:space="preserve">144.947217</t>
  </si>
  <si>
    <t xml:space="preserve">_Closed_SHOALWATER BAY</t>
  </si>
  <si>
    <t xml:space="preserve">The project is a 50:50 joint venture between Downer and FKG with both entities having authority to implement and introduce the above-mentioned criteria, however, the project will be operating under FKG systems and policies. Given the ambiguity, the decision was raised to the JV Board members who have nominated for FKG to be given operational control of the project.</t>
  </si>
  <si>
    <t xml:space="preserve">_CLOSED_SI-16004840 - Second Ponds School</t>
  </si>
  <si>
    <t xml:space="preserve">School</t>
  </si>
  <si>
    <t xml:space="preserve">L9.S.16004840</t>
  </si>
  <si>
    <t xml:space="preserve">16004840</t>
  </si>
  <si>
    <t xml:space="preserve">_CLOSED_Silverwater</t>
  </si>
  <si>
    <t xml:space="preserve">L9.J.170201</t>
  </si>
  <si>
    <t xml:space="preserve">353</t>
  </si>
  <si>
    <t xml:space="preserve">Facility replaced Gladesville.</t>
  </si>
  <si>
    <t xml:space="preserve">83 Egerton st</t>
  </si>
  <si>
    <t xml:space="preserve">Silverwater</t>
  </si>
  <si>
    <t xml:space="preserve">2128</t>
  </si>
  <si>
    <t xml:space="preserve">-33.833519</t>
  </si>
  <si>
    <t xml:space="preserve">151.043634</t>
  </si>
  <si>
    <t xml:space="preserve">_CLOSED_Singapore</t>
  </si>
  <si>
    <t xml:space="preserve">L9.J.115</t>
  </si>
  <si>
    <t xml:space="preserve">1001</t>
  </si>
  <si>
    <t xml:space="preserve">83</t>
  </si>
  <si>
    <t xml:space="preserve">Moved to new office where electricity included in office rental.  No car from Jun-19</t>
  </si>
  <si>
    <t xml:space="preserve">11 Lorong 3 Toa Payoh, #03-16</t>
  </si>
  <si>
    <t xml:space="preserve">Singapore</t>
  </si>
  <si>
    <t xml:space="preserve">Singapore City</t>
  </si>
  <si>
    <t xml:space="preserve">1.337395</t>
  </si>
  <si>
    <t xml:space="preserve">103.848454</t>
  </si>
  <si>
    <t xml:space="preserve">_CLOSED_Snowden_Belo Horizonte (Brazil)</t>
  </si>
  <si>
    <t xml:space="preserve">L9.CON.SNOWDEN.BRA</t>
  </si>
  <si>
    <t xml:space="preserve">4034</t>
  </si>
  <si>
    <t xml:space="preserve">261</t>
  </si>
  <si>
    <t xml:space="preserve">Transferred to Mining division from FY16. Office closed FY16.</t>
  </si>
  <si>
    <t xml:space="preserve">Av. Afonso Pena 2770 / 201 Funcionários, 30130-007 Belo Horizonte MG Brazil</t>
  </si>
  <si>
    <t xml:space="preserve">30130-009</t>
  </si>
  <si>
    <t xml:space="preserve">Belo Horizonte</t>
  </si>
  <si>
    <t xml:space="preserve">-19.946107</t>
  </si>
  <si>
    <t xml:space="preserve">-43.921625</t>
  </si>
  <si>
    <t xml:space="preserve">_CLOSED_Snowden_Brisbane (QLD)</t>
  </si>
  <si>
    <t xml:space="preserve">L9.CON.SNO.E.COAST</t>
  </si>
  <si>
    <t xml:space="preserve">4035</t>
  </si>
  <si>
    <t xml:space="preserve">263</t>
  </si>
  <si>
    <t xml:space="preserve">Transferred to Mining division from FY16. Shared facility with other Downer entities including Downer Infrastructure, Downer Rail and others since 1/7/2013. Lease agreement held with Downer Services. Site data is reported by Downer Infrastructure East Woollongabba. All Snowden staff in SW1 for FY16</t>
  </si>
  <si>
    <t xml:space="preserve">-27.495031</t>
  </si>
  <si>
    <t xml:space="preserve">153.033641</t>
  </si>
  <si>
    <t xml:space="preserve">_CLOSED_Snowden_Johannesburg (South Africa)</t>
  </si>
  <si>
    <t xml:space="preserve">L9.CON.SNO.AFRICA</t>
  </si>
  <si>
    <t xml:space="preserve">4036</t>
  </si>
  <si>
    <t xml:space="preserve">266</t>
  </si>
  <si>
    <t xml:space="preserve">Transferred to Mining division from FY16.
Snowden business sold: 1.6.2020</t>
  </si>
  <si>
    <t xml:space="preserve">Technology House, Greenacres Office Park, Victory &amp; Rustenburg Roads, Victory Park 2195, Johannesburg</t>
  </si>
  <si>
    <t xml:space="preserve">2195</t>
  </si>
  <si>
    <t xml:space="preserve">Johannesburg</t>
  </si>
  <si>
    <t xml:space="preserve">-26.142712</t>
  </si>
  <si>
    <t xml:space="preserve">28.008586</t>
  </si>
  <si>
    <t xml:space="preserve">_CLOSED_Snowden_London (UK)</t>
  </si>
  <si>
    <t xml:space="preserve">L9.CON.SNOWDEN.UK</t>
  </si>
  <si>
    <t xml:space="preserve">4037</t>
  </si>
  <si>
    <t xml:space="preserve">267</t>
  </si>
  <si>
    <t xml:space="preserve">Office has four people. Not charged for electricity. Transferred to Mining division from FY16. No office (no staff). Last rent paid in Sept 2015. Closed.</t>
  </si>
  <si>
    <t xml:space="preserve">1 Kingdom Street, Paddington Central, London, W2 6BD, United Kingdom</t>
  </si>
  <si>
    <t xml:space="preserve">United Kingdom</t>
  </si>
  <si>
    <t xml:space="preserve">W2 6BD</t>
  </si>
  <si>
    <t xml:space="preserve">City of London</t>
  </si>
  <si>
    <t xml:space="preserve">51.519029</t>
  </si>
  <si>
    <t xml:space="preserve">-0.181703</t>
  </si>
  <si>
    <t xml:space="preserve">_CLOSED_Snowden_Perth (WA)</t>
  </si>
  <si>
    <t xml:space="preserve">L9.CON.SNO.W.COAST</t>
  </si>
  <si>
    <t xml:space="preserve">4038</t>
  </si>
  <si>
    <t xml:space="preserve">265</t>
  </si>
  <si>
    <t xml:space="preserve">Transferred from EC&amp;M to Mining FY16. Moved to 130 Stirling St, Perth in Dec 2015. Snowden was recharged for the office space. Electricity reported by Engineering.</t>
  </si>
  <si>
    <t xml:space="preserve">181 Adelaide Terrace</t>
  </si>
  <si>
    <t xml:space="preserve">-31.947</t>
  </si>
  <si>
    <t xml:space="preserve">115.842</t>
  </si>
  <si>
    <t xml:space="preserve">_CLOSED_Snowden_Vancouver (Canada)</t>
  </si>
  <si>
    <t xml:space="preserve">L9.CON.SNOWDEN.CAN</t>
  </si>
  <si>
    <t xml:space="preserve">4039</t>
  </si>
  <si>
    <t xml:space="preserve">262</t>
  </si>
  <si>
    <t xml:space="preserve">Transferred to Mining division from FY16. Office was subleased since April 2015. Lease finished 31 May 2016. Office closed.</t>
  </si>
  <si>
    <t xml:space="preserve">Suite 600, 1090 West Pender Street, Vancouver BC V6E 2N7</t>
  </si>
  <si>
    <t xml:space="preserve">Canada</t>
  </si>
  <si>
    <t xml:space="preserve">V6E 2N7</t>
  </si>
  <si>
    <t xml:space="preserve">Vancouver</t>
  </si>
  <si>
    <t xml:space="preserve">49.287</t>
  </si>
  <si>
    <t xml:space="preserve">-123.12</t>
  </si>
  <si>
    <t xml:space="preserve">_CLOSED_SO_Ardrossan Substation</t>
  </si>
  <si>
    <t xml:space="preserve">105</t>
  </si>
  <si>
    <t xml:space="preserve">Ardrossan</t>
  </si>
  <si>
    <t xml:space="preserve">5571</t>
  </si>
  <si>
    <t xml:space="preserve">-34.429337</t>
  </si>
  <si>
    <t xml:space="preserve">137.888761</t>
  </si>
  <si>
    <t xml:space="preserve">2011/04/01</t>
  </si>
  <si>
    <t xml:space="preserve">_CLOSED_SO_Argyle</t>
  </si>
  <si>
    <t xml:space="preserve">880</t>
  </si>
  <si>
    <t xml:space="preserve">_CLOSED_SO_Banora Point WWTP</t>
  </si>
  <si>
    <t xml:space="preserve">46 Enterprise Drive</t>
  </si>
  <si>
    <t xml:space="preserve">South Tweed</t>
  </si>
  <si>
    <t xml:space="preserve">2485</t>
  </si>
  <si>
    <t xml:space="preserve">-28.203794</t>
  </si>
  <si>
    <t xml:space="preserve">153.534413</t>
  </si>
  <si>
    <t xml:space="preserve">_CLOSED_SO_Bayswater Power Station</t>
  </si>
  <si>
    <t xml:space="preserve">120</t>
  </si>
  <si>
    <t xml:space="preserve">PO Box 249 (Off New England Highway)</t>
  </si>
  <si>
    <t xml:space="preserve">Muswellbrook</t>
  </si>
  <si>
    <t xml:space="preserve">2333</t>
  </si>
  <si>
    <t xml:space="preserve">-32.292357</t>
  </si>
  <si>
    <t xml:space="preserve">150.932236</t>
  </si>
  <si>
    <t xml:space="preserve">_CLOSED_SO_Bibra Lake</t>
  </si>
  <si>
    <t xml:space="preserve">L9.ENG.360.13600</t>
  </si>
  <si>
    <t xml:space="preserve">7021</t>
  </si>
  <si>
    <t xml:space="preserve">3 Morse Road</t>
  </si>
  <si>
    <t xml:space="preserve">Bibra Lake</t>
  </si>
  <si>
    <t xml:space="preserve">6164</t>
  </si>
  <si>
    <t xml:space="preserve">-32.113831</t>
  </si>
  <si>
    <t xml:space="preserve">115.800823</t>
  </si>
  <si>
    <t xml:space="preserve">_CLOSED_SO_Boddington Bauxite Mine</t>
  </si>
  <si>
    <t xml:space="preserve">L9.J.8150204</t>
  </si>
  <si>
    <t xml:space="preserve">7022</t>
  </si>
  <si>
    <t xml:space="preserve">Saddleback mine site</t>
  </si>
  <si>
    <t xml:space="preserve">Boddington</t>
  </si>
  <si>
    <t xml:space="preserve">-32.857527</t>
  </si>
  <si>
    <t xml:space="preserve">116.447525</t>
  </si>
  <si>
    <t xml:space="preserve">2010/09/01</t>
  </si>
  <si>
    <t xml:space="preserve">_CLOSED_SO_Busselton</t>
  </si>
  <si>
    <t xml:space="preserve">881</t>
  </si>
  <si>
    <t xml:space="preserve">_CLOSED_SO_Camden Haven</t>
  </si>
  <si>
    <t xml:space="preserve">185</t>
  </si>
  <si>
    <t xml:space="preserve">Tip Rd</t>
  </si>
  <si>
    <t xml:space="preserve">Dunbogan</t>
  </si>
  <si>
    <t xml:space="preserve">2443</t>
  </si>
  <si>
    <t xml:space="preserve">-31.656628</t>
  </si>
  <si>
    <t xml:space="preserve">152.814497</t>
  </si>
  <si>
    <t xml:space="preserve">_CLOSED_SO_Canberra (AAT Alliance)</t>
  </si>
  <si>
    <t xml:space="preserve">190</t>
  </si>
  <si>
    <t xml:space="preserve">Mt Stromlo Rd</t>
  </si>
  <si>
    <t xml:space="preserve">Mt Stromlo</t>
  </si>
  <si>
    <t xml:space="preserve">2611</t>
  </si>
  <si>
    <t xml:space="preserve">-35.326181</t>
  </si>
  <si>
    <t xml:space="preserve">149.000517</t>
  </si>
  <si>
    <t xml:space="preserve">_CLOSED_SO_Cape Lambert</t>
  </si>
  <si>
    <t xml:space="preserve">200</t>
  </si>
  <si>
    <t xml:space="preserve">Cape Lambert Port B Facility</t>
  </si>
  <si>
    <t xml:space="preserve">Cape Lambert</t>
  </si>
  <si>
    <t xml:space="preserve">6720</t>
  </si>
  <si>
    <t xml:space="preserve">-20.595388</t>
  </si>
  <si>
    <t xml:space="preserve">117.178588</t>
  </si>
  <si>
    <t xml:space="preserve">2010/11/01</t>
  </si>
  <si>
    <t xml:space="preserve">_CLOSED_SO_Chinchilla</t>
  </si>
  <si>
    <t xml:space="preserve">904</t>
  </si>
  <si>
    <t xml:space="preserve">105 Cemetery Rd</t>
  </si>
  <si>
    <t xml:space="preserve">4413</t>
  </si>
  <si>
    <t xml:space="preserve">-26.7453                            </t>
  </si>
  <si>
    <t xml:space="preserve">150.6450                            </t>
  </si>
  <si>
    <t xml:space="preserve">_CLOSED_SO_Eastern Treatment Plant</t>
  </si>
  <si>
    <t xml:space="preserve">220</t>
  </si>
  <si>
    <t xml:space="preserve">Gate 12, Worseley Rd</t>
  </si>
  <si>
    <t xml:space="preserve">Bangholme</t>
  </si>
  <si>
    <t xml:space="preserve">-38.062774</t>
  </si>
  <si>
    <t xml:space="preserve">145.181065</t>
  </si>
  <si>
    <t xml:space="preserve">_CLOSED_SO_Eraring Power Station</t>
  </si>
  <si>
    <t xml:space="preserve">7024</t>
  </si>
  <si>
    <t xml:space="preserve">Eraring Power Station, Rocky Point Rd</t>
  </si>
  <si>
    <t xml:space="preserve">Eraring</t>
  </si>
  <si>
    <t xml:space="preserve">2264</t>
  </si>
  <si>
    <t xml:space="preserve">-33.064572</t>
  </si>
  <si>
    <t xml:space="preserve">151.519618</t>
  </si>
  <si>
    <t xml:space="preserve">_CLOSED_SO_Fairfield</t>
  </si>
  <si>
    <t xml:space="preserve">Tenix_2026</t>
  </si>
  <si>
    <t xml:space="preserve">206 Brisbane Corso</t>
  </si>
  <si>
    <t xml:space="preserve">Yeronga</t>
  </si>
  <si>
    <t xml:space="preserve">4104</t>
  </si>
  <si>
    <t xml:space="preserve">-27.506435</t>
  </si>
  <si>
    <t xml:space="preserve">153.014554</t>
  </si>
  <si>
    <t xml:space="preserve">_CLOSED_SO_Fairview</t>
  </si>
  <si>
    <t xml:space="preserve">842</t>
  </si>
  <si>
    <t xml:space="preserve">To be determined</t>
  </si>
  <si>
    <t xml:space="preserve">Fairview</t>
  </si>
  <si>
    <t xml:space="preserve">Qld</t>
  </si>
  <si>
    <t xml:space="preserve">-25.612042</t>
  </si>
  <si>
    <t xml:space="preserve">148.948774</t>
  </si>
  <si>
    <t xml:space="preserve">_CLOSED_SO_Glenfield</t>
  </si>
  <si>
    <t xml:space="preserve">_CLOSED_SO_Goomboorian Substation</t>
  </si>
  <si>
    <t xml:space="preserve">_CLOSED_SO_Joe White Maltings MBR_close</t>
  </si>
  <si>
    <t xml:space="preserve">260</t>
  </si>
  <si>
    <t xml:space="preserve">770 Abernethy Rd</t>
  </si>
  <si>
    <t xml:space="preserve">-31.975336</t>
  </si>
  <si>
    <t xml:space="preserve">115.984855</t>
  </si>
  <si>
    <t xml:space="preserve">_CLOSED_SO_Kadina substation</t>
  </si>
  <si>
    <t xml:space="preserve">Mundinna Rd</t>
  </si>
  <si>
    <t xml:space="preserve">Kadina East</t>
  </si>
  <si>
    <t xml:space="preserve">5554</t>
  </si>
  <si>
    <t xml:space="preserve">_CLOSED_SO_Keilor substation</t>
  </si>
  <si>
    <t xml:space="preserve">271</t>
  </si>
  <si>
    <t xml:space="preserve">-37.735375</t>
  </si>
  <si>
    <t xml:space="preserve">144.848921</t>
  </si>
  <si>
    <t xml:space="preserve">_CLOSED_SO_Kilmore</t>
  </si>
  <si>
    <t xml:space="preserve">Northern Highway</t>
  </si>
  <si>
    <t xml:space="preserve">Kilmore</t>
  </si>
  <si>
    <t xml:space="preserve">3764</t>
  </si>
  <si>
    <t xml:space="preserve">_CLOSED_SO_Kuranda</t>
  </si>
  <si>
    <t xml:space="preserve">530</t>
  </si>
  <si>
    <t xml:space="preserve">_CLOSED_SO_Leitchville</t>
  </si>
  <si>
    <t xml:space="preserve">219</t>
  </si>
  <si>
    <t xml:space="preserve">King George Street</t>
  </si>
  <si>
    <t xml:space="preserve">Leitchville</t>
  </si>
  <si>
    <t xml:space="preserve">3567</t>
  </si>
  <si>
    <t xml:space="preserve">_CLOSED_SO_Liddell Power Station</t>
  </si>
  <si>
    <t xml:space="preserve">295</t>
  </si>
  <si>
    <t xml:space="preserve">New England Highway</t>
  </si>
  <si>
    <t xml:space="preserve">-32.579992</t>
  </si>
  <si>
    <t xml:space="preserve">151.073162</t>
  </si>
  <si>
    <t xml:space="preserve">_CLOSED_SO_Lihir</t>
  </si>
  <si>
    <t xml:space="preserve">PNG Location but no utilities - only paper</t>
  </si>
  <si>
    <t xml:space="preserve">_CLOSED_SO_Malanda</t>
  </si>
  <si>
    <t xml:space="preserve">330</t>
  </si>
  <si>
    <t xml:space="preserve">English Road</t>
  </si>
  <si>
    <t xml:space="preserve">Malanda</t>
  </si>
  <si>
    <t xml:space="preserve">4885</t>
  </si>
  <si>
    <t xml:space="preserve">_CLOSED_SO_Manildra</t>
  </si>
  <si>
    <t xml:space="preserve">335</t>
  </si>
  <si>
    <t xml:space="preserve">Cnr Bolong Rd and Hanigans Lane</t>
  </si>
  <si>
    <t xml:space="preserve">Shoalhaven</t>
  </si>
  <si>
    <t xml:space="preserve">2535</t>
  </si>
  <si>
    <t xml:space="preserve">-34.852736</t>
  </si>
  <si>
    <t xml:space="preserve">150.62023</t>
  </si>
  <si>
    <t xml:space="preserve">_CLOSED_SO_Mirani</t>
  </si>
  <si>
    <t xml:space="preserve">550</t>
  </si>
  <si>
    <t xml:space="preserve">Water treatment plant construction</t>
  </si>
  <si>
    <t xml:space="preserve">_CLOSED_SO_Nepean</t>
  </si>
  <si>
    <t xml:space="preserve">386</t>
  </si>
  <si>
    <t xml:space="preserve">_CLOSED_SO_Nickol</t>
  </si>
  <si>
    <t xml:space="preserve">999</t>
  </si>
  <si>
    <t xml:space="preserve">Temporary reference = 999</t>
  </si>
  <si>
    <t xml:space="preserve">_CLOSED_SO_Port Hedland</t>
  </si>
  <si>
    <t xml:space="preserve">886</t>
  </si>
  <si>
    <t xml:space="preserve">Pipeline &amp; pump station #11Lot 556 Cooke Point Drive</t>
  </si>
  <si>
    <t xml:space="preserve">Port Hedland</t>
  </si>
  <si>
    <t xml:space="preserve">6721</t>
  </si>
  <si>
    <t xml:space="preserve">_CLOSED_SO_South Morang Terminal Station</t>
  </si>
  <si>
    <t xml:space="preserve">870</t>
  </si>
  <si>
    <t xml:space="preserve">535 McDonalds Rd</t>
  </si>
  <si>
    <t xml:space="preserve">South Morang</t>
  </si>
  <si>
    <t xml:space="preserve">3752</t>
  </si>
  <si>
    <t xml:space="preserve">-37.650682</t>
  </si>
  <si>
    <t xml:space="preserve">145.084162</t>
  </si>
  <si>
    <t xml:space="preserve">_CLOSED_SO_South Toowoomba</t>
  </si>
  <si>
    <t xml:space="preserve">903</t>
  </si>
  <si>
    <t xml:space="preserve">12 staff</t>
  </si>
  <si>
    <t xml:space="preserve">382 Alderley St</t>
  </si>
  <si>
    <t xml:space="preserve">South Toowoomba</t>
  </si>
  <si>
    <t xml:space="preserve">4350</t>
  </si>
  <si>
    <t xml:space="preserve">_CLOSED_SO_Templers Substation</t>
  </si>
  <si>
    <t xml:space="preserve">471</t>
  </si>
  <si>
    <t xml:space="preserve">_CLOSED_SO_Wallan</t>
  </si>
  <si>
    <t xml:space="preserve">565</t>
  </si>
  <si>
    <t xml:space="preserve">Construction of Wallan recycled water treatment plant</t>
  </si>
  <si>
    <t xml:space="preserve">_CLOSED_SO_Wamuran Substation</t>
  </si>
  <si>
    <t xml:space="preserve">481</t>
  </si>
  <si>
    <t xml:space="preserve">Lot 2 D'Aguilar Highway</t>
  </si>
  <si>
    <t xml:space="preserve">Wamuran</t>
  </si>
  <si>
    <t xml:space="preserve">4512</t>
  </si>
  <si>
    <t xml:space="preserve">-27.035103</t>
  </si>
  <si>
    <t xml:space="preserve">152.855723</t>
  </si>
  <si>
    <t xml:space="preserve">_CLOSED_SO_Wollert</t>
  </si>
  <si>
    <t xml:space="preserve">511</t>
  </si>
  <si>
    <t xml:space="preserve">7 Mahers St</t>
  </si>
  <si>
    <t xml:space="preserve">-37.325866</t>
  </si>
  <si>
    <t xml:space="preserve">144.540596</t>
  </si>
  <si>
    <t xml:space="preserve">_CLOSED_South Dynon Maintenance</t>
  </si>
  <si>
    <t xml:space="preserve">L9.J.70800012</t>
  </si>
  <si>
    <t xml:space="preserve">272</t>
  </si>
  <si>
    <t xml:space="preserve">Dynon workforce departure 11/05/2016 and facility closure June 2016</t>
  </si>
  <si>
    <t xml:space="preserve">Gate F, Footscary Road</t>
  </si>
  <si>
    <t xml:space="preserve">West Melbourne</t>
  </si>
  <si>
    <t xml:space="preserve">3003</t>
  </si>
  <si>
    <t xml:space="preserve">-37.806</t>
  </si>
  <si>
    <t xml:space="preserve">144.925</t>
  </si>
  <si>
    <t xml:space="preserve">_CLOSED_South Flank HVE</t>
  </si>
  <si>
    <t xml:space="preserve">4068</t>
  </si>
  <si>
    <t xml:space="preserve">Electrical - HV Construction Infrastructure</t>
  </si>
  <si>
    <t xml:space="preserve">_CLOSED_South Flank LTE</t>
  </si>
  <si>
    <t xml:space="preserve">L9.J.37220035</t>
  </si>
  <si>
    <t xml:space="preserve">4069</t>
  </si>
  <si>
    <t xml:space="preserve">Downer demobilised April 2020.</t>
  </si>
  <si>
    <t xml:space="preserve">_CLOSED_South Flank Port Upgrade</t>
  </si>
  <si>
    <t xml:space="preserve">L9.J.37220036</t>
  </si>
  <si>
    <t xml:space="preserve">4067</t>
  </si>
  <si>
    <t xml:space="preserve">_CLOSED_Southland DC</t>
  </si>
  <si>
    <t xml:space="preserve">L9.DNZJ.56126</t>
  </si>
  <si>
    <t xml:space="preserve">56126</t>
  </si>
  <si>
    <t xml:space="preserve">_CLOSED_Spotless - Biloela</t>
  </si>
  <si>
    <t xml:space="preserve">L9.DUA.300314</t>
  </si>
  <si>
    <t xml:space="preserve">9048</t>
  </si>
  <si>
    <t xml:space="preserve">4715</t>
  </si>
  <si>
    <t xml:space="preserve">_CLOSED_Spotless - Cairns North</t>
  </si>
  <si>
    <t xml:space="preserve">Cairns North</t>
  </si>
  <si>
    <t xml:space="preserve">_closed_Spotless - Chinchilla</t>
  </si>
  <si>
    <t xml:space="preserve">9114</t>
  </si>
  <si>
    <t xml:space="preserve">                            451</t>
  </si>
  <si>
    <t xml:space="preserve">_CLOSED_Spotless - Coffs Harbour</t>
  </si>
  <si>
    <t xml:space="preserve">20 Lawson Cres</t>
  </si>
  <si>
    <t xml:space="preserve">2452</t>
  </si>
  <si>
    <t xml:space="preserve">_CLOSED_Spotless - Fyshwick</t>
  </si>
  <si>
    <t xml:space="preserve">L9.S.16006910</t>
  </si>
  <si>
    <t xml:space="preserve">9064</t>
  </si>
  <si>
    <t xml:space="preserve">25 Yallourn St</t>
  </si>
  <si>
    <t xml:space="preserve">-35.331745</t>
  </si>
  <si>
    <t xml:space="preserve">149.17193</t>
  </si>
  <si>
    <t xml:space="preserve">_CLOSED_Spotless - Injune</t>
  </si>
  <si>
    <t xml:space="preserve">9109</t>
  </si>
  <si>
    <t xml:space="preserve">_CLOSED_Spotless - Melbourne (549 St Kilda Road)</t>
  </si>
  <si>
    <t xml:space="preserve">South Melbourne</t>
  </si>
  <si>
    <t xml:space="preserve">2021/02/04</t>
  </si>
  <si>
    <t xml:space="preserve">_CLOSED_Spotless - Middlemount</t>
  </si>
  <si>
    <t xml:space="preserve">9115</t>
  </si>
  <si>
    <t xml:space="preserve">Middlemount</t>
  </si>
  <si>
    <t xml:space="preserve">4746</t>
  </si>
  <si>
    <t xml:space="preserve">_closed_Spotless - Moranbah</t>
  </si>
  <si>
    <t xml:space="preserve">9116</t>
  </si>
  <si>
    <t xml:space="preserve">4744</t>
  </si>
  <si>
    <t xml:space="preserve">_CLOSED_Spotless - Mount Louisa</t>
  </si>
  <si>
    <t xml:space="preserve">L9.J.10920060</t>
  </si>
  <si>
    <t xml:space="preserve">9034</t>
  </si>
  <si>
    <t xml:space="preserve">Moved to "AD&amp;S - Circuit Shaw Warehouse".</t>
  </si>
  <si>
    <t xml:space="preserve">Units 23&amp;24, 547-593 Woolcock Street</t>
  </si>
  <si>
    <t xml:space="preserve">Mt Louisa</t>
  </si>
  <si>
    <t xml:space="preserve">-19.265533</t>
  </si>
  <si>
    <t xml:space="preserve">146.74235</t>
  </si>
  <si>
    <t xml:space="preserve">_CLOSED_Spotless - Moura</t>
  </si>
  <si>
    <t xml:space="preserve">_CLOSED_Spotless - Mudjimba</t>
  </si>
  <si>
    <t xml:space="preserve">9110</t>
  </si>
  <si>
    <t xml:space="preserve">_CLOSED_Spotless - Tullamarine</t>
  </si>
  <si>
    <t xml:space="preserve">L9.S.14000632</t>
  </si>
  <si>
    <t xml:space="preserve">9071</t>
  </si>
  <si>
    <t xml:space="preserve">3 Steele Court</t>
  </si>
  <si>
    <t xml:space="preserve">Tullamarine</t>
  </si>
  <si>
    <t xml:space="preserve">3043</t>
  </si>
  <si>
    <t xml:space="preserve">-37.719511</t>
  </si>
  <si>
    <t xml:space="preserve">144.865128</t>
  </si>
  <si>
    <t xml:space="preserve">_CLOSED_Spotless - Wallumbilla</t>
  </si>
  <si>
    <t xml:space="preserve">9111</t>
  </si>
  <si>
    <t xml:space="preserve">_CLOSED_Spotless - Wandoan</t>
  </si>
  <si>
    <t xml:space="preserve">9112</t>
  </si>
  <si>
    <t xml:space="preserve">_CLOSED_Spotless Corporate - Offices (Gladesville </t>
  </si>
  <si>
    <t xml:space="preserve">L9.S.11000740</t>
  </si>
  <si>
    <t xml:space="preserve">9022</t>
  </si>
  <si>
    <t xml:space="preserve">Please refer to the 'Gladesville' location for all active accounts</t>
  </si>
  <si>
    <t xml:space="preserve">Unit 2a 436-484 Victoria Rd</t>
  </si>
  <si>
    <t xml:space="preserve">-33.823739</t>
  </si>
  <si>
    <t xml:space="preserve">151.122894</t>
  </si>
  <si>
    <t xml:space="preserve">2014/06/30</t>
  </si>
  <si>
    <t xml:space="preserve">_CLOSED_St Marys - Gallipoli St</t>
  </si>
  <si>
    <t xml:space="preserve">L9.S.3174.45002095</t>
  </si>
  <si>
    <t xml:space="preserve">9035</t>
  </si>
  <si>
    <t xml:space="preserve">13-15 Gallipoli St</t>
  </si>
  <si>
    <t xml:space="preserve">St Marys</t>
  </si>
  <si>
    <t xml:space="preserve">2760</t>
  </si>
  <si>
    <t xml:space="preserve">-33.781378</t>
  </si>
  <si>
    <t xml:space="preserve">150.769378</t>
  </si>
  <si>
    <t xml:space="preserve">_CLOSED_St Marys (DM JV)</t>
  </si>
  <si>
    <t xml:space="preserve">8014</t>
  </si>
  <si>
    <t xml:space="preserve">Satellite site for Lane Cove. Single LGP entry for FY17/18.</t>
  </si>
  <si>
    <t xml:space="preserve">Penrith</t>
  </si>
  <si>
    <t xml:space="preserve">_CLOSED_Stadiums - Adelaide Oval</t>
  </si>
  <si>
    <t xml:space="preserve">9160</t>
  </si>
  <si>
    <t xml:space="preserve">_CLOSED_Stadiums - MCG</t>
  </si>
  <si>
    <t xml:space="preserve">9065</t>
  </si>
  <si>
    <t xml:space="preserve">Brunton Ave</t>
  </si>
  <si>
    <t xml:space="preserve">East Melbourne</t>
  </si>
  <si>
    <t xml:space="preserve">3002</t>
  </si>
  <si>
    <t xml:space="preserve">-37.819914</t>
  </si>
  <si>
    <t xml:space="preserve">144.983445</t>
  </si>
  <si>
    <t xml:space="preserve">_CLOSED_Stirling Street Admin Office (DMJV)</t>
  </si>
  <si>
    <t xml:space="preserve">222</t>
  </si>
  <si>
    <t xml:space="preserve">Perth Metro ISA Admin Office</t>
  </si>
  <si>
    <t xml:space="preserve">108 Stirling St</t>
  </si>
  <si>
    <t xml:space="preserve">-31.949</t>
  </si>
  <si>
    <t xml:space="preserve">115.864</t>
  </si>
  <si>
    <t xml:space="preserve">_CLOSED_Strathpine</t>
  </si>
  <si>
    <t xml:space="preserve">L9.J.17040614</t>
  </si>
  <si>
    <t xml:space="preserve">276</t>
  </si>
  <si>
    <t xml:space="preserve">121 Kremzow Road</t>
  </si>
  <si>
    <t xml:space="preserve">Strathpine</t>
  </si>
  <si>
    <t xml:space="preserve">4500</t>
  </si>
  <si>
    <t xml:space="preserve">-27.315</t>
  </si>
  <si>
    <t xml:space="preserve">152.994</t>
  </si>
  <si>
    <t xml:space="preserve">_CLOSED_Sub - Guildford TfNSW</t>
  </si>
  <si>
    <t xml:space="preserve">7001</t>
  </si>
  <si>
    <t xml:space="preserve">Guildford</t>
  </si>
  <si>
    <t xml:space="preserve">2161</t>
  </si>
  <si>
    <t xml:space="preserve">-33.861623</t>
  </si>
  <si>
    <t xml:space="preserve">150.975231</t>
  </si>
  <si>
    <t xml:space="preserve">_CLOSED_Sub - Ingleburn TfNSW</t>
  </si>
  <si>
    <t xml:space="preserve">7002</t>
  </si>
  <si>
    <t xml:space="preserve">Ingleburn</t>
  </si>
  <si>
    <t xml:space="preserve">2565</t>
  </si>
  <si>
    <t xml:space="preserve">-34.005959</t>
  </si>
  <si>
    <t xml:space="preserve">150.854157</t>
  </si>
  <si>
    <t xml:space="preserve">_CLOSED_Sub - MIG Project</t>
  </si>
  <si>
    <t xml:space="preserve">7029</t>
  </si>
  <si>
    <t xml:space="preserve">Closed (MIG stands for Minto, Ingleburn, Guildford – the three above).
All accounts under this location are closed.</t>
  </si>
  <si>
    <t xml:space="preserve">_CLOSED_Sub - Minto TfNSW</t>
  </si>
  <si>
    <t xml:space="preserve">L9.J.37110027</t>
  </si>
  <si>
    <t xml:space="preserve">7003</t>
  </si>
  <si>
    <t xml:space="preserve">-34.041072</t>
  </si>
  <si>
    <t xml:space="preserve">150.837911</t>
  </si>
  <si>
    <t xml:space="preserve">_CLOSED_Sub - Powerlink QLD</t>
  </si>
  <si>
    <t xml:space="preserve">L9.J.23300004</t>
  </si>
  <si>
    <t xml:space="preserve">IP-356.369.247.278</t>
  </si>
  <si>
    <t xml:space="preserve">Through Jul 18 to Dec 18 there were 4 substation works occurring at Ashgrove, Nebo, Calide, Calvale and Dysart with works dropping off significantly towards Dec 18.  Calide and Calvale demobilised  Feb 2019.
Project Update - July 2019
Ashgrove, On Site till early August then off-Site till mid-November, Contacts Gary Crawley and Glenn Dobson
Dysart, Off Site around October then back on Site March 2020, Contacts Dave Gilbert and Greg Rafter
Nebo, Off Site late July then back on Site around April 2020, Contacts Dave Gilbert and Dan Lucas
Dan Gleeson, On Site till late September then back on Site around July 2020, contacts Nic Musa and Trevor Rodgers.</t>
  </si>
  <si>
    <t xml:space="preserve">153.003986</t>
  </si>
  <si>
    <t xml:space="preserve">2025/10/01</t>
  </si>
  <si>
    <t xml:space="preserve">_CLOSED_Subcontractors - AU - Energy Networks</t>
  </si>
  <si>
    <t xml:space="preserve">L9.J.229</t>
  </si>
  <si>
    <t xml:space="preserve">_CLOSED_Subcontractors - AU - Power Projects</t>
  </si>
  <si>
    <t xml:space="preserve">L9.J.37220002</t>
  </si>
  <si>
    <t xml:space="preserve">Australian Subcontractors Power Projects</t>
  </si>
  <si>
    <t xml:space="preserve">_CLOSED_Subcontractors - AU - Telco</t>
  </si>
  <si>
    <t xml:space="preserve">L9.J.23440176</t>
  </si>
  <si>
    <t xml:space="preserve">_CLOSED_Subcontractors - AU - Water Services</t>
  </si>
  <si>
    <t xml:space="preserve">L9.J.24160191</t>
  </si>
  <si>
    <t xml:space="preserve">_CLOSED_Subcontractors - NZ - Energy Networks</t>
  </si>
  <si>
    <t xml:space="preserve">L9.DNZJ.1551</t>
  </si>
  <si>
    <t xml:space="preserve">_CLOSED_Subcontractors - NZ - Telco</t>
  </si>
  <si>
    <t xml:space="preserve">L9.DNZ.810.10.035</t>
  </si>
  <si>
    <t xml:space="preserve">_CLOSED_Subcontractors - NZ - Water Services</t>
  </si>
  <si>
    <t xml:space="preserve">L9.DNZJ.56150</t>
  </si>
  <si>
    <t xml:space="preserve">_CLOSED_Sunbury RWP</t>
  </si>
  <si>
    <t xml:space="preserve">L9.J.24150013</t>
  </si>
  <si>
    <t xml:space="preserve">7008</t>
  </si>
  <si>
    <t xml:space="preserve">Sunbury</t>
  </si>
  <si>
    <t xml:space="preserve">Harker Street</t>
  </si>
  <si>
    <t xml:space="preserve">3429</t>
  </si>
  <si>
    <t xml:space="preserve">-37.595544</t>
  </si>
  <si>
    <t xml:space="preserve">144.738472</t>
  </si>
  <si>
    <t xml:space="preserve">281</t>
  </si>
  <si>
    <t xml:space="preserve">_CLOSED_Support_Corp_Comms</t>
  </si>
  <si>
    <t xml:space="preserve">L9.DNZJ.9032</t>
  </si>
  <si>
    <t xml:space="preserve">5007</t>
  </si>
  <si>
    <t xml:space="preserve">_CLOSED_Support_Corp_HR Ops</t>
  </si>
  <si>
    <t xml:space="preserve">L9.DNZJ.9033</t>
  </si>
  <si>
    <t xml:space="preserve">_CLOSED_Support_Corp_HSE</t>
  </si>
  <si>
    <t xml:space="preserve">L9.DNZJ.9025</t>
  </si>
  <si>
    <t xml:space="preserve">5001</t>
  </si>
  <si>
    <t xml:space="preserve">_CLOSED_Support_Corp_Property</t>
  </si>
  <si>
    <t xml:space="preserve">L9.DNZJ.91145</t>
  </si>
  <si>
    <t xml:space="preserve">L9.DNZJ.9030</t>
  </si>
  <si>
    <t xml:space="preserve">_CLOSED_Support_F_Corporate</t>
  </si>
  <si>
    <t xml:space="preserve">L9.DNZJ.65000</t>
  </si>
  <si>
    <t xml:space="preserve">5293</t>
  </si>
  <si>
    <t xml:space="preserve">Support services for the Health branch of Hospitality and Soft Services - provides catering, cleaning services to various clients across NZ (hospitals)</t>
  </si>
  <si>
    <t xml:space="preserve">_CLOSED_Support_T_Asphalt Plants</t>
  </si>
  <si>
    <t xml:space="preserve">L9.DNZJ.3500</t>
  </si>
  <si>
    <t xml:space="preserve">5096</t>
  </si>
  <si>
    <t xml:space="preserve">898129</t>
  </si>
  <si>
    <t xml:space="preserve">_CLOSED_Support_T_Bitumen</t>
  </si>
  <si>
    <t xml:space="preserve">L9.DNZJ.3022</t>
  </si>
  <si>
    <t xml:space="preserve">5097</t>
  </si>
  <si>
    <t xml:space="preserve">_CLOSED_Support_T_Bitumen_Technical</t>
  </si>
  <si>
    <t xml:space="preserve">L9.DNZJ.3005</t>
  </si>
  <si>
    <t xml:space="preserve">5098</t>
  </si>
  <si>
    <t xml:space="preserve">_CLOSED_Support_T_Central North</t>
  </si>
  <si>
    <t xml:space="preserve">L9.DNZJ.55932</t>
  </si>
  <si>
    <t xml:space="preserve">5099</t>
  </si>
  <si>
    <t xml:space="preserve">_CLOSED_Support_T_Central-Support</t>
  </si>
  <si>
    <t xml:space="preserve">L9.DNZJ.55000</t>
  </si>
  <si>
    <t xml:space="preserve">5100</t>
  </si>
  <si>
    <t xml:space="preserve">898130</t>
  </si>
  <si>
    <t xml:space="preserve">_CLOSED_Support_T_Labs</t>
  </si>
  <si>
    <t xml:space="preserve">L9.DNZJ.3520</t>
  </si>
  <si>
    <t xml:space="preserve">5101</t>
  </si>
  <si>
    <t xml:space="preserve">_CLOSED_Support_T_Lower North</t>
  </si>
  <si>
    <t xml:space="preserve">L9.DNZJ.55925</t>
  </si>
  <si>
    <t xml:space="preserve">5102</t>
  </si>
  <si>
    <t xml:space="preserve">_CLOSED_Support_T_North</t>
  </si>
  <si>
    <t xml:space="preserve">5168</t>
  </si>
  <si>
    <t xml:space="preserve">Support services for projects located at numerous sites throughout NZ - New facilities established for more granular reporting and to reflect new structure for FY17. See facility named "NZ-Major Projects" for historical data.</t>
  </si>
  <si>
    <t xml:space="preserve">130 Kerrs Road, Wiri</t>
  </si>
  <si>
    <t xml:space="preserve">-37.0083383</t>
  </si>
  <si>
    <t xml:space="preserve">174.870573599999</t>
  </si>
  <si>
    <t xml:space="preserve">_CLOSED_Support_T_Northern</t>
  </si>
  <si>
    <t xml:space="preserve">L9.DNZJ.55924</t>
  </si>
  <si>
    <t xml:space="preserve">5103</t>
  </si>
  <si>
    <t xml:space="preserve">_CLOSED_Support_T_OSM</t>
  </si>
  <si>
    <t xml:space="preserve">_CLOSED_Support_T_Plant</t>
  </si>
  <si>
    <t xml:space="preserve">L9.DNZJ.1923</t>
  </si>
  <si>
    <t xml:space="preserve">5104</t>
  </si>
  <si>
    <t xml:space="preserve">_CLOSED_Support_T_South</t>
  </si>
  <si>
    <t xml:space="preserve">L9.DNZJ.8104</t>
  </si>
  <si>
    <t xml:space="preserve">5167</t>
  </si>
  <si>
    <t xml:space="preserve">397 Mcleans Island Rd, Harewood</t>
  </si>
  <si>
    <t xml:space="preserve">_CLOSED_Support_T_Southern</t>
  </si>
  <si>
    <t xml:space="preserve">L9.DNZJ.55926</t>
  </si>
  <si>
    <t xml:space="preserve">5105</t>
  </si>
  <si>
    <t xml:space="preserve">_CLOSED_Support_T_TRC</t>
  </si>
  <si>
    <t xml:space="preserve">L9.DNZJ.1935</t>
  </si>
  <si>
    <t xml:space="preserve">5305</t>
  </si>
  <si>
    <t xml:space="preserve">_CLOSED_Support_U_Business-Support</t>
  </si>
  <si>
    <t xml:space="preserve">-37.008126</t>
  </si>
  <si>
    <t xml:space="preserve">174.87054</t>
  </si>
  <si>
    <t xml:space="preserve">_CLOSED_Support_U_D&amp;B</t>
  </si>
  <si>
    <t xml:space="preserve">L9.DNZ.810.10.105</t>
  </si>
  <si>
    <t xml:space="preserve">5129</t>
  </si>
  <si>
    <t xml:space="preserve">_CLOSED_Support_U_O&amp;M</t>
  </si>
  <si>
    <t xml:space="preserve">L9.DNZ.810.10.037</t>
  </si>
  <si>
    <t xml:space="preserve">5130</t>
  </si>
  <si>
    <t xml:space="preserve">_CLOSED_Support_U_P&amp;G_Electricity</t>
  </si>
  <si>
    <t xml:space="preserve">_CLOSED_Support_U_P&amp;G_Gas</t>
  </si>
  <si>
    <t xml:space="preserve">L9.DUN.50112</t>
  </si>
  <si>
    <t xml:space="preserve">_CLOSED_Surfacing_Central</t>
  </si>
  <si>
    <t xml:space="preserve">L9.DNZJ.55863</t>
  </si>
  <si>
    <t xml:space="preserve">5106</t>
  </si>
  <si>
    <t xml:space="preserve">Asphalt Surfacing for Road Construction - New facilities established for more granular reporting and to reflect new structure for FY17. See facility named "NZ-Infrastructure Services" for historical data.</t>
  </si>
  <si>
    <t xml:space="preserve">_CLOSED_Surfacing_Central_Nth (Paving)</t>
  </si>
  <si>
    <t xml:space="preserve">L9.DNZJ.55810</t>
  </si>
  <si>
    <t xml:space="preserve">5107</t>
  </si>
  <si>
    <t xml:space="preserve">_CLOSED_Surfacing_Central_Nth (Sealing)</t>
  </si>
  <si>
    <t xml:space="preserve">L9.DNZJ.55833</t>
  </si>
  <si>
    <t xml:space="preserve">5108</t>
  </si>
  <si>
    <t xml:space="preserve">_CLOSED_Surfacing_North (Paving)</t>
  </si>
  <si>
    <t xml:space="preserve">L9.DNZJ.55834</t>
  </si>
  <si>
    <t xml:space="preserve">5109</t>
  </si>
  <si>
    <t xml:space="preserve">_CLOSED_Surfacing_North (Sealing)</t>
  </si>
  <si>
    <t xml:space="preserve">L9.DNZJ.55832</t>
  </si>
  <si>
    <t xml:space="preserve">5110</t>
  </si>
  <si>
    <t xml:space="preserve">_CLOSED_Surfacing_South (Paving)</t>
  </si>
  <si>
    <t xml:space="preserve">L9.DNZJ.55892</t>
  </si>
  <si>
    <t xml:space="preserve">5111</t>
  </si>
  <si>
    <t xml:space="preserve">_CLOSED_Surfacing_South (Sealing)</t>
  </si>
  <si>
    <t xml:space="preserve">L9.DNZJ.55895</t>
  </si>
  <si>
    <t xml:space="preserve">5112</t>
  </si>
  <si>
    <t xml:space="preserve">_CLOSED_Swanbank BESS</t>
  </si>
  <si>
    <t xml:space="preserve">Infrastructure</t>
  </si>
  <si>
    <t xml:space="preserve">L9.J.3776003101</t>
  </si>
  <si>
    <t xml:space="preserve">3776003101</t>
  </si>
  <si>
    <t xml:space="preserve">EU-3776003101 - Swanbank BESS</t>
  </si>
  <si>
    <t xml:space="preserve">2025/07/17</t>
  </si>
  <si>
    <t xml:space="preserve">_CLOSED_Sydney Metro Upgrades - P5</t>
  </si>
  <si>
    <t xml:space="preserve">L9.J.20041099</t>
  </si>
  <si>
    <t xml:space="preserve">Upgrades of 3 stations: Dulwich Hill; Campsie; Punchbowl</t>
  </si>
  <si>
    <t xml:space="preserve">99 Bridge Road</t>
  </si>
  <si>
    <t xml:space="preserve">Belmore</t>
  </si>
  <si>
    <t xml:space="preserve">2192</t>
  </si>
  <si>
    <t xml:space="preserve">2023/09/29</t>
  </si>
  <si>
    <t xml:space="preserve">_CLOSED_Sydney Metro Upgrades - P6</t>
  </si>
  <si>
    <t xml:space="preserve">L9.J.20041100</t>
  </si>
  <si>
    <t xml:space="preserve">IP-20041100</t>
  </si>
  <si>
    <t xml:space="preserve">Upgrades of 3 stations: Hurlstone Park; Wiley Park; Belmore</t>
  </si>
  <si>
    <t xml:space="preserve">_CLOSED_T_Auckland</t>
  </si>
  <si>
    <t xml:space="preserve">L9.DNZJ.55804</t>
  </si>
  <si>
    <t xml:space="preserve">5113</t>
  </si>
  <si>
    <t xml:space="preserve">Construction and Maintenance of Transport Infrastructure - New facilities established for more granular reporting and to reflect new structure for FY17. See facility named "NZ-Infrastructure Services" for historical data.</t>
  </si>
  <si>
    <t xml:space="preserve">_CLOSED_T_Bay of Plenty</t>
  </si>
  <si>
    <t xml:space="preserve">L9.DNZJ.55812</t>
  </si>
  <si>
    <t xml:space="preserve">5114</t>
  </si>
  <si>
    <t xml:space="preserve">_CLOSED_T_Canterbury</t>
  </si>
  <si>
    <t xml:space="preserve">L9.DNZJ.55880</t>
  </si>
  <si>
    <t xml:space="preserve">5115</t>
  </si>
  <si>
    <t xml:space="preserve">_CLOSED_T_Central North</t>
  </si>
  <si>
    <t xml:space="preserve">L9.DNZJ.55823</t>
  </si>
  <si>
    <t xml:space="preserve">5116</t>
  </si>
  <si>
    <t xml:space="preserve">_CLOSED_T_East Coast</t>
  </si>
  <si>
    <t xml:space="preserve">L9.DNZJ.55850</t>
  </si>
  <si>
    <t xml:space="preserve">5117</t>
  </si>
  <si>
    <t xml:space="preserve">_CLOSED_T_Mid Central</t>
  </si>
  <si>
    <t xml:space="preserve">L9.DNZJ.55855</t>
  </si>
  <si>
    <t xml:space="preserve">5118</t>
  </si>
  <si>
    <t xml:space="preserve">_CLOSED_T_Millings</t>
  </si>
  <si>
    <t xml:space="preserve">L9.DNZJ.3516</t>
  </si>
  <si>
    <t xml:space="preserve">5287</t>
  </si>
  <si>
    <t xml:space="preserve">Milling crew previously reporting under Penrose Deport - now assigned to head office</t>
  </si>
  <si>
    <t xml:space="preserve">_CLOSED_T_MiniTankers</t>
  </si>
  <si>
    <t xml:space="preserve">Minitanker Charges</t>
  </si>
  <si>
    <t xml:space="preserve">_CLOSED_T_North_Balance of Plant Turitea</t>
  </si>
  <si>
    <t xml:space="preserve">L9.DNZJ.352401</t>
  </si>
  <si>
    <t xml:space="preserve">_CLOSED_T_North_Calliope South Wharf Upgrade</t>
  </si>
  <si>
    <t xml:space="preserve">L9.DNZJ.DN1166</t>
  </si>
  <si>
    <t xml:space="preserve">5315</t>
  </si>
  <si>
    <t xml:space="preserve">_CLOSED_T_North_CRL-C1-JV</t>
  </si>
  <si>
    <t xml:space="preserve">L9.DNZJ.PN4173</t>
  </si>
  <si>
    <t xml:space="preserve">5298</t>
  </si>
  <si>
    <t xml:space="preserve">_CLOSED_T_North_CRL-C3-JV</t>
  </si>
  <si>
    <t xml:space="preserve">L9.DNZJ.PN4201</t>
  </si>
  <si>
    <t xml:space="preserve">5325</t>
  </si>
  <si>
    <t xml:space="preserve">_CLOSED_T_North_Downtown IDP-JV</t>
  </si>
  <si>
    <t xml:space="preserve">L9.DNZJ.PN4197</t>
  </si>
  <si>
    <t xml:space="preserve">5314</t>
  </si>
  <si>
    <t xml:space="preserve">_CLOSED_T_North_Grey-Lynn-School</t>
  </si>
  <si>
    <t xml:space="preserve">L9.DNZJ.553140</t>
  </si>
  <si>
    <t xml:space="preserve">5179</t>
  </si>
  <si>
    <t xml:space="preserve">Project Site Office - New facilities established for more granular reporting and to reflect new structure for FY17. See facility named "NZ-Major Projects" for historical data. - Ministry of Education</t>
  </si>
  <si>
    <t xml:space="preserve">44 Surrey Cres, Grey Lynn</t>
  </si>
  <si>
    <t xml:space="preserve">-36.863225</t>
  </si>
  <si>
    <t xml:space="preserve">174.735444</t>
  </si>
  <si>
    <t xml:space="preserve">_CLOSED_T_North_Longswamp</t>
  </si>
  <si>
    <t xml:space="preserve">L9.DNZJ.PN4172</t>
  </si>
  <si>
    <t xml:space="preserve">5176</t>
  </si>
  <si>
    <t xml:space="preserve">Project Site Office - New facilities established for more granular reporting and to reflect new structure for FY17. See facility named "NZ-Major Projects" for historical data. - NZTA</t>
  </si>
  <si>
    <t xml:space="preserve">5 Paddy Road, Te Kauwhata, Waikato, 3782</t>
  </si>
  <si>
    <t xml:space="preserve">Hamilton / Te Kauwhata</t>
  </si>
  <si>
    <t xml:space="preserve">Te Kauwhata</t>
  </si>
  <si>
    <t xml:space="preserve">-37.3925959</t>
  </si>
  <si>
    <t xml:space="preserve">175.1118617</t>
  </si>
  <si>
    <t xml:space="preserve">_CLOSED_T_North_MPA Costs-JV</t>
  </si>
  <si>
    <t xml:space="preserve">L9.DNZJ.883004</t>
  </si>
  <si>
    <t xml:space="preserve">5297</t>
  </si>
  <si>
    <t xml:space="preserve">_CLOSED_T_North_Mt Messenger-JV</t>
  </si>
  <si>
    <t xml:space="preserve">L9.DNZJ.551528</t>
  </si>
  <si>
    <t xml:space="preserve">5281</t>
  </si>
  <si>
    <t xml:space="preserve">Project Site Office - New facilities established in FY19 as a new contract</t>
  </si>
  <si>
    <t xml:space="preserve">_CLOSED_T_North_NGA-Tapuwae-School</t>
  </si>
  <si>
    <t xml:space="preserve">L9.DNZJ.PN4167</t>
  </si>
  <si>
    <t xml:space="preserve">5175</t>
  </si>
  <si>
    <t xml:space="preserve">5 Wickman Way, Mangere East</t>
  </si>
  <si>
    <t xml:space="preserve">2024</t>
  </si>
  <si>
    <t xml:space="preserve">-36.964049</t>
  </si>
  <si>
    <t xml:space="preserve">174.8121479</t>
  </si>
  <si>
    <t xml:space="preserve">_CLOSED_T_North_Pukete 3 WWTW Upgrade</t>
  </si>
  <si>
    <t xml:space="preserve">L9.DNZJ.DN1162</t>
  </si>
  <si>
    <t xml:space="preserve">5284</t>
  </si>
  <si>
    <t xml:space="preserve">_CLOSED_T_North_Residual-Jobs-CWB-JDE</t>
  </si>
  <si>
    <t xml:space="preserve">L9.DNZJ.MN4153</t>
  </si>
  <si>
    <t xml:space="preserve">5171</t>
  </si>
  <si>
    <t xml:space="preserve">130 Kerrs Road Wiri</t>
  </si>
  <si>
    <t xml:space="preserve">_CLOSED_T_North_Residual-Jobs-JDE</t>
  </si>
  <si>
    <t xml:space="preserve">5169</t>
  </si>
  <si>
    <t xml:space="preserve">_CLOSED_T_North_Residual-Jobs-Jobpac</t>
  </si>
  <si>
    <t xml:space="preserve">L9.DNZJ.DN1171</t>
  </si>
  <si>
    <t xml:space="preserve">5173</t>
  </si>
  <si>
    <t xml:space="preserve">_CLOSED_T_North_Rimutaka Prison Enhancements</t>
  </si>
  <si>
    <t xml:space="preserve">L9.DNZJ.DN1167</t>
  </si>
  <si>
    <t xml:space="preserve">5316</t>
  </si>
  <si>
    <t xml:space="preserve">_CLOSED_T_North_SH16-Lincoln-Westgate-Upgrade</t>
  </si>
  <si>
    <t xml:space="preserve">L9.DNZJ.DN1138</t>
  </si>
  <si>
    <t xml:space="preserve">5178</t>
  </si>
  <si>
    <t xml:space="preserve">2 Selwood Road, Henderson</t>
  </si>
  <si>
    <t xml:space="preserve">1022</t>
  </si>
  <si>
    <t xml:space="preserve">-36.845991</t>
  </si>
  <si>
    <t xml:space="preserve">174.630588</t>
  </si>
  <si>
    <t xml:space="preserve">_CLOSED_T_North_Southern-Cross-Campus</t>
  </si>
  <si>
    <t xml:space="preserve">L9.DNZJ.DS2646</t>
  </si>
  <si>
    <t xml:space="preserve">5177</t>
  </si>
  <si>
    <t xml:space="preserve">237 Buckland Road, Mangere East</t>
  </si>
  <si>
    <t xml:space="preserve">1021</t>
  </si>
  <si>
    <t xml:space="preserve">-36.9657739999999</t>
  </si>
  <si>
    <t xml:space="preserve">174.816338999999</t>
  </si>
  <si>
    <t xml:space="preserve">_CLOSED_T_North_Tarewa Itc - Nrhld Dlvr</t>
  </si>
  <si>
    <t xml:space="preserve">L9.DNZJ.DN1157</t>
  </si>
  <si>
    <t xml:space="preserve">5282</t>
  </si>
  <si>
    <t xml:space="preserve">_CLOSED_T_North_Western-Springs</t>
  </si>
  <si>
    <t xml:space="preserve">L9.DNZJ.DN1149</t>
  </si>
  <si>
    <t xml:space="preserve">5180</t>
  </si>
  <si>
    <t xml:space="preserve">100 Motions Road</t>
  </si>
  <si>
    <t xml:space="preserve">7571</t>
  </si>
  <si>
    <t xml:space="preserve">-36.8626794</t>
  </si>
  <si>
    <t xml:space="preserve">174.7172362</t>
  </si>
  <si>
    <t xml:space="preserve">_CLOSED_T_North_Wynyard Quarter Central</t>
  </si>
  <si>
    <t xml:space="preserve">L9.DNZJ.DN1161</t>
  </si>
  <si>
    <t xml:space="preserve">5283</t>
  </si>
  <si>
    <t xml:space="preserve">_CLOSED_T_Northland</t>
  </si>
  <si>
    <t xml:space="preserve">L9.DNZJ.55701</t>
  </si>
  <si>
    <t xml:space="preserve">5119</t>
  </si>
  <si>
    <t xml:space="preserve">_CLOSED_T_Otago</t>
  </si>
  <si>
    <t xml:space="preserve">L9.DNZJ.55887</t>
  </si>
  <si>
    <t xml:space="preserve">5120</t>
  </si>
  <si>
    <t xml:space="preserve">_CLOSED_T_Pacific</t>
  </si>
  <si>
    <t xml:space="preserve">5330</t>
  </si>
  <si>
    <t xml:space="preserve">_CLOSED_T_South_AAC-Stage-2</t>
  </si>
  <si>
    <t xml:space="preserve">L9.DNZJ.816513</t>
  </si>
  <si>
    <t xml:space="preserve">5184</t>
  </si>
  <si>
    <t xml:space="preserve">Project Site Office - New facilities established for more granular reporting and to reflect new structure for FY17. See facility named "NZ-Major Projects" for historical data. - Otakaro</t>
  </si>
  <si>
    <t xml:space="preserve">225 Cashel Street</t>
  </si>
  <si>
    <t xml:space="preserve">-43.532988</t>
  </si>
  <si>
    <t xml:space="preserve">172.643452</t>
  </si>
  <si>
    <t xml:space="preserve">_CLOSED_T_South_Avon-River-Precinct</t>
  </si>
  <si>
    <t xml:space="preserve">L9.DNZP.DS1145</t>
  </si>
  <si>
    <t xml:space="preserve">5183</t>
  </si>
  <si>
    <t xml:space="preserve">153 Lichfield Strret</t>
  </si>
  <si>
    <t xml:space="preserve">-43.534054</t>
  </si>
  <si>
    <t xml:space="preserve">172.64341</t>
  </si>
  <si>
    <t xml:space="preserve">_CLOSED_T_South_Central-Plains-Build</t>
  </si>
  <si>
    <t xml:space="preserve">L9.DNZJ.MS2606</t>
  </si>
  <si>
    <t xml:space="preserve">5182</t>
  </si>
  <si>
    <t xml:space="preserve">Project Site Office - New facilities established for more granular reporting and to reflect new structure for FY17. See facility named "NZ-Major Projects" for historical data. - Central Plains Water Ltd</t>
  </si>
  <si>
    <t xml:space="preserve">1762 Telegraph Road</t>
  </si>
  <si>
    <t xml:space="preserve">Darfield</t>
  </si>
  <si>
    <t xml:space="preserve">-43.50846</t>
  </si>
  <si>
    <t xml:space="preserve">172.124382</t>
  </si>
  <si>
    <t xml:space="preserve">_CLOSED_T_South_CPW2</t>
  </si>
  <si>
    <t xml:space="preserve">L9.DNZJ.PS2630</t>
  </si>
  <si>
    <t xml:space="preserve">5328</t>
  </si>
  <si>
    <t xml:space="preserve">_CLOSED_T_South_CSM2-JV</t>
  </si>
  <si>
    <t xml:space="preserve">L9.DNZJ.PS2627</t>
  </si>
  <si>
    <t xml:space="preserve">5302</t>
  </si>
  <si>
    <t xml:space="preserve">_CLOSED_T_South_Dudley-Creek</t>
  </si>
  <si>
    <t xml:space="preserve">L9.DNZJ.PS2616</t>
  </si>
  <si>
    <t xml:space="preserve">5181</t>
  </si>
  <si>
    <t xml:space="preserve">Project Site Office - New facilities established for more granular reporting and to reflect new structure for FY17. See facility named "NZ-Major Projects" for historical data. - Christchurch City Council</t>
  </si>
  <si>
    <t xml:space="preserve">10 Shirley Road</t>
  </si>
  <si>
    <t xml:space="preserve">-43.508417</t>
  </si>
  <si>
    <t xml:space="preserve">172.653722</t>
  </si>
  <si>
    <t xml:space="preserve">_CLOSED_T_South_Opawa Bridge Replacement</t>
  </si>
  <si>
    <t xml:space="preserve">L9.DNZJ.DS2640</t>
  </si>
  <si>
    <t xml:space="preserve">5285</t>
  </si>
  <si>
    <t xml:space="preserve">_CLOSED_T_South_Rakaia-Gorge-BridgeDeck1</t>
  </si>
  <si>
    <t xml:space="preserve">L9.DNZJ.DS2637</t>
  </si>
  <si>
    <t xml:space="preserve">5312</t>
  </si>
  <si>
    <t xml:space="preserve">_CLOSED_T_South_Residual-Jobs-CWB-JDE</t>
  </si>
  <si>
    <t xml:space="preserve">L9.DNZJ.PS2625</t>
  </si>
  <si>
    <t xml:space="preserve">5172</t>
  </si>
  <si>
    <t xml:space="preserve">_CLOSED_T_South_Residual-Jobs-JDE</t>
  </si>
  <si>
    <t xml:space="preserve">5170</t>
  </si>
  <si>
    <t xml:space="preserve">_CLOSED_T_South_Residual-Jobs-Jobpac</t>
  </si>
  <si>
    <t xml:space="preserve">L9.DNZJ.DS2639</t>
  </si>
  <si>
    <t xml:space="preserve">5174</t>
  </si>
  <si>
    <t xml:space="preserve">3782</t>
  </si>
  <si>
    <t xml:space="preserve">_CLOSED_T_South_Russley Rd SP3-JV</t>
  </si>
  <si>
    <t xml:space="preserve">5301</t>
  </si>
  <si>
    <t xml:space="preserve">_CLOSED_T_South_SCIRTFinal</t>
  </si>
  <si>
    <t xml:space="preserve">L9.DNZJ.8150</t>
  </si>
  <si>
    <t xml:space="preserve">5329</t>
  </si>
  <si>
    <t xml:space="preserve">_CLOSED_T_South_Tekapo A New Intake Gate</t>
  </si>
  <si>
    <t xml:space="preserve">L9.DNZJ.DS2645</t>
  </si>
  <si>
    <t xml:space="preserve">5318</t>
  </si>
  <si>
    <t xml:space="preserve">_CLOSED_T_South_TuckersBeachRd</t>
  </si>
  <si>
    <t xml:space="preserve">L9.DNZJ.556331</t>
  </si>
  <si>
    <t xml:space="preserve">5327</t>
  </si>
  <si>
    <t xml:space="preserve">_CLOSED_T_Southland / Central</t>
  </si>
  <si>
    <t xml:space="preserve">L9.DNZJ.55885</t>
  </si>
  <si>
    <t xml:space="preserve">5121</t>
  </si>
  <si>
    <t xml:space="preserve">_CLOSED_T_Taranaki</t>
  </si>
  <si>
    <t xml:space="preserve">L9.DNZJ.55846</t>
  </si>
  <si>
    <t xml:space="preserve">5122</t>
  </si>
  <si>
    <t xml:space="preserve">_CLOSED_T_Tasman</t>
  </si>
  <si>
    <t xml:space="preserve">L9.DNZJ.55866</t>
  </si>
  <si>
    <t xml:space="preserve">5123</t>
  </si>
  <si>
    <t xml:space="preserve">_CLOSED_T_TRC_Invercargill</t>
  </si>
  <si>
    <t xml:space="preserve">L9.DNZJ.3130</t>
  </si>
  <si>
    <t xml:space="preserve">5306</t>
  </si>
  <si>
    <t xml:space="preserve">_CLOSED_T_TRC_Wanaka</t>
  </si>
  <si>
    <t xml:space="preserve">L9.DNZJ.3120</t>
  </si>
  <si>
    <t xml:space="preserve">5307</t>
  </si>
  <si>
    <t xml:space="preserve">_CLOSED_T_Waikato</t>
  </si>
  <si>
    <t xml:space="preserve">L9.DNZJ.55807</t>
  </si>
  <si>
    <t xml:space="preserve">5124</t>
  </si>
  <si>
    <t xml:space="preserve">_CLOSED_T_Wellington</t>
  </si>
  <si>
    <t xml:space="preserve">L9.DNZJ.55856</t>
  </si>
  <si>
    <t xml:space="preserve">5125</t>
  </si>
  <si>
    <t xml:space="preserve">_CLOSED_T400 - Tailem Bend</t>
  </si>
  <si>
    <t xml:space="preserve">L9.WAU.000771</t>
  </si>
  <si>
    <t xml:space="preserve">8016</t>
  </si>
  <si>
    <t xml:space="preserve">Mallee Highway</t>
  </si>
  <si>
    <t xml:space="preserve">Tailem Bend</t>
  </si>
  <si>
    <t xml:space="preserve">-35.29</t>
  </si>
  <si>
    <t xml:space="preserve">139.49</t>
  </si>
  <si>
    <t xml:space="preserve">_CLOSED_TAP - Tuggerah</t>
  </si>
  <si>
    <t xml:space="preserve">L9.J.20041114</t>
  </si>
  <si>
    <t xml:space="preserve">IP-20041114</t>
  </si>
  <si>
    <t xml:space="preserve">_CLOSED_TAP T3 (ROSE, WOLL, BIRR, CANL, BANK)</t>
  </si>
  <si>
    <t xml:space="preserve">L9.J.20041087</t>
  </si>
  <si>
    <t xml:space="preserve">Transport Access Program (TAP) 3 T3 with Transport for NSW includes the following sites:
-	Roseville Station 
-	Wollstonecraft Station
-	Banksia Station
-	Birrong Station
-	Canley Vale
Billing Address: Level 8, 77 Pacific Hwy North Sydney 2060 NSW</t>
  </si>
  <si>
    <t xml:space="preserve">2023/04/30</t>
  </si>
  <si>
    <t xml:space="preserve">_CLOSED_TAP T4 (Mascot)</t>
  </si>
  <si>
    <t xml:space="preserve">L9.J.20041093</t>
  </si>
  <si>
    <t xml:space="preserve">IP-20041093</t>
  </si>
  <si>
    <t xml:space="preserve">_CLOSED_TAP T5 (Turella &amp; Killara)</t>
  </si>
  <si>
    <t xml:space="preserve">L9.J.20041088</t>
  </si>
  <si>
    <t xml:space="preserve">1106</t>
  </si>
  <si>
    <t xml:space="preserve">_CLOSED_Tarong U1 Turbine Outage 2025</t>
  </si>
  <si>
    <t xml:space="preserve">L9.J.38300023</t>
  </si>
  <si>
    <t xml:space="preserve">38300023</t>
  </si>
  <si>
    <t xml:space="preserve">2026/01/29</t>
  </si>
  <si>
    <t xml:space="preserve">_CLOSED_TAS</t>
  </si>
  <si>
    <t xml:space="preserve">_CLOSED_Thrifty AU</t>
  </si>
  <si>
    <t xml:space="preserve">L9.J.101001</t>
  </si>
  <si>
    <t xml:space="preserve">1030</t>
  </si>
  <si>
    <t xml:space="preserve">Contract is now Hertz only.</t>
  </si>
  <si>
    <t xml:space="preserve">2022/12/01</t>
  </si>
  <si>
    <t xml:space="preserve">_CLOSED_TL - AusNet Services VIC</t>
  </si>
  <si>
    <t xml:space="preserve">L9.J.37740022</t>
  </si>
  <si>
    <t xml:space="preserve">IP-360.369.152.377</t>
  </si>
  <si>
    <t xml:space="preserve">Projects: Dunndonell, AusNet Services - Bulgana</t>
  </si>
  <si>
    <t xml:space="preserve">_CLOSED_TL - Brisbane Metro Refit</t>
  </si>
  <si>
    <t xml:space="preserve">0066</t>
  </si>
  <si>
    <t xml:space="preserve">2016/05/01</t>
  </si>
  <si>
    <t xml:space="preserve">2017/01/31</t>
  </si>
  <si>
    <t xml:space="preserve">_CLOSED_TL - Elizabeth River</t>
  </si>
  <si>
    <t xml:space="preserve">L9.J.372013</t>
  </si>
  <si>
    <t xml:space="preserve">69</t>
  </si>
  <si>
    <t xml:space="preserve">-12.543086</t>
  </si>
  <si>
    <t xml:space="preserve">130.972972</t>
  </si>
  <si>
    <t xml:space="preserve">_CLOSED_TL - Gladstone to Boyne Island</t>
  </si>
  <si>
    <t xml:space="preserve">L9.J.37740060</t>
  </si>
  <si>
    <t xml:space="preserve">7012</t>
  </si>
  <si>
    <t xml:space="preserve">All the Powerlink refit works are reported under Gladstone to Boyne Island Location. No refit work has recommenced from last year.
Gladstone to Boyne Island – to be completed
Alligator Creek to Eton – to be completed
Palmwoods To Woolooga – not started
Collinsville to Proserpine – to be completed</t>
  </si>
  <si>
    <t xml:space="preserve">2017/09/01</t>
  </si>
  <si>
    <t xml:space="preserve">_CLOSED_TL - Kareeya to Chalumbin Refit</t>
  </si>
  <si>
    <t xml:space="preserve">67</t>
  </si>
  <si>
    <t xml:space="preserve">-17.615342</t>
  </si>
  <si>
    <t xml:space="preserve">145.491146</t>
  </si>
  <si>
    <t xml:space="preserve">310 Heavy and Civil Engineering Construction</t>
  </si>
  <si>
    <t xml:space="preserve">2017/01/30</t>
  </si>
  <si>
    <t xml:space="preserve">_CLOSED_TL - Nebo to Broadsound</t>
  </si>
  <si>
    <t xml:space="preserve">L9.J.37740013</t>
  </si>
  <si>
    <t xml:space="preserve">7013</t>
  </si>
  <si>
    <t xml:space="preserve">2017/10/01</t>
  </si>
  <si>
    <t xml:space="preserve">_CLOSED_TL - Wagga 993</t>
  </si>
  <si>
    <t xml:space="preserve">L9.J.37740029</t>
  </si>
  <si>
    <t xml:space="preserve">7047</t>
  </si>
  <si>
    <t xml:space="preserve">Changed from Ref No 7035.
Project ended 30.7.2020</t>
  </si>
  <si>
    <t xml:space="preserve">_CLOSED_TL - Wagga 99F_998</t>
  </si>
  <si>
    <t xml:space="preserve">L9.ENG.360.12493</t>
  </si>
  <si>
    <t xml:space="preserve">-35.122185</t>
  </si>
  <si>
    <t xml:space="preserve">147.349708</t>
  </si>
  <si>
    <t xml:space="preserve">_CLOSED_TL - Wollongong 10_11</t>
  </si>
  <si>
    <t xml:space="preserve">71</t>
  </si>
  <si>
    <t xml:space="preserve">-34.533742</t>
  </si>
  <si>
    <t xml:space="preserve">150.782499</t>
  </si>
  <si>
    <t xml:space="preserve">2014/07/01</t>
  </si>
  <si>
    <t xml:space="preserve">_CLOSED_TL - Woree to Edmonton Refit</t>
  </si>
  <si>
    <t xml:space="preserve">L9.J.3774004001</t>
  </si>
  <si>
    <t xml:space="preserve">6-24 Maconachie Street</t>
  </si>
  <si>
    <t xml:space="preserve">Woree</t>
  </si>
  <si>
    <t xml:space="preserve">4868</t>
  </si>
  <si>
    <t xml:space="preserve">-16.959889</t>
  </si>
  <si>
    <t xml:space="preserve">145.752258</t>
  </si>
  <si>
    <t xml:space="preserve">_CLOSED_Townsville-Rail</t>
  </si>
  <si>
    <t xml:space="preserve">3021</t>
  </si>
  <si>
    <t xml:space="preserve">95 Hunter Street</t>
  </si>
  <si>
    <t xml:space="preserve">Stuart</t>
  </si>
  <si>
    <t xml:space="preserve">4811</t>
  </si>
  <si>
    <t xml:space="preserve">-19.339005</t>
  </si>
  <si>
    <t xml:space="preserve">146.852594</t>
  </si>
  <si>
    <t xml:space="preserve">_CLOSED_Transgrid PEC</t>
  </si>
  <si>
    <t xml:space="preserve">L9.J.37740121</t>
  </si>
  <si>
    <t xml:space="preserve">37740121</t>
  </si>
  <si>
    <t xml:space="preserve">TG PEC - Scopes (work packages) 1, 2 and 3.</t>
  </si>
  <si>
    <t xml:space="preserve">2026/02/20</t>
  </si>
  <si>
    <t xml:space="preserve">_CLOSED_Tullamarine</t>
  </si>
  <si>
    <t xml:space="preserve">L9.J.38250002</t>
  </si>
  <si>
    <t xml:space="preserve">3 Mallet Road</t>
  </si>
  <si>
    <t xml:space="preserve">-37.707</t>
  </si>
  <si>
    <t xml:space="preserve">144.849</t>
  </si>
  <si>
    <t xml:space="preserve">_CLOSED_TXL - Davies Creek to Bayview Heights</t>
  </si>
  <si>
    <t xml:space="preserve">L9.J.37240022</t>
  </si>
  <si>
    <t xml:space="preserve">57 GREENBANK RD</t>
  </si>
  <si>
    <t xml:space="preserve">AEROGLEN</t>
  </si>
  <si>
    <t xml:space="preserve">2025/08/31</t>
  </si>
  <si>
    <t xml:space="preserve">_CLOSED_U_D&amp;B_NGA</t>
  </si>
  <si>
    <t xml:space="preserve">L9.DNZ.810.10.108</t>
  </si>
  <si>
    <t xml:space="preserve">5131</t>
  </si>
  <si>
    <t xml:space="preserve">Design, Build &amp; Maintain Wired and Wireless Telco Operations - New facilities established for more granular reporting and to reflect new structure for FY17. See facility named "NZ-Technology Solutions &amp; Corporate Services" for historical data.</t>
  </si>
  <si>
    <t xml:space="preserve">_CLOSED_U_D&amp;B_Operations</t>
  </si>
  <si>
    <t xml:space="preserve">L9.DNZ.810.10.185</t>
  </si>
  <si>
    <t xml:space="preserve">5132</t>
  </si>
  <si>
    <t xml:space="preserve">_CLOSED_U_D&amp;B_UFB</t>
  </si>
  <si>
    <t xml:space="preserve">L9.DNZ.810.10.224</t>
  </si>
  <si>
    <t xml:space="preserve">5137</t>
  </si>
  <si>
    <t xml:space="preserve">_CLOSED_U_FM_ES</t>
  </si>
  <si>
    <t xml:space="preserve">L9.DNZ.810.10.030</t>
  </si>
  <si>
    <t xml:space="preserve">5138</t>
  </si>
  <si>
    <t xml:space="preserve">Engineering Services &amp; Facilities Management - New facilities established for more granular reporting and to reflect new structure for FY17. See facility named "NZ-Technology Solutions &amp; Corporate Services" for historical data.</t>
  </si>
  <si>
    <t xml:space="preserve">_CLOSED_U_FM_ES-Transpower</t>
  </si>
  <si>
    <t xml:space="preserve">5139</t>
  </si>
  <si>
    <t xml:space="preserve">_CLOSED_U_ITS</t>
  </si>
  <si>
    <t xml:space="preserve">L9.DNZJ.1519</t>
  </si>
  <si>
    <t xml:space="preserve">5140</t>
  </si>
  <si>
    <t xml:space="preserve">Intelligent Transport Services - linked to road construction &amp; maintenance - New facilities established for more granular reporting and to reflect new structure for FY17. See facility named "NZ-Technology Solutions &amp; Corporate Services" for historical data.</t>
  </si>
  <si>
    <t xml:space="preserve">_CLOSED_U_Mobile&amp;ISP</t>
  </si>
  <si>
    <t xml:space="preserve">L9.DNZ.810.10.247</t>
  </si>
  <si>
    <t xml:space="preserve">5133</t>
  </si>
  <si>
    <t xml:space="preserve">_CLOSED_U_P&amp;G_Gas</t>
  </si>
  <si>
    <t xml:space="preserve">L9.DUN.50131</t>
  </si>
  <si>
    <t xml:space="preserve">5144</t>
  </si>
  <si>
    <t xml:space="preserve">Design, Build &amp; Maintain Gas Distribution Systems - New facilities established for more granular reporting and to reflect new structure for FY17. See facility named "NZ-Technology Solutions &amp; Corporate Services" for historical data.</t>
  </si>
  <si>
    <t xml:space="preserve">_CLOSED_U_P&amp;G_Masterton</t>
  </si>
  <si>
    <t xml:space="preserve">L9.DUN.60242</t>
  </si>
  <si>
    <t xml:space="preserve">5145</t>
  </si>
  <si>
    <t xml:space="preserve">Design, Build &amp; Maintain Electricity Distribution Systems - New facilities established for more granular reporting and to reflect new structure for FY17. See facility named "NZ-Technology Solutions &amp; Corporate Services" for historical data.</t>
  </si>
  <si>
    <t xml:space="preserve">_CLOSED_U_P&amp;G_New Plymouth</t>
  </si>
  <si>
    <t xml:space="preserve">L9.DUN.60214</t>
  </si>
  <si>
    <t xml:space="preserve">5146</t>
  </si>
  <si>
    <t xml:space="preserve">_CLOSED_U_P&amp;G_Palmerston North</t>
  </si>
  <si>
    <t xml:space="preserve">L9.DUN.60232</t>
  </si>
  <si>
    <t xml:space="preserve">5147</t>
  </si>
  <si>
    <t xml:space="preserve">_CLOSED_U_P&amp;G_South Island</t>
  </si>
  <si>
    <t xml:space="preserve">_CLOSED_U_P&amp;G_Tauranga</t>
  </si>
  <si>
    <t xml:space="preserve">L9.DUN.60112</t>
  </si>
  <si>
    <t xml:space="preserve">5149</t>
  </si>
  <si>
    <t xml:space="preserve">_CLOSED_U_P&amp;G_Valley</t>
  </si>
  <si>
    <t xml:space="preserve">L9.DUN.60122</t>
  </si>
  <si>
    <t xml:space="preserve">5150</t>
  </si>
  <si>
    <t xml:space="preserve">_CLOSED_U_P&amp;G_Wanganui</t>
  </si>
  <si>
    <t xml:space="preserve">L9.DUN.60222</t>
  </si>
  <si>
    <t xml:space="preserve">5151</t>
  </si>
  <si>
    <t xml:space="preserve">_CLOSED_U_P&amp;G_Wellington</t>
  </si>
  <si>
    <t xml:space="preserve">L9.DUN.60250</t>
  </si>
  <si>
    <t xml:space="preserve">5152</t>
  </si>
  <si>
    <t xml:space="preserve">_CLOSED_U_SubContractors</t>
  </si>
  <si>
    <t xml:space="preserve">_CLOSED_U_Supply Chain</t>
  </si>
  <si>
    <t xml:space="preserve">L9.DNZ.810.10.033</t>
  </si>
  <si>
    <t xml:space="preserve">5135</t>
  </si>
  <si>
    <t xml:space="preserve">_CLOSED_U_Util_O&amp;M</t>
  </si>
  <si>
    <t xml:space="preserve">5134</t>
  </si>
  <si>
    <t xml:space="preserve">_CLOSED_U_Water</t>
  </si>
  <si>
    <t xml:space="preserve">L9.DNZJ.56805</t>
  </si>
  <si>
    <t xml:space="preserve">5141</t>
  </si>
  <si>
    <t xml:space="preserve">Construction and maintenance of water and waste water infrastructure - New facilities established for more granular reporting and to reflect new structure for FY17. See facility named "NZ-Technology Solutions &amp; Corporate Services" for historical data.</t>
  </si>
  <si>
    <t xml:space="preserve">_CLOSED_U_WMC</t>
  </si>
  <si>
    <t xml:space="preserve">L9.DNZ.810.10.046</t>
  </si>
  <si>
    <t xml:space="preserve">5136</t>
  </si>
  <si>
    <t xml:space="preserve">Call Centre for range of maintenance operations - New facilities established for more granular reporting and to reflect new structure for FY17. See facility named "NZ-Technology Solutions &amp; Corporate Services" for historical data.</t>
  </si>
  <si>
    <t xml:space="preserve">_closed_UAM - Port Macquarie</t>
  </si>
  <si>
    <t xml:space="preserve">2021/05/18</t>
  </si>
  <si>
    <t xml:space="preserve">_CLOSED_UAM - Wilsonton</t>
  </si>
  <si>
    <t xml:space="preserve">L9.J.229250</t>
  </si>
  <si>
    <t xml:space="preserve">7045</t>
  </si>
  <si>
    <t xml:space="preserve">Unit 7/1-5 Gardner Court</t>
  </si>
  <si>
    <t xml:space="preserve">Wilsonton</t>
  </si>
  <si>
    <t xml:space="preserve">Toowoomba</t>
  </si>
  <si>
    <t xml:space="preserve">_CLOSED_UASG - Clontarf</t>
  </si>
  <si>
    <t xml:space="preserve">29 Filmer Street</t>
  </si>
  <si>
    <t xml:space="preserve">Clontarf</t>
  </si>
  <si>
    <t xml:space="preserve">4019</t>
  </si>
  <si>
    <t xml:space="preserve">_CLOSED_UASG - Dandenong South</t>
  </si>
  <si>
    <t xml:space="preserve">L9.J.24170101</t>
  </si>
  <si>
    <t xml:space="preserve">2 National Drive</t>
  </si>
  <si>
    <t xml:space="preserve">2020/10/09</t>
  </si>
  <si>
    <t xml:space="preserve">_CLOSED_UASG - Garbutt</t>
  </si>
  <si>
    <t xml:space="preserve">62 Layland Street</t>
  </si>
  <si>
    <t xml:space="preserve">_CLOSED_UASG - Phillip</t>
  </si>
  <si>
    <t xml:space="preserve">U3 26 Dundas Court</t>
  </si>
  <si>
    <t xml:space="preserve">Phillip</t>
  </si>
  <si>
    <t xml:space="preserve">2606</t>
  </si>
  <si>
    <t xml:space="preserve">_CLOSED_UASG - Seventeen Mile Rocks</t>
  </si>
  <si>
    <t xml:space="preserve">L9.S.13001113</t>
  </si>
  <si>
    <t xml:space="preserve">9121</t>
  </si>
  <si>
    <t xml:space="preserve">U 3 115 Bluestone Cct</t>
  </si>
  <si>
    <t xml:space="preserve">Seventeen Mile Rocks</t>
  </si>
  <si>
    <t xml:space="preserve">4073</t>
  </si>
  <si>
    <t xml:space="preserve">-27.556724</t>
  </si>
  <si>
    <t xml:space="preserve">152.951149</t>
  </si>
  <si>
    <t xml:space="preserve">_CLOSED_UASG - Thornleigh</t>
  </si>
  <si>
    <t xml:space="preserve">F8 10 Chilvers Road</t>
  </si>
  <si>
    <t xml:space="preserve">Thornleigh</t>
  </si>
  <si>
    <t xml:space="preserve">2120</t>
  </si>
  <si>
    <t xml:space="preserve">-33.722085</t>
  </si>
  <si>
    <t xml:space="preserve">151.080088</t>
  </si>
  <si>
    <t xml:space="preserve">_CLOSED_Uawa Trails 21-75</t>
  </si>
  <si>
    <t xml:space="preserve">L9.DNZJ.551017</t>
  </si>
  <si>
    <t xml:space="preserve">551017</t>
  </si>
  <si>
    <t xml:space="preserve">_CLOSED_Unallocated JDE Accounts</t>
  </si>
  <si>
    <t xml:space="preserve">0</t>
  </si>
  <si>
    <t xml:space="preserve">Used to capture JDE accounts that could not be matched to a location in the platform.</t>
  </si>
  <si>
    <t xml:space="preserve">_closed_United Energy Electricity</t>
  </si>
  <si>
    <t xml:space="preserve">44</t>
  </si>
  <si>
    <t xml:space="preserve">194 – 198 Cheltenham Road</t>
  </si>
  <si>
    <t xml:space="preserve">Keysborough</t>
  </si>
  <si>
    <t xml:space="preserve">3173</t>
  </si>
  <si>
    <t xml:space="preserve">-37.994476</t>
  </si>
  <si>
    <t xml:space="preserve">145.1881</t>
  </si>
  <si>
    <t xml:space="preserve">2018/12/01</t>
  </si>
  <si>
    <t xml:space="preserve">_CLOSED_UOA NEW ENGINEERING BUILDING</t>
  </si>
  <si>
    <t xml:space="preserve">L9.DNZ.HA0162</t>
  </si>
  <si>
    <t xml:space="preserve">JP_HA0162</t>
  </si>
  <si>
    <t xml:space="preserve">_CLOSED_Utilita - Raceview</t>
  </si>
  <si>
    <t xml:space="preserve">L9.J.23900045</t>
  </si>
  <si>
    <t xml:space="preserve">7050</t>
  </si>
  <si>
    <t xml:space="preserve">12 Sonia Court</t>
  </si>
  <si>
    <t xml:space="preserve">Raceview</t>
  </si>
  <si>
    <t xml:space="preserve">4305</t>
  </si>
  <si>
    <t xml:space="preserve">_CLOSED_Utilities North Ryde Head Office</t>
  </si>
  <si>
    <t xml:space="preserve">L9.J.2412009501</t>
  </si>
  <si>
    <t xml:space="preserve">53</t>
  </si>
  <si>
    <t xml:space="preserve">BO_North Sydney_closed</t>
  </si>
  <si>
    <t xml:space="preserve">Level 4, 39 Delhi Road</t>
  </si>
  <si>
    <t xml:space="preserve">-33.795129</t>
  </si>
  <si>
    <t xml:space="preserve">151.140168</t>
  </si>
  <si>
    <t xml:space="preserve">_CLOSED_UTL Fleet ACT</t>
  </si>
  <si>
    <t xml:space="preserve">9193</t>
  </si>
  <si>
    <t xml:space="preserve">_CLOSED_UTL Fleet NSW</t>
  </si>
  <si>
    <t xml:space="preserve">L9.S.13000871</t>
  </si>
  <si>
    <t xml:space="preserve">9194</t>
  </si>
  <si>
    <t xml:space="preserve">_CLOSED_UTL Fleet NT</t>
  </si>
  <si>
    <t xml:space="preserve">L9.S.13000902</t>
  </si>
  <si>
    <t xml:space="preserve">9191</t>
  </si>
  <si>
    <t xml:space="preserve">_CLOSED_UTL Fleet QLD</t>
  </si>
  <si>
    <t xml:space="preserve">L9.S.14001309</t>
  </si>
  <si>
    <t xml:space="preserve">9196</t>
  </si>
  <si>
    <t xml:space="preserve">_CLOSED_UTL Fleet SA</t>
  </si>
  <si>
    <t xml:space="preserve">9213</t>
  </si>
  <si>
    <t xml:space="preserve">_CLOSED_UTL Fleet TAS</t>
  </si>
  <si>
    <t xml:space="preserve">L9.S.13000872</t>
  </si>
  <si>
    <t xml:space="preserve">9206</t>
  </si>
  <si>
    <t xml:space="preserve">_CLOSED_UTL Fleet VIC</t>
  </si>
  <si>
    <t xml:space="preserve">L9.S.13000873</t>
  </si>
  <si>
    <t xml:space="preserve">9195</t>
  </si>
  <si>
    <t xml:space="preserve">_CLOSED_UTL Fleet WA</t>
  </si>
  <si>
    <t xml:space="preserve">L9.S.14001315</t>
  </si>
  <si>
    <t xml:space="preserve">9192</t>
  </si>
  <si>
    <t xml:space="preserve">_CLOSED_VEC Civil Engineering (NSW)</t>
  </si>
  <si>
    <t xml:space="preserve">Acquisition from 31/10/2014</t>
  </si>
  <si>
    <t xml:space="preserve">_CLOSED_VEC Civil Engineering (QLD)</t>
  </si>
  <si>
    <t xml:space="preserve">-27.495</t>
  </si>
  <si>
    <t xml:space="preserve">153.033</t>
  </si>
  <si>
    <t xml:space="preserve">_CLOSED_VEC Civil Engineering (VIC)</t>
  </si>
  <si>
    <t xml:space="preserve">Level 2, 650 Lorimer Street</t>
  </si>
  <si>
    <t xml:space="preserve">_CLOSED_VIC</t>
  </si>
  <si>
    <t xml:space="preserve">L9.S.11000760</t>
  </si>
  <si>
    <t xml:space="preserve">_CLOSED_Victoria Park (DM)</t>
  </si>
  <si>
    <t xml:space="preserve">L9.J.17021021</t>
  </si>
  <si>
    <t xml:space="preserve">525</t>
  </si>
  <si>
    <t xml:space="preserve">Downer EDI Works Pty Ltd. Vacated in FY21.</t>
  </si>
  <si>
    <t xml:space="preserve">99 Albany Highway</t>
  </si>
  <si>
    <t xml:space="preserve">Victoria Park</t>
  </si>
  <si>
    <t xml:space="preserve">6100</t>
  </si>
  <si>
    <t xml:space="preserve">-31.969</t>
  </si>
  <si>
    <t xml:space="preserve">115.89</t>
  </si>
  <si>
    <t xml:space="preserve">_Closed_W000149 - WTP HVLV Reliability Project</t>
  </si>
  <si>
    <t xml:space="preserve">L9.J.25820005</t>
  </si>
  <si>
    <t xml:space="preserve">UTIL-25820005</t>
  </si>
  <si>
    <t xml:space="preserve">SFP WTP HVLV Reliability Project</t>
  </si>
  <si>
    <t xml:space="preserve">_CLOSED_WA</t>
  </si>
  <si>
    <t xml:space="preserve">L9.S.11000110</t>
  </si>
  <si>
    <t xml:space="preserve">_CLOSED_WA Gov Housing - Belmont</t>
  </si>
  <si>
    <t xml:space="preserve">2222</t>
  </si>
  <si>
    <t xml:space="preserve">WA Gov Housing Office</t>
  </si>
  <si>
    <t xml:space="preserve">187 Great Eastern Highway</t>
  </si>
  <si>
    <t xml:space="preserve">-31.947589</t>
  </si>
  <si>
    <t xml:space="preserve">115.919532</t>
  </si>
  <si>
    <t xml:space="preserve">2023/03/20</t>
  </si>
  <si>
    <t xml:space="preserve">_CLOSED_WA Workshop</t>
  </si>
  <si>
    <t xml:space="preserve">L9.J.170691</t>
  </si>
  <si>
    <t xml:space="preserve">_CLOSED_Wambo TXL</t>
  </si>
  <si>
    <t xml:space="preserve">L9.J.37740109</t>
  </si>
  <si>
    <t xml:space="preserve">_CLOSED_Wambo WF Connection Substation</t>
  </si>
  <si>
    <t xml:space="preserve">L9.J.37740110</t>
  </si>
  <si>
    <t xml:space="preserve">37740110</t>
  </si>
  <si>
    <t xml:space="preserve">2026/01/26</t>
  </si>
  <si>
    <t xml:space="preserve">_CLOSED_Wambo Wind Farm Connection</t>
  </si>
  <si>
    <t xml:space="preserve">_CLOSED_Warehouse - Hampton Park (VIC Warehouse)</t>
  </si>
  <si>
    <t xml:space="preserve">L9.S.S918</t>
  </si>
  <si>
    <t xml:space="preserve">T1.9509</t>
  </si>
  <si>
    <t xml:space="preserve">88-92 Water View Cl</t>
  </si>
  <si>
    <t xml:space="preserve">Hampton Park</t>
  </si>
  <si>
    <t xml:space="preserve">3976</t>
  </si>
  <si>
    <t xml:space="preserve">_CLOSED_Warrnambool Line Upgrade</t>
  </si>
  <si>
    <t xml:space="preserve">L9.J.20020025</t>
  </si>
  <si>
    <t xml:space="preserve">6016</t>
  </si>
  <si>
    <t xml:space="preserve">EM to send the location details to Ross Brookshaw</t>
  </si>
  <si>
    <t xml:space="preserve">2023/06/20</t>
  </si>
  <si>
    <t xml:space="preserve">_CLOSED_Water - ITS Pipetech NSW</t>
  </si>
  <si>
    <t xml:space="preserve">L9.J.239004</t>
  </si>
  <si>
    <t xml:space="preserve">7006</t>
  </si>
  <si>
    <t xml:space="preserve">Stanton Road</t>
  </si>
  <si>
    <t xml:space="preserve">Seven Hills</t>
  </si>
  <si>
    <t xml:space="preserve">2147</t>
  </si>
  <si>
    <t xml:space="preserve">-33.770978</t>
  </si>
  <si>
    <t xml:space="preserve">150.950739</t>
  </si>
  <si>
    <t xml:space="preserve">_CLOSED_Water - ITS Pipetech QLD</t>
  </si>
  <si>
    <t xml:space="preserve">L9.J.239005</t>
  </si>
  <si>
    <t xml:space="preserve">7027</t>
  </si>
  <si>
    <t xml:space="preserve">Office of Pipetech QLD has moved to a site managed by another division of Downer, therefore no electricity will continue to be reported under at this Envizi location. Close this location at end of FY 19.</t>
  </si>
  <si>
    <t xml:space="preserve">-27.434004</t>
  </si>
  <si>
    <t xml:space="preserve">153.086039</t>
  </si>
  <si>
    <t xml:space="preserve">_CLOSED_Water - ITS Pipetech WA</t>
  </si>
  <si>
    <t xml:space="preserve">L9.J.239007</t>
  </si>
  <si>
    <t xml:space="preserve">7028</t>
  </si>
  <si>
    <t xml:space="preserve">Closed late 2021.</t>
  </si>
  <si>
    <t xml:space="preserve">Baretta Driver</t>
  </si>
  <si>
    <t xml:space="preserve">Wangara</t>
  </si>
  <si>
    <t xml:space="preserve">6065</t>
  </si>
  <si>
    <t xml:space="preserve">-31.792414</t>
  </si>
  <si>
    <t xml:space="preserve">115.820878</t>
  </si>
  <si>
    <t xml:space="preserve">2021/12/31</t>
  </si>
  <si>
    <t xml:space="preserve">_CLOSED_Water.Mulitple.VIC.Dandenong_Depot</t>
  </si>
  <si>
    <t xml:space="preserve">Includes AusNet Gas and Water operationsDO_Dandenong</t>
  </si>
  <si>
    <t xml:space="preserve">_CLOSED_Water.RedlandCityCouncil.QLD.WTP_Project</t>
  </si>
  <si>
    <t xml:space="preserve">0056</t>
  </si>
  <si>
    <t xml:space="preserve">End of Tramican Street</t>
  </si>
  <si>
    <t xml:space="preserve">Point Lookout</t>
  </si>
  <si>
    <t xml:space="preserve">4183</t>
  </si>
  <si>
    <t xml:space="preserve">-27.435298</t>
  </si>
  <si>
    <t xml:space="preserve">153.523641</t>
  </si>
  <si>
    <t xml:space="preserve">_CLOSED_Werris Creek</t>
  </si>
  <si>
    <t xml:space="preserve">L9.RAL.N40</t>
  </si>
  <si>
    <t xml:space="preserve">3017</t>
  </si>
  <si>
    <t xml:space="preserve">Non-op freight site</t>
  </si>
  <si>
    <t xml:space="preserve">Single Street</t>
  </si>
  <si>
    <t xml:space="preserve">Werris Creek</t>
  </si>
  <si>
    <t xml:space="preserve">2341</t>
  </si>
  <si>
    <t xml:space="preserve">_CLOSED_West Camden WRP Upgrade</t>
  </si>
  <si>
    <t xml:space="preserve">L9.J.241504</t>
  </si>
  <si>
    <t xml:space="preserve">2025/12/15</t>
  </si>
  <si>
    <t xml:space="preserve">_CLOSED_Western Port Highway Upgrade</t>
  </si>
  <si>
    <t xml:space="preserve">L9.J.20042041</t>
  </si>
  <si>
    <t xml:space="preserve">6019</t>
  </si>
  <si>
    <t xml:space="preserve">565 Cranbourne Frankston Road</t>
  </si>
  <si>
    <t xml:space="preserve">Langwarrin</t>
  </si>
  <si>
    <t xml:space="preserve">_CLOSED_WF - Ararat</t>
  </si>
  <si>
    <t xml:space="preserve">L9.J.39210341</t>
  </si>
  <si>
    <t xml:space="preserve">Project finished up Mar 2017, residual diesel transport assigned through Jun 2017</t>
  </si>
  <si>
    <t xml:space="preserve">11 Warrak Road</t>
  </si>
  <si>
    <t xml:space="preserve">-37.273303</t>
  </si>
  <si>
    <t xml:space="preserve">142.968445</t>
  </si>
  <si>
    <t xml:space="preserve">_CLOSED_WF - Boco Rock Wind Defects</t>
  </si>
  <si>
    <t xml:space="preserve">L9.J.39210473</t>
  </si>
  <si>
    <t xml:space="preserve">70</t>
  </si>
  <si>
    <t xml:space="preserve">Minor energy use through warranty inspections and works ongoing.</t>
  </si>
  <si>
    <t xml:space="preserve">Avon Lake Road</t>
  </si>
  <si>
    <t xml:space="preserve">Springfield</t>
  </si>
  <si>
    <t xml:space="preserve">-36.576409</t>
  </si>
  <si>
    <t xml:space="preserve">149.126742</t>
  </si>
  <si>
    <t xml:space="preserve">_CLOSED_WF - Murra Warra</t>
  </si>
  <si>
    <t xml:space="preserve">L9.J.3775001202</t>
  </si>
  <si>
    <t xml:space="preserve">IP-360.369.889.353</t>
  </si>
  <si>
    <t xml:space="preserve">Murra Warra Wind Farm</t>
  </si>
  <si>
    <t xml:space="preserve">_CLOSED_Whyalla Norrie</t>
  </si>
  <si>
    <t xml:space="preserve">L9.ENG.360.12818</t>
  </si>
  <si>
    <t xml:space="preserve">312</t>
  </si>
  <si>
    <t xml:space="preserve">Shed 1, 2 Cook St</t>
  </si>
  <si>
    <t xml:space="preserve">Whyalla Norrie</t>
  </si>
  <si>
    <t xml:space="preserve">5608</t>
  </si>
  <si>
    <t xml:space="preserve">-33.036477</t>
  </si>
  <si>
    <t xml:space="preserve">137.547791</t>
  </si>
  <si>
    <t xml:space="preserve">_CLOSED_Williamtown RAAF Base</t>
  </si>
  <si>
    <t xml:space="preserve">L9.J.20041108</t>
  </si>
  <si>
    <t xml:space="preserve">49 Medowie Road</t>
  </si>
  <si>
    <t xml:space="preserve">Williamtown</t>
  </si>
  <si>
    <t xml:space="preserve">2318</t>
  </si>
  <si>
    <t xml:space="preserve">_CLOSED_Windsor (DM JV)</t>
  </si>
  <si>
    <t xml:space="preserve">_CLOSED_Winmalee - Sydney Water</t>
  </si>
  <si>
    <t xml:space="preserve">L9.J.23020008</t>
  </si>
  <si>
    <t xml:space="preserve">UTIL-252.781.347.440</t>
  </si>
  <si>
    <t xml:space="preserve">UTIL-252.781.347.440 - Winmalee</t>
  </si>
  <si>
    <t xml:space="preserve">2024/09/30</t>
  </si>
  <si>
    <t xml:space="preserve">_Closed_Wollar Solar Farm Substation &amp; TL</t>
  </si>
  <si>
    <t xml:space="preserve">L9.J.37740066</t>
  </si>
  <si>
    <t xml:space="preserve">Wollar Solar Farm Substation &amp; TL</t>
  </si>
  <si>
    <t xml:space="preserve">2022/10/03</t>
  </si>
  <si>
    <t xml:space="preserve">_CLOSED_Wollongong</t>
  </si>
  <si>
    <t xml:space="preserve">L9.J.30010008</t>
  </si>
  <si>
    <t xml:space="preserve">2025</t>
  </si>
  <si>
    <t xml:space="preserve">317</t>
  </si>
  <si>
    <t xml:space="preserve">10 Orangegrove Ave</t>
  </si>
  <si>
    <t xml:space="preserve">Unanderra</t>
  </si>
  <si>
    <t xml:space="preserve">2526</t>
  </si>
  <si>
    <t xml:space="preserve">-34.467308</t>
  </si>
  <si>
    <t xml:space="preserve">150.834621</t>
  </si>
  <si>
    <t xml:space="preserve">_CLOSED_Wollongong Office (NSW)</t>
  </si>
  <si>
    <t xml:space="preserve">9047</t>
  </si>
  <si>
    <t xml:space="preserve">1 Young St</t>
  </si>
  <si>
    <t xml:space="preserve">Wollongong</t>
  </si>
  <si>
    <t xml:space="preserve">2500</t>
  </si>
  <si>
    <t xml:space="preserve">-34.423528</t>
  </si>
  <si>
    <t xml:space="preserve">150.890668</t>
  </si>
  <si>
    <t xml:space="preserve">_CLOSED_Woolloongabba</t>
  </si>
  <si>
    <t xml:space="preserve">L9.S.13001017</t>
  </si>
  <si>
    <t xml:space="preserve">2026</t>
  </si>
  <si>
    <t xml:space="preserve">332</t>
  </si>
  <si>
    <t xml:space="preserve">Closed ~12Apr2019</t>
  </si>
  <si>
    <t xml:space="preserve">2 Burke St</t>
  </si>
  <si>
    <t xml:space="preserve">_CLOSED_Woolloongabba - Roads</t>
  </si>
  <si>
    <t xml:space="preserve">L9.J.170401</t>
  </si>
  <si>
    <t xml:space="preserve">170401</t>
  </si>
  <si>
    <t xml:space="preserve">8002</t>
  </si>
  <si>
    <t xml:space="preserve">_CLOSED_WS_Hawera</t>
  </si>
  <si>
    <t xml:space="preserve">L9.DNZJ.4150</t>
  </si>
  <si>
    <t xml:space="preserve">810</t>
  </si>
  <si>
    <t xml:space="preserve">25 - 29 Scott St</t>
  </si>
  <si>
    <t xml:space="preserve">4614</t>
  </si>
  <si>
    <t xml:space="preserve">-39.585301</t>
  </si>
  <si>
    <t xml:space="preserve">174.288096</t>
  </si>
  <si>
    <t xml:space="preserve">_CLOSED_WS_Kwinana</t>
  </si>
  <si>
    <t xml:space="preserve">L9.J.247107</t>
  </si>
  <si>
    <t xml:space="preserve">882</t>
  </si>
  <si>
    <t xml:space="preserve">38 Thomas Rd</t>
  </si>
  <si>
    <t xml:space="preserve">Kwinana</t>
  </si>
  <si>
    <t xml:space="preserve">-32.226171</t>
  </si>
  <si>
    <t xml:space="preserve">115.780771</t>
  </si>
  <si>
    <t xml:space="preserve">_CLOSED_WS_New Plymouth</t>
  </si>
  <si>
    <t xml:space="preserve">380</t>
  </si>
  <si>
    <t xml:space="preserve">380 Carrington St</t>
  </si>
  <si>
    <t xml:space="preserve">4310</t>
  </si>
  <si>
    <t xml:space="preserve">-39.083822</t>
  </si>
  <si>
    <t xml:space="preserve">174.086566</t>
  </si>
  <si>
    <t xml:space="preserve">_CLOSED_WT_Margaret River</t>
  </si>
  <si>
    <t xml:space="preserve">L9.DUA.105537</t>
  </si>
  <si>
    <t xml:space="preserve">887</t>
  </si>
  <si>
    <t xml:space="preserve">_CLOSED_WTP - MCG Operation</t>
  </si>
  <si>
    <t xml:space="preserve">Treatment Station</t>
  </si>
  <si>
    <t xml:space="preserve">L9.DUA.101403</t>
  </si>
  <si>
    <t xml:space="preserve">35</t>
  </si>
  <si>
    <t xml:space="preserve">WW_Yarra Park WRF</t>
  </si>
  <si>
    <t xml:space="preserve">Wellington Parade</t>
  </si>
  <si>
    <t xml:space="preserve">-37.816879</t>
  </si>
  <si>
    <t xml:space="preserve">144.983203</t>
  </si>
  <si>
    <t xml:space="preserve">_CLOSED_WW_Bega</t>
  </si>
  <si>
    <t xml:space="preserve">L9.J.241599</t>
  </si>
  <si>
    <t xml:space="preserve">7019</t>
  </si>
  <si>
    <t xml:space="preserve">Bega STP, Taronga Cr</t>
  </si>
  <si>
    <t xml:space="preserve">-36.683348</t>
  </si>
  <si>
    <t xml:space="preserve">149.856638</t>
  </si>
  <si>
    <t xml:space="preserve">_CLOSED_WW_Bermagui</t>
  </si>
  <si>
    <t xml:space="preserve">L9.J.241595</t>
  </si>
  <si>
    <t xml:space="preserve">161</t>
  </si>
  <si>
    <t xml:space="preserve">Tathra Rd</t>
  </si>
  <si>
    <t xml:space="preserve">Bermagui</t>
  </si>
  <si>
    <t xml:space="preserve">2546</t>
  </si>
  <si>
    <t xml:space="preserve">-36.439289</t>
  </si>
  <si>
    <t xml:space="preserve">150.070796</t>
  </si>
  <si>
    <t xml:space="preserve">_CLOSED_WW_Bomen (Wagga Wagga)</t>
  </si>
  <si>
    <t xml:space="preserve">L9.DUA.30009403</t>
  </si>
  <si>
    <t xml:space="preserve">7023</t>
  </si>
  <si>
    <t xml:space="preserve">Bomen Rd</t>
  </si>
  <si>
    <t xml:space="preserve">Wagga Wagga</t>
  </si>
  <si>
    <t xml:space="preserve">2650</t>
  </si>
  <si>
    <t xml:space="preserve">-35.066513</t>
  </si>
  <si>
    <t xml:space="preserve">147.402097</t>
  </si>
  <si>
    <t xml:space="preserve">_CLOSED_WW_Candelo</t>
  </si>
  <si>
    <t xml:space="preserve">L9.J.241592</t>
  </si>
  <si>
    <t xml:space="preserve">195</t>
  </si>
  <si>
    <t xml:space="preserve">1353 Candelo-Bega Rd</t>
  </si>
  <si>
    <t xml:space="preserve">Candelo</t>
  </si>
  <si>
    <t xml:space="preserve">              -36.758377</t>
  </si>
  <si>
    <t xml:space="preserve">                              149.702416</t>
  </si>
  <si>
    <t xml:space="preserve">_CLOSED_WW_Cannonvale</t>
  </si>
  <si>
    <t xml:space="preserve">L9.J.2415000902</t>
  </si>
  <si>
    <t xml:space="preserve">535</t>
  </si>
  <si>
    <t xml:space="preserve">End of Garema Street</t>
  </si>
  <si>
    <t xml:space="preserve">Cannonvale</t>
  </si>
  <si>
    <t xml:space="preserve">4804</t>
  </si>
  <si>
    <t xml:space="preserve">-20.282467                            </t>
  </si>
  <si>
    <t xml:space="preserve">148.682549                            </t>
  </si>
  <si>
    <t xml:space="preserve">_CLOSED_WW_Cobargo</t>
  </si>
  <si>
    <t xml:space="preserve">L9.J.241593</t>
  </si>
  <si>
    <t xml:space="preserve">205</t>
  </si>
  <si>
    <t xml:space="preserve">Avernus St</t>
  </si>
  <si>
    <t xml:space="preserve">Cobargo</t>
  </si>
  <si>
    <t xml:space="preserve">-36.398062</t>
  </si>
  <si>
    <t xml:space="preserve">149.89332</t>
  </si>
  <si>
    <t xml:space="preserve">_CLOSED_WW_Eden</t>
  </si>
  <si>
    <t xml:space="preserve">L9.J.241598</t>
  </si>
  <si>
    <t xml:space="preserve">225</t>
  </si>
  <si>
    <t xml:space="preserve">Cnr Botany &amp; Nicholson Streets</t>
  </si>
  <si>
    <t xml:space="preserve">Eden</t>
  </si>
  <si>
    <t xml:space="preserve">2551</t>
  </si>
  <si>
    <t xml:space="preserve">-37.052249</t>
  </si>
  <si>
    <t xml:space="preserve">149.888685</t>
  </si>
  <si>
    <t xml:space="preserve">_CLOSED_WW_Kalaru</t>
  </si>
  <si>
    <t xml:space="preserve">L9.J.241590</t>
  </si>
  <si>
    <t xml:space="preserve">347 Old Wallagoot Rd</t>
  </si>
  <si>
    <t xml:space="preserve">Kalaru</t>
  </si>
  <si>
    <t xml:space="preserve">                              -36.762589</t>
  </si>
  <si>
    <t xml:space="preserve">                              149.929723</t>
  </si>
  <si>
    <t xml:space="preserve">_CLOSED_WW_Karratha</t>
  </si>
  <si>
    <t xml:space="preserve">L9.J.24710002</t>
  </si>
  <si>
    <t xml:space="preserve">902</t>
  </si>
  <si>
    <t xml:space="preserve">Part of Clearwater Alliance - Pilbara.  Other plant is WW_South Hedland</t>
  </si>
  <si>
    <t xml:space="preserve">_CLOSED_WW_Kemerton</t>
  </si>
  <si>
    <t xml:space="preserve">L9.J.24710004</t>
  </si>
  <si>
    <t xml:space="preserve">885</t>
  </si>
  <si>
    <t xml:space="preserve">_CLOSED_WW_Kooringal (Wagga Wagga)</t>
  </si>
  <si>
    <t xml:space="preserve">L9.J.2415000402</t>
  </si>
  <si>
    <t xml:space="preserve">275</t>
  </si>
  <si>
    <t xml:space="preserve">30 Vincent Road</t>
  </si>
  <si>
    <t xml:space="preserve">Kooringal</t>
  </si>
  <si>
    <t xml:space="preserve">-35.154297</t>
  </si>
  <si>
    <t xml:space="preserve">147.390717</t>
  </si>
  <si>
    <t xml:space="preserve">_CLOSED_WW_Mackay North (Bucasia)</t>
  </si>
  <si>
    <t xml:space="preserve">L9.DUA.105491</t>
  </si>
  <si>
    <t xml:space="preserve">320</t>
  </si>
  <si>
    <t xml:space="preserve">Old Dump Road (via Hennessy Lane)</t>
  </si>
  <si>
    <t xml:space="preserve">Bucasia</t>
  </si>
  <si>
    <t xml:space="preserve">-21.029792</t>
  </si>
  <si>
    <t xml:space="preserve">149.146185</t>
  </si>
  <si>
    <t xml:space="preserve">_CLOSED_WW_Mackay South (Bakers Creek)</t>
  </si>
  <si>
    <t xml:space="preserve">325</t>
  </si>
  <si>
    <t xml:space="preserve">Bakers Creek STP, Temple's Lane off Cowleys Rd</t>
  </si>
  <si>
    <t xml:space="preserve">Bakers Creek</t>
  </si>
  <si>
    <t xml:space="preserve">-21.204726</t>
  </si>
  <si>
    <t xml:space="preserve">149.126465</t>
  </si>
  <si>
    <t xml:space="preserve">_CLOSED_WW_Merimbula</t>
  </si>
  <si>
    <t xml:space="preserve">L9.J.241596</t>
  </si>
  <si>
    <t xml:space="preserve">Arthur Kaine Drive</t>
  </si>
  <si>
    <t xml:space="preserve">Merimbula</t>
  </si>
  <si>
    <t xml:space="preserve">2548</t>
  </si>
  <si>
    <t xml:space="preserve">-36.917715</t>
  </si>
  <si>
    <t xml:space="preserve">149.895744</t>
  </si>
  <si>
    <t xml:space="preserve">_CLOSED_WW_Nambour</t>
  </si>
  <si>
    <t xml:space="preserve">L9.DUA.301037</t>
  </si>
  <si>
    <t xml:space="preserve">891</t>
  </si>
  <si>
    <t xml:space="preserve">Was previously known as SO_NambourCommenced operations in Nov 2014</t>
  </si>
  <si>
    <t xml:space="preserve">663 Bli Bli Road</t>
  </si>
  <si>
    <t xml:space="preserve">Nambour</t>
  </si>
  <si>
    <t xml:space="preserve">4560</t>
  </si>
  <si>
    <t xml:space="preserve">_CLOSED_WW_Narrung St (Wagga Wagga)</t>
  </si>
  <si>
    <t xml:space="preserve">L9.J.241589</t>
  </si>
  <si>
    <t xml:space="preserve">370</t>
  </si>
  <si>
    <t xml:space="preserve">120 Narrung St</t>
  </si>
  <si>
    <t xml:space="preserve">-35.091664</t>
  </si>
  <si>
    <t xml:space="preserve">147.356272</t>
  </si>
  <si>
    <t xml:space="preserve">_CLOSED_WW_Port Hedland</t>
  </si>
  <si>
    <t xml:space="preserve">L9.DUA.300917</t>
  </si>
  <si>
    <t xml:space="preserve">_CLOSED_WW_Proserpine</t>
  </si>
  <si>
    <t xml:space="preserve">L9.J.24120086</t>
  </si>
  <si>
    <t xml:space="preserve">540</t>
  </si>
  <si>
    <t xml:space="preserve">Lot 1, Bruce Highway</t>
  </si>
  <si>
    <t xml:space="preserve">Proserpine</t>
  </si>
  <si>
    <t xml:space="preserve">4800</t>
  </si>
  <si>
    <t xml:space="preserve">  -20.393529                                                </t>
  </si>
  <si>
    <t xml:space="preserve">148.587009       </t>
  </si>
  <si>
    <t xml:space="preserve">_CLOSED_WW_South Hedland</t>
  </si>
  <si>
    <t xml:space="preserve">L9.DUA.301556</t>
  </si>
  <si>
    <t xml:space="preserve">884</t>
  </si>
  <si>
    <t xml:space="preserve">Part of Pilbara project - other plant is WW_KarrathaDelivered under Clearwater Alliance</t>
  </si>
  <si>
    <t xml:space="preserve">_CLOSED_WW_Tathra</t>
  </si>
  <si>
    <t xml:space="preserve">L9.J.241597</t>
  </si>
  <si>
    <t xml:space="preserve">460</t>
  </si>
  <si>
    <t xml:space="preserve">Andy Poole Drive</t>
  </si>
  <si>
    <t xml:space="preserve">Tathra</t>
  </si>
  <si>
    <t xml:space="preserve">-36.715398</t>
  </si>
  <si>
    <t xml:space="preserve">149.976449</t>
  </si>
  <si>
    <t xml:space="preserve">_CLOSED_WW_Tura Beach</t>
  </si>
  <si>
    <t xml:space="preserve">L9.J.241594</t>
  </si>
  <si>
    <t xml:space="preserve">475</t>
  </si>
  <si>
    <t xml:space="preserve">Tura Beach Drive</t>
  </si>
  <si>
    <t xml:space="preserve">Tura Beach</t>
  </si>
  <si>
    <t xml:space="preserve">-36.867266</t>
  </si>
  <si>
    <t xml:space="preserve">149.928435</t>
  </si>
  <si>
    <t xml:space="preserve">_CLOSED_WW_Wolumla</t>
  </si>
  <si>
    <t xml:space="preserve">L9.J.241591</t>
  </si>
  <si>
    <t xml:space="preserve">505</t>
  </si>
  <si>
    <t xml:space="preserve">Princess Highway</t>
  </si>
  <si>
    <t xml:space="preserve">Wolumla</t>
  </si>
  <si>
    <t xml:space="preserve">-36.81382</t>
  </si>
  <si>
    <t xml:space="preserve">149.813347</t>
  </si>
  <si>
    <t xml:space="preserve">_CLOSED_WW_Yarra Park WRF</t>
  </si>
  <si>
    <t xml:space="preserve">L9.J.24150012</t>
  </si>
  <si>
    <t xml:space="preserve">366</t>
  </si>
  <si>
    <t xml:space="preserve">Name changed from SO_Melbourne Cricket Ground</t>
  </si>
  <si>
    <t xml:space="preserve">Melbourne Cricket GroundWellington Parade</t>
  </si>
  <si>
    <t xml:space="preserve">-37.819887</t>
  </si>
  <si>
    <t xml:space="preserve">144.983461</t>
  </si>
  <si>
    <t xml:space="preserve">_CLOSED_WWTP - Bega Operation</t>
  </si>
  <si>
    <t xml:space="preserve">L9.DUA.30165300</t>
  </si>
  <si>
    <t xml:space="preserve">33</t>
  </si>
  <si>
    <t xml:space="preserve">WW_Bega, WW_Tathra, WW_Tura Beach, WW_Wolumla, WW_Cobargo, WW_Kalaru, WW_Candelo, WW_Eden, WW_Merimbula, WW_Bermagui. Includes all Bega WTP sites.</t>
  </si>
  <si>
    <t xml:space="preserve">Taronga Crescent</t>
  </si>
  <si>
    <t xml:space="preserve">-36.683069</t>
  </si>
  <si>
    <t xml:space="preserve">149.857309</t>
  </si>
  <si>
    <t xml:space="preserve">_CLOSED_WWTP - Mackay Operation</t>
  </si>
  <si>
    <t xml:space="preserve">7030</t>
  </si>
  <si>
    <t xml:space="preserve">WW_Mackay North (Bucasia), WW_Mackay South (Bakers Creek). Includes both Mackay WTP sites.</t>
  </si>
  <si>
    <t xml:space="preserve">Temples Lane</t>
  </si>
  <si>
    <t xml:space="preserve">-21.205258</t>
  </si>
  <si>
    <t xml:space="preserve">149.126108</t>
  </si>
  <si>
    <t xml:space="preserve">_CLOSED_WWTP - Mareeba</t>
  </si>
  <si>
    <t xml:space="preserve">MAreeba</t>
  </si>
  <si>
    <t xml:space="preserve">-16.967564</t>
  </si>
  <si>
    <t xml:space="preserve">145.409296</t>
  </si>
  <si>
    <t xml:space="preserve">_CLOSED_WWTP - Melbourne Water</t>
  </si>
  <si>
    <t xml:space="preserve">Operations</t>
  </si>
  <si>
    <t xml:space="preserve">New Farm Rd</t>
  </si>
  <si>
    <t xml:space="preserve">Werribee</t>
  </si>
  <si>
    <t xml:space="preserve">-37.915185</t>
  </si>
  <si>
    <t xml:space="preserve">144.642077</t>
  </si>
  <si>
    <t xml:space="preserve">_CLOSED_WWTP - Muswellbrook</t>
  </si>
  <si>
    <t xml:space="preserve">L9.J.24120101</t>
  </si>
  <si>
    <t xml:space="preserve">7005</t>
  </si>
  <si>
    <t xml:space="preserve">Closed Jan 2021</t>
  </si>
  <si>
    <t xml:space="preserve">Skellatar Stock Route Road</t>
  </si>
  <si>
    <t xml:space="preserve">-32.278721</t>
  </si>
  <si>
    <t xml:space="preserve">150.874447</t>
  </si>
  <si>
    <t xml:space="preserve">_CLOSED_WWTP - Rubyanna</t>
  </si>
  <si>
    <t xml:space="preserve">L9.J.2412008304</t>
  </si>
  <si>
    <t xml:space="preserve">7004</t>
  </si>
  <si>
    <t xml:space="preserve">BUndaberg</t>
  </si>
  <si>
    <t xml:space="preserve">Rubyanna Road</t>
  </si>
  <si>
    <t xml:space="preserve">Rubyanna</t>
  </si>
  <si>
    <t xml:space="preserve">4670</t>
  </si>
  <si>
    <t xml:space="preserve">-24.816165</t>
  </si>
  <si>
    <t xml:space="preserve">152.391606</t>
  </si>
  <si>
    <t xml:space="preserve">_CLOSED_WWTP - Water Corp WA Operation</t>
  </si>
  <si>
    <t xml:space="preserve">L9.S.16014017</t>
  </si>
  <si>
    <t xml:space="preserve">37</t>
  </si>
  <si>
    <t xml:space="preserve">WW_South Hedland, WW_Karratha. Includes Karatha and all associated WTP sites in WA.</t>
  </si>
  <si>
    <t xml:space="preserve">Shoata Road</t>
  </si>
  <si>
    <t xml:space="preserve">South Hedland</t>
  </si>
  <si>
    <t xml:space="preserve">-20.410543</t>
  </si>
  <si>
    <t xml:space="preserve">118.574972</t>
  </si>
  <si>
    <t xml:space="preserve">_CLOSED_WWTP - Whitsundays Operation</t>
  </si>
  <si>
    <t xml:space="preserve">L9.DUA.300480 L9.DUA.300480</t>
  </si>
  <si>
    <t xml:space="preserve">32</t>
  </si>
  <si>
    <t xml:space="preserve">WW_Cannonvale, WW_Proserpine. Includes both Whitsundays WTP sites.</t>
  </si>
  <si>
    <t xml:space="preserve">Garema Street</t>
  </si>
  <si>
    <t xml:space="preserve">-20.282608</t>
  </si>
  <si>
    <t xml:space="preserve">148.682402</t>
  </si>
  <si>
    <t xml:space="preserve">_CLOSED_WWTP - Yeppoon</t>
  </si>
  <si>
    <t xml:space="preserve">L9.J.24160020</t>
  </si>
  <si>
    <t xml:space="preserve">7033</t>
  </si>
  <si>
    <t xml:space="preserve">Jabiru Driver</t>
  </si>
  <si>
    <t xml:space="preserve">Yeppoon</t>
  </si>
  <si>
    <t xml:space="preserve">4703</t>
  </si>
  <si>
    <t xml:space="preserve">-23.155602</t>
  </si>
  <si>
    <t xml:space="preserve">150.706467</t>
  </si>
  <si>
    <t xml:space="preserve">_CLOSED_Y10234 - North Yarra Main Relining</t>
  </si>
  <si>
    <t xml:space="preserve">L9.J.25820028</t>
  </si>
  <si>
    <t xml:space="preserve">_CLOSED_Y10248 - Gardiners Creek Main Sewer Rehabilitation</t>
  </si>
  <si>
    <t xml:space="preserve">L9.J.25820018</t>
  </si>
  <si>
    <t xml:space="preserve">UTIL-25820018</t>
  </si>
  <si>
    <t xml:space="preserve">SFP Gardiners Creek Main Sewer Rehabilitation</t>
  </si>
  <si>
    <t xml:space="preserve">_CLOSED_Y10307 - ETP 62HA Switchboard and Associated Assets Renewals</t>
  </si>
  <si>
    <t xml:space="preserve">L9.J.25820009</t>
  </si>
  <si>
    <t xml:space="preserve">UTIL-25820009</t>
  </si>
  <si>
    <t xml:space="preserve">SFP ETP 62HA Switchboard and Associated Assets Renewals</t>
  </si>
  <si>
    <t xml:space="preserve">_CLOSED_Y10314 - Essex St Main Drain Renewal Project</t>
  </si>
  <si>
    <t xml:space="preserve">L9.J.25820027</t>
  </si>
  <si>
    <t xml:space="preserve">2024/12/13</t>
  </si>
  <si>
    <t xml:space="preserve">_CLOSED_Y10341 - Mordialloc Main Sewer Rehabilitation</t>
  </si>
  <si>
    <t xml:space="preserve">2025/10/31</t>
  </si>
  <si>
    <t xml:space="preserve">_CLOSED_Y10364 - Thomson Hydro Capacitor Bank</t>
  </si>
  <si>
    <t xml:space="preserve">2025/08/22</t>
  </si>
  <si>
    <t xml:space="preserve">_CLOSED_Young</t>
  </si>
  <si>
    <t xml:space="preserve">L9.J.17010035</t>
  </si>
  <si>
    <t xml:space="preserve">324</t>
  </si>
  <si>
    <t xml:space="preserve">Sherrenden Hill, Olympic Highway</t>
  </si>
  <si>
    <t xml:space="preserve">Young</t>
  </si>
  <si>
    <t xml:space="preserve">2594</t>
  </si>
  <si>
    <t xml:space="preserve">-34.287</t>
  </si>
  <si>
    <t xml:space="preserve">148.374</t>
  </si>
  <si>
    <t xml:space="preserve">_DIVESTED_NZ-Laundry_FSU_Auckland</t>
  </si>
  <si>
    <t xml:space="preserve">L9.S.24001705</t>
  </si>
  <si>
    <t xml:space="preserve">5270</t>
  </si>
  <si>
    <t xml:space="preserve">Treatment of Laundry - supports a wide client base in the Auckland region- Added in FY19 as part of the Spotless business integration</t>
  </si>
  <si>
    <t xml:space="preserve">_DIVESTED_NZ-Laundry_FSU_Hamilton</t>
  </si>
  <si>
    <t xml:space="preserve">L9.S.24001719</t>
  </si>
  <si>
    <t xml:space="preserve">5271</t>
  </si>
  <si>
    <t xml:space="preserve">Treatment of Laundry - supports a wide client base in the Waikato and BOP region- Added in FY19 as part of the Spotless business integration</t>
  </si>
  <si>
    <t xml:space="preserve">_DIVESTED_NZ-Laundry_FSU_Nelson</t>
  </si>
  <si>
    <t xml:space="preserve">L9.S.24001730</t>
  </si>
  <si>
    <t xml:space="preserve">5272</t>
  </si>
  <si>
    <t xml:space="preserve">Treatment of Laundry - supports a wide client base in the Nelson and Marlborough region- Added in FY19 as part of the Spotless business integration</t>
  </si>
  <si>
    <t xml:space="preserve">_DIVESTED_Support_FSU_Laundries</t>
  </si>
  <si>
    <t xml:space="preserve">L9.J.16000002</t>
  </si>
  <si>
    <t xml:space="preserve">5291</t>
  </si>
  <si>
    <t xml:space="preserve">10.033 Logistics Operations</t>
  </si>
  <si>
    <t xml:space="preserve">10033</t>
  </si>
  <si>
    <t xml:space="preserve">10.074 Fibre Connect Canterbury</t>
  </si>
  <si>
    <t xml:space="preserve">L9.DNZ.810.10.074</t>
  </si>
  <si>
    <t xml:space="preserve">10074</t>
  </si>
  <si>
    <t xml:space="preserve">10.075 Fibre Conn Lake District C Ota</t>
  </si>
  <si>
    <t xml:space="preserve">L9.DNZ.810.10.075</t>
  </si>
  <si>
    <t xml:space="preserve">10075</t>
  </si>
  <si>
    <t xml:space="preserve">1000/13000926</t>
  </si>
  <si>
    <t xml:space="preserve">L9.S.13000926</t>
  </si>
  <si>
    <t xml:space="preserve">13000926</t>
  </si>
  <si>
    <t xml:space="preserve">1000/16016869</t>
  </si>
  <si>
    <t xml:space="preserve">L9.S.16016869</t>
  </si>
  <si>
    <t xml:space="preserve">16016869</t>
  </si>
  <si>
    <t xml:space="preserve">1000/26020679</t>
  </si>
  <si>
    <t xml:space="preserve">L9.S.26020679</t>
  </si>
  <si>
    <t xml:space="preserve">26020679</t>
  </si>
  <si>
    <t xml:space="preserve">1000/26020680</t>
  </si>
  <si>
    <t xml:space="preserve">L9.S.26020680</t>
  </si>
  <si>
    <t xml:space="preserve">26020680</t>
  </si>
  <si>
    <t xml:space="preserve">1000/26020681</t>
  </si>
  <si>
    <t xml:space="preserve">L9.S.26020681</t>
  </si>
  <si>
    <t xml:space="preserve">26020681</t>
  </si>
  <si>
    <t xml:space="preserve">1000/26020682</t>
  </si>
  <si>
    <t xml:space="preserve">L9.S.26020682</t>
  </si>
  <si>
    <t xml:space="preserve">26020682</t>
  </si>
  <si>
    <t xml:space="preserve">1000/26020683</t>
  </si>
  <si>
    <t xml:space="preserve">L9.S.26020683</t>
  </si>
  <si>
    <t xml:space="preserve">26020683</t>
  </si>
  <si>
    <t xml:space="preserve">1000/26020688</t>
  </si>
  <si>
    <t xml:space="preserve">L9.S.26020688</t>
  </si>
  <si>
    <t xml:space="preserve">26020688</t>
  </si>
  <si>
    <t xml:space="preserve">1000/26020723</t>
  </si>
  <si>
    <t xml:space="preserve">L9.S.26020723</t>
  </si>
  <si>
    <t xml:space="preserve">26020723</t>
  </si>
  <si>
    <t xml:space="preserve">1000/26020735</t>
  </si>
  <si>
    <t xml:space="preserve">L9.S.26020735</t>
  </si>
  <si>
    <t xml:space="preserve">26020735</t>
  </si>
  <si>
    <t xml:space="preserve">1000/26020736</t>
  </si>
  <si>
    <t xml:space="preserve">L9.S.26020736</t>
  </si>
  <si>
    <t xml:space="preserve">26020736</t>
  </si>
  <si>
    <t xml:space="preserve">1000/26020737</t>
  </si>
  <si>
    <t xml:space="preserve">L9.S.26020737</t>
  </si>
  <si>
    <t xml:space="preserve">26020737</t>
  </si>
  <si>
    <t xml:space="preserve">1000/26020738</t>
  </si>
  <si>
    <t xml:space="preserve">L9.S.26020738</t>
  </si>
  <si>
    <t xml:space="preserve">26020738</t>
  </si>
  <si>
    <t xml:space="preserve">1000/26020742</t>
  </si>
  <si>
    <t xml:space="preserve">L9.S.26020742</t>
  </si>
  <si>
    <t xml:space="preserve">26020742</t>
  </si>
  <si>
    <t xml:space="preserve">1000/26020743</t>
  </si>
  <si>
    <t xml:space="preserve">L9.S.26020743</t>
  </si>
  <si>
    <t xml:space="preserve">26020743</t>
  </si>
  <si>
    <t xml:space="preserve">1000/26020744</t>
  </si>
  <si>
    <t xml:space="preserve">L9.S.26020744</t>
  </si>
  <si>
    <t xml:space="preserve">26020744</t>
  </si>
  <si>
    <t xml:space="preserve">1000/26020745</t>
  </si>
  <si>
    <t xml:space="preserve">L9.S.26020745</t>
  </si>
  <si>
    <t xml:space="preserve">26020745</t>
  </si>
  <si>
    <t xml:space="preserve">1000/26020749</t>
  </si>
  <si>
    <t xml:space="preserve">L9.S.26020749</t>
  </si>
  <si>
    <t xml:space="preserve">26020749</t>
  </si>
  <si>
    <t xml:space="preserve">1000/26020750</t>
  </si>
  <si>
    <t xml:space="preserve">L9.S.26020750</t>
  </si>
  <si>
    <t xml:space="preserve">26020750</t>
  </si>
  <si>
    <t xml:space="preserve">1000/26020751</t>
  </si>
  <si>
    <t xml:space="preserve">L9.S.26020751</t>
  </si>
  <si>
    <t xml:space="preserve">26020751</t>
  </si>
  <si>
    <t xml:space="preserve">1000/26020752</t>
  </si>
  <si>
    <t xml:space="preserve">L9.S.26020752</t>
  </si>
  <si>
    <t xml:space="preserve">26020752</t>
  </si>
  <si>
    <t xml:space="preserve">110 - Hawkins CORPORATE HO_Other Subcontractors</t>
  </si>
  <si>
    <t xml:space="preserve">Virtual Location</t>
  </si>
  <si>
    <t xml:space="preserve">112 - Hawkins Limited AUCKLAND_Other Subcontractors</t>
  </si>
  <si>
    <t xml:space="preserve">L9.DNZ.HA0392</t>
  </si>
  <si>
    <t xml:space="preserve">113 - Hawkins Limited CENTRAL_Other Subcontractors</t>
  </si>
  <si>
    <t xml:space="preserve">L9.DNZ.HC0350</t>
  </si>
  <si>
    <t xml:space="preserve">120 - Hawkins Limited WELLINGTON_Other Subcontractors</t>
  </si>
  <si>
    <t xml:space="preserve">L9.DNZ.HW0239</t>
  </si>
  <si>
    <t xml:space="preserve">121 - Hawkins Limited WELLINGTON_Other Subcontractors</t>
  </si>
  <si>
    <t xml:space="preserve">L9.DNZJ.88122</t>
  </si>
  <si>
    <t xml:space="preserve">122 - Hawkins Limited SOUTH_Other Subcontractors</t>
  </si>
  <si>
    <t xml:space="preserve">1259 Okau Road  Ahititi</t>
  </si>
  <si>
    <t xml:space="preserve">Residence</t>
  </si>
  <si>
    <t xml:space="preserve">L9.DNZJ.55173</t>
  </si>
  <si>
    <t xml:space="preserve">55173</t>
  </si>
  <si>
    <t xml:space="preserve">Residential for purposes of housing project workers</t>
  </si>
  <si>
    <t xml:space="preserve">1259 Okau Road</t>
  </si>
  <si>
    <t xml:space="preserve">Ahititi</t>
  </si>
  <si>
    <t xml:space="preserve">4378</t>
  </si>
  <si>
    <t xml:space="preserve">ZZZZZZPre-Allocation</t>
  </si>
  <si>
    <t xml:space="preserve">130 - Hawkins Limited PLANT_Other Subcontractors</t>
  </si>
  <si>
    <t xml:space="preserve">13000925 - 1000</t>
  </si>
  <si>
    <t xml:space="preserve">L9.S.16013632</t>
  </si>
  <si>
    <t xml:space="preserve">-176052638</t>
  </si>
  <si>
    <t xml:space="preserve">133 Overheads &amp; Assets</t>
  </si>
  <si>
    <t xml:space="preserve">39210066</t>
  </si>
  <si>
    <t xml:space="preserve">140 St Georges Terrace - Perth</t>
  </si>
  <si>
    <t xml:space="preserve">L9.J.10920044</t>
  </si>
  <si>
    <t xml:space="preserve">COR-10920044</t>
  </si>
  <si>
    <t xml:space="preserve">Chevron Office. Moved in 6-Feb-2019.</t>
  </si>
  <si>
    <t xml:space="preserve">140 St Georges Terrace</t>
  </si>
  <si>
    <t xml:space="preserve">-31.954083</t>
  </si>
  <si>
    <t xml:space="preserve">115.856382</t>
  </si>
  <si>
    <t xml:space="preserve">15 - PG - Power Northern EU Subcontractors</t>
  </si>
  <si>
    <t xml:space="preserve">160 - Downer Utilities Alliance NZ EU Subcontractors</t>
  </si>
  <si>
    <t xml:space="preserve">L9.J.24160024</t>
  </si>
  <si>
    <t xml:space="preserve">169245 - HTP early works</t>
  </si>
  <si>
    <t xml:space="preserve">L9.J.37760060</t>
  </si>
  <si>
    <t xml:space="preserve">37760060</t>
  </si>
  <si>
    <t xml:space="preserve">171 - TI-HO Office Subcontractors (Other)</t>
  </si>
  <si>
    <t xml:space="preserve">L9.J.170999</t>
  </si>
  <si>
    <t xml:space="preserve">172 - Reconomy Subcontractors (Other)</t>
  </si>
  <si>
    <t xml:space="preserve">L9.J.17072004</t>
  </si>
  <si>
    <t xml:space="preserve">173 - Pavements Subcontractors (Other)</t>
  </si>
  <si>
    <t xml:space="preserve">L9.J.170238</t>
  </si>
  <si>
    <t xml:space="preserve">174 - DM Roads Subcontractors (Other)</t>
  </si>
  <si>
    <t xml:space="preserve">L9.J.17021011</t>
  </si>
  <si>
    <t xml:space="preserve">174 - Maintenance &amp; ITS Subcontractors (Other)</t>
  </si>
  <si>
    <t xml:space="preserve">L9.J.259103</t>
  </si>
  <si>
    <t xml:space="preserve">175 - Central and West Sprayseal Subcontractors (Other)</t>
  </si>
  <si>
    <t xml:space="preserve">L9.J.17050015</t>
  </si>
  <si>
    <t xml:space="preserve">176 - AU Roads Plant Subcontractors (Other)</t>
  </si>
  <si>
    <t xml:space="preserve">L9.J.17022510</t>
  </si>
  <si>
    <t xml:space="preserve">178 - Tasmania Operations Subcontractors (Other)</t>
  </si>
  <si>
    <t xml:space="preserve">L9.J.17031257</t>
  </si>
  <si>
    <t xml:space="preserve">179 - RPQ Subcontractors (Other)</t>
  </si>
  <si>
    <t xml:space="preserve">L9.J.17011208</t>
  </si>
  <si>
    <t xml:space="preserve">180 - Pavement Preservation Subcontractors (Other)</t>
  </si>
  <si>
    <t xml:space="preserve">L9.J.17036029</t>
  </si>
  <si>
    <t xml:space="preserve">181 - Blended Products Subcontractors (Other)</t>
  </si>
  <si>
    <t xml:space="preserve">L9.J.17090176</t>
  </si>
  <si>
    <t xml:space="preserve">182 - AU Bitumen Subcontractors (Other)</t>
  </si>
  <si>
    <t xml:space="preserve">L9.J.17090314</t>
  </si>
  <si>
    <t xml:space="preserve">187 - Asphalt &amp; Products Subcontractors (Other)</t>
  </si>
  <si>
    <t xml:space="preserve">L9.J.17090789</t>
  </si>
  <si>
    <t xml:space="preserve">188 - Pavement Rehab &amp; Civils Subcontractors (Other)</t>
  </si>
  <si>
    <t xml:space="preserve">L9.J.17093156</t>
  </si>
  <si>
    <t xml:space="preserve">189 - Specialised Pavements &amp; Projec Subcontractors (Other)</t>
  </si>
  <si>
    <t xml:space="preserve">L9.J.17075013</t>
  </si>
  <si>
    <t xml:space="preserve">19 - National Plant_Cartage Subcontractors</t>
  </si>
  <si>
    <t xml:space="preserve">19 - National Plant_Other Subcontractors</t>
  </si>
  <si>
    <t xml:space="preserve">L9.DNZJ.55907</t>
  </si>
  <si>
    <t xml:space="preserve">190 - Thin Surfacing Subcontractors (Other)</t>
  </si>
  <si>
    <t xml:space="preserve">L9.J.17091427</t>
  </si>
  <si>
    <t xml:space="preserve">21 ROLLESTON ST MAIN</t>
  </si>
  <si>
    <t xml:space="preserve">L9.DNZ.HW0213</t>
  </si>
  <si>
    <t xml:space="preserve">JP_HW0213</t>
  </si>
  <si>
    <t xml:space="preserve">21 Rolleston Street</t>
  </si>
  <si>
    <t xml:space="preserve">Mount Cook</t>
  </si>
  <si>
    <t xml:space="preserve">6021</t>
  </si>
  <si>
    <t xml:space="preserve">-41.303</t>
  </si>
  <si>
    <t xml:space="preserve">174.7734</t>
  </si>
  <si>
    <t xml:space="preserve">221 - Vanuatu - VATU$_Other Subcontractors</t>
  </si>
  <si>
    <t xml:space="preserve">L9.DNZJ.22013</t>
  </si>
  <si>
    <t xml:space="preserve">Vanuatu</t>
  </si>
  <si>
    <t xml:space="preserve">230 - Emulco Limited_Cartage Subcontractors</t>
  </si>
  <si>
    <t xml:space="preserve">230 - Emulco Limited_Other Subcontractors</t>
  </si>
  <si>
    <t xml:space="preserve">Emulco sites are not within Downer's operational control, hence Subcontractor usage resulting from these sites have also been deemed to be non operational control</t>
  </si>
  <si>
    <t xml:space="preserve">240 - Downer McConnell Dowell JV_Other Subcontractors</t>
  </si>
  <si>
    <t xml:space="preserve">25820023 - Hoppers Crossing Pump Station 66kV Renewal</t>
  </si>
  <si>
    <t xml:space="preserve">260 - Isaac Asphalt Ltd_Other Subcontractors</t>
  </si>
  <si>
    <t xml:space="preserve">Isaac Asphalt sites are an incorporated JV and are not under Downer's operational control. Hence, Isaac Asphalt subcontractors, related to Isaac Asphalt sites are not under Downer's operational control</t>
  </si>
  <si>
    <t xml:space="preserve">288 -SI Balance Sheet - NZD_Other Subcontractors</t>
  </si>
  <si>
    <t xml:space="preserve">Administration</t>
  </si>
  <si>
    <t xml:space="preserve">L9.DNZJ.8805</t>
  </si>
  <si>
    <t xml:space="preserve">2Degrees Build EU Subcontractors</t>
  </si>
  <si>
    <t xml:space="preserve">L9.DNZ.810.20988</t>
  </si>
  <si>
    <t xml:space="preserve">2Degrees Maintenance EU Subcontractors</t>
  </si>
  <si>
    <t xml:space="preserve">L9.DNZ.810.20987</t>
  </si>
  <si>
    <t xml:space="preserve">3 Waters Corrections</t>
  </si>
  <si>
    <t xml:space="preserve">L9.DNZJ.10125</t>
  </si>
  <si>
    <t xml:space="preserve">10125</t>
  </si>
  <si>
    <t xml:space="preserve">30 - RS – Bitumen Plants_Cartage Subcontractors</t>
  </si>
  <si>
    <t xml:space="preserve">L9.DNZJ.3024</t>
  </si>
  <si>
    <t xml:space="preserve">30 - RS – Bitumen Plants_Other Subcontractors</t>
  </si>
  <si>
    <t xml:space="preserve">31 - The Roading Company_Other Subcontractors</t>
  </si>
  <si>
    <t xml:space="preserve">L9.DNZJ.559227</t>
  </si>
  <si>
    <t xml:space="preserve">32 - Green Vision Recycling_Cartage Subcontractors</t>
  </si>
  <si>
    <t xml:space="preserve">L9.DNZJ.3200</t>
  </si>
  <si>
    <t xml:space="preserve">32 - Green Vision Recycling_Other Subcontractors</t>
  </si>
  <si>
    <t xml:space="preserve">L9.DNZJ.3201</t>
  </si>
  <si>
    <t xml:space="preserve">35 - RS – Asphalt Plants &amp; Labs_Cartage Subcontractors</t>
  </si>
  <si>
    <t xml:space="preserve">35 - RS – Asphalt Plants &amp; Labs_Other Subcontractors</t>
  </si>
  <si>
    <t xml:space="preserve">352 Macaulay Road</t>
  </si>
  <si>
    <t xml:space="preserve">L9.S.16016161</t>
  </si>
  <si>
    <t xml:space="preserve">16016161</t>
  </si>
  <si>
    <t xml:space="preserve">Under Metro Trains &amp; Yarra Trams Cleaning contract</t>
  </si>
  <si>
    <t xml:space="preserve">4052 City of Gold Coast MtrRdng SD</t>
  </si>
  <si>
    <t xml:space="preserve">L9.S.16013995</t>
  </si>
  <si>
    <t xml:space="preserve">16013995</t>
  </si>
  <si>
    <t xml:space="preserve">4053 City of Gold Coast MtrReplcem</t>
  </si>
  <si>
    <t xml:space="preserve">L9.S.16013996</t>
  </si>
  <si>
    <t xml:space="preserve">16013996</t>
  </si>
  <si>
    <t xml:space="preserve">4055 City of Gold Coast Mgemt SD.</t>
  </si>
  <si>
    <t xml:space="preserve">L9.S.16013999</t>
  </si>
  <si>
    <t xml:space="preserve">16013999</t>
  </si>
  <si>
    <t xml:space="preserve">45 Clem Newby Road, Hamilton - Power &amp; Gas Depot</t>
  </si>
  <si>
    <t xml:space="preserve">L9.DUN.79211</t>
  </si>
  <si>
    <t xml:space="preserve">52 Links View Drive  Tauranga</t>
  </si>
  <si>
    <t xml:space="preserve">L9.DNZJ.55712</t>
  </si>
  <si>
    <t xml:space="preserve">55712</t>
  </si>
  <si>
    <t xml:space="preserve">52 Links View Drive</t>
  </si>
  <si>
    <t xml:space="preserve">Ōmokoroa</t>
  </si>
  <si>
    <t xml:space="preserve">3114</t>
  </si>
  <si>
    <t xml:space="preserve">54 - Road Maintenance_Cartage Subcontractors</t>
  </si>
  <si>
    <t xml:space="preserve">L9.DNZJ.55927</t>
  </si>
  <si>
    <t xml:space="preserve">54 - Road Maintenance_Other Subcontractors</t>
  </si>
  <si>
    <t xml:space="preserve">L9.DNZJ.550588</t>
  </si>
  <si>
    <t xml:space="preserve">54 Mokau Road  Urenui</t>
  </si>
  <si>
    <t xml:space="preserve">54 Mokau Road</t>
  </si>
  <si>
    <t xml:space="preserve">Urenui</t>
  </si>
  <si>
    <t xml:space="preserve">4377</t>
  </si>
  <si>
    <t xml:space="preserve">55 - Road Maintenance_Cartage Subcontractors</t>
  </si>
  <si>
    <t xml:space="preserve">55 - Road Maintenance_Other Subcontractors</t>
  </si>
  <si>
    <t xml:space="preserve">L9.DNZJ.55223</t>
  </si>
  <si>
    <t xml:space="preserve">56 - Water &amp; Automation EU Subcontractors</t>
  </si>
  <si>
    <t xml:space="preserve">L9.J.392124</t>
  </si>
  <si>
    <t xml:space="preserve">567 Collins St - Level 10</t>
  </si>
  <si>
    <t xml:space="preserve">L9.J.10920008</t>
  </si>
  <si>
    <t xml:space="preserve">1005</t>
  </si>
  <si>
    <t xml:space="preserve">49</t>
  </si>
  <si>
    <t xml:space="preserve">303 Collins st office closed 30/06/2017. Collins St Office Reopened August 2015- renamed "Melbourne Collins St Office" and ANZSIC changed to 729. Previously named "Collins Street Rail Office" DI-Rail Infrastructure office closed 30/06/2014, occupied by other party until 2015.</t>
  </si>
  <si>
    <t xml:space="preserve">Level 10 567 Collins St</t>
  </si>
  <si>
    <t xml:space="preserve">-37.819038</t>
  </si>
  <si>
    <t xml:space="preserve">144.955774</t>
  </si>
  <si>
    <t xml:space="preserve">567 Collins St - Level 5</t>
  </si>
  <si>
    <t xml:space="preserve">L9.J.10920014</t>
  </si>
  <si>
    <t xml:space="preserve">1014</t>
  </si>
  <si>
    <t xml:space="preserve">Level 5 567 Collins Street</t>
  </si>
  <si>
    <t xml:space="preserve">2017/07/12</t>
  </si>
  <si>
    <t xml:space="preserve">57 - NZ Transport &amp; Infrastructure_Other Subcontractors</t>
  </si>
  <si>
    <t xml:space="preserve">L9.DNZJ.57989</t>
  </si>
  <si>
    <t xml:space="preserve">6 Whangaehu Place  Awatoto  Napier</t>
  </si>
  <si>
    <t xml:space="preserve">66 - Downer Facilities Services_Other Subcontractors</t>
  </si>
  <si>
    <t xml:space="preserve">L9.DNZJ.57990</t>
  </si>
  <si>
    <t xml:space="preserve">67 - Bio Security_Other Subcontractors</t>
  </si>
  <si>
    <t xml:space="preserve">L9.DNZJ.559133</t>
  </si>
  <si>
    <t xml:space="preserve">68 Ihumatao Road  Mangere</t>
  </si>
  <si>
    <t xml:space="preserve">Construction site</t>
  </si>
  <si>
    <t xml:space="preserve">68 Ihumatao Road</t>
  </si>
  <si>
    <t xml:space="preserve">Māngere</t>
  </si>
  <si>
    <t xml:space="preserve">778 SH29 - Tauriko West Enabling Works</t>
  </si>
  <si>
    <t xml:space="preserve">80 - Pacific Region_Cartage Subcontractors</t>
  </si>
  <si>
    <t xml:space="preserve">L9.DNZJ.3515</t>
  </si>
  <si>
    <t xml:space="preserve">80 - Pacific Region_Other Subcontractors</t>
  </si>
  <si>
    <t xml:space="preserve">81 - Major Projects - Southern_Cartage Subcontractors</t>
  </si>
  <si>
    <t xml:space="preserve">L9.DNZJ.8114</t>
  </si>
  <si>
    <t xml:space="preserve">81 - Major Projects - Southern_Other Subcontractors</t>
  </si>
  <si>
    <t xml:space="preserve">L9.DNZJ.812657</t>
  </si>
  <si>
    <t xml:space="preserve">8303 Townsville CC Smartpipe SD</t>
  </si>
  <si>
    <t xml:space="preserve">L9.S.16014692</t>
  </si>
  <si>
    <t xml:space="preserve">16014692</t>
  </si>
  <si>
    <t xml:space="preserve">8369 NT PWC Embed MRP</t>
  </si>
  <si>
    <t xml:space="preserve">L9.S.16016404</t>
  </si>
  <si>
    <t xml:space="preserve">16016404</t>
  </si>
  <si>
    <t xml:space="preserve">88 - Major Projects_Cartage Subcontractors</t>
  </si>
  <si>
    <t xml:space="preserve">L9.DNZJ.881195</t>
  </si>
  <si>
    <t xml:space="preserve">88 - Major Projects_Other Subcontractors</t>
  </si>
  <si>
    <t xml:space="preserve">L9.DNZJ.881187</t>
  </si>
  <si>
    <t xml:space="preserve">959 Abernethy Rd</t>
  </si>
  <si>
    <t xml:space="preserve">L9.J.109203</t>
  </si>
  <si>
    <t xml:space="preserve">109203</t>
  </si>
  <si>
    <t xml:space="preserve">95a Tirangi Road Wellington, Project Site</t>
  </si>
  <si>
    <t xml:space="preserve">L9.DNZJ.DS2675</t>
  </si>
  <si>
    <t xml:space="preserve">AAT - Actew AGL Alliance Clear</t>
  </si>
  <si>
    <t xml:space="preserve">L9.J.24120045</t>
  </si>
  <si>
    <t xml:space="preserve">24120045</t>
  </si>
  <si>
    <t xml:space="preserve">Accommodation QLD</t>
  </si>
  <si>
    <t xml:space="preserve">9130</t>
  </si>
  <si>
    <t xml:space="preserve">Accommodation SA</t>
  </si>
  <si>
    <t xml:space="preserve">9131</t>
  </si>
  <si>
    <t xml:space="preserve">Accommodation WA</t>
  </si>
  <si>
    <t xml:space="preserve">9132</t>
  </si>
  <si>
    <t xml:space="preserve">ACT Laying</t>
  </si>
  <si>
    <t xml:space="preserve">L9.J.170102</t>
  </si>
  <si>
    <t xml:space="preserve">170102</t>
  </si>
  <si>
    <t xml:space="preserve">ACT Laying - Minor Works</t>
  </si>
  <si>
    <t xml:space="preserve">L9.J.170161</t>
  </si>
  <si>
    <t xml:space="preserve">170161</t>
  </si>
  <si>
    <t xml:space="preserve">ACT Region Mgt Overhead</t>
  </si>
  <si>
    <t xml:space="preserve">L9.S.14000513</t>
  </si>
  <si>
    <t xml:space="preserve">14000513</t>
  </si>
  <si>
    <t xml:space="preserve">ACT Sprayseal</t>
  </si>
  <si>
    <t xml:space="preserve">L9.J.170103</t>
  </si>
  <si>
    <t xml:space="preserve">170103</t>
  </si>
  <si>
    <t xml:space="preserve">ACTION - Transport Canberra</t>
  </si>
  <si>
    <t xml:space="preserve">L9.J.38210121</t>
  </si>
  <si>
    <t xml:space="preserve">38210121</t>
  </si>
  <si>
    <t xml:space="preserve">AD&amp;S - Circuit Shaw Warehouse</t>
  </si>
  <si>
    <t xml:space="preserve">L9.S.13001040</t>
  </si>
  <si>
    <t xml:space="preserve">Previous warehouse was "Spotless - Mount Louisa"</t>
  </si>
  <si>
    <t xml:space="preserve">Adelaide - Normanton to Geor</t>
  </si>
  <si>
    <t xml:space="preserve">L9.EMS.410.10205</t>
  </si>
  <si>
    <t xml:space="preserve">10205</t>
  </si>
  <si>
    <t xml:space="preserve">Adelaide Metro - Admin</t>
  </si>
  <si>
    <t xml:space="preserve">L9.S.16016059</t>
  </si>
  <si>
    <t xml:space="preserve">16016059</t>
  </si>
  <si>
    <t xml:space="preserve">Adelaide Metro Mgmt &amp; Admin OH</t>
  </si>
  <si>
    <t xml:space="preserve">L9.S.14001344</t>
  </si>
  <si>
    <t xml:space="preserve">14001344</t>
  </si>
  <si>
    <t xml:space="preserve">Admin - Pacific Recharges</t>
  </si>
  <si>
    <t xml:space="preserve">L9.DNZJ.8002</t>
  </si>
  <si>
    <t xml:space="preserve">Administration Dept</t>
  </si>
  <si>
    <t xml:space="preserve">L9.DNZJ.3001</t>
  </si>
  <si>
    <t xml:space="preserve">3001</t>
  </si>
  <si>
    <t xml:space="preserve">2A/13 Owens Place</t>
  </si>
  <si>
    <t xml:space="preserve">Mount Maunganui</t>
  </si>
  <si>
    <t xml:space="preserve">-37.6788</t>
  </si>
  <si>
    <t xml:space="preserve">176.2206</t>
  </si>
  <si>
    <t xml:space="preserve">AE Smith - Dandenong South</t>
  </si>
  <si>
    <t xml:space="preserve">L9.S.16015130</t>
  </si>
  <si>
    <t xml:space="preserve">9215</t>
  </si>
  <si>
    <t xml:space="preserve">Moved from Scoresby Office</t>
  </si>
  <si>
    <t xml:space="preserve">21 VILLAS RD</t>
  </si>
  <si>
    <t xml:space="preserve">DANDENONG SOUTH</t>
  </si>
  <si>
    <t xml:space="preserve">AE Smith - Hervey Bay</t>
  </si>
  <si>
    <t xml:space="preserve">Hervey Bay</t>
  </si>
  <si>
    <t xml:space="preserve">AE Smith - Kawana</t>
  </si>
  <si>
    <t xml:space="preserve">L9.S.13001053</t>
  </si>
  <si>
    <t xml:space="preserve">9033</t>
  </si>
  <si>
    <t xml:space="preserve">28 Chappell Street</t>
  </si>
  <si>
    <t xml:space="preserve">-23.33672</t>
  </si>
  <si>
    <t xml:space="preserve">150.509305</t>
  </si>
  <si>
    <t xml:space="preserve">AE Smith - Molendinar</t>
  </si>
  <si>
    <t xml:space="preserve">Office / Warehouse</t>
  </si>
  <si>
    <t xml:space="preserve">9126</t>
  </si>
  <si>
    <t xml:space="preserve">UASG Office &amp; Warehouse Lease (10/5/17 to 9/5/2022)</t>
  </si>
  <si>
    <t xml:space="preserve">24 Export Drive</t>
  </si>
  <si>
    <t xml:space="preserve">Molendinar</t>
  </si>
  <si>
    <t xml:space="preserve">4214</t>
  </si>
  <si>
    <t xml:space="preserve">AE Smith - Paget</t>
  </si>
  <si>
    <t xml:space="preserve">L9.S.16015137</t>
  </si>
  <si>
    <t xml:space="preserve">9017</t>
  </si>
  <si>
    <t xml:space="preserve">13 Margaret Vella Dve</t>
  </si>
  <si>
    <t xml:space="preserve">-21.171068</t>
  </si>
  <si>
    <t xml:space="preserve">149.163403</t>
  </si>
  <si>
    <t xml:space="preserve">AE Smith Service Overhead</t>
  </si>
  <si>
    <t xml:space="preserve">L9.J.304001</t>
  </si>
  <si>
    <t xml:space="preserve">304001</t>
  </si>
  <si>
    <t xml:space="preserve">AES &amp; Son NQ QLD T HUB contracts</t>
  </si>
  <si>
    <t xml:space="preserve">L9.S.16015009</t>
  </si>
  <si>
    <t xml:space="preserve">16015009</t>
  </si>
  <si>
    <t xml:space="preserve">AES Mackay Projects</t>
  </si>
  <si>
    <t xml:space="preserve">L9.S.16015050</t>
  </si>
  <si>
    <t xml:space="preserve">16015050</t>
  </si>
  <si>
    <t xml:space="preserve">AES NZ Construction 45003670</t>
  </si>
  <si>
    <t xml:space="preserve">L9.S.24000317</t>
  </si>
  <si>
    <t xml:space="preserve">2000008001</t>
  </si>
  <si>
    <t xml:space="preserve">2023/12/31</t>
  </si>
  <si>
    <t xml:space="preserve">AE Smith NZ</t>
  </si>
  <si>
    <t xml:space="preserve">2024/01/01</t>
  </si>
  <si>
    <t xml:space="preserve">AES NZ Service Hub 4500xxxx</t>
  </si>
  <si>
    <t xml:space="preserve">L9.S.24000318</t>
  </si>
  <si>
    <t xml:space="preserve">2000008003</t>
  </si>
  <si>
    <t xml:space="preserve">AES Service VIC HUB contracts</t>
  </si>
  <si>
    <t xml:space="preserve">L9.S.16015016</t>
  </si>
  <si>
    <t xml:space="preserve">16015016</t>
  </si>
  <si>
    <t xml:space="preserve">AGL MAGS EU Subcontractors</t>
  </si>
  <si>
    <t xml:space="preserve">L9.J.234860</t>
  </si>
  <si>
    <t xml:space="preserve">AGL Management Fee</t>
  </si>
  <si>
    <t xml:space="preserve">L9.J.38243020</t>
  </si>
  <si>
    <t xml:space="preserve">38243020</t>
  </si>
  <si>
    <t xml:space="preserve">AIAL DP EARLY WORKS</t>
  </si>
  <si>
    <t xml:space="preserve">L9.DNZ.HA0413</t>
  </si>
  <si>
    <t xml:space="preserve">JP_HA0413</t>
  </si>
  <si>
    <t xml:space="preserve">TI-NZT-BP.HA0413-AIAL DP Early Works</t>
  </si>
  <si>
    <t xml:space="preserve">AIAL Renewals - WKP3 SP6 - A3</t>
  </si>
  <si>
    <t xml:space="preserve">L9.DNZJ.554901</t>
  </si>
  <si>
    <t xml:space="preserve">AIAL Renewals</t>
  </si>
  <si>
    <t xml:space="preserve">AIM FM Overhead</t>
  </si>
  <si>
    <t xml:space="preserve">L9.S.14000312</t>
  </si>
  <si>
    <t xml:space="preserve">14000312</t>
  </si>
  <si>
    <t xml:space="preserve">Airport Office Balance Sheet</t>
  </si>
  <si>
    <t xml:space="preserve">L9.DNZJ.9000</t>
  </si>
  <si>
    <t xml:space="preserve">9000</t>
  </si>
  <si>
    <t xml:space="preserve">COR-NZHO.9000-Airport Office Balance Sheet</t>
  </si>
  <si>
    <t xml:space="preserve">Airports - WA</t>
  </si>
  <si>
    <t xml:space="preserve">Airports Defence Delivery</t>
  </si>
  <si>
    <t xml:space="preserve">L9.J.170752</t>
  </si>
  <si>
    <t xml:space="preserve">170752</t>
  </si>
  <si>
    <t xml:space="preserve">Airports General Delivery</t>
  </si>
  <si>
    <t xml:space="preserve">Airports NSW</t>
  </si>
  <si>
    <t xml:space="preserve">Airports Operational Services</t>
  </si>
  <si>
    <t xml:space="preserve">L9.J.170753</t>
  </si>
  <si>
    <t xml:space="preserve">170753</t>
  </si>
  <si>
    <t xml:space="preserve">Airports QLD</t>
  </si>
  <si>
    <t xml:space="preserve">9133</t>
  </si>
  <si>
    <t xml:space="preserve">All Airports outside of Defence in QLD.</t>
  </si>
  <si>
    <t xml:space="preserve">Airports VIC</t>
  </si>
  <si>
    <t xml:space="preserve">9134</t>
  </si>
  <si>
    <t xml:space="preserve">AKL Mobile Network Maintenance</t>
  </si>
  <si>
    <t xml:space="preserve">L9.DNZ.810.10.239</t>
  </si>
  <si>
    <t xml:space="preserve">10239</t>
  </si>
  <si>
    <t xml:space="preserve">10.239</t>
  </si>
  <si>
    <t xml:space="preserve">AKL Pt Chev (1A Carrington Rd)</t>
  </si>
  <si>
    <t xml:space="preserve">L9.DNZJ.91803</t>
  </si>
  <si>
    <t xml:space="preserve">91803</t>
  </si>
  <si>
    <t xml:space="preserve">1A Carrington Road</t>
  </si>
  <si>
    <t xml:space="preserve">Point Chevalier</t>
  </si>
  <si>
    <t xml:space="preserve">1025</t>
  </si>
  <si>
    <t xml:space="preserve">-36.873</t>
  </si>
  <si>
    <t xml:space="preserve">174.7095</t>
  </si>
  <si>
    <t xml:space="preserve">AKN Regional Office</t>
  </si>
  <si>
    <t xml:space="preserve">L9.DNZJ.1901</t>
  </si>
  <si>
    <t xml:space="preserve">1901</t>
  </si>
  <si>
    <t xml:space="preserve">Albany Depot(Water)</t>
  </si>
  <si>
    <t xml:space="preserve">55535</t>
  </si>
  <si>
    <t xml:space="preserve">2B/3 William Pickering Drive</t>
  </si>
  <si>
    <t xml:space="preserve">Albany</t>
  </si>
  <si>
    <t xml:space="preserve">-36.7538</t>
  </si>
  <si>
    <t xml:space="preserve">174.7067</t>
  </si>
  <si>
    <t xml:space="preserve">Alice Springs Site</t>
  </si>
  <si>
    <t xml:space="preserve">L9.J.17050957</t>
  </si>
  <si>
    <t xml:space="preserve">3</t>
  </si>
  <si>
    <t xml:space="preserve">226 North Stuart HWY</t>
  </si>
  <si>
    <t xml:space="preserve">-23.668</t>
  </si>
  <si>
    <t xml:space="preserve">133.867</t>
  </si>
  <si>
    <t xml:space="preserve">Alinta Reeves Plains BESS</t>
  </si>
  <si>
    <t xml:space="preserve">L9.J.37740140</t>
  </si>
  <si>
    <t xml:space="preserve">2026/06/01</t>
  </si>
  <si>
    <t xml:space="preserve">AllConnex - Logan - Water Metering</t>
  </si>
  <si>
    <t xml:space="preserve">L9.S.16013416</t>
  </si>
  <si>
    <t xml:space="preserve">16013416</t>
  </si>
  <si>
    <t xml:space="preserve">Aluminium Smelters Ltd</t>
  </si>
  <si>
    <t xml:space="preserve">L9.S.26005890</t>
  </si>
  <si>
    <t xml:space="preserve">26005890</t>
  </si>
  <si>
    <t xml:space="preserve">Amberley (58 Grays Road)</t>
  </si>
  <si>
    <t xml:space="preserve">L9.DNZJ.91359</t>
  </si>
  <si>
    <t xml:space="preserve">91359</t>
  </si>
  <si>
    <t xml:space="preserve">58 Grays Road</t>
  </si>
  <si>
    <t xml:space="preserve">Amberley</t>
  </si>
  <si>
    <t xml:space="preserve">7481</t>
  </si>
  <si>
    <t xml:space="preserve">-43.1633</t>
  </si>
  <si>
    <t xml:space="preserve">172.7262</t>
  </si>
  <si>
    <t xml:space="preserve">Amberley BSSC</t>
  </si>
  <si>
    <t xml:space="preserve">L9.S.16011358</t>
  </si>
  <si>
    <t xml:space="preserve">16011358</t>
  </si>
  <si>
    <t xml:space="preserve">Amberley Cleaning</t>
  </si>
  <si>
    <t xml:space="preserve">L9.S.16011353</t>
  </si>
  <si>
    <t xml:space="preserve">16011353</t>
  </si>
  <si>
    <t xml:space="preserve">Amberley Estate Upkeep</t>
  </si>
  <si>
    <t xml:space="preserve">L9.S.16011357</t>
  </si>
  <si>
    <t xml:space="preserve">16011357</t>
  </si>
  <si>
    <t xml:space="preserve">Amberley Land</t>
  </si>
  <si>
    <t xml:space="preserve">L9.S.16011354</t>
  </si>
  <si>
    <t xml:space="preserve">16011354</t>
  </si>
  <si>
    <t xml:space="preserve">Amberley Overhead</t>
  </si>
  <si>
    <t xml:space="preserve">L9.S.14000493</t>
  </si>
  <si>
    <t xml:space="preserve">14000493</t>
  </si>
  <si>
    <t xml:space="preserve">Amberley Transport</t>
  </si>
  <si>
    <t xml:space="preserve">L9.S.16011360</t>
  </si>
  <si>
    <t xml:space="preserve">16011360</t>
  </si>
  <si>
    <t xml:space="preserve">AMC Facilities</t>
  </si>
  <si>
    <t xml:space="preserve">L9.J.710010</t>
  </si>
  <si>
    <t xml:space="preserve">710010</t>
  </si>
  <si>
    <t xml:space="preserve">Anglo Coal Mine TXL Relocation</t>
  </si>
  <si>
    <t xml:space="preserve">ANU - Maintenance SD</t>
  </si>
  <si>
    <t xml:space="preserve">L9.S.16013781</t>
  </si>
  <si>
    <t xml:space="preserve">16013781</t>
  </si>
  <si>
    <t xml:space="preserve">ANU - Mgt &amp; Admin SD</t>
  </si>
  <si>
    <t xml:space="preserve">L9.S.16013780</t>
  </si>
  <si>
    <t xml:space="preserve">16013780</t>
  </si>
  <si>
    <t xml:space="preserve">AOR Specials-Central_Otago</t>
  </si>
  <si>
    <t xml:space="preserve">L9.S.26004360</t>
  </si>
  <si>
    <t xml:space="preserve">26004360</t>
  </si>
  <si>
    <t xml:space="preserve">AOR Specials-Christchurch1</t>
  </si>
  <si>
    <t xml:space="preserve">L9.S.26001880</t>
  </si>
  <si>
    <t xml:space="preserve">26001880</t>
  </si>
  <si>
    <t xml:space="preserve">AOR Specials-Ctrl_Auckland</t>
  </si>
  <si>
    <t xml:space="preserve">L9.S.26007600</t>
  </si>
  <si>
    <t xml:space="preserve">26007600</t>
  </si>
  <si>
    <t xml:space="preserve">AOR Specials-Dunedin4</t>
  </si>
  <si>
    <t xml:space="preserve">L9.S.26005332</t>
  </si>
  <si>
    <t xml:space="preserve">26005332</t>
  </si>
  <si>
    <t xml:space="preserve">AOR Specials-Gisborne</t>
  </si>
  <si>
    <t xml:space="preserve">L9.S.26012350</t>
  </si>
  <si>
    <t xml:space="preserve">26012350</t>
  </si>
  <si>
    <t xml:space="preserve">AOR Specials-Hamilton1</t>
  </si>
  <si>
    <t xml:space="preserve">L9.S.26009070</t>
  </si>
  <si>
    <t xml:space="preserve">26009070</t>
  </si>
  <si>
    <t xml:space="preserve">AOR Specials-Hawkes_Bay</t>
  </si>
  <si>
    <t xml:space="preserve">L9.S.26013130</t>
  </si>
  <si>
    <t xml:space="preserve">26013130</t>
  </si>
  <si>
    <t xml:space="preserve">AOR Specials-Nelson2</t>
  </si>
  <si>
    <t xml:space="preserve">L9.S.26000460</t>
  </si>
  <si>
    <t xml:space="preserve">26000460</t>
  </si>
  <si>
    <t xml:space="preserve">AOR Specials-Palmerston North</t>
  </si>
  <si>
    <t xml:space="preserve">L9.S.26013964</t>
  </si>
  <si>
    <t xml:space="preserve">26013964</t>
  </si>
  <si>
    <t xml:space="preserve">AOR Specials-Taranaki</t>
  </si>
  <si>
    <t xml:space="preserve">L9.S.26014780</t>
  </si>
  <si>
    <t xml:space="preserve">26014780</t>
  </si>
  <si>
    <t xml:space="preserve">AOR Specials-Tauranga</t>
  </si>
  <si>
    <t xml:space="preserve">L9.S.26010620</t>
  </si>
  <si>
    <t xml:space="preserve">26010620</t>
  </si>
  <si>
    <t xml:space="preserve">AOR Specials-Timaru</t>
  </si>
  <si>
    <t xml:space="preserve">L9.S.26004020</t>
  </si>
  <si>
    <t xml:space="preserve">26004020</t>
  </si>
  <si>
    <t xml:space="preserve">AOR Specials-Welington_Mgt</t>
  </si>
  <si>
    <t xml:space="preserve">26016560</t>
  </si>
  <si>
    <t xml:space="preserve">AOR Specials-West_Coast</t>
  </si>
  <si>
    <t xml:space="preserve">L9.S.26002890</t>
  </si>
  <si>
    <t xml:space="preserve">26002890</t>
  </si>
  <si>
    <t xml:space="preserve">AOR Specials-Whangarei</t>
  </si>
  <si>
    <t xml:space="preserve">L9.S.26006900</t>
  </si>
  <si>
    <t xml:space="preserve">26006900</t>
  </si>
  <si>
    <t xml:space="preserve">AOR-Hawkes_Bay</t>
  </si>
  <si>
    <t xml:space="preserve">L9.S.23000610</t>
  </si>
  <si>
    <t xml:space="preserve">23000610</t>
  </si>
  <si>
    <t xml:space="preserve">AOR-Whangarei</t>
  </si>
  <si>
    <t xml:space="preserve">L9.S.23000330</t>
  </si>
  <si>
    <t xml:space="preserve">23000330</t>
  </si>
  <si>
    <t xml:space="preserve">APA SA EU Subcontractors</t>
  </si>
  <si>
    <t xml:space="preserve">L9.J.24190255</t>
  </si>
  <si>
    <t xml:space="preserve">APA SA Support</t>
  </si>
  <si>
    <t xml:space="preserve">L9.J.241746</t>
  </si>
  <si>
    <t xml:space="preserve">241746</t>
  </si>
  <si>
    <t xml:space="preserve">APA Vic EU Subcontractors</t>
  </si>
  <si>
    <t xml:space="preserve">L9.J.24190324</t>
  </si>
  <si>
    <t xml:space="preserve">APA VIC Maintenance Depot</t>
  </si>
  <si>
    <t xml:space="preserve">L9.J.241749</t>
  </si>
  <si>
    <t xml:space="preserve">241749</t>
  </si>
  <si>
    <t xml:space="preserve">APLNG Gathering Panel</t>
  </si>
  <si>
    <t xml:space="preserve">L9.J.38139001</t>
  </si>
  <si>
    <t xml:space="preserve">38139001</t>
  </si>
  <si>
    <t xml:space="preserve">EU-38139001 - APLNG Well Site M&amp;E</t>
  </si>
  <si>
    <t xml:space="preserve">APLNG Well Site M&amp;E</t>
  </si>
  <si>
    <t xml:space="preserve">Arnold Dam Upgrade</t>
  </si>
  <si>
    <t xml:space="preserve">L9.DNZJ.55368</t>
  </si>
  <si>
    <t xml:space="preserve">JP_DS2672</t>
  </si>
  <si>
    <t xml:space="preserve">AS Plant EU Subcontractors</t>
  </si>
  <si>
    <t xml:space="preserve">L9.J.392301</t>
  </si>
  <si>
    <t xml:space="preserve">Asahi (CUB) Management</t>
  </si>
  <si>
    <t xml:space="preserve">L9.S.16016675</t>
  </si>
  <si>
    <t xml:space="preserve">16016675</t>
  </si>
  <si>
    <t xml:space="preserve">Ascot Hospital B&amp;E - 45002512</t>
  </si>
  <si>
    <t xml:space="preserve">L9.S.26016963</t>
  </si>
  <si>
    <t xml:space="preserve">2000004550</t>
  </si>
  <si>
    <t xml:space="preserve">As per INX,
SI-NZF-26016963-Ascot Hospital B&amp;E Serv. Del</t>
  </si>
  <si>
    <t xml:space="preserve">ASHBURTON COLLEGE</t>
  </si>
  <si>
    <t xml:space="preserve">L9.DNZ.HS0162</t>
  </si>
  <si>
    <t xml:space="preserve">JP_HS0162</t>
  </si>
  <si>
    <t xml:space="preserve">ASHBURTON INTERMEDIATE SCHOOL</t>
  </si>
  <si>
    <t xml:space="preserve">L9.DNZ.HS0157</t>
  </si>
  <si>
    <t xml:space="preserve">JP_HS0157</t>
  </si>
  <si>
    <t xml:space="preserve">144 Cass Street</t>
  </si>
  <si>
    <t xml:space="preserve">-43.9006</t>
  </si>
  <si>
    <t xml:space="preserve">171.7582</t>
  </si>
  <si>
    <t xml:space="preserve">ASMAP SWPH Electrical Services</t>
  </si>
  <si>
    <t xml:space="preserve">L9.J.38225139</t>
  </si>
  <si>
    <t xml:space="preserve">38225139</t>
  </si>
  <si>
    <t xml:space="preserve">ASMTI Shoalwater Bay Expansion</t>
  </si>
  <si>
    <t xml:space="preserve">L9.S.16016658</t>
  </si>
  <si>
    <t xml:space="preserve">16016658</t>
  </si>
  <si>
    <t xml:space="preserve">Asphalt Paving - Lower South</t>
  </si>
  <si>
    <t xml:space="preserve">L9.DNZJ.55389</t>
  </si>
  <si>
    <t xml:space="preserve">55389</t>
  </si>
  <si>
    <t xml:space="preserve">Asphalt Paving - Wellington</t>
  </si>
  <si>
    <t xml:space="preserve">L9.DNZJ.55231</t>
  </si>
  <si>
    <t xml:space="preserve">55231</t>
  </si>
  <si>
    <t xml:space="preserve">Asphalt Prod - Albany (601)</t>
  </si>
  <si>
    <t xml:space="preserve">L9.J.170601</t>
  </si>
  <si>
    <t xml:space="preserve">601</t>
  </si>
  <si>
    <t xml:space="preserve">Lot 6, Rocky Crossing Road</t>
  </si>
  <si>
    <t xml:space="preserve">Willyung</t>
  </si>
  <si>
    <t xml:space="preserve">6330</t>
  </si>
  <si>
    <t xml:space="preserve">-34.95155</t>
  </si>
  <si>
    <t xml:space="preserve">117.855402</t>
  </si>
  <si>
    <t xml:space="preserve">Asphalt Prod - Archerfield (406)</t>
  </si>
  <si>
    <t xml:space="preserve">L9.J.170406</t>
  </si>
  <si>
    <t xml:space="preserve">406</t>
  </si>
  <si>
    <t xml:space="preserve">150 Boniface Street</t>
  </si>
  <si>
    <t xml:space="preserve">Archerfield</t>
  </si>
  <si>
    <t xml:space="preserve">-27.565675</t>
  </si>
  <si>
    <t xml:space="preserve">153.020325</t>
  </si>
  <si>
    <t xml:space="preserve">RSV-174 - DM Roads</t>
  </si>
  <si>
    <t xml:space="preserve">50.0000</t>
  </si>
  <si>
    <t xml:space="preserve">Asphalt Prod - Auckland</t>
  </si>
  <si>
    <t xml:space="preserve">3503</t>
  </si>
  <si>
    <t xml:space="preserve">645 Great South Road</t>
  </si>
  <si>
    <t xml:space="preserve">Penrose</t>
  </si>
  <si>
    <t xml:space="preserve">-36.9148</t>
  </si>
  <si>
    <t xml:space="preserve">174.8186</t>
  </si>
  <si>
    <t xml:space="preserve">Asphalt Prod - Bathurst (156)</t>
  </si>
  <si>
    <t xml:space="preserve">L9.J.170156</t>
  </si>
  <si>
    <t xml:space="preserve">170156</t>
  </si>
  <si>
    <t xml:space="preserve">Zagreb Street</t>
  </si>
  <si>
    <t xml:space="preserve">Bathurst</t>
  </si>
  <si>
    <t xml:space="preserve">-33.426</t>
  </si>
  <si>
    <t xml:space="preserve">149.608</t>
  </si>
  <si>
    <t xml:space="preserve">Asphalt Prod - Bayswater (302)</t>
  </si>
  <si>
    <t xml:space="preserve">L9.J.17032626</t>
  </si>
  <si>
    <t xml:space="preserve">18 Jersey Road</t>
  </si>
  <si>
    <t xml:space="preserve">3153</t>
  </si>
  <si>
    <t xml:space="preserve">-37.84</t>
  </si>
  <si>
    <t xml:space="preserve">145.277</t>
  </si>
  <si>
    <t xml:space="preserve">Asphalt Prod - Bli Bli (408)</t>
  </si>
  <si>
    <t xml:space="preserve">L9.J.17040612</t>
  </si>
  <si>
    <t xml:space="preserve">408</t>
  </si>
  <si>
    <t xml:space="preserve">Moved July 2013.</t>
  </si>
  <si>
    <t xml:space="preserve">Cooney Road</t>
  </si>
  <si>
    <t xml:space="preserve">Bli Bli</t>
  </si>
  <si>
    <t xml:space="preserve">-26.609156</t>
  </si>
  <si>
    <t xml:space="preserve">152.977124</t>
  </si>
  <si>
    <t xml:space="preserve">Asphalt Prod - Brendale (423)</t>
  </si>
  <si>
    <t xml:space="preserve">L9.J.17040656</t>
  </si>
  <si>
    <t xml:space="preserve">423</t>
  </si>
  <si>
    <t xml:space="preserve">190 Leitchs Road</t>
  </si>
  <si>
    <t xml:space="preserve">Brendale</t>
  </si>
  <si>
    <t xml:space="preserve">Asphalt Prod - Darwin (525)</t>
  </si>
  <si>
    <t xml:space="preserve">L9.J.170525</t>
  </si>
  <si>
    <t xml:space="preserve">Street name updated March 2015. Street name changed by Council from Tivendale Rd (August 2011).</t>
  </si>
  <si>
    <t xml:space="preserve">37 Syrimi Road</t>
  </si>
  <si>
    <t xml:space="preserve">Berrimah</t>
  </si>
  <si>
    <t xml:space="preserve">828</t>
  </si>
  <si>
    <t xml:space="preserve">-12.464564</t>
  </si>
  <si>
    <t xml:space="preserve">130.942643</t>
  </si>
  <si>
    <t xml:space="preserve">Asphalt Prod - Dunedin</t>
  </si>
  <si>
    <t xml:space="preserve">3508</t>
  </si>
  <si>
    <t xml:space="preserve">-45.8696</t>
  </si>
  <si>
    <t xml:space="preserve">170.5283</t>
  </si>
  <si>
    <t xml:space="preserve">Asphalt Prod - Geraldton (602)</t>
  </si>
  <si>
    <t xml:space="preserve">L9.J.170302</t>
  </si>
  <si>
    <t xml:space="preserve">602</t>
  </si>
  <si>
    <t xml:space="preserve">210 Goulds Road</t>
  </si>
  <si>
    <t xml:space="preserve">Narngulu</t>
  </si>
  <si>
    <t xml:space="preserve">-28.804</t>
  </si>
  <si>
    <t xml:space="preserve">114.671</t>
  </si>
  <si>
    <t xml:space="preserve">Asphalt Prod - Gosnells (621)</t>
  </si>
  <si>
    <t xml:space="preserve">L9.J.170621</t>
  </si>
  <si>
    <t xml:space="preserve">621</t>
  </si>
  <si>
    <t xml:space="preserve">89 Cockram Road</t>
  </si>
  <si>
    <t xml:space="preserve">Martin</t>
  </si>
  <si>
    <t xml:space="preserve">6110</t>
  </si>
  <si>
    <t xml:space="preserve">-32.065</t>
  </si>
  <si>
    <t xml:space="preserve">116.021</t>
  </si>
  <si>
    <t xml:space="preserve">Asphalt Prod - Hamilton</t>
  </si>
  <si>
    <t xml:space="preserve">3504</t>
  </si>
  <si>
    <t xml:space="preserve">16 Manchester Place</t>
  </si>
  <si>
    <t xml:space="preserve">Te Rapa</t>
  </si>
  <si>
    <t xml:space="preserve">-37.754</t>
  </si>
  <si>
    <t xml:space="preserve">175.2349</t>
  </si>
  <si>
    <t xml:space="preserve">Asphalt Prod - Hobart (329)</t>
  </si>
  <si>
    <t xml:space="preserve">L9.J.17030565</t>
  </si>
  <si>
    <t xml:space="preserve">17030565</t>
  </si>
  <si>
    <t xml:space="preserve">429 Flagstaff Gully Road</t>
  </si>
  <si>
    <t xml:space="preserve">Lindisfarne</t>
  </si>
  <si>
    <t xml:space="preserve">-42.825</t>
  </si>
  <si>
    <t xml:space="preserve">147.376</t>
  </si>
  <si>
    <t xml:space="preserve">Asphalt Prod - Hope Valley (628)</t>
  </si>
  <si>
    <t xml:space="preserve">L9.J.17060635</t>
  </si>
  <si>
    <t xml:space="preserve">628</t>
  </si>
  <si>
    <t xml:space="preserve">Asphalt plant</t>
  </si>
  <si>
    <t xml:space="preserve">Lot 1046 Hoyle Road</t>
  </si>
  <si>
    <t xml:space="preserve">Hope Valley</t>
  </si>
  <si>
    <t xml:space="preserve">6165</t>
  </si>
  <si>
    <t xml:space="preserve">-32.203035</t>
  </si>
  <si>
    <t xml:space="preserve">115.790919</t>
  </si>
  <si>
    <t xml:space="preserve">2016/07/01</t>
  </si>
  <si>
    <t xml:space="preserve">Asphalt Prod - Hume (101)</t>
  </si>
  <si>
    <t xml:space="preserve">L9.J.170101</t>
  </si>
  <si>
    <t xml:space="preserve">101</t>
  </si>
  <si>
    <t xml:space="preserve">36 Sawmill Circuit</t>
  </si>
  <si>
    <t xml:space="preserve">-35.389</t>
  </si>
  <si>
    <t xml:space="preserve">149.169</t>
  </si>
  <si>
    <t xml:space="preserve">Asphalt Prod - Invercargill</t>
  </si>
  <si>
    <t xml:space="preserve">3509</t>
  </si>
  <si>
    <t xml:space="preserve">210 Mersey Street</t>
  </si>
  <si>
    <t xml:space="preserve">West Invercargill</t>
  </si>
  <si>
    <t xml:space="preserve">-46.4153</t>
  </si>
  <si>
    <t xml:space="preserve">168.3396</t>
  </si>
  <si>
    <t xml:space="preserve">Asphalt Prod - Lismore</t>
  </si>
  <si>
    <t xml:space="preserve">L9.J.170425</t>
  </si>
  <si>
    <t xml:space="preserve">170425</t>
  </si>
  <si>
    <t xml:space="preserve">TI-170425 - Asphalt Production - Lismore</t>
  </si>
  <si>
    <t xml:space="preserve">S40 Nimbin Rd</t>
  </si>
  <si>
    <t xml:space="preserve">Blakebrook</t>
  </si>
  <si>
    <t xml:space="preserve">2480</t>
  </si>
  <si>
    <t xml:space="preserve">Lismore</t>
  </si>
  <si>
    <t xml:space="preserve">Asphalt Prod - Mackay (400)</t>
  </si>
  <si>
    <t xml:space="preserve">L9.J.173130</t>
  </si>
  <si>
    <t xml:space="preserve">173130</t>
  </si>
  <si>
    <t xml:space="preserve">10 118 SPILLER AVE</t>
  </si>
  <si>
    <t xml:space="preserve">MACKAY HARBOUR</t>
  </si>
  <si>
    <t xml:space="preserve">Asphalt Prod - Mogo (154)</t>
  </si>
  <si>
    <t xml:space="preserve">L9.J.170106</t>
  </si>
  <si>
    <t xml:space="preserve">154</t>
  </si>
  <si>
    <t xml:space="preserve">84 Bimbimbie Road</t>
  </si>
  <si>
    <t xml:space="preserve">Mogo</t>
  </si>
  <si>
    <t xml:space="preserve">-35.815</t>
  </si>
  <si>
    <t xml:space="preserve">150.124</t>
  </si>
  <si>
    <t xml:space="preserve">Asphalt Prod - Mowbray (360)</t>
  </si>
  <si>
    <t xml:space="preserve">59 Remount Rd</t>
  </si>
  <si>
    <t xml:space="preserve">2023/08/01</t>
  </si>
  <si>
    <t xml:space="preserve">Asphalt Prod - Narrandera (113)</t>
  </si>
  <si>
    <t xml:space="preserve">L9.J.170115</t>
  </si>
  <si>
    <t xml:space="preserve">113</t>
  </si>
  <si>
    <t xml:space="preserve">Lot 1 Driscoll Road</t>
  </si>
  <si>
    <t xml:space="preserve">Narrandera</t>
  </si>
  <si>
    <t xml:space="preserve">2700</t>
  </si>
  <si>
    <t xml:space="preserve">-34.726</t>
  </si>
  <si>
    <t xml:space="preserve">146.57</t>
  </si>
  <si>
    <t xml:space="preserve">Asphalt Prod - New Plymouth</t>
  </si>
  <si>
    <t xml:space="preserve">3505</t>
  </si>
  <si>
    <t xml:space="preserve">106 Rifle Range Road</t>
  </si>
  <si>
    <t xml:space="preserve">Waiwhakaiho</t>
  </si>
  <si>
    <t xml:space="preserve">-39.0417</t>
  </si>
  <si>
    <t xml:space="preserve">174.1171</t>
  </si>
  <si>
    <t xml:space="preserve">Asphalt Prod - Rosehill (163)</t>
  </si>
  <si>
    <t xml:space="preserve">163</t>
  </si>
  <si>
    <t xml:space="preserve">New Rosehill site - replaced "Rosehill" on Unwins.</t>
  </si>
  <si>
    <t xml:space="preserve">Asphalt Prod - Shepparton (308)</t>
  </si>
  <si>
    <t xml:space="preserve">L9.J.17030534</t>
  </si>
  <si>
    <t xml:space="preserve">308</t>
  </si>
  <si>
    <t xml:space="preserve">Apollo Drive</t>
  </si>
  <si>
    <t xml:space="preserve">3630</t>
  </si>
  <si>
    <t xml:space="preserve">-36.364</t>
  </si>
  <si>
    <t xml:space="preserve">145.425</t>
  </si>
  <si>
    <t xml:space="preserve">Asphalt Prod - Somerton (303)</t>
  </si>
  <si>
    <t xml:space="preserve">L9.J.17032627</t>
  </si>
  <si>
    <t xml:space="preserve">125-129 Somerton Road</t>
  </si>
  <si>
    <t xml:space="preserve">Somerton</t>
  </si>
  <si>
    <t xml:space="preserve">3062</t>
  </si>
  <si>
    <t xml:space="preserve">-37.642</t>
  </si>
  <si>
    <t xml:space="preserve">144.942</t>
  </si>
  <si>
    <t xml:space="preserve">Asphalt Prod - Teralba (152)</t>
  </si>
  <si>
    <t xml:space="preserve">L9.J.17010979</t>
  </si>
  <si>
    <t xml:space="preserve">152</t>
  </si>
  <si>
    <t xml:space="preserve">Rhondda Road</t>
  </si>
  <si>
    <t xml:space="preserve">Teralba</t>
  </si>
  <si>
    <t xml:space="preserve">2284</t>
  </si>
  <si>
    <t xml:space="preserve">-32.957</t>
  </si>
  <si>
    <t xml:space="preserve">151.59</t>
  </si>
  <si>
    <t xml:space="preserve">Asphalt Prod - Traralgon (300)</t>
  </si>
  <si>
    <t xml:space="preserve">300</t>
  </si>
  <si>
    <t xml:space="preserve">24 Rocla Road</t>
  </si>
  <si>
    <t xml:space="preserve">Traralgon</t>
  </si>
  <si>
    <t xml:space="preserve">3844</t>
  </si>
  <si>
    <t xml:space="preserve">RSV-173 - Pavements</t>
  </si>
  <si>
    <t xml:space="preserve">Fowlers Asphalting</t>
  </si>
  <si>
    <t xml:space="preserve">Asphalt Prod - Wellington</t>
  </si>
  <si>
    <t xml:space="preserve">3507</t>
  </si>
  <si>
    <t xml:space="preserve">137 Centennial Highway</t>
  </si>
  <si>
    <t xml:space="preserve">Ngauranga</t>
  </si>
  <si>
    <t xml:space="preserve">-41.2372</t>
  </si>
  <si>
    <t xml:space="preserve">174.8022</t>
  </si>
  <si>
    <t xml:space="preserve">Asphalt Prod - Whangarei</t>
  </si>
  <si>
    <t xml:space="preserve">3502</t>
  </si>
  <si>
    <t xml:space="preserve">904851</t>
  </si>
  <si>
    <t xml:space="preserve">Port Whangarei</t>
  </si>
  <si>
    <t xml:space="preserve">-35.743</t>
  </si>
  <si>
    <t xml:space="preserve">174.3394</t>
  </si>
  <si>
    <t xml:space="preserve">Asphalt Prod - Wingfield (523)</t>
  </si>
  <si>
    <t xml:space="preserve">L9.J.170523</t>
  </si>
  <si>
    <t xml:space="preserve">Corner of Grand Junction Road and Rosberg Road</t>
  </si>
  <si>
    <t xml:space="preserve">Wingfield</t>
  </si>
  <si>
    <t xml:space="preserve">-34.848011</t>
  </si>
  <si>
    <t xml:space="preserve">138.572556</t>
  </si>
  <si>
    <t xml:space="preserve">Asphalt Prod - Wodonga (315)</t>
  </si>
  <si>
    <t xml:space="preserve">L9.J.17010341</t>
  </si>
  <si>
    <t xml:space="preserve">25 Moloney Drive</t>
  </si>
  <si>
    <t xml:space="preserve">Wodonga</t>
  </si>
  <si>
    <t xml:space="preserve">3689</t>
  </si>
  <si>
    <t xml:space="preserve">-36.105</t>
  </si>
  <si>
    <t xml:space="preserve">146.853</t>
  </si>
  <si>
    <t xml:space="preserve">Asphalt Prod Bathurst (New)</t>
  </si>
  <si>
    <t xml:space="preserve">Asphalt Production - Admin</t>
  </si>
  <si>
    <t xml:space="preserve">L9.DNZJ.3501</t>
  </si>
  <si>
    <t xml:space="preserve">3501</t>
  </si>
  <si>
    <t xml:space="preserve">Asphalt Production - Lismore</t>
  </si>
  <si>
    <t xml:space="preserve">Asphalt Production Alb</t>
  </si>
  <si>
    <t xml:space="preserve">L9.S.16013637</t>
  </si>
  <si>
    <t xml:space="preserve">-336107858</t>
  </si>
  <si>
    <t xml:space="preserve">Asphalt Production Arc</t>
  </si>
  <si>
    <t xml:space="preserve">170406</t>
  </si>
  <si>
    <t xml:space="preserve">Asphalt Production Bat</t>
  </si>
  <si>
    <t xml:space="preserve">L9.J.170128</t>
  </si>
  <si>
    <t xml:space="preserve">170128</t>
  </si>
  <si>
    <t xml:space="preserve">Asphalt Production Bay</t>
  </si>
  <si>
    <t xml:space="preserve">170302</t>
  </si>
  <si>
    <t xml:space="preserve">Asphalt Production Bli</t>
  </si>
  <si>
    <t xml:space="preserve">L9.J.170408</t>
  </si>
  <si>
    <t xml:space="preserve">170408</t>
  </si>
  <si>
    <t xml:space="preserve">Asphalt Production Dar</t>
  </si>
  <si>
    <t xml:space="preserve">170525</t>
  </si>
  <si>
    <t xml:space="preserve">Asphalt Production Gos</t>
  </si>
  <si>
    <t xml:space="preserve">170621</t>
  </si>
  <si>
    <t xml:space="preserve">Asphalt Production Hob</t>
  </si>
  <si>
    <t xml:space="preserve">L9.J.170329</t>
  </si>
  <si>
    <t xml:space="preserve">170329</t>
  </si>
  <si>
    <t xml:space="preserve">Asphalt Production Hum</t>
  </si>
  <si>
    <t xml:space="preserve">170101</t>
  </si>
  <si>
    <t xml:space="preserve">Asphalt Production Kar</t>
  </si>
  <si>
    <t xml:space="preserve">L9.J.170610</t>
  </si>
  <si>
    <t xml:space="preserve">170610</t>
  </si>
  <si>
    <t xml:space="preserve">Asphalt Production Lau</t>
  </si>
  <si>
    <t xml:space="preserve">L9.J.170330</t>
  </si>
  <si>
    <t xml:space="preserve">170330</t>
  </si>
  <si>
    <t xml:space="preserve">Asphalt Production Mowbray</t>
  </si>
  <si>
    <t xml:space="preserve">170360</t>
  </si>
  <si>
    <t xml:space="preserve">Asphalt Production Nar</t>
  </si>
  <si>
    <t xml:space="preserve">L9.J.170113</t>
  </si>
  <si>
    <t xml:space="preserve">170113</t>
  </si>
  <si>
    <t xml:space="preserve">Asphalt Production Rosehill</t>
  </si>
  <si>
    <t xml:space="preserve">L9.J.170109</t>
  </si>
  <si>
    <t xml:space="preserve">170109</t>
  </si>
  <si>
    <t xml:space="preserve">Asphalt Production Rosehill -</t>
  </si>
  <si>
    <t xml:space="preserve">L9.J.170163</t>
  </si>
  <si>
    <t xml:space="preserve">170163</t>
  </si>
  <si>
    <t xml:space="preserve">Asphalt Production She</t>
  </si>
  <si>
    <t xml:space="preserve">L9.J.170308</t>
  </si>
  <si>
    <t xml:space="preserve">170308</t>
  </si>
  <si>
    <t xml:space="preserve">Asphalt Production Som</t>
  </si>
  <si>
    <t xml:space="preserve">L9.J.170303</t>
  </si>
  <si>
    <t xml:space="preserve">170303</t>
  </si>
  <si>
    <t xml:space="preserve">Asphalt Production Str</t>
  </si>
  <si>
    <t xml:space="preserve">L9.J.170415</t>
  </si>
  <si>
    <t xml:space="preserve">170415</t>
  </si>
  <si>
    <t xml:space="preserve">Asphalt Production Win</t>
  </si>
  <si>
    <t xml:space="preserve">170523</t>
  </si>
  <si>
    <t xml:space="preserve">Asphalt Production Wod</t>
  </si>
  <si>
    <t xml:space="preserve">L9.J.170315</t>
  </si>
  <si>
    <t xml:space="preserve">170315</t>
  </si>
  <si>
    <t xml:space="preserve">Asset Inspection EU Subcontractors</t>
  </si>
  <si>
    <t xml:space="preserve">L9.J.22910012</t>
  </si>
  <si>
    <t xml:space="preserve">Asset Investment</t>
  </si>
  <si>
    <t xml:space="preserve">L9.J.170863</t>
  </si>
  <si>
    <t xml:space="preserve">170863</t>
  </si>
  <si>
    <t xml:space="preserve">Asset Investment Hub NZ</t>
  </si>
  <si>
    <t xml:space="preserve">L9.DNZJ.1939</t>
  </si>
  <si>
    <t xml:space="preserve">1939</t>
  </si>
  <si>
    <t xml:space="preserve">Asset Management</t>
  </si>
  <si>
    <t xml:space="preserve">L9.DNZ.810.10.130</t>
  </si>
  <si>
    <t xml:space="preserve">10130</t>
  </si>
  <si>
    <t xml:space="preserve">10.13</t>
  </si>
  <si>
    <t xml:space="preserve">Asset Management (T&amp;I)</t>
  </si>
  <si>
    <t xml:space="preserve">L9.DNZJ.55904</t>
  </si>
  <si>
    <t xml:space="preserve">55904</t>
  </si>
  <si>
    <t xml:space="preserve">Asset Management Overhead</t>
  </si>
  <si>
    <t xml:space="preserve">L9.J.170274</t>
  </si>
  <si>
    <t xml:space="preserve">170274</t>
  </si>
  <si>
    <t xml:space="preserve">Asset ManagementDEL</t>
  </si>
  <si>
    <t xml:space="preserve">L9.DNZJ.10130</t>
  </si>
  <si>
    <t xml:space="preserve">Asset Managemt &amp; Chip Sealing</t>
  </si>
  <si>
    <t xml:space="preserve">L9.DNZJ.55962</t>
  </si>
  <si>
    <t xml:space="preserve">55962</t>
  </si>
  <si>
    <t xml:space="preserve">Asset/Technical Projects</t>
  </si>
  <si>
    <t xml:space="preserve">55907</t>
  </si>
  <si>
    <t xml:space="preserve">AT Central Urban RCM</t>
  </si>
  <si>
    <t xml:space="preserve">L9.DNZJ.54729</t>
  </si>
  <si>
    <t xml:space="preserve">54729</t>
  </si>
  <si>
    <t xml:space="preserve">TI-NZT-54729 - AT Central Urban RCM</t>
  </si>
  <si>
    <t xml:space="preserve">AT HGI - Parent Contracts</t>
  </si>
  <si>
    <t xml:space="preserve">L9.DNZJ.550431</t>
  </si>
  <si>
    <t xml:space="preserve">550431</t>
  </si>
  <si>
    <t xml:space="preserve">7 Waitai Road</t>
  </si>
  <si>
    <t xml:space="preserve">Ostend</t>
  </si>
  <si>
    <t xml:space="preserve">Waiheke Island</t>
  </si>
  <si>
    <t xml:space="preserve">1081</t>
  </si>
  <si>
    <t xml:space="preserve">Pakuranga</t>
  </si>
  <si>
    <t xml:space="preserve">-36.7949</t>
  </si>
  <si>
    <t xml:space="preserve">175.0432</t>
  </si>
  <si>
    <t xml:space="preserve">AU BSC Fleet - LV</t>
  </si>
  <si>
    <t xml:space="preserve">L9.J.170860</t>
  </si>
  <si>
    <t xml:space="preserve">170860</t>
  </si>
  <si>
    <t xml:space="preserve">AU BSC Fleet - O/Head</t>
  </si>
  <si>
    <t xml:space="preserve">L9.J.170862</t>
  </si>
  <si>
    <t xml:space="preserve">170862</t>
  </si>
  <si>
    <t xml:space="preserve">AU BSC Fleet - Util Heavy</t>
  </si>
  <si>
    <t xml:space="preserve">L9.J.177220</t>
  </si>
  <si>
    <t xml:space="preserve">177220</t>
  </si>
  <si>
    <t xml:space="preserve">AU Fleet - Heavy EU Subcontractors</t>
  </si>
  <si>
    <t xml:space="preserve">L9.DUN.60510</t>
  </si>
  <si>
    <t xml:space="preserve">AU Fleet - LV EU Subcontractors</t>
  </si>
  <si>
    <t xml:space="preserve">AU Group Plant Pool</t>
  </si>
  <si>
    <t xml:space="preserve">L9.J.130001</t>
  </si>
  <si>
    <t xml:space="preserve">130001</t>
  </si>
  <si>
    <t xml:space="preserve">AU SI&amp;CS - Government &amp; IFM</t>
  </si>
  <si>
    <t xml:space="preserve">L9.J.312002</t>
  </si>
  <si>
    <t xml:space="preserve">312002</t>
  </si>
  <si>
    <t xml:space="preserve">11</t>
  </si>
  <si>
    <t xml:space="preserve">154 Manchester Rd</t>
  </si>
  <si>
    <t xml:space="preserve">-33.846</t>
  </si>
  <si>
    <t xml:space="preserve">151.022</t>
  </si>
  <si>
    <t xml:space="preserve">Auckland &amp; Northland-Overhead</t>
  </si>
  <si>
    <t xml:space="preserve">55924</t>
  </si>
  <si>
    <t xml:space="preserve">Auckland (4a Wellesley Court)</t>
  </si>
  <si>
    <t xml:space="preserve">Commercial</t>
  </si>
  <si>
    <t xml:space="preserve">L9.DNZJ.91407</t>
  </si>
  <si>
    <t xml:space="preserve">91407</t>
  </si>
  <si>
    <t xml:space="preserve">COR-NZHO-91407 - Auckland (4a Wellesley Court)</t>
  </si>
  <si>
    <t xml:space="preserve">4a Wellesley Court</t>
  </si>
  <si>
    <t xml:space="preserve">Auckland Deployment EU Subcontractors</t>
  </si>
  <si>
    <t xml:space="preserve">L9.DNZ.810.20788</t>
  </si>
  <si>
    <t xml:space="preserve">Auckland Laboratory</t>
  </si>
  <si>
    <t xml:space="preserve">3521</t>
  </si>
  <si>
    <t xml:space="preserve">Auckland Mobile Network Build</t>
  </si>
  <si>
    <t xml:space="preserve">L9.DNZ.810.10.242</t>
  </si>
  <si>
    <t xml:space="preserve">10242</t>
  </si>
  <si>
    <t xml:space="preserve">10.242</t>
  </si>
  <si>
    <t xml:space="preserve">Auckland People/Plant</t>
  </si>
  <si>
    <t xml:space="preserve">L9.DNZJ.66207</t>
  </si>
  <si>
    <t xml:space="preserve">66207</t>
  </si>
  <si>
    <t xml:space="preserve">Auckland Plant</t>
  </si>
  <si>
    <t xml:space="preserve">L9.DNZJ.66218</t>
  </si>
  <si>
    <t xml:space="preserve">66218</t>
  </si>
  <si>
    <t xml:space="preserve">Auckland Stormwater Northern EU Subcontractors</t>
  </si>
  <si>
    <t xml:space="preserve">L9.DNZJ.56116</t>
  </si>
  <si>
    <t xml:space="preserve">Auckland Telco Ops</t>
  </si>
  <si>
    <t xml:space="preserve">L9.DNZ.810.10.236</t>
  </si>
  <si>
    <t xml:space="preserve">10236</t>
  </si>
  <si>
    <t xml:space="preserve">10.236</t>
  </si>
  <si>
    <t xml:space="preserve">Ausgrid - Electric Metering Serv</t>
  </si>
  <si>
    <t xml:space="preserve">L9.S.16013400</t>
  </si>
  <si>
    <t xml:space="preserve">16013400</t>
  </si>
  <si>
    <t xml:space="preserve">Ausgrid Management</t>
  </si>
  <si>
    <t xml:space="preserve">L9.S.16016442</t>
  </si>
  <si>
    <t xml:space="preserve">16016442</t>
  </si>
  <si>
    <t xml:space="preserve">AusNet - Dundonnell Transmiss</t>
  </si>
  <si>
    <t xml:space="preserve">L9.J.2413009602</t>
  </si>
  <si>
    <t xml:space="preserve">2413009602</t>
  </si>
  <si>
    <t xml:space="preserve">AusNet Electricity - Fuel Cards</t>
  </si>
  <si>
    <t xml:space="preserve">L9.J.24170235</t>
  </si>
  <si>
    <t xml:space="preserve">DO_Beaconsfield, DO_Lilydale, SO_Keilor substation_closed, Bairnsdale, Seymour, Thomastown
If correct - Check which are closed and add Dandenong</t>
  </si>
  <si>
    <t xml:space="preserve">3 Melba Avenue</t>
  </si>
  <si>
    <t xml:space="preserve">Mt Dandenong</t>
  </si>
  <si>
    <t xml:space="preserve">-37.761484</t>
  </si>
  <si>
    <t xml:space="preserve">145.347301</t>
  </si>
  <si>
    <t xml:space="preserve">UTIL-247 - Utilities Power, Gas &amp; Comms</t>
  </si>
  <si>
    <t xml:space="preserve">AusNet Elec Contract</t>
  </si>
  <si>
    <t xml:space="preserve">Ausnet EU Subcontractors</t>
  </si>
  <si>
    <t xml:space="preserve">L9.J.37740058</t>
  </si>
  <si>
    <t xml:space="preserve">AusNet Gas - Fuel Cards</t>
  </si>
  <si>
    <t xml:space="preserve">DO_Ararat, DO_Ballarat, DO_Bendigo, DO_Colac, DO_Geelong, DO_Hamilton, DO_Horsham, DO_Laverton Operations, DO_Portland, DO_Warrnambool, DO_Woodend, Korumburra,</t>
  </si>
  <si>
    <t xml:space="preserve">49a Rossmoyne Rd, Colac</t>
  </si>
  <si>
    <t xml:space="preserve">-38.331449</t>
  </si>
  <si>
    <t xml:space="preserve">143.548651</t>
  </si>
  <si>
    <t xml:space="preserve">270</t>
  </si>
  <si>
    <t xml:space="preserve">AusNet Gas Contract</t>
  </si>
  <si>
    <t xml:space="preserve">AusNet Services EU Subcontractors</t>
  </si>
  <si>
    <t xml:space="preserve">L9.J.3774002001</t>
  </si>
  <si>
    <t xml:space="preserve">Ausnet_Elec_Alexandra</t>
  </si>
  <si>
    <t xml:space="preserve">AEAD</t>
  </si>
  <si>
    <t xml:space="preserve">1 Bayley St</t>
  </si>
  <si>
    <t xml:space="preserve">Alexandra</t>
  </si>
  <si>
    <t xml:space="preserve">3714</t>
  </si>
  <si>
    <t xml:space="preserve">Ausnet_Elec_Beaconsfield</t>
  </si>
  <si>
    <t xml:space="preserve">PN2837</t>
  </si>
  <si>
    <t xml:space="preserve">Ausnet_Elec_Benalla</t>
  </si>
  <si>
    <t xml:space="preserve">PN3486</t>
  </si>
  <si>
    <t xml:space="preserve">84-88 Samaria Rd</t>
  </si>
  <si>
    <t xml:space="preserve">Benalla</t>
  </si>
  <si>
    <t xml:space="preserve">3673</t>
  </si>
  <si>
    <t xml:space="preserve">Ausnet_Elec_Hazelwood</t>
  </si>
  <si>
    <t xml:space="preserve">PN5138</t>
  </si>
  <si>
    <t xml:space="preserve">Tramway Road</t>
  </si>
  <si>
    <t xml:space="preserve">Hazelwood</t>
  </si>
  <si>
    <t xml:space="preserve">3841</t>
  </si>
  <si>
    <t xml:space="preserve">Ausnet_Elec_Leongatha</t>
  </si>
  <si>
    <t xml:space="preserve">PN655</t>
  </si>
  <si>
    <t xml:space="preserve">60 Horn Street</t>
  </si>
  <si>
    <t xml:space="preserve">Ausnet_Elec_Lilydale</t>
  </si>
  <si>
    <t xml:space="preserve">T8018T8031</t>
  </si>
  <si>
    <t xml:space="preserve">30-34 Melba Avenue</t>
  </si>
  <si>
    <t xml:space="preserve">Ausnet_Elec_Lucknow</t>
  </si>
  <si>
    <t xml:space="preserve">AELN</t>
  </si>
  <si>
    <t xml:space="preserve">14 Meringo Place</t>
  </si>
  <si>
    <t xml:space="preserve">Lucknow</t>
  </si>
  <si>
    <t xml:space="preserve">3875</t>
  </si>
  <si>
    <t xml:space="preserve">Ausnet_Elec_Mansfield</t>
  </si>
  <si>
    <t xml:space="preserve">AEMF</t>
  </si>
  <si>
    <t xml:space="preserve">16 Crosby Lane</t>
  </si>
  <si>
    <t xml:space="preserve">Mansfield</t>
  </si>
  <si>
    <t xml:space="preserve">3722</t>
  </si>
  <si>
    <t xml:space="preserve">Ausnet_Elec_Myrtleford</t>
  </si>
  <si>
    <t xml:space="preserve">AEMYF</t>
  </si>
  <si>
    <t xml:space="preserve">10-13 Mathews St</t>
  </si>
  <si>
    <t xml:space="preserve">Myrtleford</t>
  </si>
  <si>
    <t xml:space="preserve">3737</t>
  </si>
  <si>
    <t xml:space="preserve">Ausnet_Elec_Sale</t>
  </si>
  <si>
    <t xml:space="preserve">AES</t>
  </si>
  <si>
    <t xml:space="preserve">7-9 Dawson Street</t>
  </si>
  <si>
    <t xml:space="preserve">Sale</t>
  </si>
  <si>
    <t xml:space="preserve">3850</t>
  </si>
  <si>
    <t xml:space="preserve">Ausnet_Elec_Seymour</t>
  </si>
  <si>
    <t xml:space="preserve">PN5295</t>
  </si>
  <si>
    <t xml:space="preserve">67 Anzac Avenue</t>
  </si>
  <si>
    <t xml:space="preserve">Seymour</t>
  </si>
  <si>
    <t xml:space="preserve">3660</t>
  </si>
  <si>
    <t xml:space="preserve">Ausnet_Elec_Thomastown</t>
  </si>
  <si>
    <t xml:space="preserve">AETT</t>
  </si>
  <si>
    <t xml:space="preserve">49 Nevin Drive</t>
  </si>
  <si>
    <t xml:space="preserve">Thomastown</t>
  </si>
  <si>
    <t xml:space="preserve">3074</t>
  </si>
  <si>
    <t xml:space="preserve">Ausnet_Elec_Traralgon</t>
  </si>
  <si>
    <t xml:space="preserve">AETG</t>
  </si>
  <si>
    <t xml:space="preserve">5 Stratton Drive</t>
  </si>
  <si>
    <t xml:space="preserve">Ausnet_Elec_Wangaratta</t>
  </si>
  <si>
    <t xml:space="preserve">PN5134</t>
  </si>
  <si>
    <t xml:space="preserve">4 Gibson St</t>
  </si>
  <si>
    <t xml:space="preserve">Wangaratta</t>
  </si>
  <si>
    <t xml:space="preserve">3676</t>
  </si>
  <si>
    <t xml:space="preserve">Ausnet_Elec_Warragul</t>
  </si>
  <si>
    <t xml:space="preserve">PN646</t>
  </si>
  <si>
    <t xml:space="preserve">192 Normanby Street</t>
  </si>
  <si>
    <t xml:space="preserve">Warragul</t>
  </si>
  <si>
    <t xml:space="preserve">3820</t>
  </si>
  <si>
    <t xml:space="preserve">Ausnet_Elec_Wodonga</t>
  </si>
  <si>
    <t xml:space="preserve">AEWD</t>
  </si>
  <si>
    <t xml:space="preserve">24 Moloney Drive</t>
  </si>
  <si>
    <t xml:space="preserve">3690</t>
  </si>
  <si>
    <t xml:space="preserve">Ausnet_Gas_Ararat</t>
  </si>
  <si>
    <t xml:space="preserve">AGAR</t>
  </si>
  <si>
    <t xml:space="preserve">5 McGibbony Street</t>
  </si>
  <si>
    <t xml:space="preserve">Ausnet_Gas_Colac West</t>
  </si>
  <si>
    <t xml:space="preserve">AGCW</t>
  </si>
  <si>
    <t xml:space="preserve">49 Rossmoyne Road</t>
  </si>
  <si>
    <t xml:space="preserve">Colac West</t>
  </si>
  <si>
    <t xml:space="preserve">Ausnet_Gas_Geelong East</t>
  </si>
  <si>
    <t xml:space="preserve">AGGE</t>
  </si>
  <si>
    <t xml:space="preserve">31 Leather Street</t>
  </si>
  <si>
    <t xml:space="preserve">Geelong East</t>
  </si>
  <si>
    <t xml:space="preserve">Ausnet_Gas_North Bendigo</t>
  </si>
  <si>
    <t xml:space="preserve">AGNB</t>
  </si>
  <si>
    <t xml:space="preserve">116-118 Holmes Road</t>
  </si>
  <si>
    <t xml:space="preserve">North Bendigo</t>
  </si>
  <si>
    <t xml:space="preserve">Ausnet_Gas_Portland - Browning</t>
  </si>
  <si>
    <t xml:space="preserve">AGPLB</t>
  </si>
  <si>
    <t xml:space="preserve">102 Browning Street</t>
  </si>
  <si>
    <t xml:space="preserve">Ausnet_Gas_Portland - Kunara</t>
  </si>
  <si>
    <t xml:space="preserve">AGPLK</t>
  </si>
  <si>
    <t xml:space="preserve">7 Kunara Crescent</t>
  </si>
  <si>
    <t xml:space="preserve">Ausnet_Gas_Springvale</t>
  </si>
  <si>
    <t xml:space="preserve">AGSV</t>
  </si>
  <si>
    <t xml:space="preserve">31 Rosalie Street</t>
  </si>
  <si>
    <t xml:space="preserve">Springvale</t>
  </si>
  <si>
    <t xml:space="preserve">Ausnet_Gas_Warrnambool</t>
  </si>
  <si>
    <t xml:space="preserve">AGWB</t>
  </si>
  <si>
    <t xml:space="preserve">13 Dickson Street</t>
  </si>
  <si>
    <t xml:space="preserve">Ausnet_Gas_Wendouree</t>
  </si>
  <si>
    <t xml:space="preserve">AGWD</t>
  </si>
  <si>
    <t xml:space="preserve">353 Dowling Street</t>
  </si>
  <si>
    <t xml:space="preserve">3355</t>
  </si>
  <si>
    <t xml:space="preserve">Austins Ferry</t>
  </si>
  <si>
    <t xml:space="preserve">L9.J.17030687</t>
  </si>
  <si>
    <t xml:space="preserve">12</t>
  </si>
  <si>
    <t xml:space="preserve">3 Whitestone Drive</t>
  </si>
  <si>
    <t xml:space="preserve">-42.766</t>
  </si>
  <si>
    <t xml:space="preserve">147.246</t>
  </si>
  <si>
    <t xml:space="preserve">Australian Sports Commission</t>
  </si>
  <si>
    <t xml:space="preserve">L9.S.16999920</t>
  </si>
  <si>
    <t xml:space="preserve">16999920</t>
  </si>
  <si>
    <t xml:space="preserve">Autocare Laverton Nth Core Serv Del</t>
  </si>
  <si>
    <t xml:space="preserve">L9.S.16013032</t>
  </si>
  <si>
    <t xml:space="preserve">16013032</t>
  </si>
  <si>
    <t xml:space="preserve">Autocare Pinnacle Rd Core Serv Del</t>
  </si>
  <si>
    <t xml:space="preserve">L9.S.16013034</t>
  </si>
  <si>
    <t xml:space="preserve">16013034</t>
  </si>
  <si>
    <t xml:space="preserve">Automation FY21</t>
  </si>
  <si>
    <t xml:space="preserve">L9.J.38210109</t>
  </si>
  <si>
    <t xml:space="preserve">38210109</t>
  </si>
  <si>
    <t xml:space="preserve">Automation Nth Island</t>
  </si>
  <si>
    <t xml:space="preserve">56150</t>
  </si>
  <si>
    <t xml:space="preserve">Automation Sth Island EU Subcontractors</t>
  </si>
  <si>
    <t xml:space="preserve">L9.DNZJ.56152</t>
  </si>
  <si>
    <t xml:space="preserve">Aveley Senior College</t>
  </si>
  <si>
    <t xml:space="preserve">Avive - Brisbane-Hard FM</t>
  </si>
  <si>
    <t xml:space="preserve">L9.S.16016666</t>
  </si>
  <si>
    <t xml:space="preserve">16016666</t>
  </si>
  <si>
    <t xml:space="preserve">Avive - Mt Eliza-Hard FM</t>
  </si>
  <si>
    <t xml:space="preserve">L9.S.16016662</t>
  </si>
  <si>
    <t xml:space="preserve">16016662</t>
  </si>
  <si>
    <t xml:space="preserve">AWMA Clean</t>
  </si>
  <si>
    <t xml:space="preserve">L9.S.16011509</t>
  </si>
  <si>
    <t xml:space="preserve">16011509</t>
  </si>
  <si>
    <t xml:space="preserve">AWMA Estate Upkeep</t>
  </si>
  <si>
    <t xml:space="preserve">L9.S.16011513</t>
  </si>
  <si>
    <t xml:space="preserve">16011513</t>
  </si>
  <si>
    <t xml:space="preserve">AWMA Land</t>
  </si>
  <si>
    <t xml:space="preserve">L9.S.16011510</t>
  </si>
  <si>
    <t xml:space="preserve">16011510</t>
  </si>
  <si>
    <t xml:space="preserve">AWMA Range &amp; Training</t>
  </si>
  <si>
    <t xml:space="preserve">L9.S.16011512</t>
  </si>
  <si>
    <t xml:space="preserve">16011512</t>
  </si>
  <si>
    <t xml:space="preserve">AWMA Transport</t>
  </si>
  <si>
    <t xml:space="preserve">L9.S.16011516</t>
  </si>
  <si>
    <t xml:space="preserve">16011516</t>
  </si>
  <si>
    <t xml:space="preserve">B&amp;I NZ Management</t>
  </si>
  <si>
    <t xml:space="preserve">L9.S.23000783</t>
  </si>
  <si>
    <t xml:space="preserve">2000004851</t>
  </si>
  <si>
    <t xml:space="preserve">B201 REDEVELOPMENT UOA</t>
  </si>
  <si>
    <t xml:space="preserve">L9.DNZ.HA0397</t>
  </si>
  <si>
    <t xml:space="preserve">JP_HA0397</t>
  </si>
  <si>
    <t xml:space="preserve">Bairnsdale Support</t>
  </si>
  <si>
    <t xml:space="preserve">L9.J.241926</t>
  </si>
  <si>
    <t xml:space="preserve">241926</t>
  </si>
  <si>
    <t xml:space="preserve">Balance of Plant Turitea</t>
  </si>
  <si>
    <t xml:space="preserve">L9.DNZJ.DN1168</t>
  </si>
  <si>
    <t xml:space="preserve">JP_DN1168</t>
  </si>
  <si>
    <t xml:space="preserve">1064181</t>
  </si>
  <si>
    <t xml:space="preserve">BALANCE OF PLANT TURITEA SOUTH</t>
  </si>
  <si>
    <t xml:space="preserve">L9.DNZJ.DN1182</t>
  </si>
  <si>
    <t xml:space="preserve">JP_DN1182</t>
  </si>
  <si>
    <t xml:space="preserve">Balance Sheet</t>
  </si>
  <si>
    <t xml:space="preserve">L9.J.150</t>
  </si>
  <si>
    <t xml:space="preserve">Balance Sheet EU Subcontractors</t>
  </si>
  <si>
    <t xml:space="preserve">L9.DNZJ.56000</t>
  </si>
  <si>
    <t xml:space="preserve">Balclutha Depot</t>
  </si>
  <si>
    <t xml:space="preserve">55674</t>
  </si>
  <si>
    <t xml:space="preserve">-46.2329</t>
  </si>
  <si>
    <t xml:space="preserve">169.7531</t>
  </si>
  <si>
    <t xml:space="preserve">Bango Wind Farm</t>
  </si>
  <si>
    <t xml:space="preserve">37750008</t>
  </si>
  <si>
    <t xml:space="preserve">Barwon Regional Wat-Water Mtr Serv</t>
  </si>
  <si>
    <t xml:space="preserve">L9.S.16013434</t>
  </si>
  <si>
    <t xml:space="preserve">16013434</t>
  </si>
  <si>
    <t xml:space="preserve">Barwon Water Smartpipe Serv Del</t>
  </si>
  <si>
    <t xml:space="preserve">L9.S.16014000</t>
  </si>
  <si>
    <t xml:space="preserve">16014000</t>
  </si>
  <si>
    <t xml:space="preserve">Bathurst Hosp - Cleaning Serv. Del.</t>
  </si>
  <si>
    <t xml:space="preserve">L9.S.16011163</t>
  </si>
  <si>
    <t xml:space="preserve">16011163</t>
  </si>
  <si>
    <t xml:space="preserve">Bathurst Hospital</t>
  </si>
  <si>
    <t xml:space="preserve">L9.ENG.360.12660</t>
  </si>
  <si>
    <t xml:space="preserve">Baw Baw Maintenance</t>
  </si>
  <si>
    <t xml:space="preserve">L9.J.170263</t>
  </si>
  <si>
    <t xml:space="preserve">170263</t>
  </si>
  <si>
    <t xml:space="preserve">Baw Baw Shire</t>
  </si>
  <si>
    <t xml:space="preserve">L9.J.17021182</t>
  </si>
  <si>
    <t xml:space="preserve">Mobile office within Fowlers Trafalgar Yard.</t>
  </si>
  <si>
    <t xml:space="preserve">Bayswater Maintenance</t>
  </si>
  <si>
    <t xml:space="preserve">L9.J.38215138</t>
  </si>
  <si>
    <t xml:space="preserve">38215138</t>
  </si>
  <si>
    <t xml:space="preserve">Bayview Heights Refurb works</t>
  </si>
  <si>
    <t xml:space="preserve">37240022</t>
  </si>
  <si>
    <t xml:space="preserve">Belgrove Subdivision Stage 2</t>
  </si>
  <si>
    <t xml:space="preserve">L9.DNZJ.551106</t>
  </si>
  <si>
    <t xml:space="preserve">551106</t>
  </si>
  <si>
    <t xml:space="preserve">L9.J.17020788</t>
  </si>
  <si>
    <t xml:space="preserve">21</t>
  </si>
  <si>
    <t xml:space="preserve">50 - 52 Clarke St</t>
  </si>
  <si>
    <t xml:space="preserve">3671</t>
  </si>
  <si>
    <t xml:space="preserve">-36.554</t>
  </si>
  <si>
    <t xml:space="preserve">145.967</t>
  </si>
  <si>
    <t xml:space="preserve">Victorian Regional Maintenance Contract (VRMC)</t>
  </si>
  <si>
    <t xml:space="preserve">Berolina EU Subcontractors</t>
  </si>
  <si>
    <t xml:space="preserve">L9.J.23900097</t>
  </si>
  <si>
    <t xml:space="preserve">Berry to Bomaderry Works</t>
  </si>
  <si>
    <t xml:space="preserve">L9.J.38225103</t>
  </si>
  <si>
    <t xml:space="preserve">38225103</t>
  </si>
  <si>
    <t xml:space="preserve">Berrybank 2 - Substations Only</t>
  </si>
  <si>
    <t xml:space="preserve">L9.J.37740080</t>
  </si>
  <si>
    <t xml:space="preserve">37740080</t>
  </si>
  <si>
    <t xml:space="preserve">Berrybank 2 - TXL Only</t>
  </si>
  <si>
    <t xml:space="preserve">L9.J.37740077</t>
  </si>
  <si>
    <t xml:space="preserve">37740077</t>
  </si>
  <si>
    <t xml:space="preserve">Beryl Solar Farm</t>
  </si>
  <si>
    <t xml:space="preserve">L9.J.24120135</t>
  </si>
  <si>
    <t xml:space="preserve">24120135</t>
  </si>
  <si>
    <t xml:space="preserve">BHP - Nickel West (NiW)</t>
  </si>
  <si>
    <t xml:space="preserve">BHP - Oxide Way, Wedgefield</t>
  </si>
  <si>
    <t xml:space="preserve">113 Oxide Way</t>
  </si>
  <si>
    <t xml:space="preserve">Wedgefield</t>
  </si>
  <si>
    <t xml:space="preserve">-20.378</t>
  </si>
  <si>
    <t xml:space="preserve">118.592</t>
  </si>
  <si>
    <t xml:space="preserve">BHP Food Services</t>
  </si>
  <si>
    <t xml:space="preserve">L9.S.16013369</t>
  </si>
  <si>
    <t xml:space="preserve">16013369</t>
  </si>
  <si>
    <t xml:space="preserve">BHP GMS AND SCAFFOLDING</t>
  </si>
  <si>
    <t xml:space="preserve">L9.J.38280145</t>
  </si>
  <si>
    <t xml:space="preserve">38280145</t>
  </si>
  <si>
    <t xml:space="preserve">BHP Grounds &amp; Gardens</t>
  </si>
  <si>
    <t xml:space="preserve">L9.S.16013362</t>
  </si>
  <si>
    <t xml:space="preserve">16013362</t>
  </si>
  <si>
    <t xml:space="preserve">BHP IRON ORE GMS &amp; SCAFFOLDING</t>
  </si>
  <si>
    <t xml:space="preserve">L9.J.38280148</t>
  </si>
  <si>
    <t xml:space="preserve">38280148</t>
  </si>
  <si>
    <t xml:space="preserve">BHP Maintenance Services</t>
  </si>
  <si>
    <t xml:space="preserve">BHS_59 Mitre</t>
  </si>
  <si>
    <t xml:space="preserve">BHS_Cafe</t>
  </si>
  <si>
    <t xml:space="preserve">BHS_Hospital MSB</t>
  </si>
  <si>
    <t xml:space="preserve">BHS_Optus</t>
  </si>
  <si>
    <t xml:space="preserve">BHS_Telstra</t>
  </si>
  <si>
    <t xml:space="preserve">Bid/Estimating</t>
  </si>
  <si>
    <t xml:space="preserve">L9.DNZJ.55906</t>
  </si>
  <si>
    <t xml:space="preserve">55906</t>
  </si>
  <si>
    <t xml:space="preserve">Bio Security People/Plant</t>
  </si>
  <si>
    <t xml:space="preserve">L9.DNZJ.67200</t>
  </si>
  <si>
    <t xml:space="preserve">67200</t>
  </si>
  <si>
    <t xml:space="preserve">Bio Security Plant</t>
  </si>
  <si>
    <t xml:space="preserve">L9.DNZJ.67201</t>
  </si>
  <si>
    <t xml:space="preserve">67201</t>
  </si>
  <si>
    <t xml:space="preserve">Bitumen - Bluff</t>
  </si>
  <si>
    <t xml:space="preserve">Plant, Manufacturing</t>
  </si>
  <si>
    <t xml:space="preserve">3042</t>
  </si>
  <si>
    <t xml:space="preserve">900606</t>
  </si>
  <si>
    <t xml:space="preserve">50 Foreshore Road</t>
  </si>
  <si>
    <t xml:space="preserve">-46.598</t>
  </si>
  <si>
    <t xml:space="preserve">168.3403</t>
  </si>
  <si>
    <t xml:space="preserve">Bitumen - Lyttleton</t>
  </si>
  <si>
    <t xml:space="preserve">3041</t>
  </si>
  <si>
    <t xml:space="preserve">Charlotte Jane Quay</t>
  </si>
  <si>
    <t xml:space="preserve">-43.6086</t>
  </si>
  <si>
    <t xml:space="preserve">172.7072</t>
  </si>
  <si>
    <t xml:space="preserve">Bitumen - Mt Maunganui</t>
  </si>
  <si>
    <t xml:space="preserve">3040</t>
  </si>
  <si>
    <t xml:space="preserve">198 Totara Street</t>
  </si>
  <si>
    <t xml:space="preserve">-37.6637</t>
  </si>
  <si>
    <t xml:space="preserve">176.1846</t>
  </si>
  <si>
    <t xml:space="preserve">Bitumen - Taranaki</t>
  </si>
  <si>
    <t xml:space="preserve">3045</t>
  </si>
  <si>
    <t xml:space="preserve">1 Wharf Street</t>
  </si>
  <si>
    <t xml:space="preserve">Port Taranaki</t>
  </si>
  <si>
    <t xml:space="preserve">-39.0578</t>
  </si>
  <si>
    <t xml:space="preserve">174.0292</t>
  </si>
  <si>
    <t xml:space="preserve">Bitumen Operations</t>
  </si>
  <si>
    <t xml:space="preserve">L9.J.170914</t>
  </si>
  <si>
    <t xml:space="preserve">170914</t>
  </si>
  <si>
    <t xml:space="preserve">Bitumen Transport - Qantas Dr.</t>
  </si>
  <si>
    <t xml:space="preserve">L9.J.170927</t>
  </si>
  <si>
    <t xml:space="preserve">361</t>
  </si>
  <si>
    <t xml:space="preserve">Glen Thomson’s Bitumen Transport team
Changed over to this address in October 19</t>
  </si>
  <si>
    <t xml:space="preserve">60-62 Qantas Drive</t>
  </si>
  <si>
    <t xml:space="preserve">Brisbane Airport</t>
  </si>
  <si>
    <t xml:space="preserve">Blackwater 2018 3Yr Plt</t>
  </si>
  <si>
    <t xml:space="preserve">L9.J.8530090</t>
  </si>
  <si>
    <t xml:space="preserve">8530090</t>
  </si>
  <si>
    <t xml:space="preserve">Blenheim (29 Old Renwick Road)</t>
  </si>
  <si>
    <t xml:space="preserve">Storage / Warehouse</t>
  </si>
  <si>
    <t xml:space="preserve">L9.DNZJ.91388</t>
  </si>
  <si>
    <t xml:space="preserve">91388</t>
  </si>
  <si>
    <t xml:space="preserve">COR-NZHO.91388-Blenheim (29 Old Renwick Road)
Stables  33 Old Renwick Road  Springlands  Blenheim 7201  Marlborough Region</t>
  </si>
  <si>
    <t xml:space="preserve">29 Old Renwick Road</t>
  </si>
  <si>
    <t xml:space="preserve">Blenheim/Kaikoura Telco Ops</t>
  </si>
  <si>
    <t xml:space="preserve">L9.DNZ.810.10.180</t>
  </si>
  <si>
    <t xml:space="preserve">10180</t>
  </si>
  <si>
    <t xml:space="preserve">10.18</t>
  </si>
  <si>
    <t xml:space="preserve">Bluescope Hastings</t>
  </si>
  <si>
    <t xml:space="preserve">L9.S.16007910</t>
  </si>
  <si>
    <t xml:space="preserve">16007910</t>
  </si>
  <si>
    <t xml:space="preserve">Bluescope Hastings Overhead</t>
  </si>
  <si>
    <t xml:space="preserve">L9.S.14000608</t>
  </si>
  <si>
    <t xml:space="preserve">14000608</t>
  </si>
  <si>
    <t xml:space="preserve">Bluescope Management Serv Del</t>
  </si>
  <si>
    <t xml:space="preserve">L9.S.16012005</t>
  </si>
  <si>
    <t xml:space="preserve">16012005</t>
  </si>
  <si>
    <t xml:space="preserve">Bluescope Minor Works</t>
  </si>
  <si>
    <t xml:space="preserve">L9.J.38225137</t>
  </si>
  <si>
    <t xml:space="preserve">38225137</t>
  </si>
  <si>
    <t xml:space="preserve">BlueScope No.6 BF Early Works</t>
  </si>
  <si>
    <t xml:space="preserve">L9.J.38225128</t>
  </si>
  <si>
    <t xml:space="preserve">38225128</t>
  </si>
  <si>
    <t xml:space="preserve">Bluescope No.6BF ? ECI</t>
  </si>
  <si>
    <t xml:space="preserve">L9.J.38225126</t>
  </si>
  <si>
    <t xml:space="preserve">38225126</t>
  </si>
  <si>
    <t xml:space="preserve">Bluescope Works</t>
  </si>
  <si>
    <t xml:space="preserve">L9.J.38225101</t>
  </si>
  <si>
    <t xml:space="preserve">38225101</t>
  </si>
  <si>
    <t xml:space="preserve">Bluff Hill Watermain</t>
  </si>
  <si>
    <t xml:space="preserve">L9.DNZJ.561281</t>
  </si>
  <si>
    <t xml:space="preserve">561281</t>
  </si>
  <si>
    <t xml:space="preserve">BOP Omanawa - 345 Matakokiri Drive, Tauranga</t>
  </si>
  <si>
    <t xml:space="preserve">Laboratory</t>
  </si>
  <si>
    <t xml:space="preserve">BOP Overhead</t>
  </si>
  <si>
    <t xml:space="preserve">L9.DNZJ.55935</t>
  </si>
  <si>
    <t xml:space="preserve">55935</t>
  </si>
  <si>
    <t xml:space="preserve">BOP People/Plant</t>
  </si>
  <si>
    <t xml:space="preserve">L9.DNZJ.66202</t>
  </si>
  <si>
    <t xml:space="preserve">66202</t>
  </si>
  <si>
    <t xml:space="preserve">BOP Plant</t>
  </si>
  <si>
    <t xml:space="preserve">L9.DNZJ.66214</t>
  </si>
  <si>
    <t xml:space="preserve">66214</t>
  </si>
  <si>
    <t xml:space="preserve">Bowen Hills</t>
  </si>
  <si>
    <t xml:space="preserve">3020</t>
  </si>
  <si>
    <t xml:space="preserve">Qld Rail Mayne depot</t>
  </si>
  <si>
    <t xml:space="preserve">33 Lanham Street</t>
  </si>
  <si>
    <t xml:space="preserve">Bowen Hi,lls</t>
  </si>
  <si>
    <t xml:space="preserve">-27.448</t>
  </si>
  <si>
    <t xml:space="preserve">153.0334</t>
  </si>
  <si>
    <t xml:space="preserve">BP Fairy Springs</t>
  </si>
  <si>
    <t xml:space="preserve">L9.S.26019532</t>
  </si>
  <si>
    <t xml:space="preserve">26019532</t>
  </si>
  <si>
    <t xml:space="preserve">BP Oil NZ Christchurch 45003854</t>
  </si>
  <si>
    <t xml:space="preserve">L9.S.26019498</t>
  </si>
  <si>
    <t xml:space="preserve">2000005073</t>
  </si>
  <si>
    <t xml:space="preserve">BP Oil NZ Rotorua 45003857</t>
  </si>
  <si>
    <t xml:space="preserve">2000005079</t>
  </si>
  <si>
    <t xml:space="preserve">BP Oil NZ Tauranga 45003857</t>
  </si>
  <si>
    <t xml:space="preserve">L9.S.26019537</t>
  </si>
  <si>
    <t xml:space="preserve">2000005081</t>
  </si>
  <si>
    <t xml:space="preserve">BP Oil NZ Wanganui 45003858</t>
  </si>
  <si>
    <t xml:space="preserve">L9.S.26019600</t>
  </si>
  <si>
    <t xml:space="preserve">2000005087</t>
  </si>
  <si>
    <t xml:space="preserve">BP Oil NZ Wellington 45003855</t>
  </si>
  <si>
    <t xml:space="preserve">L9.S.26019511</t>
  </si>
  <si>
    <t xml:space="preserve">2000005074</t>
  </si>
  <si>
    <t xml:space="preserve">BRANZ WESTSIDE</t>
  </si>
  <si>
    <t xml:space="preserve">L9.DNZ.HW0217</t>
  </si>
  <si>
    <t xml:space="preserve">JP_HW0217</t>
  </si>
  <si>
    <t xml:space="preserve">Brendale Production</t>
  </si>
  <si>
    <t xml:space="preserve">L9.J.170423</t>
  </si>
  <si>
    <t xml:space="preserve">170423</t>
  </si>
  <si>
    <t xml:space="preserve">Brisbane Clean</t>
  </si>
  <si>
    <t xml:space="preserve">L9.S.16011363</t>
  </si>
  <si>
    <t xml:space="preserve">16011363</t>
  </si>
  <si>
    <t xml:space="preserve">Brisbane Detritus</t>
  </si>
  <si>
    <t xml:space="preserve">L9.J.170729</t>
  </si>
  <si>
    <t xml:space="preserve">170729</t>
  </si>
  <si>
    <t xml:space="preserve">Brisbane Estate Upkeep</t>
  </si>
  <si>
    <t xml:space="preserve">L9.S.16011367</t>
  </si>
  <si>
    <t xml:space="preserve">16011367</t>
  </si>
  <si>
    <t xml:space="preserve">Brisbane International Cruise Terminal (BCIT)</t>
  </si>
  <si>
    <t xml:space="preserve">Terminal</t>
  </si>
  <si>
    <t xml:space="preserve">Brisbane Land</t>
  </si>
  <si>
    <t xml:space="preserve">L9.S.16011364</t>
  </si>
  <si>
    <t xml:space="preserve">16011364</t>
  </si>
  <si>
    <t xml:space="preserve">BRISBANE PROJECTS O'HEADS</t>
  </si>
  <si>
    <t xml:space="preserve">L9.DNZJ.8115</t>
  </si>
  <si>
    <t xml:space="preserve">-352113380</t>
  </si>
  <si>
    <t xml:space="preserve">Brisbane Range &amp; Training</t>
  </si>
  <si>
    <t xml:space="preserve">L9.S.16011366</t>
  </si>
  <si>
    <t xml:space="preserve">16011366</t>
  </si>
  <si>
    <t xml:space="preserve">Brisbane Transport</t>
  </si>
  <si>
    <t xml:space="preserve">L9.S.16011370</t>
  </si>
  <si>
    <t xml:space="preserve">16011370</t>
  </si>
  <si>
    <t xml:space="preserve">Broadcast Works</t>
  </si>
  <si>
    <t xml:space="preserve">L9.EMS.410.10251</t>
  </si>
  <si>
    <t xml:space="preserve">10251</t>
  </si>
  <si>
    <t xml:space="preserve">BSS Pre-Contracts &amp; Development</t>
  </si>
  <si>
    <t xml:space="preserve">L9.J.170949</t>
  </si>
  <si>
    <t xml:space="preserve">170949</t>
  </si>
  <si>
    <t xml:space="preserve">Build Services Leadership</t>
  </si>
  <si>
    <t xml:space="preserve">L9.DNZJ.10088</t>
  </si>
  <si>
    <t xml:space="preserve">10088</t>
  </si>
  <si>
    <t xml:space="preserve">Bulga Hunter Valley</t>
  </si>
  <si>
    <t xml:space="preserve">L9.J.38235005</t>
  </si>
  <si>
    <t xml:space="preserve">38235005</t>
  </si>
  <si>
    <t xml:space="preserve">Bunbury</t>
  </si>
  <si>
    <t xml:space="preserve">Warehouse</t>
  </si>
  <si>
    <t xml:space="preserve">L9.J.382703</t>
  </si>
  <si>
    <t xml:space="preserve">ASV-382703</t>
  </si>
  <si>
    <t xml:space="preserve">9 Stokes Way</t>
  </si>
  <si>
    <t xml:space="preserve">Davenport</t>
  </si>
  <si>
    <t xml:space="preserve">6230</t>
  </si>
  <si>
    <t xml:space="preserve">-33.363949</t>
  </si>
  <si>
    <t xml:space="preserve">115.680149</t>
  </si>
  <si>
    <t xml:space="preserve">2024/06/23</t>
  </si>
  <si>
    <t xml:space="preserve">Burnham Cleaning Serv Delivery</t>
  </si>
  <si>
    <t xml:space="preserve">L9.S.26016949</t>
  </si>
  <si>
    <t xml:space="preserve">26016949</t>
  </si>
  <si>
    <t xml:space="preserve">Burnham Grounds Service Delivery</t>
  </si>
  <si>
    <t xml:space="preserve">L9.S.26016951</t>
  </si>
  <si>
    <t xml:space="preserve">26016951</t>
  </si>
  <si>
    <t xml:space="preserve">Burnham Operations 45003019</t>
  </si>
  <si>
    <t xml:space="preserve">L9.S.26016948</t>
  </si>
  <si>
    <t xml:space="preserve">2000004650</t>
  </si>
  <si>
    <t xml:space="preserve">Canterbury, Selwyn, Burnham, Russell Rd (Burnham Camp)</t>
  </si>
  <si>
    <t xml:space="preserve">Burnham</t>
  </si>
  <si>
    <t xml:space="preserve">7677</t>
  </si>
  <si>
    <t xml:space="preserve">Business Segment QLD OH Trial</t>
  </si>
  <si>
    <t xml:space="preserve">L9.J.23440078</t>
  </si>
  <si>
    <t xml:space="preserve">23440078</t>
  </si>
  <si>
    <t xml:space="preserve">Business Support EU Subcontractors</t>
  </si>
  <si>
    <t xml:space="preserve">L9.DNZ.810.10.257</t>
  </si>
  <si>
    <t xml:space="preserve">C&amp;J 3 Water</t>
  </si>
  <si>
    <t xml:space="preserve">L9.DNZ.810.20907</t>
  </si>
  <si>
    <t xml:space="preserve">C1057 Road Maint. Services</t>
  </si>
  <si>
    <t xml:space="preserve">L9.DNZJ.551970</t>
  </si>
  <si>
    <t xml:space="preserve">551970</t>
  </si>
  <si>
    <t xml:space="preserve">C2090 5 KEY BRIDGES</t>
  </si>
  <si>
    <t xml:space="preserve">L9.J.17030204</t>
  </si>
  <si>
    <t xml:space="preserve">17030204</t>
  </si>
  <si>
    <t xml:space="preserve">C2C-D2 COOROY TO CURRA PACK 2</t>
  </si>
  <si>
    <t xml:space="preserve">L9.J.17093066</t>
  </si>
  <si>
    <t xml:space="preserve">17093066</t>
  </si>
  <si>
    <t xml:space="preserve">Cairns Clean</t>
  </si>
  <si>
    <t xml:space="preserve">L9.S.16011394</t>
  </si>
  <si>
    <t xml:space="preserve">16011394</t>
  </si>
  <si>
    <t xml:space="preserve">Cairns Estate Upkeep</t>
  </si>
  <si>
    <t xml:space="preserve">L9.S.16011398</t>
  </si>
  <si>
    <t xml:space="preserve">16011398</t>
  </si>
  <si>
    <t xml:space="preserve">Cairns Land</t>
  </si>
  <si>
    <t xml:space="preserve">L9.S.16011395</t>
  </si>
  <si>
    <t xml:space="preserve">16011395</t>
  </si>
  <si>
    <t xml:space="preserve">Cairns Regional - Water Mtring Ser</t>
  </si>
  <si>
    <t xml:space="preserve">L9.S.16013428</t>
  </si>
  <si>
    <t xml:space="preserve">16013428</t>
  </si>
  <si>
    <t xml:space="preserve">Cairns Transport</t>
  </si>
  <si>
    <t xml:space="preserve">L9.S.16011401</t>
  </si>
  <si>
    <t xml:space="preserve">16011401</t>
  </si>
  <si>
    <t xml:space="preserve">Calder Park Construction</t>
  </si>
  <si>
    <t xml:space="preserve">L9.J.70800008</t>
  </si>
  <si>
    <t xml:space="preserve">70800008</t>
  </si>
  <si>
    <t xml:space="preserve">Assign to RTS-706.776.791.726 - Proj Mgmt CMPS (Calder Park); RTS-70800008 - HCMT MSA, I&amp;C Parent</t>
  </si>
  <si>
    <t xml:space="preserve">2025/11/30</t>
  </si>
  <si>
    <t xml:space="preserve">Calder Park Light Service Facility</t>
  </si>
  <si>
    <t xml:space="preserve">CALLAGHAN LIBRARY REFURBISHMNT</t>
  </si>
  <si>
    <t xml:space="preserve">L9.DNZ.HW0230</t>
  </si>
  <si>
    <t xml:space="preserve">JP_HW0230</t>
  </si>
  <si>
    <t xml:space="preserve">70 Molesworth Street</t>
  </si>
  <si>
    <t xml:space="preserve">Thorndon</t>
  </si>
  <si>
    <t xml:space="preserve">-41.2767</t>
  </si>
  <si>
    <t xml:space="preserve">174.7785</t>
  </si>
  <si>
    <t xml:space="preserve">Cameron Road JV</t>
  </si>
  <si>
    <t xml:space="preserve">L9.DNZJ.559609</t>
  </si>
  <si>
    <t xml:space="preserve">559609</t>
  </si>
  <si>
    <t xml:space="preserve">TI-NZT-559609 - Cameron Road JV Roadmarking</t>
  </si>
  <si>
    <t xml:space="preserve">Campbell Park/ADFA Estate Upkeep</t>
  </si>
  <si>
    <t xml:space="preserve">L9.S.16011451</t>
  </si>
  <si>
    <t xml:space="preserve">16011451</t>
  </si>
  <si>
    <t xml:space="preserve">Canberra Training Bases Clean</t>
  </si>
  <si>
    <t xml:space="preserve">L9.S.16011457</t>
  </si>
  <si>
    <t xml:space="preserve">16011457</t>
  </si>
  <si>
    <t xml:space="preserve">Canberra Training Bases Est. Upkeep</t>
  </si>
  <si>
    <t xml:space="preserve">L9.S.16011461</t>
  </si>
  <si>
    <t xml:space="preserve">16011461</t>
  </si>
  <si>
    <t xml:space="preserve">Canberra Training Bases Land</t>
  </si>
  <si>
    <t xml:space="preserve">L9.S.16011458</t>
  </si>
  <si>
    <t xml:space="preserve">16011458</t>
  </si>
  <si>
    <t xml:space="preserve">Canberra Training Bases Mgt</t>
  </si>
  <si>
    <t xml:space="preserve">L9.S.16011456</t>
  </si>
  <si>
    <t xml:space="preserve">16011456</t>
  </si>
  <si>
    <t xml:space="preserve">Canberra Training Bases Range&amp;Trng</t>
  </si>
  <si>
    <t xml:space="preserve">L9.S.16011460</t>
  </si>
  <si>
    <t xml:space="preserve">16011460</t>
  </si>
  <si>
    <t xml:space="preserve">Canberra Training Bases Transport</t>
  </si>
  <si>
    <t xml:space="preserve">L9.S.16011464</t>
  </si>
  <si>
    <t xml:space="preserve">16011464</t>
  </si>
  <si>
    <t xml:space="preserve">L9.J.10920016</t>
  </si>
  <si>
    <t xml:space="preserve">COR-10920016</t>
  </si>
  <si>
    <t xml:space="preserve">L9 INX Workgroup</t>
  </si>
  <si>
    <t xml:space="preserve">Canning Vale Minor Works</t>
  </si>
  <si>
    <t xml:space="preserve">L9.J.301305</t>
  </si>
  <si>
    <t xml:space="preserve">2005</t>
  </si>
  <si>
    <t xml:space="preserve">-32.0704</t>
  </si>
  <si>
    <t xml:space="preserve">115.912018</t>
  </si>
  <si>
    <t xml:space="preserve">Cannington Emulsion</t>
  </si>
  <si>
    <t xml:space="preserve">L9.J.170926</t>
  </si>
  <si>
    <t xml:space="preserve">170926</t>
  </si>
  <si>
    <t xml:space="preserve">Cannington Emulsion Plant</t>
  </si>
  <si>
    <t xml:space="preserve">Emulsion Plant</t>
  </si>
  <si>
    <t xml:space="preserve">39</t>
  </si>
  <si>
    <t xml:space="preserve">59-65 Bickley Road</t>
  </si>
  <si>
    <t xml:space="preserve">Cannington</t>
  </si>
  <si>
    <t xml:space="preserve">6107</t>
  </si>
  <si>
    <t xml:space="preserve">-32.023</t>
  </si>
  <si>
    <t xml:space="preserve">115.949</t>
  </si>
  <si>
    <t xml:space="preserve">Canterbury Overhead</t>
  </si>
  <si>
    <t xml:space="preserve">L9.DNZJ.54942</t>
  </si>
  <si>
    <t xml:space="preserve">54942</t>
  </si>
  <si>
    <t xml:space="preserve">TI-NZT-54942 - Canterbury Overhead</t>
  </si>
  <si>
    <t xml:space="preserve">Canterbury People/Plant OSM</t>
  </si>
  <si>
    <t xml:space="preserve">L9.DNZJ.66200</t>
  </si>
  <si>
    <t xml:space="preserve">66200</t>
  </si>
  <si>
    <t xml:space="preserve">Canterbury Plant OSM</t>
  </si>
  <si>
    <t xml:space="preserve">L9.DNZJ.66212</t>
  </si>
  <si>
    <t xml:space="preserve">66212</t>
  </si>
  <si>
    <t xml:space="preserve">Canterbury-Cap Asphalt 16/17</t>
  </si>
  <si>
    <t xml:space="preserve">L9.DNZJ.554217</t>
  </si>
  <si>
    <t xml:space="preserve">554217</t>
  </si>
  <si>
    <t xml:space="preserve">Canungra Clean</t>
  </si>
  <si>
    <t xml:space="preserve">L9.S.16011373</t>
  </si>
  <si>
    <t xml:space="preserve">16011373</t>
  </si>
  <si>
    <t xml:space="preserve">Canungra Estate Upkeep</t>
  </si>
  <si>
    <t xml:space="preserve">L9.S.16011377</t>
  </si>
  <si>
    <t xml:space="preserve">16011377</t>
  </si>
  <si>
    <t xml:space="preserve">Canungra Land</t>
  </si>
  <si>
    <t xml:space="preserve">L9.S.16011374</t>
  </si>
  <si>
    <t xml:space="preserve">16011374</t>
  </si>
  <si>
    <t xml:space="preserve">Canungra Range &amp; Training</t>
  </si>
  <si>
    <t xml:space="preserve">L9.S.16011376</t>
  </si>
  <si>
    <t xml:space="preserve">16011376</t>
  </si>
  <si>
    <t xml:space="preserve">Canungra Transport</t>
  </si>
  <si>
    <t xml:space="preserve">L9.S.16011380</t>
  </si>
  <si>
    <t xml:space="preserve">16011380</t>
  </si>
  <si>
    <t xml:space="preserve">Capability</t>
  </si>
  <si>
    <t xml:space="preserve">L9.J.170842</t>
  </si>
  <si>
    <t xml:space="preserve">170842</t>
  </si>
  <si>
    <t xml:space="preserve">Capital Coast Kenepuru - 45002542</t>
  </si>
  <si>
    <t xml:space="preserve">L9.S.24000126</t>
  </si>
  <si>
    <t xml:space="preserve">2000004522</t>
  </si>
  <si>
    <t xml:space="preserve">Cardiff - Rail</t>
  </si>
  <si>
    <t xml:space="preserve">L9.J.709301</t>
  </si>
  <si>
    <t xml:space="preserve">460 Main Road</t>
  </si>
  <si>
    <t xml:space="preserve">Glendale</t>
  </si>
  <si>
    <t xml:space="preserve">-32.93</t>
  </si>
  <si>
    <t xml:space="preserve">151.648</t>
  </si>
  <si>
    <t xml:space="preserve">CARDIFF FACILITIES MAINTENANCE</t>
  </si>
  <si>
    <t xml:space="preserve">L9.J.709310</t>
  </si>
  <si>
    <t xml:space="preserve">709310</t>
  </si>
  <si>
    <t xml:space="preserve">CARDIFF OVERHEADS</t>
  </si>
  <si>
    <t xml:space="preserve">709301</t>
  </si>
  <si>
    <t xml:space="preserve">CAT Facility Maint Electrician</t>
  </si>
  <si>
    <t xml:space="preserve">L9.S.16016454</t>
  </si>
  <si>
    <t xml:space="preserve">16016454</t>
  </si>
  <si>
    <t xml:space="preserve">Catering - NSW</t>
  </si>
  <si>
    <t xml:space="preserve">9135</t>
  </si>
  <si>
    <t xml:space="preserve">CATHLAB 1 FITOUT</t>
  </si>
  <si>
    <t xml:space="preserve">L9.DNZ.HC0353</t>
  </si>
  <si>
    <t xml:space="preserve">JP_HC0353</t>
  </si>
  <si>
    <t xml:space="preserve">CB103-Stockland Mob</t>
  </si>
  <si>
    <t xml:space="preserve">L9.S.16018077</t>
  </si>
  <si>
    <t xml:space="preserve">16018077</t>
  </si>
  <si>
    <t xml:space="preserve">CCA NZ (FM) 45003859</t>
  </si>
  <si>
    <t xml:space="preserve">L9.S.24000333</t>
  </si>
  <si>
    <t xml:space="preserve">2000005088</t>
  </si>
  <si>
    <t xml:space="preserve">CCANZ Overhead</t>
  </si>
  <si>
    <t xml:space="preserve">24000333</t>
  </si>
  <si>
    <t xml:space="preserve">CCC Water Main Renewals Ilam</t>
  </si>
  <si>
    <t xml:space="preserve">L9.DNZJ.DS2664</t>
  </si>
  <si>
    <t xml:space="preserve">JP_DS2664</t>
  </si>
  <si>
    <t xml:space="preserve">532 Blenheim Road</t>
  </si>
  <si>
    <t xml:space="preserve">Sockburn</t>
  </si>
  <si>
    <t xml:space="preserve">-43.539</t>
  </si>
  <si>
    <t xml:space="preserve">172.5588</t>
  </si>
  <si>
    <t xml:space="preserve">CCEP NSW Ops Mgmt Serv Del</t>
  </si>
  <si>
    <t xml:space="preserve">L9.S.16012455</t>
  </si>
  <si>
    <t xml:space="preserve">16012455</t>
  </si>
  <si>
    <t xml:space="preserve">CCEP VIC Operations Serv Del</t>
  </si>
  <si>
    <t xml:space="preserve">L9.S.16012464</t>
  </si>
  <si>
    <t xml:space="preserve">16012464</t>
  </si>
  <si>
    <t xml:space="preserve">Ceduna</t>
  </si>
  <si>
    <t xml:space="preserve">L9.J.170251</t>
  </si>
  <si>
    <t xml:space="preserve">8 Eyre Highway</t>
  </si>
  <si>
    <t xml:space="preserve">5690</t>
  </si>
  <si>
    <t xml:space="preserve">SA Road Maintenance Contract (North)</t>
  </si>
  <si>
    <t xml:space="preserve">Cell Towers</t>
  </si>
  <si>
    <t xml:space="preserve">L9.DNZJ.91999</t>
  </si>
  <si>
    <t xml:space="preserve">91999</t>
  </si>
  <si>
    <t xml:space="preserve">Central Coast - Water Mtr Serv</t>
  </si>
  <si>
    <t xml:space="preserve">L9.S.16013425</t>
  </si>
  <si>
    <t xml:space="preserve">16013425</t>
  </si>
  <si>
    <t xml:space="preserve">Central Corrections</t>
  </si>
  <si>
    <t xml:space="preserve">L9.DNZ.810.10.133</t>
  </si>
  <si>
    <t xml:space="preserve">10133</t>
  </si>
  <si>
    <t xml:space="preserve">10.133</t>
  </si>
  <si>
    <t xml:space="preserve">Central CorrectionsDEL</t>
  </si>
  <si>
    <t xml:space="preserve">L9.DNZJ.10133</t>
  </si>
  <si>
    <t xml:space="preserve">Central Food AOR</t>
  </si>
  <si>
    <t xml:space="preserve">L9.S.26019477</t>
  </si>
  <si>
    <t xml:space="preserve">2000005065</t>
  </si>
  <si>
    <t xml:space="preserve">Central Hawkes Bay (2020) -RCM</t>
  </si>
  <si>
    <t xml:space="preserve">L9.DNZJ.55197</t>
  </si>
  <si>
    <t xml:space="preserve">55197</t>
  </si>
  <si>
    <t xml:space="preserve">Central Otago Telco Ops</t>
  </si>
  <si>
    <t xml:space="preserve">L9.DNZ.810.10.124</t>
  </si>
  <si>
    <t xml:space="preserve">10124</t>
  </si>
  <si>
    <t xml:space="preserve">10.124</t>
  </si>
  <si>
    <t xml:space="preserve">Central Region Bundle 1</t>
  </si>
  <si>
    <t xml:space="preserve">L9.J.37740130</t>
  </si>
  <si>
    <t xml:space="preserve">37740130</t>
  </si>
  <si>
    <t xml:space="preserve">Central Regional</t>
  </si>
  <si>
    <t xml:space="preserve">L9.DNZ.810.10.134</t>
  </si>
  <si>
    <t xml:space="preserve">10134</t>
  </si>
  <si>
    <t xml:space="preserve">10.134</t>
  </si>
  <si>
    <t xml:space="preserve">Central RegionalDEL</t>
  </si>
  <si>
    <t xml:space="preserve">L9.DNZJ.10134</t>
  </si>
  <si>
    <t xml:space="preserve">CH0102-Orange SD Security</t>
  </si>
  <si>
    <t xml:space="preserve">L9.S.16016300</t>
  </si>
  <si>
    <t xml:space="preserve">16016300</t>
  </si>
  <si>
    <t xml:space="preserve">Channel Island C6 Overhaul</t>
  </si>
  <si>
    <t xml:space="preserve">L9.J.38210069</t>
  </si>
  <si>
    <t xml:space="preserve">38210069</t>
  </si>
  <si>
    <t xml:space="preserve">Chatham Islands Airport - L&amp;S</t>
  </si>
  <si>
    <t xml:space="preserve">L9.DNZJ.DS2668</t>
  </si>
  <si>
    <t xml:space="preserve">JP_DS2668</t>
  </si>
  <si>
    <t xml:space="preserve">ChCh EQ SCIRT Work</t>
  </si>
  <si>
    <t xml:space="preserve">8150</t>
  </si>
  <si>
    <t xml:space="preserve">CHCH PERFORMING ARTS PRECINCT</t>
  </si>
  <si>
    <t xml:space="preserve">L9.DNZ.HS0164</t>
  </si>
  <si>
    <t xml:space="preserve">JP_HS0164</t>
  </si>
  <si>
    <t xml:space="preserve">ChCh Plant</t>
  </si>
  <si>
    <t xml:space="preserve">L9.DNZJ.8103</t>
  </si>
  <si>
    <t xml:space="preserve">8103</t>
  </si>
  <si>
    <t xml:space="preserve">397 McLeans Island Road</t>
  </si>
  <si>
    <t xml:space="preserve">McLeans Island</t>
  </si>
  <si>
    <t xml:space="preserve">Chevron EU Subcontractors</t>
  </si>
  <si>
    <t xml:space="preserve">L9.ENG.360.12905</t>
  </si>
  <si>
    <t xml:space="preserve">Chevron FM Wheatstone</t>
  </si>
  <si>
    <t xml:space="preserve">L9.J.38200016</t>
  </si>
  <si>
    <t xml:space="preserve">38200016</t>
  </si>
  <si>
    <t xml:space="preserve">Chinchilla Banana Bridge Substatn</t>
  </si>
  <si>
    <t xml:space="preserve">L9.J.37130001</t>
  </si>
  <si>
    <t xml:space="preserve">37130001</t>
  </si>
  <si>
    <t xml:space="preserve">Chinchilla BESS</t>
  </si>
  <si>
    <t xml:space="preserve">37740098</t>
  </si>
  <si>
    <t xml:space="preserve">Chinderah Spray Services</t>
  </si>
  <si>
    <t xml:space="preserve">L9.J.170781</t>
  </si>
  <si>
    <t xml:space="preserve">170781</t>
  </si>
  <si>
    <t xml:space="preserve">Chip Sealing - Lower South</t>
  </si>
  <si>
    <t xml:space="preserve">L9.DNZJ.55390</t>
  </si>
  <si>
    <t xml:space="preserve">55390</t>
  </si>
  <si>
    <t xml:space="preserve">Chorus FSA 25-30 EU Subcontractors</t>
  </si>
  <si>
    <t xml:space="preserve">L9.DNZ.810.10.034</t>
  </si>
  <si>
    <t xml:space="preserve">Chorus FSA Transition</t>
  </si>
  <si>
    <t xml:space="preserve">10034</t>
  </si>
  <si>
    <t xml:space="preserve">10.034</t>
  </si>
  <si>
    <t xml:space="preserve">Chorus RBI</t>
  </si>
  <si>
    <t xml:space="preserve">L9.DNZ.810.10.246</t>
  </si>
  <si>
    <t xml:space="preserve">10246</t>
  </si>
  <si>
    <t xml:space="preserve">10.246</t>
  </si>
  <si>
    <t xml:space="preserve">Christchurch (118 Salisbury St</t>
  </si>
  <si>
    <t xml:space="preserve">Residential</t>
  </si>
  <si>
    <t xml:space="preserve">L9.DNZJ.91408</t>
  </si>
  <si>
    <t xml:space="preserve">91408</t>
  </si>
  <si>
    <t xml:space="preserve">COR-NZHO-91408 - Christchurch (118 Salisbury St</t>
  </si>
  <si>
    <t xml:space="preserve">Christchurch (133 Cavendish Rd</t>
  </si>
  <si>
    <t xml:space="preserve">Storage</t>
  </si>
  <si>
    <t xml:space="preserve">L9.DNZJ.91393</t>
  </si>
  <si>
    <t xml:space="preserve">91393</t>
  </si>
  <si>
    <t xml:space="preserve">COR-91393 - Christchurch (133 Cavendish Rd
T&amp;I Setdown Area
Metered temporary - Site Shed  133 Cavendish Road  Redwood  Christchurch</t>
  </si>
  <si>
    <t xml:space="preserve">Christchurch (40 Ballarat Way)</t>
  </si>
  <si>
    <t xml:space="preserve">L9.DNZJ.91423</t>
  </si>
  <si>
    <t xml:space="preserve">91423</t>
  </si>
  <si>
    <t xml:space="preserve">40 Ballarat Way</t>
  </si>
  <si>
    <t xml:space="preserve">Wigram</t>
  </si>
  <si>
    <t xml:space="preserve">Christchurch Build</t>
  </si>
  <si>
    <t xml:space="preserve">L9.DNZ.810.10.232</t>
  </si>
  <si>
    <t xml:space="preserve">10232</t>
  </si>
  <si>
    <t xml:space="preserve">10.232</t>
  </si>
  <si>
    <t xml:space="preserve">Christchurch Chorus M&amp;P</t>
  </si>
  <si>
    <t xml:space="preserve">L9.DNZ.810.10.188</t>
  </si>
  <si>
    <t xml:space="preserve">10188</t>
  </si>
  <si>
    <t xml:space="preserve">10.188</t>
  </si>
  <si>
    <t xml:space="preserve">Christchurch Depot(McLeans Is)</t>
  </si>
  <si>
    <t xml:space="preserve">55650</t>
  </si>
  <si>
    <t xml:space="preserve">397 Mcleans Island Road</t>
  </si>
  <si>
    <t xml:space="preserve">Mcleans Island</t>
  </si>
  <si>
    <t xml:space="preserve">-43.4761</t>
  </si>
  <si>
    <t xml:space="preserve">172.5161</t>
  </si>
  <si>
    <t xml:space="preserve">Christchurch ISP</t>
  </si>
  <si>
    <t xml:space="preserve">L9.DNZ.810.10.181</t>
  </si>
  <si>
    <t xml:space="preserve">10181</t>
  </si>
  <si>
    <t xml:space="preserve">10.181</t>
  </si>
  <si>
    <t xml:space="preserve">Christchurch ISP EU Subcontractors</t>
  </si>
  <si>
    <t xml:space="preserve">L9.DNZJ.10181</t>
  </si>
  <si>
    <t xml:space="preserve">Christchurch Laboratory</t>
  </si>
  <si>
    <t xml:space="preserve">3523</t>
  </si>
  <si>
    <t xml:space="preserve">Christchurch Maintenance (FM) - 45002890</t>
  </si>
  <si>
    <t xml:space="preserve">L9.S.24000259</t>
  </si>
  <si>
    <t xml:space="preserve">2000004704</t>
  </si>
  <si>
    <t xml:space="preserve">Christchurch Mob/Maint/Build</t>
  </si>
  <si>
    <t xml:space="preserve">L9.DNZ.810.10.248</t>
  </si>
  <si>
    <t xml:space="preserve">10248</t>
  </si>
  <si>
    <t xml:space="preserve">10.248</t>
  </si>
  <si>
    <t xml:space="preserve">Christchurch Mob/Maint/Build EU Subcontractors</t>
  </si>
  <si>
    <t xml:space="preserve">L9.DNZ.810.20568</t>
  </si>
  <si>
    <t xml:space="preserve">Christchurch Operations 45003019</t>
  </si>
  <si>
    <t xml:space="preserve">L9.S.26016955</t>
  </si>
  <si>
    <t xml:space="preserve">2000004652</t>
  </si>
  <si>
    <t xml:space="preserve">Christchurch Vodafone OSP</t>
  </si>
  <si>
    <t xml:space="preserve">L9.DNZ.810.10.182</t>
  </si>
  <si>
    <t xml:space="preserve">10182</t>
  </si>
  <si>
    <t xml:space="preserve">10.182</t>
  </si>
  <si>
    <t xml:space="preserve">Ciber Mobile Asphalt Plant</t>
  </si>
  <si>
    <t xml:space="preserve">3512</t>
  </si>
  <si>
    <t xml:space="preserve">CIT One NZ EU Subcontractors</t>
  </si>
  <si>
    <t xml:space="preserve">L9.DNZ.810.21026</t>
  </si>
  <si>
    <t xml:space="preserve">CIT Other EU Subcontractors</t>
  </si>
  <si>
    <t xml:space="preserve">CIT Spark EU Subcontractors</t>
  </si>
  <si>
    <t xml:space="preserve">City of Melton Roads and Drainage Asset Maintenanc</t>
  </si>
  <si>
    <t xml:space="preserve">L9.J.170232</t>
  </si>
  <si>
    <t xml:space="preserve">City of Yarra Streets Serv Del</t>
  </si>
  <si>
    <t xml:space="preserve">L9.S.16012018</t>
  </si>
  <si>
    <t xml:space="preserve">16012018</t>
  </si>
  <si>
    <t xml:space="preserve">CityLink</t>
  </si>
  <si>
    <t xml:space="preserve">L9.J.170269</t>
  </si>
  <si>
    <t xml:space="preserve">Citylink &amp; WGT</t>
  </si>
  <si>
    <t xml:space="preserve">L9.J.17021307</t>
  </si>
  <si>
    <t xml:space="preserve">17021307</t>
  </si>
  <si>
    <t xml:space="preserve">Citylink &amp; WGT Inc Resp &amp; Main</t>
  </si>
  <si>
    <t xml:space="preserve">170269</t>
  </si>
  <si>
    <t xml:space="preserve">Civil Maintenance OH</t>
  </si>
  <si>
    <t xml:space="preserve">L9.J.170285</t>
  </si>
  <si>
    <t xml:space="preserve">170285</t>
  </si>
  <si>
    <t xml:space="preserve">Clare SF O&amp;M</t>
  </si>
  <si>
    <t xml:space="preserve">L9.J.38600004</t>
  </si>
  <si>
    <t xml:space="preserve">38600004</t>
  </si>
  <si>
    <t xml:space="preserve">Clare Solar Farm</t>
  </si>
  <si>
    <t xml:space="preserve">L9.J.24130039</t>
  </si>
  <si>
    <t xml:space="preserve">24130039</t>
  </si>
  <si>
    <t xml:space="preserve">CLIFTON COURT STREETSCAPE</t>
  </si>
  <si>
    <t xml:space="preserve">L9.DNZJ.553348</t>
  </si>
  <si>
    <t xml:space="preserve">553348</t>
  </si>
  <si>
    <t xml:space="preserve">CLOSED</t>
  </si>
  <si>
    <t xml:space="preserve">CLOSED_NZ_Tuvalu</t>
  </si>
  <si>
    <t xml:space="preserve">L9.DNZJ.300208</t>
  </si>
  <si>
    <t xml:space="preserve">300208</t>
  </si>
  <si>
    <t xml:space="preserve">TI-NZT-300208 - Pacific Recharge - Tuvalu</t>
  </si>
  <si>
    <t xml:space="preserve">Funafuti</t>
  </si>
  <si>
    <t xml:space="preserve">Tuvalu</t>
  </si>
  <si>
    <t xml:space="preserve">2025/08/01</t>
  </si>
  <si>
    <t xml:space="preserve">Clyde Road Early Works</t>
  </si>
  <si>
    <t xml:space="preserve">L9.J.24190252</t>
  </si>
  <si>
    <t xml:space="preserve">24190252</t>
  </si>
  <si>
    <t xml:space="preserve">CMC Eraring Maintenance FY25</t>
  </si>
  <si>
    <t xml:space="preserve">L9.J.38243024</t>
  </si>
  <si>
    <t xml:space="preserve">38243024</t>
  </si>
  <si>
    <t xml:space="preserve">CNOC Rehabs</t>
  </si>
  <si>
    <t xml:space="preserve">L9.DNZJ.550728</t>
  </si>
  <si>
    <t xml:space="preserve">550728</t>
  </si>
  <si>
    <t xml:space="preserve">Coastal Lakes College</t>
  </si>
  <si>
    <t xml:space="preserve">Coca Cola Amatil</t>
  </si>
  <si>
    <t xml:space="preserve">Coliban Water - Water Metering Ser</t>
  </si>
  <si>
    <t xml:space="preserve">L9.S.16013436</t>
  </si>
  <si>
    <t xml:space="preserve">16013436</t>
  </si>
  <si>
    <t xml:space="preserve">Collins St - IS-Roads Head Office</t>
  </si>
  <si>
    <t xml:space="preserve">L9.J.170228</t>
  </si>
  <si>
    <t xml:space="preserve">Consolidation of 303 Collins St &amp; Port Melbourne offices from 22/05/2017</t>
  </si>
  <si>
    <t xml:space="preserve">-37.819</t>
  </si>
  <si>
    <t xml:space="preserve">144.956</t>
  </si>
  <si>
    <t xml:space="preserve">2017/05/22</t>
  </si>
  <si>
    <t xml:space="preserve">Colongra Maintenance</t>
  </si>
  <si>
    <t xml:space="preserve">L9.J.38220072</t>
  </si>
  <si>
    <t xml:space="preserve">38220072</t>
  </si>
  <si>
    <t xml:space="preserve">L9.DNZJ.63930</t>
  </si>
  <si>
    <t xml:space="preserve">63930</t>
  </si>
  <si>
    <t xml:space="preserve">Commercial &amp; Finance</t>
  </si>
  <si>
    <t xml:space="preserve">55908</t>
  </si>
  <si>
    <t xml:space="preserve">Commercial and Risk</t>
  </si>
  <si>
    <t xml:space="preserve">L9.DNZJ.56904</t>
  </si>
  <si>
    <t xml:space="preserve">56904</t>
  </si>
  <si>
    <t xml:space="preserve">Commercial Solar EU Subcontractors</t>
  </si>
  <si>
    <t xml:space="preserve">L9.J.50129994</t>
  </si>
  <si>
    <t xml:space="preserve">Communications</t>
  </si>
  <si>
    <t xml:space="preserve">9032</t>
  </si>
  <si>
    <t xml:space="preserve">Compliance Management</t>
  </si>
  <si>
    <t xml:space="preserve">L9.DNZ.810.10.129</t>
  </si>
  <si>
    <t xml:space="preserve">10129</t>
  </si>
  <si>
    <t xml:space="preserve">10.129</t>
  </si>
  <si>
    <t xml:space="preserve">Concrete Pavement Recycling</t>
  </si>
  <si>
    <t xml:space="preserve">L9.J.170731</t>
  </si>
  <si>
    <t xml:space="preserve">170731</t>
  </si>
  <si>
    <t xml:space="preserve">Confluence - Plant Pool</t>
  </si>
  <si>
    <t xml:space="preserve">L9.J.241607</t>
  </si>
  <si>
    <t xml:space="preserve">241607</t>
  </si>
  <si>
    <t xml:space="preserve">Confluence Water JV</t>
  </si>
  <si>
    <t xml:space="preserve">L9</t>
  </si>
  <si>
    <t xml:space="preserve">UTIL-241606</t>
  </si>
  <si>
    <t xml:space="preserve">Connect Blenheim EU Subcontractors</t>
  </si>
  <si>
    <t xml:space="preserve">L9.DNZ.810.20920</t>
  </si>
  <si>
    <t xml:space="preserve">Connect Canterbury EU Subcontractors</t>
  </si>
  <si>
    <t xml:space="preserve">L9.DNZ.810.20918</t>
  </si>
  <si>
    <t xml:space="preserve">Connect Canterbury V2 EU Subcontractors</t>
  </si>
  <si>
    <t xml:space="preserve">L9.DNZJ.10187</t>
  </si>
  <si>
    <t xml:space="preserve">Connect Central Otago/Lakes v2 EU Subcontractors</t>
  </si>
  <si>
    <t xml:space="preserve">L9.DNZ.810.20993</t>
  </si>
  <si>
    <t xml:space="preserve">Connect CSA01 MDU/ROW Build EU Subcontractors</t>
  </si>
  <si>
    <t xml:space="preserve">L9.DNZ.810.20974</t>
  </si>
  <si>
    <t xml:space="preserve">Connect Dunedin v2 EU Subcontractors</t>
  </si>
  <si>
    <t xml:space="preserve">L9.DNZ.810.10.225</t>
  </si>
  <si>
    <t xml:space="preserve">Connect Invercargill EU Subcontractors</t>
  </si>
  <si>
    <t xml:space="preserve">L9.DNZ.810.20914</t>
  </si>
  <si>
    <t xml:space="preserve">Connect Nelson EU Subcontractors</t>
  </si>
  <si>
    <t xml:space="preserve">L9.DNZ.810.21021</t>
  </si>
  <si>
    <t xml:space="preserve">Connect Nelson/ EU Subcontractors</t>
  </si>
  <si>
    <t xml:space="preserve">L9.DNZJ.10076</t>
  </si>
  <si>
    <t xml:space="preserve">Connect Nelson/Tasman EU Subcontractors</t>
  </si>
  <si>
    <t xml:space="preserve">L9.DNZ.810.20919</t>
  </si>
  <si>
    <t xml:space="preserve">Connect Timaru V2 EU Subcontractors</t>
  </si>
  <si>
    <t xml:space="preserve">L9.DNZ.810.21004</t>
  </si>
  <si>
    <t xml:space="preserve">Connect West Coast EU Subcontractors</t>
  </si>
  <si>
    <t xml:space="preserve">L9.DNZ.810.20921</t>
  </si>
  <si>
    <t xml:space="preserve">Construct Staff - MMA</t>
  </si>
  <si>
    <t xml:space="preserve">L9.DNZJ.8882</t>
  </si>
  <si>
    <t xml:space="preserve">8882</t>
  </si>
  <si>
    <t xml:space="preserve">Construct Staff - TAT</t>
  </si>
  <si>
    <t xml:space="preserve">L9.DNZJ.8135</t>
  </si>
  <si>
    <t xml:space="preserve">8135</t>
  </si>
  <si>
    <t xml:space="preserve">TI-NZT-8135 - Construct Staff - TAT</t>
  </si>
  <si>
    <t xml:space="preserve">Construct Staff - TREC</t>
  </si>
  <si>
    <t xml:space="preserve">L9.DNZJ.8881</t>
  </si>
  <si>
    <t xml:space="preserve">8881</t>
  </si>
  <si>
    <t xml:space="preserve">TI-NZT - Transport Projects North Support Costs</t>
  </si>
  <si>
    <t xml:space="preserve">Construct Staff-Major Projects</t>
  </si>
  <si>
    <t xml:space="preserve">Construction - Otago</t>
  </si>
  <si>
    <t xml:space="preserve">L9.DNZJ.55377</t>
  </si>
  <si>
    <t xml:space="preserve">55377</t>
  </si>
  <si>
    <t xml:space="preserve">Construction - Taranaki</t>
  </si>
  <si>
    <t xml:space="preserve">Construction - Tasman</t>
  </si>
  <si>
    <t xml:space="preserve">L9.DNZJ.55310</t>
  </si>
  <si>
    <t xml:space="preserve">55310</t>
  </si>
  <si>
    <t xml:space="preserve">Construction (Hawkes Bay)</t>
  </si>
  <si>
    <t xml:space="preserve">L9.DNZJ.55185</t>
  </si>
  <si>
    <t xml:space="preserve">55185</t>
  </si>
  <si>
    <t xml:space="preserve">265 Wakefield Street</t>
  </si>
  <si>
    <t xml:space="preserve">Marion Square</t>
  </si>
  <si>
    <t xml:space="preserve">6141</t>
  </si>
  <si>
    <t xml:space="preserve">-41.2923002</t>
  </si>
  <si>
    <t xml:space="preserve">174.7831453</t>
  </si>
  <si>
    <t xml:space="preserve">Construction EU Subcontractors</t>
  </si>
  <si>
    <t xml:space="preserve">L9.S.UECONSTR00</t>
  </si>
  <si>
    <t xml:space="preserve">Construction National DOH</t>
  </si>
  <si>
    <t xml:space="preserve">L9.DNZJ.56790</t>
  </si>
  <si>
    <t xml:space="preserve">56790</t>
  </si>
  <si>
    <t xml:space="preserve">Construction Otago/Southland EU Subcontractors</t>
  </si>
  <si>
    <t xml:space="preserve">L9.DNZJ.56138</t>
  </si>
  <si>
    <t xml:space="preserve">Construction South</t>
  </si>
  <si>
    <t xml:space="preserve">L9.DNZJ.8140</t>
  </si>
  <si>
    <t xml:space="preserve">8140</t>
  </si>
  <si>
    <t xml:space="preserve">Construction Staff</t>
  </si>
  <si>
    <t xml:space="preserve">8104</t>
  </si>
  <si>
    <t xml:space="preserve">Construction Staff - MP</t>
  </si>
  <si>
    <t xml:space="preserve">L9.DNZJ.8880</t>
  </si>
  <si>
    <t xml:space="preserve">8880</t>
  </si>
  <si>
    <t xml:space="preserve">Construction Staff 2</t>
  </si>
  <si>
    <t xml:space="preserve">8840</t>
  </si>
  <si>
    <t xml:space="preserve">Construction Staff North</t>
  </si>
  <si>
    <t xml:space="preserve">Construction Staff South</t>
  </si>
  <si>
    <t xml:space="preserve">Construction Vic</t>
  </si>
  <si>
    <t xml:space="preserve">170238</t>
  </si>
  <si>
    <t xml:space="preserve">Construction-Central</t>
  </si>
  <si>
    <t xml:space="preserve">L9.DNZJ.55397</t>
  </si>
  <si>
    <t xml:space="preserve">55397</t>
  </si>
  <si>
    <t xml:space="preserve">Contract Management</t>
  </si>
  <si>
    <t xml:space="preserve">L9.J.241915</t>
  </si>
  <si>
    <t xml:space="preserve">241915</t>
  </si>
  <si>
    <t xml:space="preserve">Contracting - Lismore</t>
  </si>
  <si>
    <t xml:space="preserve">L9.J.170426</t>
  </si>
  <si>
    <t xml:space="preserve">170426</t>
  </si>
  <si>
    <t xml:space="preserve">Contracting - Metro North</t>
  </si>
  <si>
    <t xml:space="preserve">L9.J.170432</t>
  </si>
  <si>
    <t xml:space="preserve">170432</t>
  </si>
  <si>
    <t xml:space="preserve">Contracting - Metro South</t>
  </si>
  <si>
    <t xml:space="preserve">L9.J.170430</t>
  </si>
  <si>
    <t xml:space="preserve">170430</t>
  </si>
  <si>
    <t xml:space="preserve">Contracting - Sunshine Coast</t>
  </si>
  <si>
    <t xml:space="preserve">L9.J.170431</t>
  </si>
  <si>
    <t xml:space="preserve">170431</t>
  </si>
  <si>
    <t xml:space="preserve">Contracting Services B</t>
  </si>
  <si>
    <t xml:space="preserve">L9.J.170129</t>
  </si>
  <si>
    <t xml:space="preserve">170129</t>
  </si>
  <si>
    <t xml:space="preserve">Contracting Services T</t>
  </si>
  <si>
    <t xml:space="preserve">L9.J.170127</t>
  </si>
  <si>
    <t xml:space="preserve">170127</t>
  </si>
  <si>
    <t xml:space="preserve">Coober Pedy Depot</t>
  </si>
  <si>
    <t xml:space="preserve">L9.J.17021040</t>
  </si>
  <si>
    <t xml:space="preserve">17021040</t>
  </si>
  <si>
    <t xml:space="preserve">Cooper Pedy depot owned by DIT, co shared shared with SARS</t>
  </si>
  <si>
    <t xml:space="preserve">Lot 1305 Hutchinson Street,</t>
  </si>
  <si>
    <t xml:space="preserve">Cooper Pedy</t>
  </si>
  <si>
    <t xml:space="preserve">5723</t>
  </si>
  <si>
    <t xml:space="preserve">Coolpak Coldstores</t>
  </si>
  <si>
    <t xml:space="preserve">Cold Storage</t>
  </si>
  <si>
    <t xml:space="preserve">L9.DNZ.HS0172</t>
  </si>
  <si>
    <t xml:space="preserve">Copy of _AI Testing</t>
  </si>
  <si>
    <t xml:space="preserve">Copy of _CLOSED_ AGIS Braddon</t>
  </si>
  <si>
    <t xml:space="preserve">Coromandel - SP 123</t>
  </si>
  <si>
    <t xml:space="preserve">L9.DUN.60123</t>
  </si>
  <si>
    <t xml:space="preserve">PG60123</t>
  </si>
  <si>
    <t xml:space="preserve">Corporate - Offices (Cairns QLD)</t>
  </si>
  <si>
    <t xml:space="preserve">89 Cook Street</t>
  </si>
  <si>
    <t xml:space="preserve">-16.942656</t>
  </si>
  <si>
    <t xml:space="preserve">145.772011</t>
  </si>
  <si>
    <t xml:space="preserve">Corporate - Offices (Townsville QLD)</t>
  </si>
  <si>
    <t xml:space="preserve">L9.J.150100</t>
  </si>
  <si>
    <t xml:space="preserve">15-19 Dalrymple Rd</t>
  </si>
  <si>
    <t xml:space="preserve">-19.26649</t>
  </si>
  <si>
    <t xml:space="preserve">146.780871</t>
  </si>
  <si>
    <t xml:space="preserve">Corporate Plant Pool</t>
  </si>
  <si>
    <t xml:space="preserve">L9.J.351101</t>
  </si>
  <si>
    <t xml:space="preserve">Includes shared services pool, plant from divestments and others that could not be allocated to divisions.</t>
  </si>
  <si>
    <t xml:space="preserve">Corporate Strategy</t>
  </si>
  <si>
    <t xml:space="preserve">L9.S.12000332</t>
  </si>
  <si>
    <t xml:space="preserve">12000332</t>
  </si>
  <si>
    <t xml:space="preserve">Corrections&amp;Justice - Recharge</t>
  </si>
  <si>
    <t xml:space="preserve">L9.DNZ.810.10.139</t>
  </si>
  <si>
    <t xml:space="preserve">1993</t>
  </si>
  <si>
    <t xml:space="preserve">CP - Direct Connect Container</t>
  </si>
  <si>
    <t xml:space="preserve">L9.DNZJ.552407</t>
  </si>
  <si>
    <t xml:space="preserve">552407</t>
  </si>
  <si>
    <t xml:space="preserve">CPT North - Unit Rates BU</t>
  </si>
  <si>
    <t xml:space="preserve">L9.J.24180042</t>
  </si>
  <si>
    <t xml:space="preserve">24180042</t>
  </si>
  <si>
    <t xml:space="preserve">CPT North Project Work Orders</t>
  </si>
  <si>
    <t xml:space="preserve">L9.J.24180004</t>
  </si>
  <si>
    <t xml:space="preserve">24180004</t>
  </si>
  <si>
    <t xml:space="preserve">CRL3 - Lease P&amp;L</t>
  </si>
  <si>
    <t xml:space="preserve">11632</t>
  </si>
  <si>
    <t xml:space="preserve">CROFTON DOWNS PRIMARY SCHOOL</t>
  </si>
  <si>
    <t xml:space="preserve">L9.DNZ.HW0219</t>
  </si>
  <si>
    <t xml:space="preserve">JP_HW0219</t>
  </si>
  <si>
    <t xml:space="preserve">Cromwell WWTP</t>
  </si>
  <si>
    <t xml:space="preserve">L9.DNZJ.PS2632</t>
  </si>
  <si>
    <t xml:space="preserve">PS2632</t>
  </si>
  <si>
    <t xml:space="preserve">CS - City of Melbourne - Street Cleaning</t>
  </si>
  <si>
    <t xml:space="preserve">L9.S.14000697</t>
  </si>
  <si>
    <t xml:space="preserve">Street Cleaning</t>
  </si>
  <si>
    <t xml:space="preserve">CS Energy Alliance EU Subcontractors</t>
  </si>
  <si>
    <t xml:space="preserve">L9.J.38215119</t>
  </si>
  <si>
    <t xml:space="preserve">CS0101-Food Safety</t>
  </si>
  <si>
    <t xml:space="preserve">L9.S.11000700</t>
  </si>
  <si>
    <t xml:space="preserve">11000700</t>
  </si>
  <si>
    <t xml:space="preserve">CS0201 - Call Centres NZ</t>
  </si>
  <si>
    <t xml:space="preserve">L9.S.21030283</t>
  </si>
  <si>
    <t xml:space="preserve">21030283</t>
  </si>
  <si>
    <t xml:space="preserve">CS0201 - Downer Direct NZ</t>
  </si>
  <si>
    <t xml:space="preserve">CSA02 Connect MDU/ROW Build EU Subcontractors</t>
  </si>
  <si>
    <t xml:space="preserve">L9.DNZ.810.20975</t>
  </si>
  <si>
    <t xml:space="preserve">CSL Build Maint Serv Del</t>
  </si>
  <si>
    <t xml:space="preserve">L9.S.16016269</t>
  </si>
  <si>
    <t xml:space="preserve">16016269</t>
  </si>
  <si>
    <t xml:space="preserve">CSL Grounds Services Serv Del</t>
  </si>
  <si>
    <t xml:space="preserve">L9.S.16016272</t>
  </si>
  <si>
    <t xml:space="preserve">16016272</t>
  </si>
  <si>
    <t xml:space="preserve">CSL Proj Mgt Serv Del</t>
  </si>
  <si>
    <t xml:space="preserve">L9.S.16016256</t>
  </si>
  <si>
    <t xml:space="preserve">16016256</t>
  </si>
  <si>
    <t xml:space="preserve">Culverden (26 Lyndon St)</t>
  </si>
  <si>
    <t xml:space="preserve">L9.DNZJ.91325</t>
  </si>
  <si>
    <t xml:space="preserve">91325</t>
  </si>
  <si>
    <t xml:space="preserve">Culverden</t>
  </si>
  <si>
    <t xml:space="preserve">-42.7724</t>
  </si>
  <si>
    <t xml:space="preserve">172.8554</t>
  </si>
  <si>
    <t xml:space="preserve">Culvert 49</t>
  </si>
  <si>
    <t xml:space="preserve">L9.DNZJ.552160</t>
  </si>
  <si>
    <t xml:space="preserve">552160</t>
  </si>
  <si>
    <t xml:space="preserve">TI-NZT-552160 - Culvert 49</t>
  </si>
  <si>
    <t xml:space="preserve">Currambine Station</t>
  </si>
  <si>
    <t xml:space="preserve">Currambine</t>
  </si>
  <si>
    <t xml:space="preserve">CWA Alliance Holding</t>
  </si>
  <si>
    <t xml:space="preserve">L9.DNZJ.1515</t>
  </si>
  <si>
    <t xml:space="preserve">1515</t>
  </si>
  <si>
    <t xml:space="preserve">Daglish Station</t>
  </si>
  <si>
    <t xml:space="preserve">Dalby Spray Services</t>
  </si>
  <si>
    <t xml:space="preserve">L9.J.170778</t>
  </si>
  <si>
    <t xml:space="preserve">170778</t>
  </si>
  <si>
    <t xml:space="preserve">Dan Gleeson Substation Rebuild</t>
  </si>
  <si>
    <t xml:space="preserve">L9.J.37740024</t>
  </si>
  <si>
    <t xml:space="preserve">37740024</t>
  </si>
  <si>
    <t xml:space="preserve">Dandenong - P&amp;E</t>
  </si>
  <si>
    <t xml:space="preserve">L9.J.170334</t>
  </si>
  <si>
    <t xml:space="preserve">170334</t>
  </si>
  <si>
    <t xml:space="preserve">Dandenong - PAV</t>
  </si>
  <si>
    <t xml:space="preserve">L9.J.17092061</t>
  </si>
  <si>
    <t xml:space="preserve">517</t>
  </si>
  <si>
    <t xml:space="preserve">Office moved from 1 Colemans Rd Dandenong (EDRS facility number 81)</t>
  </si>
  <si>
    <t xml:space="preserve">434-442 South Gippsland Highway</t>
  </si>
  <si>
    <t xml:space="preserve">Dandenong</t>
  </si>
  <si>
    <t xml:space="preserve">-38.032994</t>
  </si>
  <si>
    <t xml:space="preserve">145.243083</t>
  </si>
  <si>
    <t xml:space="preserve">Dandenong Depot</t>
  </si>
  <si>
    <t xml:space="preserve">L9.J.10920033</t>
  </si>
  <si>
    <t xml:space="preserve">Dannevirke (9 Oringi Road)</t>
  </si>
  <si>
    <t xml:space="preserve">L9.DNZJ.91267</t>
  </si>
  <si>
    <t xml:space="preserve">91267</t>
  </si>
  <si>
    <t xml:space="preserve">9 Oringi Road</t>
  </si>
  <si>
    <t xml:space="preserve">Dannevirke</t>
  </si>
  <si>
    <t xml:space="preserve">-40.2642</t>
  </si>
  <si>
    <t xml:space="preserve">176.0266</t>
  </si>
  <si>
    <t xml:space="preserve">Dargaville (38a Beach Road)</t>
  </si>
  <si>
    <t xml:space="preserve">L9.DNZJ.91209</t>
  </si>
  <si>
    <t xml:space="preserve">91209</t>
  </si>
  <si>
    <t xml:space="preserve">Dargaville Depot</t>
  </si>
  <si>
    <t xml:space="preserve">L9.DNZJ.55512</t>
  </si>
  <si>
    <t xml:space="preserve">55512</t>
  </si>
  <si>
    <t xml:space="preserve">6 Day Street</t>
  </si>
  <si>
    <t xml:space="preserve">-35.9433</t>
  </si>
  <si>
    <t xml:space="preserve">173.8604</t>
  </si>
  <si>
    <t xml:space="preserve">Darling Downs Airfield Ops</t>
  </si>
  <si>
    <t xml:space="preserve">L9.S.16011391</t>
  </si>
  <si>
    <t xml:space="preserve">16011391</t>
  </si>
  <si>
    <t xml:space="preserve">Darling Downs Clean</t>
  </si>
  <si>
    <t xml:space="preserve">L9.S.16011383</t>
  </si>
  <si>
    <t xml:space="preserve">16011383</t>
  </si>
  <si>
    <t xml:space="preserve">Darling Downs Estate Upkeep</t>
  </si>
  <si>
    <t xml:space="preserve">L9.S.16011387</t>
  </si>
  <si>
    <t xml:space="preserve">16011387</t>
  </si>
  <si>
    <t xml:space="preserve">Darling Downs Land</t>
  </si>
  <si>
    <t xml:space="preserve">L9.S.16011384</t>
  </si>
  <si>
    <t xml:space="preserve">16011384</t>
  </si>
  <si>
    <t xml:space="preserve">Darling Downs Overhead</t>
  </si>
  <si>
    <t xml:space="preserve">L9.S.14000496</t>
  </si>
  <si>
    <t xml:space="preserve">14000496</t>
  </si>
  <si>
    <t xml:space="preserve">Darwin - BIT</t>
  </si>
  <si>
    <t xml:space="preserve">L9.J.170529</t>
  </si>
  <si>
    <t xml:space="preserve">BBIT</t>
  </si>
  <si>
    <t xml:space="preserve">Storage Yard</t>
  </si>
  <si>
    <t xml:space="preserve">Darwin - P&amp;E</t>
  </si>
  <si>
    <t xml:space="preserve">L9.J.170591</t>
  </si>
  <si>
    <t xml:space="preserve">Darwin Laboratory</t>
  </si>
  <si>
    <t xml:space="preserve">L9.J.170543</t>
  </si>
  <si>
    <t xml:space="preserve">170543</t>
  </si>
  <si>
    <t xml:space="preserve">Darwin LNG</t>
  </si>
  <si>
    <t xml:space="preserve">L9.J.38237001</t>
  </si>
  <si>
    <t xml:space="preserve">38237001</t>
  </si>
  <si>
    <t xml:space="preserve">Darwin Maintenance</t>
  </si>
  <si>
    <t xml:space="preserve">L9.J.170534</t>
  </si>
  <si>
    <t xml:space="preserve">170534</t>
  </si>
  <si>
    <t xml:space="preserve">Darwin Workshop</t>
  </si>
  <si>
    <t xml:space="preserve">170591</t>
  </si>
  <si>
    <t xml:space="preserve">Data &amp; Analytics</t>
  </si>
  <si>
    <t xml:space="preserve">L9.J.170839</t>
  </si>
  <si>
    <t xml:space="preserve">170839</t>
  </si>
  <si>
    <t xml:space="preserve">Data &amp; Fibre Small Works</t>
  </si>
  <si>
    <t xml:space="preserve">L9.J.38210102</t>
  </si>
  <si>
    <t xml:space="preserve">38210102</t>
  </si>
  <si>
    <t xml:space="preserve">DBS Duralie</t>
  </si>
  <si>
    <t xml:space="preserve">L9.J.8150500</t>
  </si>
  <si>
    <t xml:space="preserve">8150500</t>
  </si>
  <si>
    <t xml:space="preserve">DBS Overheads</t>
  </si>
  <si>
    <t xml:space="preserve">L9.J.8150001</t>
  </si>
  <si>
    <t xml:space="preserve">8150001</t>
  </si>
  <si>
    <t xml:space="preserve">DBS Underground</t>
  </si>
  <si>
    <t xml:space="preserve">L9.J.8150107</t>
  </si>
  <si>
    <t xml:space="preserve">8150107</t>
  </si>
  <si>
    <t xml:space="preserve">DCC9776 Seacliff WWTP Upgrade EU Subcontractors</t>
  </si>
  <si>
    <t xml:space="preserve">L9.DNZJ.561469</t>
  </si>
  <si>
    <t xml:space="preserve">Deakin Uni Geelong Waterfront Cmps</t>
  </si>
  <si>
    <t xml:space="preserve">L9.S.16016426</t>
  </si>
  <si>
    <t xml:space="preserve">16016426</t>
  </si>
  <si>
    <t xml:space="preserve">Deakin Uni Melbourne Burwood Campus</t>
  </si>
  <si>
    <t xml:space="preserve">L9.S.16016423</t>
  </si>
  <si>
    <t xml:space="preserve">16016423</t>
  </si>
  <si>
    <t xml:space="preserve">Defence ACT</t>
  </si>
  <si>
    <t xml:space="preserve">9136</t>
  </si>
  <si>
    <t xml:space="preserve">Defence Estate Works Programmes SD</t>
  </si>
  <si>
    <t xml:space="preserve">L9.S.16016095</t>
  </si>
  <si>
    <t xml:space="preserve">16016095</t>
  </si>
  <si>
    <t xml:space="preserve">Defence FSU &amp; Corp OHs</t>
  </si>
  <si>
    <t xml:space="preserve">L9.S.23000753</t>
  </si>
  <si>
    <t xml:space="preserve">2000000916</t>
  </si>
  <si>
    <t xml:space="preserve">Defence New Business</t>
  </si>
  <si>
    <t xml:space="preserve">L9.S.16014425</t>
  </si>
  <si>
    <t xml:space="preserve">16014425</t>
  </si>
  <si>
    <t xml:space="preserve">Defence NSW</t>
  </si>
  <si>
    <t xml:space="preserve">9137</t>
  </si>
  <si>
    <t xml:space="preserve">Defence NZ Off Charge</t>
  </si>
  <si>
    <t xml:space="preserve">2000004644</t>
  </si>
  <si>
    <t xml:space="preserve">Defence QLD</t>
  </si>
  <si>
    <t xml:space="preserve">9138</t>
  </si>
  <si>
    <t xml:space="preserve">Defence VIC</t>
  </si>
  <si>
    <t xml:space="preserve">Army</t>
  </si>
  <si>
    <t xml:space="preserve">DEP PPE Plant Pool</t>
  </si>
  <si>
    <t xml:space="preserve">L9.J.362990</t>
  </si>
  <si>
    <t xml:space="preserve">362990</t>
  </si>
  <si>
    <t xml:space="preserve">Dep_Road_Science</t>
  </si>
  <si>
    <t xml:space="preserve">L9.DNZJ.3000</t>
  </si>
  <si>
    <t xml:space="preserve">900601,900603</t>
  </si>
  <si>
    <t xml:space="preserve">Dep_SELWIN_STREET_Compound</t>
  </si>
  <si>
    <t xml:space="preserve">L9.DNZJ.8100</t>
  </si>
  <si>
    <t xml:space="preserve">898267</t>
  </si>
  <si>
    <t xml:space="preserve">Dep_Transmission Gully</t>
  </si>
  <si>
    <t xml:space="preserve">L9.DNZJ.352402</t>
  </si>
  <si>
    <t xml:space="preserve">1080231,1080284</t>
  </si>
  <si>
    <t xml:space="preserve">DEP_Vestas ECI</t>
  </si>
  <si>
    <t xml:space="preserve">L9.DNZJ.700647</t>
  </si>
  <si>
    <t xml:space="preserve">1082844</t>
  </si>
  <si>
    <t xml:space="preserve">Design &amp; Planning Manager</t>
  </si>
  <si>
    <t xml:space="preserve">L9.DUN.60300</t>
  </si>
  <si>
    <t xml:space="preserve">PG60300</t>
  </si>
  <si>
    <t xml:space="preserve">Design Estimation North</t>
  </si>
  <si>
    <t xml:space="preserve">L9.DNZ.810.10.083</t>
  </si>
  <si>
    <t xml:space="preserve">PG32010</t>
  </si>
  <si>
    <t xml:space="preserve">Design Estimation South</t>
  </si>
  <si>
    <t xml:space="preserve">L9.DUN.32020</t>
  </si>
  <si>
    <t xml:space="preserve">PG32020</t>
  </si>
  <si>
    <t xml:space="preserve">DESIGN EU Subcontractors</t>
  </si>
  <si>
    <t xml:space="preserve">L9.DNZJ.10182</t>
  </si>
  <si>
    <t xml:space="preserve">Design Upper North Island</t>
  </si>
  <si>
    <t xml:space="preserve">L9.DNZ.810.10.038</t>
  </si>
  <si>
    <t xml:space="preserve">10038</t>
  </si>
  <si>
    <t xml:space="preserve">Designers</t>
  </si>
  <si>
    <t xml:space="preserve">L9.J.560302</t>
  </si>
  <si>
    <t xml:space="preserve">560302</t>
  </si>
  <si>
    <t xml:space="preserve">DETROIT APRTMNTS EARTHQUAKE RE</t>
  </si>
  <si>
    <t xml:space="preserve">L9.DNZ.HW0244</t>
  </si>
  <si>
    <t xml:space="preserve">JP_HW0244</t>
  </si>
  <si>
    <t xml:space="preserve">DHHS DFATS FM Serv Del</t>
  </si>
  <si>
    <t xml:space="preserve">L9.S.16015527</t>
  </si>
  <si>
    <t xml:space="preserve">16015527</t>
  </si>
  <si>
    <t xml:space="preserve">DHL BMS Engineering Serv Del</t>
  </si>
  <si>
    <t xml:space="preserve">L9.S.16013960</t>
  </si>
  <si>
    <t xml:space="preserve">16013960</t>
  </si>
  <si>
    <t xml:space="preserve">DHS Melbourne Serv Del</t>
  </si>
  <si>
    <t xml:space="preserve">L9.S.16012011</t>
  </si>
  <si>
    <t xml:space="preserve">16012011</t>
  </si>
  <si>
    <t xml:space="preserve">DIA Wellington Cafe (Food)-45003741</t>
  </si>
  <si>
    <t xml:space="preserve">L9.S.26018074</t>
  </si>
  <si>
    <t xml:space="preserve">2000004918</t>
  </si>
  <si>
    <t xml:space="preserve">51 Pipitea Street</t>
  </si>
  <si>
    <t xml:space="preserve">-41.276</t>
  </si>
  <si>
    <t xml:space="preserve">174.7766</t>
  </si>
  <si>
    <t xml:space="preserve">Digital &amp; Tech</t>
  </si>
  <si>
    <t xml:space="preserve">L9.J.170840</t>
  </si>
  <si>
    <t xml:space="preserve">170840</t>
  </si>
  <si>
    <t xml:space="preserve">Digital Engineering</t>
  </si>
  <si>
    <t xml:space="preserve">L9.DNZJ.55974</t>
  </si>
  <si>
    <t xml:space="preserve">55974</t>
  </si>
  <si>
    <t xml:space="preserve">Direct OH (Child 5)</t>
  </si>
  <si>
    <t xml:space="preserve">L9.J.240110</t>
  </si>
  <si>
    <t xml:space="preserve">240110</t>
  </si>
  <si>
    <t xml:space="preserve">Direct Overhead EU Subcontractors</t>
  </si>
  <si>
    <t xml:space="preserve">L9.J.240103</t>
  </si>
  <si>
    <t xml:space="preserve">Director &amp; Operations Manager</t>
  </si>
  <si>
    <t xml:space="preserve">L9.DNZ.810.10.126</t>
  </si>
  <si>
    <t xml:space="preserve">10126</t>
  </si>
  <si>
    <t xml:space="preserve">10.126</t>
  </si>
  <si>
    <t xml:space="preserve">Divisional Overheads</t>
  </si>
  <si>
    <t xml:space="preserve">L9.DNZJ.8801</t>
  </si>
  <si>
    <t xml:space="preserve">8801</t>
  </si>
  <si>
    <t xml:space="preserve">DM NSW JV Monthly Bill</t>
  </si>
  <si>
    <t xml:space="preserve">170201</t>
  </si>
  <si>
    <t xml:space="preserve">DMH EU Subcontractors</t>
  </si>
  <si>
    <t xml:space="preserve">L9.J.38300006</t>
  </si>
  <si>
    <t xml:space="preserve">DMH OH</t>
  </si>
  <si>
    <t xml:space="preserve">L9.J.382106</t>
  </si>
  <si>
    <t xml:space="preserve">382106</t>
  </si>
  <si>
    <t xml:space="preserve">DNZ National Radio Comms</t>
  </si>
  <si>
    <t xml:space="preserve">L9.DNZJ.561544</t>
  </si>
  <si>
    <t xml:space="preserve">561544</t>
  </si>
  <si>
    <t xml:space="preserve">113 Halfway Bush Road</t>
  </si>
  <si>
    <t xml:space="preserve">9076</t>
  </si>
  <si>
    <t xml:space="preserve">-45.8624</t>
  </si>
  <si>
    <t xml:space="preserve">170.4391</t>
  </si>
  <si>
    <t xml:space="preserve">DoC/MoJ 3 Waters Work</t>
  </si>
  <si>
    <t xml:space="preserve">L9.DNZJ.561160</t>
  </si>
  <si>
    <t xml:space="preserve">561160</t>
  </si>
  <si>
    <t xml:space="preserve">Downer Cranes Auckland</t>
  </si>
  <si>
    <t xml:space="preserve">L9.DNZJ.1927</t>
  </si>
  <si>
    <t xml:space="preserve">1927</t>
  </si>
  <si>
    <t xml:space="preserve">Downer EDI Rail - Cardiff Security</t>
  </si>
  <si>
    <t xml:space="preserve">L9.S.16016036</t>
  </si>
  <si>
    <t xml:space="preserve">16016036</t>
  </si>
  <si>
    <t xml:space="preserve">Downer Kwinana office &amp; workshop</t>
  </si>
  <si>
    <t xml:space="preserve">Offices</t>
  </si>
  <si>
    <t xml:space="preserve">L9.J.38170009</t>
  </si>
  <si>
    <t xml:space="preserve">38170009</t>
  </si>
  <si>
    <t xml:space="preserve">54 Burlington Street</t>
  </si>
  <si>
    <t xml:space="preserve">NAVAL BASE</t>
  </si>
  <si>
    <t xml:space="preserve">Downer Professional Services Office</t>
  </si>
  <si>
    <t xml:space="preserve">L9.J.500006</t>
  </si>
  <si>
    <t xml:space="preserve">Civic Quarter, Level 3/68 Northbourne Ave</t>
  </si>
  <si>
    <t xml:space="preserve">2601</t>
  </si>
  <si>
    <t xml:space="preserve">Downer QTMP Pty ltd</t>
  </si>
  <si>
    <t xml:space="preserve">Manufacturing</t>
  </si>
  <si>
    <t xml:space="preserve">L9.J.71500001</t>
  </si>
  <si>
    <t xml:space="preserve">Manufacturing Facility at Torbanlea</t>
  </si>
  <si>
    <t xml:space="preserve">2026/04/01</t>
  </si>
  <si>
    <t xml:space="preserve">Downer RAAF Base Williamtown</t>
  </si>
  <si>
    <t xml:space="preserve">L9.S.16016096</t>
  </si>
  <si>
    <t xml:space="preserve">16016096</t>
  </si>
  <si>
    <t xml:space="preserve">Downer Security Maryborough QLD SD</t>
  </si>
  <si>
    <t xml:space="preserve">L9.S.16016234</t>
  </si>
  <si>
    <t xml:space="preserve">16016234</t>
  </si>
  <si>
    <t xml:space="preserve">DOWNER SEYMOUR WHYTE JV - B2B</t>
  </si>
  <si>
    <t xml:space="preserve">L9.J.20041071</t>
  </si>
  <si>
    <t xml:space="preserve">20041071</t>
  </si>
  <si>
    <t xml:space="preserve">Downer_Waste_Rest_of_NSW</t>
  </si>
  <si>
    <t xml:space="preserve">Downer_Waste_Rest_of_QLD</t>
  </si>
  <si>
    <t xml:space="preserve">Downer_Waste_Rest_of_SA</t>
  </si>
  <si>
    <t xml:space="preserve">Downer_Waste_Rest_of_TAS</t>
  </si>
  <si>
    <t xml:space="preserve">Downer_Waste_Rest_of_VIC</t>
  </si>
  <si>
    <t xml:space="preserve">Downer_Waste_Rest_of_WA</t>
  </si>
  <si>
    <t xml:space="preserve">DOWSP Urban Utilities Program</t>
  </si>
  <si>
    <t xml:space="preserve">L9.J.24160100</t>
  </si>
  <si>
    <t xml:space="preserve">24160100</t>
  </si>
  <si>
    <t xml:space="preserve">Dsgner One NZ Fxd Proj Man</t>
  </si>
  <si>
    <t xml:space="preserve">10.083</t>
  </si>
  <si>
    <t xml:space="preserve">DUA - Major Projects</t>
  </si>
  <si>
    <t xml:space="preserve">L9.J.377301</t>
  </si>
  <si>
    <t xml:space="preserve">377301</t>
  </si>
  <si>
    <t xml:space="preserve">Dunedin (195a Cumberland St)</t>
  </si>
  <si>
    <t xml:space="preserve">L9.DNZJ.91374</t>
  </si>
  <si>
    <t xml:space="preserve">91374</t>
  </si>
  <si>
    <t xml:space="preserve">195A Cumberland Street</t>
  </si>
  <si>
    <t xml:space="preserve">Central Dunedin</t>
  </si>
  <si>
    <t xml:space="preserve">-45.8787</t>
  </si>
  <si>
    <t xml:space="preserve">170.5041</t>
  </si>
  <si>
    <t xml:space="preserve">Dunedin (31 Morrison Street)</t>
  </si>
  <si>
    <t xml:space="preserve">L9.DNZJ.91356</t>
  </si>
  <si>
    <t xml:space="preserve">91356</t>
  </si>
  <si>
    <t xml:space="preserve">Dunedin (3-53 Albert St)</t>
  </si>
  <si>
    <t xml:space="preserve">L9.DNZJ.91421</t>
  </si>
  <si>
    <t xml:space="preserve">91421</t>
  </si>
  <si>
    <t xml:space="preserve">Not in INX. Temporarily allocated to corporate.</t>
  </si>
  <si>
    <t xml:space="preserve">Dunedin Depot (Green Island )</t>
  </si>
  <si>
    <t xml:space="preserve">55660</t>
  </si>
  <si>
    <t xml:space="preserve">135 Main South Road</t>
  </si>
  <si>
    <t xml:space="preserve">-45.9016</t>
  </si>
  <si>
    <t xml:space="preserve">170.4407</t>
  </si>
  <si>
    <t xml:space="preserve">E&amp;C - P&amp;G Project East</t>
  </si>
  <si>
    <t xml:space="preserve">L9.J.241901</t>
  </si>
  <si>
    <t xml:space="preserve">241901</t>
  </si>
  <si>
    <t xml:space="preserve">E&amp;O-Mackay Ops &amp; Maint. PARENT</t>
  </si>
  <si>
    <t xml:space="preserve">L9.J.24150003</t>
  </si>
  <si>
    <t xml:space="preserve">24150003</t>
  </si>
  <si>
    <t xml:space="preserve">E&amp;O-Wagga Indirect CHILD</t>
  </si>
  <si>
    <t xml:space="preserve">L9.J.2415000404</t>
  </si>
  <si>
    <t xml:space="preserve">2415000404</t>
  </si>
  <si>
    <t xml:space="preserve">E&amp;T Plant</t>
  </si>
  <si>
    <t xml:space="preserve">L9.J.392001</t>
  </si>
  <si>
    <t xml:space="preserve">392001</t>
  </si>
  <si>
    <t xml:space="preserve">E&amp;U Recharges - UAM</t>
  </si>
  <si>
    <t xml:space="preserve">L9.J.228003</t>
  </si>
  <si>
    <t xml:space="preserve">228003</t>
  </si>
  <si>
    <t xml:space="preserve">E&amp;U Unallocated fuel expenses</t>
  </si>
  <si>
    <t xml:space="preserve">L9.J.241107</t>
  </si>
  <si>
    <t xml:space="preserve">E2E Wireless SMR NSW</t>
  </si>
  <si>
    <t xml:space="preserve">L9.J.23440397</t>
  </si>
  <si>
    <t xml:space="preserve">23440397</t>
  </si>
  <si>
    <t xml:space="preserve">East Design Estimating</t>
  </si>
  <si>
    <t xml:space="preserve">L9.DUN.60311</t>
  </si>
  <si>
    <t xml:space="preserve">PG60311</t>
  </si>
  <si>
    <t xml:space="preserve">East Perth Station</t>
  </si>
  <si>
    <t xml:space="preserve">East Preston - Rail (Tram Maintenance Depot)</t>
  </si>
  <si>
    <t xml:space="preserve">L9.J.709100</t>
  </si>
  <si>
    <t xml:space="preserve">3023</t>
  </si>
  <si>
    <t xml:space="preserve">Construction from Dec-17Part-Operation from May-18</t>
  </si>
  <si>
    <t xml:space="preserve">211 Plenty Road</t>
  </si>
  <si>
    <t xml:space="preserve">Preston</t>
  </si>
  <si>
    <t xml:space="preserve">3072</t>
  </si>
  <si>
    <t xml:space="preserve">-37.54</t>
  </si>
  <si>
    <t xml:space="preserve">145.17</t>
  </si>
  <si>
    <t xml:space="preserve">2024/12/01</t>
  </si>
  <si>
    <t xml:space="preserve">EAST PRESTON OPERATIONS</t>
  </si>
  <si>
    <t xml:space="preserve">709100</t>
  </si>
  <si>
    <t xml:space="preserve">Eastern Creek</t>
  </si>
  <si>
    <t xml:space="preserve">L9.J.170160</t>
  </si>
  <si>
    <t xml:space="preserve">50 Eastern Creek Drive</t>
  </si>
  <si>
    <t xml:space="preserve">2766</t>
  </si>
  <si>
    <t xml:space="preserve">Eastern Creek - P&amp;E</t>
  </si>
  <si>
    <t xml:space="preserve">L9.J.170145</t>
  </si>
  <si>
    <t xml:space="preserve">EP&amp;E</t>
  </si>
  <si>
    <t xml:space="preserve">Eastern Electricity Services</t>
  </si>
  <si>
    <t xml:space="preserve">L9.DUN.60100</t>
  </si>
  <si>
    <t xml:space="preserve">PG60100</t>
  </si>
  <si>
    <t xml:space="preserve">EASTERN TERMINAL INTEGRATION</t>
  </si>
  <si>
    <t xml:space="preserve">L9.DNZ.HA0409</t>
  </si>
  <si>
    <t xml:space="preserve">JP_HA0409</t>
  </si>
  <si>
    <t xml:space="preserve">Eastown Rd - Sewer Replacement</t>
  </si>
  <si>
    <t xml:space="preserve">L9.DNZJ.552414</t>
  </si>
  <si>
    <t xml:space="preserve">552414</t>
  </si>
  <si>
    <t xml:space="preserve">TI-NZT-552414 - Eastown Rd - Sewer Replacement</t>
  </si>
  <si>
    <t xml:space="preserve">EECSRSB Educ &amp; Early Childhood</t>
  </si>
  <si>
    <t xml:space="preserve">Elbow Boat Ramp Upgrade</t>
  </si>
  <si>
    <t xml:space="preserve">L9.DNZJ.550717</t>
  </si>
  <si>
    <t xml:space="preserve">550717</t>
  </si>
  <si>
    <t xml:space="preserve">Elec Vic  Ext -External Works</t>
  </si>
  <si>
    <t xml:space="preserve">L9.J.241804</t>
  </si>
  <si>
    <t xml:space="preserve">Elec Vic Ext - Plant</t>
  </si>
  <si>
    <t xml:space="preserve">L9.J.241822</t>
  </si>
  <si>
    <t xml:space="preserve">241822</t>
  </si>
  <si>
    <t xml:space="preserve">Elec Vic Ext -EDA - Major Proj</t>
  </si>
  <si>
    <t xml:space="preserve">L9.J.241802</t>
  </si>
  <si>
    <t xml:space="preserve">241802</t>
  </si>
  <si>
    <t xml:space="preserve">Electrical Minor Projects</t>
  </si>
  <si>
    <t xml:space="preserve">L9.J.38220094</t>
  </si>
  <si>
    <t xml:space="preserve">38220094</t>
  </si>
  <si>
    <t xml:space="preserve">Electrical Projects HV Works</t>
  </si>
  <si>
    <t xml:space="preserve">L9.J.38210078</t>
  </si>
  <si>
    <t xml:space="preserve">38210078</t>
  </si>
  <si>
    <t xml:space="preserve">Electricity Services Manager</t>
  </si>
  <si>
    <t xml:space="preserve">L9.DUN.60010</t>
  </si>
  <si>
    <t xml:space="preserve">60010</t>
  </si>
  <si>
    <t xml:space="preserve">ELIZABETH STREET CIVILS</t>
  </si>
  <si>
    <t xml:space="preserve">L9.DNZ.HC0347</t>
  </si>
  <si>
    <t xml:space="preserve">JP_HC0347</t>
  </si>
  <si>
    <t xml:space="preserve">Ellerslie (600 GSR)</t>
  </si>
  <si>
    <t xml:space="preserve">L9.DNZJ.91138</t>
  </si>
  <si>
    <t xml:space="preserve">91138</t>
  </si>
  <si>
    <t xml:space="preserve">Emergency Services Build EU Subcontractors</t>
  </si>
  <si>
    <t xml:space="preserve">L9.DNZ.810.20781</t>
  </si>
  <si>
    <t xml:space="preserve">EMOS OH Asset Technical Services</t>
  </si>
  <si>
    <t xml:space="preserve">L9.S.16016620</t>
  </si>
  <si>
    <t xml:space="preserve">16016620</t>
  </si>
  <si>
    <t xml:space="preserve">EMOS OH EU Technical Services</t>
  </si>
  <si>
    <t xml:space="preserve">L9.S.16016621</t>
  </si>
  <si>
    <t xml:space="preserve">16016621</t>
  </si>
  <si>
    <t xml:space="preserve">EMOS OH LM Technical Services</t>
  </si>
  <si>
    <t xml:space="preserve">L9.S.16016623</t>
  </si>
  <si>
    <t xml:space="preserve">16016623</t>
  </si>
  <si>
    <t xml:space="preserve">EMOS Regional Mgt Overhead</t>
  </si>
  <si>
    <t xml:space="preserve">L9.S.14000520</t>
  </si>
  <si>
    <t xml:space="preserve">14000520</t>
  </si>
  <si>
    <t xml:space="preserve">EMOS Transition</t>
  </si>
  <si>
    <t xml:space="preserve">L9.S.14001923</t>
  </si>
  <si>
    <t xml:space="preserve">14001923</t>
  </si>
  <si>
    <t xml:space="preserve">Emulco Recharge</t>
  </si>
  <si>
    <t xml:space="preserve">3099</t>
  </si>
  <si>
    <t xml:space="preserve">900604</t>
  </si>
  <si>
    <t xml:space="preserve">Emulsion - Bluff</t>
  </si>
  <si>
    <t xml:space="preserve">L9.DNZJ.3051</t>
  </si>
  <si>
    <t xml:space="preserve">3051</t>
  </si>
  <si>
    <t xml:space="preserve">Emulsions Operations</t>
  </si>
  <si>
    <t xml:space="preserve">L9.J.170913</t>
  </si>
  <si>
    <t xml:space="preserve">170913</t>
  </si>
  <si>
    <t xml:space="preserve">Energy Networks - Gas EU Subcontractors</t>
  </si>
  <si>
    <t xml:space="preserve">L9.DUA.130015</t>
  </si>
  <si>
    <t xml:space="preserve">Engineering</t>
  </si>
  <si>
    <t xml:space="preserve">L9.DNZJ.55970</t>
  </si>
  <si>
    <t xml:space="preserve">55970</t>
  </si>
  <si>
    <t xml:space="preserve">Engineering &amp; Optimisation Prj</t>
  </si>
  <si>
    <t xml:space="preserve">L9.DNZJ.55975</t>
  </si>
  <si>
    <t xml:space="preserve">55975</t>
  </si>
  <si>
    <t xml:space="preserve">Engineering Direct OH</t>
  </si>
  <si>
    <t xml:space="preserve">377101</t>
  </si>
  <si>
    <t xml:space="preserve">Engineering EU Subcontractors</t>
  </si>
  <si>
    <t xml:space="preserve">L9.DNZJ.56141</t>
  </si>
  <si>
    <t xml:space="preserve">Engineering Services EU Subcontractors</t>
  </si>
  <si>
    <t xml:space="preserve">Engineers Camp (Lewis Pass)</t>
  </si>
  <si>
    <t xml:space="preserve">55614</t>
  </si>
  <si>
    <t xml:space="preserve">-42.4756</t>
  </si>
  <si>
    <t xml:space="preserve">172.3937</t>
  </si>
  <si>
    <t xml:space="preserve">Enterprise NZ Trust</t>
  </si>
  <si>
    <t xml:space="preserve">L9.S.26014870</t>
  </si>
  <si>
    <t xml:space="preserve">26014870</t>
  </si>
  <si>
    <t xml:space="preserve">Enterprise NZ Trust 45000647</t>
  </si>
  <si>
    <t xml:space="preserve">2000003134</t>
  </si>
  <si>
    <t xml:space="preserve">SI-NZF-26014870 - Enterprise NZ Trust (SI-NZ Spotless - Cleaning)</t>
  </si>
  <si>
    <t xml:space="preserve">L9.J.17011631</t>
  </si>
  <si>
    <t xml:space="preserve">8022</t>
  </si>
  <si>
    <t xml:space="preserve">New Somerton depot for North West Metro contract.</t>
  </si>
  <si>
    <t xml:space="preserve">65 Willandra Drive</t>
  </si>
  <si>
    <t xml:space="preserve">-37.644511</t>
  </si>
  <si>
    <t xml:space="preserve">145.009627</t>
  </si>
  <si>
    <t xml:space="preserve">2024/07/31</t>
  </si>
  <si>
    <t xml:space="preserve">EQL South East Customer Service</t>
  </si>
  <si>
    <t xml:space="preserve">L9.S.16016040</t>
  </si>
  <si>
    <t xml:space="preserve">16016040</t>
  </si>
  <si>
    <t xml:space="preserve">EQL South East Reading</t>
  </si>
  <si>
    <t xml:space="preserve">L9.S.16016039</t>
  </si>
  <si>
    <t xml:space="preserve">16016039</t>
  </si>
  <si>
    <t xml:space="preserve">Eraring Maintenance FY22</t>
  </si>
  <si>
    <t xml:space="preserve">L9.J.38220105</t>
  </si>
  <si>
    <t xml:space="preserve">38220105</t>
  </si>
  <si>
    <t xml:space="preserve">ES - Downer FM All Sites EU Subcontractors</t>
  </si>
  <si>
    <t xml:space="preserve">L9.DNZ.810.20996</t>
  </si>
  <si>
    <t xml:space="preserve">ES CCL Build All Sites EU Subcontractors</t>
  </si>
  <si>
    <t xml:space="preserve">L9.DNZJ.563210</t>
  </si>
  <si>
    <t xml:space="preserve">ES ELEC AKL/Northland</t>
  </si>
  <si>
    <t xml:space="preserve">10105</t>
  </si>
  <si>
    <t xml:space="preserve">10.105</t>
  </si>
  <si>
    <t xml:space="preserve">ES Other Build Projects EU Subcontractors</t>
  </si>
  <si>
    <t xml:space="preserve">L9.DNZ.810.20771</t>
  </si>
  <si>
    <t xml:space="preserve">ES Project Managers</t>
  </si>
  <si>
    <t xml:space="preserve">L9.DNZ.810.10.198</t>
  </si>
  <si>
    <t xml:space="preserve">10198</t>
  </si>
  <si>
    <t xml:space="preserve">10.198</t>
  </si>
  <si>
    <t xml:space="preserve">ES SNZ Build Auckland EU Subcontractors</t>
  </si>
  <si>
    <t xml:space="preserve">L9.DNZ.810.20705</t>
  </si>
  <si>
    <t xml:space="preserve">ES SNZ Build Palmerston Nth EU Subcontractors</t>
  </si>
  <si>
    <t xml:space="preserve">L9.DNZ.810.20707</t>
  </si>
  <si>
    <t xml:space="preserve">ES SNZ Build South Is EU Subcontractors</t>
  </si>
  <si>
    <t xml:space="preserve">L9.DNZ.810.20709</t>
  </si>
  <si>
    <t xml:space="preserve">ES SNZ Build Waikato EU Subcontractors</t>
  </si>
  <si>
    <t xml:space="preserve">L9.DNZ.810.20706</t>
  </si>
  <si>
    <t xml:space="preserve">ES SNZ Build Wellington EU Subcontractors</t>
  </si>
  <si>
    <t xml:space="preserve">L9.DNZ.810.20708</t>
  </si>
  <si>
    <t xml:space="preserve">ES SNZ Operate National EU Subcontractors</t>
  </si>
  <si>
    <t xml:space="preserve">L9.DNZ.810.20608</t>
  </si>
  <si>
    <t xml:space="preserve">ES SNZ Property - National EU Subcontractors</t>
  </si>
  <si>
    <t xml:space="preserve">L9.DNZ.810.20689</t>
  </si>
  <si>
    <t xml:space="preserve">ES SNZ Reactive Auckland EU Subcontractors</t>
  </si>
  <si>
    <t xml:space="preserve">L9.DNZ.810.20985</t>
  </si>
  <si>
    <t xml:space="preserve">ES SNZ Reactive Palmerston Nth EU Subcontractors</t>
  </si>
  <si>
    <t xml:space="preserve">L9.DNZ.810.20697</t>
  </si>
  <si>
    <t xml:space="preserve">ES SNZ Reactive South Is EU Subcontractors</t>
  </si>
  <si>
    <t xml:space="preserve">L9.DNZ.810.20970</t>
  </si>
  <si>
    <t xml:space="preserve">ES SNZ Reactive Waikato EU Subcontractors</t>
  </si>
  <si>
    <t xml:space="preserve">ES SNZ Reactive Wellington EU Subcontractors</t>
  </si>
  <si>
    <t xml:space="preserve">L9.DNZ.810.20698</t>
  </si>
  <si>
    <t xml:space="preserve">ES SNZ Routine Auckland EU Subcontractors</t>
  </si>
  <si>
    <t xml:space="preserve">ES SNZ Routine Palmerston Nth EU Subcontractors</t>
  </si>
  <si>
    <t xml:space="preserve">L9.DNZ.810.20702</t>
  </si>
  <si>
    <t xml:space="preserve">ES SNZ Routine South Is EU Subcontractors</t>
  </si>
  <si>
    <t xml:space="preserve">L9.DNZ.810.20704</t>
  </si>
  <si>
    <t xml:space="preserve">ES SNZ Routine Waikato EU Subcontractors</t>
  </si>
  <si>
    <t xml:space="preserve">L9.DNZ.810.20701</t>
  </si>
  <si>
    <t xml:space="preserve">ES SNZ Routine Wellington EU Subcontractors</t>
  </si>
  <si>
    <t xml:space="preserve">ES Spark National Projects EU Subcontractors</t>
  </si>
  <si>
    <t xml:space="preserve">L9.DNZ.810.20216</t>
  </si>
  <si>
    <t xml:space="preserve">ESC - Overhead EU Subcontractors</t>
  </si>
  <si>
    <t xml:space="preserve">L9.J.24189971</t>
  </si>
  <si>
    <t xml:space="preserve">ESC Beaconsfield Support</t>
  </si>
  <si>
    <t xml:space="preserve">L9.J.241810</t>
  </si>
  <si>
    <t xml:space="preserve">241810</t>
  </si>
  <si>
    <t xml:space="preserve">ESC Corporate Support</t>
  </si>
  <si>
    <t xml:space="preserve">L9.J.241809</t>
  </si>
  <si>
    <t xml:space="preserve">241809</t>
  </si>
  <si>
    <t xml:space="preserve">ESC Lilydale Support</t>
  </si>
  <si>
    <t xml:space="preserve">L9.J.241811</t>
  </si>
  <si>
    <t xml:space="preserve">241811</t>
  </si>
  <si>
    <t xml:space="preserve">ESC Logistics Support</t>
  </si>
  <si>
    <t xml:space="preserve">L9.J.241813</t>
  </si>
  <si>
    <t xml:space="preserve">241813</t>
  </si>
  <si>
    <t xml:space="preserve">ESC New Connections</t>
  </si>
  <si>
    <t xml:space="preserve">L9.J.24180009</t>
  </si>
  <si>
    <t xml:space="preserve">24180009</t>
  </si>
  <si>
    <t xml:space="preserve">ESC Plant</t>
  </si>
  <si>
    <t xml:space="preserve">L9.J.241821</t>
  </si>
  <si>
    <t xml:space="preserve">241821</t>
  </si>
  <si>
    <t xml:space="preserve">ESC Plant - Beaconsfield</t>
  </si>
  <si>
    <t xml:space="preserve">L9.J.241834</t>
  </si>
  <si>
    <t xml:space="preserve">241834</t>
  </si>
  <si>
    <t xml:space="preserve">ESC Plant - Lilydale</t>
  </si>
  <si>
    <t xml:space="preserve">L9.J.241832</t>
  </si>
  <si>
    <t xml:space="preserve">241832</t>
  </si>
  <si>
    <t xml:space="preserve">ESC Plant - Thomastown</t>
  </si>
  <si>
    <t xml:space="preserve">L9.J.241833</t>
  </si>
  <si>
    <t xml:space="preserve">241833</t>
  </si>
  <si>
    <t xml:space="preserve">ESC Plant - Underground</t>
  </si>
  <si>
    <t xml:space="preserve">L9.J.241835</t>
  </si>
  <si>
    <t xml:space="preserve">241835</t>
  </si>
  <si>
    <t xml:space="preserve">ESC Thomastown Support</t>
  </si>
  <si>
    <t xml:space="preserve">L9.J.241812</t>
  </si>
  <si>
    <t xml:space="preserve">241812</t>
  </si>
  <si>
    <t xml:space="preserve">ESC Underground Support</t>
  </si>
  <si>
    <t xml:space="preserve">L9.J.241814</t>
  </si>
  <si>
    <t xml:space="preserve">241814</t>
  </si>
  <si>
    <t xml:space="preserve">Essential EMS All</t>
  </si>
  <si>
    <t xml:space="preserve">L9.S.16013626</t>
  </si>
  <si>
    <t xml:space="preserve">16013626</t>
  </si>
  <si>
    <t xml:space="preserve">Essential EMS North Coast</t>
  </si>
  <si>
    <t xml:space="preserve">Estate Dev&amp;Base Upgrades Admin SD</t>
  </si>
  <si>
    <t xml:space="preserve">L9.S.16016105</t>
  </si>
  <si>
    <t xml:space="preserve">16016105</t>
  </si>
  <si>
    <t xml:space="preserve">Estimating</t>
  </si>
  <si>
    <t xml:space="preserve">L9.DNZJ.8803</t>
  </si>
  <si>
    <t xml:space="preserve">8803</t>
  </si>
  <si>
    <t xml:space="preserve">Estimating EU Subcontractors</t>
  </si>
  <si>
    <t xml:space="preserve">L9.J.38275057</t>
  </si>
  <si>
    <t xml:space="preserve">EU-24190263 - FSD Data Centre</t>
  </si>
  <si>
    <t xml:space="preserve">L9.J.24190263</t>
  </si>
  <si>
    <t xml:space="preserve">EU-24190272 - BLTS  66kV CB Replacement</t>
  </si>
  <si>
    <t xml:space="preserve">L9.J.24190272</t>
  </si>
  <si>
    <t xml:space="preserve">Altona North</t>
  </si>
  <si>
    <t xml:space="preserve">EU-BRISBANE OPS.8512</t>
  </si>
  <si>
    <t xml:space="preserve">L9.MIN.DPE.8512</t>
  </si>
  <si>
    <t xml:space="preserve">8512</t>
  </si>
  <si>
    <t xml:space="preserve">EU-BRISBANE PROJECTS O'HEADS.8515</t>
  </si>
  <si>
    <t xml:space="preserve">L9.MIN.DPE.8515</t>
  </si>
  <si>
    <t xml:space="preserve">8515</t>
  </si>
  <si>
    <t xml:space="preserve">EU-OPERATIONS - NSW.8701</t>
  </si>
  <si>
    <t xml:space="preserve">L9.MIN.DPE.8701</t>
  </si>
  <si>
    <t xml:space="preserve">8701</t>
  </si>
  <si>
    <t xml:space="preserve">External Fleet Management</t>
  </si>
  <si>
    <t xml:space="preserve">L9.DNZJ.55999</t>
  </si>
  <si>
    <t xml:space="preserve">55999</t>
  </si>
  <si>
    <t xml:space="preserve">External IT &amp; T Projects</t>
  </si>
  <si>
    <t xml:space="preserve">L9.DNZJ.561529</t>
  </si>
  <si>
    <t xml:space="preserve">561529</t>
  </si>
  <si>
    <t xml:space="preserve">Eyre Flinders Maintenance</t>
  </si>
  <si>
    <t xml:space="preserve">170251</t>
  </si>
  <si>
    <t xml:space="preserve">Eyre Peninsula Transmission</t>
  </si>
  <si>
    <t xml:space="preserve">L9.J.37740079</t>
  </si>
  <si>
    <t xml:space="preserve">37740079</t>
  </si>
  <si>
    <t xml:space="preserve">F_FM_Defence</t>
  </si>
  <si>
    <t xml:space="preserve">5274</t>
  </si>
  <si>
    <t xml:space="preserve">Commercial facility maintenance services - added in FY19 following the Spotless business integration</t>
  </si>
  <si>
    <t xml:space="preserve">F_FM_DoC/MoJ</t>
  </si>
  <si>
    <t xml:space="preserve">5275</t>
  </si>
  <si>
    <t xml:space="preserve">Commercial facility maintenance services - new contract in FY19</t>
  </si>
  <si>
    <t xml:space="preserve">F_FM_Housing NZ</t>
  </si>
  <si>
    <t xml:space="preserve">5273</t>
  </si>
  <si>
    <t xml:space="preserve">Residential building maintenance services - added in FY19 following the Spotless business integration</t>
  </si>
  <si>
    <t xml:space="preserve">F_H&amp;SS_Business &amp; Industry</t>
  </si>
  <si>
    <t xml:space="preserve">5277</t>
  </si>
  <si>
    <t xml:space="preserve">Support services for the Business and Industries branch of Hospitatlity and Soft Services - provides catering, cleaning services to various clients across NZ (Corporate clients)</t>
  </si>
  <si>
    <t xml:space="preserve">F_H&amp;SS_Education</t>
  </si>
  <si>
    <t xml:space="preserve">5279</t>
  </si>
  <si>
    <t xml:space="preserve">Support services for the Education branch of Hospitatlity and Soft Services - provides catering, cleaning services to various clients across NZ (schools , Universities)</t>
  </si>
  <si>
    <t xml:space="preserve">F_H&amp;SS_Health</t>
  </si>
  <si>
    <t xml:space="preserve">5278</t>
  </si>
  <si>
    <t xml:space="preserve">F_H&amp;SS_Leisure Sports &amp; Entertainment</t>
  </si>
  <si>
    <t xml:space="preserve">5280</t>
  </si>
  <si>
    <t xml:space="preserve">Support services for the Leisure and Entertainement branch of Hospitatlity and Soft Services - provides catering, cleaning and event management services to various clients across NZ (satdiums, etc)</t>
  </si>
  <si>
    <t xml:space="preserve">F_SubContractors (BP)</t>
  </si>
  <si>
    <t xml:space="preserve">4004</t>
  </si>
  <si>
    <t xml:space="preserve">F10427 - WTP 55E Pond 1 MLC Renewal</t>
  </si>
  <si>
    <t xml:space="preserve">L9.J.24160432</t>
  </si>
  <si>
    <t xml:space="preserve">F10730 - ETP Area 15 - 26</t>
  </si>
  <si>
    <t xml:space="preserve">L9.J.24160332</t>
  </si>
  <si>
    <t xml:space="preserve">2024/04/12</t>
  </si>
  <si>
    <t xml:space="preserve">FAC HSE (Zero Harm)</t>
  </si>
  <si>
    <t xml:space="preserve">L9.DNZJ.65960</t>
  </si>
  <si>
    <t xml:space="preserve">65960</t>
  </si>
  <si>
    <t xml:space="preserve">FAC New Business</t>
  </si>
  <si>
    <t xml:space="preserve">L9.DNZJ.65930</t>
  </si>
  <si>
    <t xml:space="preserve">65930</t>
  </si>
  <si>
    <t xml:space="preserve">FAC People &amp; Culture (HR)</t>
  </si>
  <si>
    <t xml:space="preserve">L9.DNZJ.65950</t>
  </si>
  <si>
    <t xml:space="preserve">65950</t>
  </si>
  <si>
    <t xml:space="preserve">Facilities Services - Clean Admin</t>
  </si>
  <si>
    <t xml:space="preserve">L9.S.13001211</t>
  </si>
  <si>
    <t xml:space="preserve">13001211</t>
  </si>
  <si>
    <t xml:space="preserve">Facilities Services - Sec Admin</t>
  </si>
  <si>
    <t xml:space="preserve">L9.S.13001210</t>
  </si>
  <si>
    <t xml:space="preserve">13001210</t>
  </si>
  <si>
    <t xml:space="preserve">Fairlight</t>
  </si>
  <si>
    <t xml:space="preserve">L9.DNZJ.313150</t>
  </si>
  <si>
    <t xml:space="preserve">313150</t>
  </si>
  <si>
    <t xml:space="preserve">Far North Qld REG OH</t>
  </si>
  <si>
    <t xml:space="preserve">L9.J.170776</t>
  </si>
  <si>
    <t xml:space="preserve">170776</t>
  </si>
  <si>
    <t xml:space="preserve">Farmers Corner RTB</t>
  </si>
  <si>
    <t xml:space="preserve">L9.DNZJ.554565</t>
  </si>
  <si>
    <t xml:space="preserve">554565</t>
  </si>
  <si>
    <t xml:space="preserve">TI-NZT-554565 - Farmers Corner RTB</t>
  </si>
  <si>
    <t xml:space="preserve">FARMERS DEVELOPMENT TAURANGA</t>
  </si>
  <si>
    <t xml:space="preserve">JP_HC0331</t>
  </si>
  <si>
    <t xml:space="preserve">3/31 Taurikura Drive</t>
  </si>
  <si>
    <t xml:space="preserve">Tauriko</t>
  </si>
  <si>
    <t xml:space="preserve">-37.7405</t>
  </si>
  <si>
    <t xml:space="preserve">176.1037</t>
  </si>
  <si>
    <t xml:space="preserve">FAS Non-Op</t>
  </si>
  <si>
    <t xml:space="preserve">L9.S.11001153</t>
  </si>
  <si>
    <t xml:space="preserve">FD to FX POLT POW EU Subcontractors</t>
  </si>
  <si>
    <t xml:space="preserve">L9.DNZ.810.20972</t>
  </si>
  <si>
    <t xml:space="preserve">FH - Speed Signs</t>
  </si>
  <si>
    <t xml:space="preserve">L9.DNZJ.553187</t>
  </si>
  <si>
    <t xml:space="preserve">553187</t>
  </si>
  <si>
    <t xml:space="preserve">Fibre Conn Lake District C Ota</t>
  </si>
  <si>
    <t xml:space="preserve">10.075</t>
  </si>
  <si>
    <t xml:space="preserve">Fibre Connect Blenheim</t>
  </si>
  <si>
    <t xml:space="preserve">L9.DNZ.810.10.077</t>
  </si>
  <si>
    <t xml:space="preserve">10077</t>
  </si>
  <si>
    <t xml:space="preserve">Fibre Connect Canterbury</t>
  </si>
  <si>
    <t xml:space="preserve">Fibre Connect Central Otago</t>
  </si>
  <si>
    <t xml:space="preserve">L9.DNZ.810.10.071</t>
  </si>
  <si>
    <t xml:space="preserve">10071</t>
  </si>
  <si>
    <t xml:space="preserve">10.071</t>
  </si>
  <si>
    <t xml:space="preserve">Fibre Connect Invercargill</t>
  </si>
  <si>
    <t xml:space="preserve">L9.DNZ.810.10.070</t>
  </si>
  <si>
    <t xml:space="preserve">10070</t>
  </si>
  <si>
    <t xml:space="preserve">Fibre Connect Nelson</t>
  </si>
  <si>
    <t xml:space="preserve">L9.DNZ.810.10.076</t>
  </si>
  <si>
    <t xml:space="preserve">10076</t>
  </si>
  <si>
    <t xml:space="preserve">10.076</t>
  </si>
  <si>
    <t xml:space="preserve">Fibre Connect Timaru</t>
  </si>
  <si>
    <t xml:space="preserve">L9.DNZ.810.10.073</t>
  </si>
  <si>
    <t xml:space="preserve">10073</t>
  </si>
  <si>
    <t xml:space="preserve">10.073</t>
  </si>
  <si>
    <t xml:space="preserve">Finance - Utilities</t>
  </si>
  <si>
    <t xml:space="preserve">L9.DNZJ.63910</t>
  </si>
  <si>
    <t xml:space="preserve">63910</t>
  </si>
  <si>
    <t xml:space="preserve">Finance &amp; Administration</t>
  </si>
  <si>
    <t xml:space="preserve">L9.J.382902</t>
  </si>
  <si>
    <t xml:space="preserve">382902</t>
  </si>
  <si>
    <t xml:space="preserve">Finance and Corporate Services</t>
  </si>
  <si>
    <t xml:space="preserve">L9.DUN.20050</t>
  </si>
  <si>
    <t xml:space="preserve">20050</t>
  </si>
  <si>
    <t xml:space="preserve">Fitzherbert Ave Pathway</t>
  </si>
  <si>
    <t xml:space="preserve">L9.DNZJ.552409</t>
  </si>
  <si>
    <t xml:space="preserve">552409</t>
  </si>
  <si>
    <t xml:space="preserve">FLD AKL - MOB NETWORK BUILD EU Subcontractors</t>
  </si>
  <si>
    <t xml:space="preserve">FLD MGR AORAKI EU Subcontractors</t>
  </si>
  <si>
    <t xml:space="preserve">L9.DNZJ.10183</t>
  </si>
  <si>
    <t xml:space="preserve">FLD MGR AUCKLAND 2 EU Subcontractors</t>
  </si>
  <si>
    <t xml:space="preserve">L9.DNZJ.10236</t>
  </si>
  <si>
    <t xml:space="preserve">FLD MGR BAY OF PLENTY EU Subcontractors</t>
  </si>
  <si>
    <t xml:space="preserve">L9.DNZ.810.10.176</t>
  </si>
  <si>
    <t xml:space="preserve">FLD MGR CHRISTCHURCH NORTH EU Subcontractors</t>
  </si>
  <si>
    <t xml:space="preserve">FLD MGR DUNEDIN EU Subcontractors</t>
  </si>
  <si>
    <t xml:space="preserve">L9.DNZ.810.10.189</t>
  </si>
  <si>
    <t xml:space="preserve">FLD MGR HAWKES BAY EU Subcontractors</t>
  </si>
  <si>
    <t xml:space="preserve">FLD MGR HUTT/WAIARAPA EU Subcontractors</t>
  </si>
  <si>
    <t xml:space="preserve">L9.DNZ.810.21039</t>
  </si>
  <si>
    <t xml:space="preserve">FLD MGR KAPITI EU Subcontractors</t>
  </si>
  <si>
    <t xml:space="preserve">L9.DNZJ.10163</t>
  </si>
  <si>
    <t xml:space="preserve">FLD MGR LOWER NORTH ISLAND EU Subcontractors</t>
  </si>
  <si>
    <t xml:space="preserve">L9.DNZ.810.21040</t>
  </si>
  <si>
    <t xml:space="preserve">FLD MGR MANAWATU EU Subcontractors</t>
  </si>
  <si>
    <t xml:space="preserve">L9.DNZ.810.21038</t>
  </si>
  <si>
    <t xml:space="preserve">FLD MGR OTAGO EU Subcontractors</t>
  </si>
  <si>
    <t xml:space="preserve">L9.DNZJ.10185</t>
  </si>
  <si>
    <t xml:space="preserve">FLD MGR TAUPO EU Subcontractors</t>
  </si>
  <si>
    <t xml:space="preserve">FLD MGR TAURANGA EU Subcontractors</t>
  </si>
  <si>
    <t xml:space="preserve">L9.DNZJ.10175</t>
  </si>
  <si>
    <t xml:space="preserve">FLD MGR WELLINGTON 1 EU Subcontractors</t>
  </si>
  <si>
    <t xml:space="preserve">L9.DNZJ.10141</t>
  </si>
  <si>
    <t xml:space="preserve">FLD MGR WELLINGTON 2 EU Subcontractors</t>
  </si>
  <si>
    <t xml:space="preserve">FLD MGR WELLINGTON 3 EU Subcontractors</t>
  </si>
  <si>
    <t xml:space="preserve">FLD MGR WELLINGTON 4 EU Subcontractors</t>
  </si>
  <si>
    <t xml:space="preserve">FLD MGR WHANGANUI EU Subcontractors</t>
  </si>
  <si>
    <t xml:space="preserve">L9.DNZJ.10178</t>
  </si>
  <si>
    <t xml:space="preserve">Fleet &amp; Assets</t>
  </si>
  <si>
    <t xml:space="preserve">L9.DNZJ.1937</t>
  </si>
  <si>
    <t xml:space="preserve">Fleet AU</t>
  </si>
  <si>
    <t xml:space="preserve">L9.J.109170</t>
  </si>
  <si>
    <t xml:space="preserve">109170</t>
  </si>
  <si>
    <t xml:space="preserve">Fleet NZ</t>
  </si>
  <si>
    <t xml:space="preserve">L9.DNZJ.9066</t>
  </si>
  <si>
    <t xml:space="preserve">Fleet Ops Hub NZ</t>
  </si>
  <si>
    <t xml:space="preserve">L9.DNZJ.1940</t>
  </si>
  <si>
    <t xml:space="preserve">1940</t>
  </si>
  <si>
    <t xml:space="preserve">Fleet Support Hub NZ</t>
  </si>
  <si>
    <t xml:space="preserve">L9.DNZJ.1941</t>
  </si>
  <si>
    <t xml:space="preserve">1941</t>
  </si>
  <si>
    <t xml:space="preserve">Floats Sydney</t>
  </si>
  <si>
    <t xml:space="preserve">L9.J.170134</t>
  </si>
  <si>
    <t xml:space="preserve">170134</t>
  </si>
  <si>
    <t xml:space="preserve">Flowbird</t>
  </si>
  <si>
    <t xml:space="preserve">L9.J.38210120</t>
  </si>
  <si>
    <t xml:space="preserve">38210120</t>
  </si>
  <si>
    <t xml:space="preserve">FM - ANZ People Plant</t>
  </si>
  <si>
    <t xml:space="preserve">L9.DNZJ.66220</t>
  </si>
  <si>
    <t xml:space="preserve">66220</t>
  </si>
  <si>
    <t xml:space="preserve">Change location ref. from 69220 to 66220.
Old ref no: L9.DNZJ.69220</t>
  </si>
  <si>
    <t xml:space="preserve">FM - LINZ OH</t>
  </si>
  <si>
    <t xml:space="preserve">69601</t>
  </si>
  <si>
    <t xml:space="preserve">Region TBC</t>
  </si>
  <si>
    <t xml:space="preserve">FM - Retail - VIC</t>
  </si>
  <si>
    <t xml:space="preserve">Retail, Shopping Center</t>
  </si>
  <si>
    <t xml:space="preserve">9140</t>
  </si>
  <si>
    <t xml:space="preserve">FM - Southbank Crown</t>
  </si>
  <si>
    <t xml:space="preserve">9141</t>
  </si>
  <si>
    <t xml:space="preserve">1 Clarendon Street Southbank</t>
  </si>
  <si>
    <t xml:space="preserve">FM Auckland Northland HVAC</t>
  </si>
  <si>
    <t xml:space="preserve">L9.DNZ.810.10.204</t>
  </si>
  <si>
    <t xml:space="preserve">10204</t>
  </si>
  <si>
    <t xml:space="preserve">10.204</t>
  </si>
  <si>
    <t xml:space="preserve">FM Auckland Northland HVAC EU Subcontractors</t>
  </si>
  <si>
    <t xml:space="preserve">L9.DNZJ.10204</t>
  </si>
  <si>
    <t xml:space="preserve">FM Central</t>
  </si>
  <si>
    <t xml:space="preserve">L9.DNZ.810.10.203</t>
  </si>
  <si>
    <t xml:space="preserve">10203</t>
  </si>
  <si>
    <t xml:space="preserve">10.203</t>
  </si>
  <si>
    <t xml:space="preserve">FM General Management</t>
  </si>
  <si>
    <t xml:space="preserve">L9.DNZJ.65920</t>
  </si>
  <si>
    <t xml:space="preserve">65920</t>
  </si>
  <si>
    <t xml:space="preserve">FM Lower North Island</t>
  </si>
  <si>
    <t xml:space="preserve">L9.DNZ.810.10.202</t>
  </si>
  <si>
    <t xml:space="preserve">10202</t>
  </si>
  <si>
    <t xml:space="preserve">10.202</t>
  </si>
  <si>
    <t xml:space="preserve">FM Service Delivery</t>
  </si>
  <si>
    <t xml:space="preserve">L9.DUN.80300</t>
  </si>
  <si>
    <t xml:space="preserve">80300</t>
  </si>
  <si>
    <t xml:space="preserve">FM South Island</t>
  </si>
  <si>
    <t xml:space="preserve">L9.DNZ.810.10.201</t>
  </si>
  <si>
    <t xml:space="preserve">10201</t>
  </si>
  <si>
    <t xml:space="preserve">10.201</t>
  </si>
  <si>
    <t xml:space="preserve">FM Wellington</t>
  </si>
  <si>
    <t xml:space="preserve">L9.DNZ.810.10.205</t>
  </si>
  <si>
    <t xml:space="preserve">10.205</t>
  </si>
  <si>
    <t xml:space="preserve">FMS SA Trade Team Overhead</t>
  </si>
  <si>
    <t xml:space="preserve">L9.S.14000580</t>
  </si>
  <si>
    <t xml:space="preserve">14000580</t>
  </si>
  <si>
    <t xml:space="preserve">Foam RPQ</t>
  </si>
  <si>
    <t xml:space="preserve">L9.J.170428</t>
  </si>
  <si>
    <t xml:space="preserve">170428</t>
  </si>
  <si>
    <t xml:space="preserve">Forbes</t>
  </si>
  <si>
    <t xml:space="preserve">L9.J.17010002</t>
  </si>
  <si>
    <t xml:space="preserve">116</t>
  </si>
  <si>
    <t xml:space="preserve">Sam Street</t>
  </si>
  <si>
    <t xml:space="preserve">2871</t>
  </si>
  <si>
    <t xml:space="preserve">-33.37</t>
  </si>
  <si>
    <t xml:space="preserve">148.013</t>
  </si>
  <si>
    <t xml:space="preserve">Forty South - Upgrades EU Subcontractors</t>
  </si>
  <si>
    <t xml:space="preserve">L9.DNZ.810.21000</t>
  </si>
  <si>
    <t xml:space="preserve">Forty South New Builds EU Subcontractors</t>
  </si>
  <si>
    <t xml:space="preserve">L9.DNZ.810.21009</t>
  </si>
  <si>
    <t xml:space="preserve">Forty South Out of Scope EU Subcontractors</t>
  </si>
  <si>
    <t xml:space="preserve">L9.DNZ.810.20999</t>
  </si>
  <si>
    <t xml:space="preserve">Forty South Projects</t>
  </si>
  <si>
    <t xml:space="preserve">Networking Services</t>
  </si>
  <si>
    <t xml:space="preserve">L9.DNZ.810.20998</t>
  </si>
  <si>
    <t xml:space="preserve">20998</t>
  </si>
  <si>
    <t xml:space="preserve">Aggregated FY24 Scope 3 material emission from:
20998 - Forty South Maintenance
20999 - Forty South Out of Scope 
21000 - Forty South - Upgrades
21001 - Forty South Other / Kordia
21009 - Forty South New Builds</t>
  </si>
  <si>
    <t xml:space="preserve">Fowlers Asphalting, Trafalgar Depot</t>
  </si>
  <si>
    <t xml:space="preserve">50 Settlement Road</t>
  </si>
  <si>
    <t xml:space="preserve">Trafalgar</t>
  </si>
  <si>
    <t xml:space="preserve">3824</t>
  </si>
  <si>
    <t xml:space="preserve">Fowlers Group Recharges</t>
  </si>
  <si>
    <t xml:space="preserve">L9.J.17065000</t>
  </si>
  <si>
    <t xml:space="preserve">17065000</t>
  </si>
  <si>
    <t xml:space="preserve">Fowler's Restatement</t>
  </si>
  <si>
    <t xml:space="preserve">L9.J.17091208</t>
  </si>
  <si>
    <t xml:space="preserve">FS - Security OH Ops Mgt</t>
  </si>
  <si>
    <t xml:space="preserve">L9.S.13000925</t>
  </si>
  <si>
    <t xml:space="preserve">13000925</t>
  </si>
  <si>
    <t xml:space="preserve">FSA Bay of Plenty Build EU Subcontractors</t>
  </si>
  <si>
    <t xml:space="preserve">L9.DNZ.810.20839</t>
  </si>
  <si>
    <t xml:space="preserve">FSA Bay of Plenty Deployment EU Subcontractors</t>
  </si>
  <si>
    <t xml:space="preserve">L9.DNZ.810.20947</t>
  </si>
  <si>
    <t xml:space="preserve">FSA Bay of Plenty ISP Build EU Subcontractors</t>
  </si>
  <si>
    <t xml:space="preserve">L9.DNZ.810.20959</t>
  </si>
  <si>
    <t xml:space="preserve">FSA Bay of Plenty ISP Maintain EU Subcontractors</t>
  </si>
  <si>
    <t xml:space="preserve">L9.DNZ.810.20940</t>
  </si>
  <si>
    <t xml:space="preserve">FSA Bay of Plenty Proactive EU Subcontractors</t>
  </si>
  <si>
    <t xml:space="preserve">L9.DNZ.810.20953</t>
  </si>
  <si>
    <t xml:space="preserve">FSA Central Deployment EU Subcontractors</t>
  </si>
  <si>
    <t xml:space="preserve">L9.DNZ.810.20946</t>
  </si>
  <si>
    <t xml:space="preserve">FSA Central ISP Build EU Subcontractors</t>
  </si>
  <si>
    <t xml:space="preserve">L9.DNZ.810.20958</t>
  </si>
  <si>
    <t xml:space="preserve">FSA Central Otg/Southland Mtce EU Subcontractors</t>
  </si>
  <si>
    <t xml:space="preserve">L9.DNZ.810.20926</t>
  </si>
  <si>
    <t xml:space="preserve">FSA Central Proactive EU Subcontractors</t>
  </si>
  <si>
    <t xml:space="preserve">L9.DNZ.810.20952</t>
  </si>
  <si>
    <t xml:space="preserve">FSA Christchurch Maintain EU Subcontractors</t>
  </si>
  <si>
    <t xml:space="preserve">L9.DNZ.810.20923</t>
  </si>
  <si>
    <t xml:space="preserve">FSA Copper Provisioning EU Subcontractors</t>
  </si>
  <si>
    <t xml:space="preserve">L9.DNZ.810.20922</t>
  </si>
  <si>
    <t xml:space="preserve">FSA Eastern NI Deployment EU Subcontractors</t>
  </si>
  <si>
    <t xml:space="preserve">L9.DNZ.810.20965</t>
  </si>
  <si>
    <t xml:space="preserve">FSA Eastern NI Proactive EU Subcontractors</t>
  </si>
  <si>
    <t xml:space="preserve">L9.DNZ.810.20966</t>
  </si>
  <si>
    <t xml:space="preserve">FSA Gisborne/Whakatane Mtce EU Subcontractors</t>
  </si>
  <si>
    <t xml:space="preserve">L9.DNZ.810.20931</t>
  </si>
  <si>
    <t xml:space="preserve">FSA Hawkes Bay/Dannevirke Mtce EU Subcontractors</t>
  </si>
  <si>
    <t xml:space="preserve">L9.DNZ.810.20930</t>
  </si>
  <si>
    <t xml:space="preserve">FSA Nelson/Marlborough Mtce EU Subcontractors</t>
  </si>
  <si>
    <t xml:space="preserve">L9.DNZ.810.20927</t>
  </si>
  <si>
    <t xml:space="preserve">FSA Otago/Sth Canty Maintain EU Subcontractors</t>
  </si>
  <si>
    <t xml:space="preserve">L9.DNZ.810.20924</t>
  </si>
  <si>
    <t xml:space="preserve">FSA Palmrstn Nth/Whnganui Mtce EU Subcontractors</t>
  </si>
  <si>
    <t xml:space="preserve">L9.DNZ.810.20929</t>
  </si>
  <si>
    <t xml:space="preserve">FSA Rotorua/Taupo Maintain EU Subcontractors</t>
  </si>
  <si>
    <t xml:space="preserve">L9.DNZ.810.20932</t>
  </si>
  <si>
    <t xml:space="preserve">FSA Southern Deployment EU Subcontractors</t>
  </si>
  <si>
    <t xml:space="preserve">L9.DNZ.810.20943</t>
  </si>
  <si>
    <t xml:space="preserve">FSA Southern ISP Build EU Subcontractors</t>
  </si>
  <si>
    <t xml:space="preserve">L9.DNZ.810.20955</t>
  </si>
  <si>
    <t xml:space="preserve">FSA Southern ISP Maintain EU Subcontractors</t>
  </si>
  <si>
    <t xml:space="preserve">L9.DNZ.810.20936</t>
  </si>
  <si>
    <t xml:space="preserve">FSA Southern Proactive EU Subcontractors</t>
  </si>
  <si>
    <t xml:space="preserve">L9.DNZ.810.20949</t>
  </si>
  <si>
    <t xml:space="preserve">FSA Taranaki Maintain EU Subcontractors</t>
  </si>
  <si>
    <t xml:space="preserve">L9.DNZ.810.20934</t>
  </si>
  <si>
    <t xml:space="preserve">FSA Tauranga Maintain EU Subcontractors</t>
  </si>
  <si>
    <t xml:space="preserve">L9.DNZ.810.20933</t>
  </si>
  <si>
    <t xml:space="preserve">FSA Thames/Coromandel Maintain EU Subcontractors</t>
  </si>
  <si>
    <t xml:space="preserve">FSA Upper Sth Island Build EU Subcontractors</t>
  </si>
  <si>
    <t xml:space="preserve">L9.DNZ.810.20834</t>
  </si>
  <si>
    <t xml:space="preserve">FSA Upper Sth Island ISP Build EU Subcontractors</t>
  </si>
  <si>
    <t xml:space="preserve">L9.DNZ.810.20956</t>
  </si>
  <si>
    <t xml:space="preserve">FSA Upper Sth Island ISP Mtce EU Subcontractors</t>
  </si>
  <si>
    <t xml:space="preserve">L9.DNZ.810.20937</t>
  </si>
  <si>
    <t xml:space="preserve">FSA Upper Sth Island Proactive EU Subcontractors</t>
  </si>
  <si>
    <t xml:space="preserve">L9.DNZ.810.20950</t>
  </si>
  <si>
    <t xml:space="preserve">FSA Uppr Sth Island Deployment EU Subcontractors</t>
  </si>
  <si>
    <t xml:space="preserve">L9.DNZ.810.20944</t>
  </si>
  <si>
    <t xml:space="preserve">FSA Waikato Build EU Subcontractors</t>
  </si>
  <si>
    <t xml:space="preserve">L9.DNZ.810.20851</t>
  </si>
  <si>
    <t xml:space="preserve">FSA Wellington Deployment EU Subcontractors</t>
  </si>
  <si>
    <t xml:space="preserve">L9.DNZ.810.20945</t>
  </si>
  <si>
    <t xml:space="preserve">FSA Wellington ISP Build EU Subcontractors</t>
  </si>
  <si>
    <t xml:space="preserve">L9.DNZ.810.20957</t>
  </si>
  <si>
    <t xml:space="preserve">FSA Wellington Maintain EU Subcontractors</t>
  </si>
  <si>
    <t xml:space="preserve">L9.DNZ.810.20928</t>
  </si>
  <si>
    <t xml:space="preserve">FSA Wellington Proactive EU Subcontractors</t>
  </si>
  <si>
    <t xml:space="preserve">L9.DNZ.810.20951</t>
  </si>
  <si>
    <t xml:space="preserve">FSA West Coast Maintain EU Subcontractors</t>
  </si>
  <si>
    <t xml:space="preserve">L9.DNZ.810.20925</t>
  </si>
  <si>
    <t xml:space="preserve">FSA Wstn Nth Island Deployment EU Subcontractors</t>
  </si>
  <si>
    <t xml:space="preserve">L9.DNZ.810.20948</t>
  </si>
  <si>
    <t xml:space="preserve">FSA Wstn Nth Island ISP Build EU Subcontractors</t>
  </si>
  <si>
    <t xml:space="preserve">L9.DNZ.810.20960</t>
  </si>
  <si>
    <t xml:space="preserve">FSA Wstn Nth Island ISP Mtce EU Subcontractors</t>
  </si>
  <si>
    <t xml:space="preserve">L9.DNZ.810.20941</t>
  </si>
  <si>
    <t xml:space="preserve">FSA Wstn Nth Island Proactive EU Subcontractors</t>
  </si>
  <si>
    <t xml:space="preserve">L9.DNZ.810.20954</t>
  </si>
  <si>
    <t xml:space="preserve">FSC Central Deployment EU Subcontractors</t>
  </si>
  <si>
    <t xml:space="preserve">L9.DNZ.810.20780</t>
  </si>
  <si>
    <t xml:space="preserve">FSC Central Proactive EU Subcontractors</t>
  </si>
  <si>
    <t xml:space="preserve">L9.DNZ.810.20588</t>
  </si>
  <si>
    <t xml:space="preserve">FSC Southern Deployment EU Subcontractors</t>
  </si>
  <si>
    <t xml:space="preserve">L9.DNZ.810.20903</t>
  </si>
  <si>
    <t xml:space="preserve">FSC Wellington Deployment EU Subcontractors</t>
  </si>
  <si>
    <t xml:space="preserve">L9.DNZ.810.20879</t>
  </si>
  <si>
    <t xml:space="preserve">FSD Data Centre</t>
  </si>
  <si>
    <t xml:space="preserve">24190263</t>
  </si>
  <si>
    <t xml:space="preserve">FSNI HEAD OFFICE</t>
  </si>
  <si>
    <t xml:space="preserve">JP_HA0385</t>
  </si>
  <si>
    <t xml:space="preserve">FSU_AE Smith NZ_Clients</t>
  </si>
  <si>
    <t xml:space="preserve">5324</t>
  </si>
  <si>
    <t xml:space="preserve">Used at Client Sites by AE Smith</t>
  </si>
  <si>
    <t xml:space="preserve">FTTC - Construction EU Subcontractors</t>
  </si>
  <si>
    <t xml:space="preserve">L9.EMS.410.15677</t>
  </si>
  <si>
    <t xml:space="preserve">FTTC NSW C Construction OH</t>
  </si>
  <si>
    <t xml:space="preserve">L9.J.23440003</t>
  </si>
  <si>
    <t xml:space="preserve">23440003</t>
  </si>
  <si>
    <t xml:space="preserve">FTTC NSW S Construction OH</t>
  </si>
  <si>
    <t xml:space="preserve">L9.J.23440005</t>
  </si>
  <si>
    <t xml:space="preserve">23440005</t>
  </si>
  <si>
    <t xml:space="preserve">FTTC Program OH Project</t>
  </si>
  <si>
    <t xml:space="preserve">L9.J.23440001</t>
  </si>
  <si>
    <t xml:space="preserve">23440001</t>
  </si>
  <si>
    <t xml:space="preserve">Fuel Cards - ADS-3197 - Asset &amp; Development Servic</t>
  </si>
  <si>
    <t xml:space="preserve">FCF3197</t>
  </si>
  <si>
    <t xml:space="preserve">OMS fuel data-Australia</t>
  </si>
  <si>
    <t xml:space="preserve">Fuel Cards - COR-101 - CEO office</t>
  </si>
  <si>
    <t xml:space="preserve">L9.J.100202</t>
  </si>
  <si>
    <t xml:space="preserve">FCC101</t>
  </si>
  <si>
    <t xml:space="preserve">Fuel Cards - COR-101 - Corporate HO</t>
  </si>
  <si>
    <t xml:space="preserve">L9.WAU.003010</t>
  </si>
  <si>
    <t xml:space="preserve">Fuel Cards - COR-103 - Group Services</t>
  </si>
  <si>
    <t xml:space="preserve">L9.J.109102</t>
  </si>
  <si>
    <t xml:space="preserve">Fuel Cards - COR-354 - CFO Office</t>
  </si>
  <si>
    <t xml:space="preserve">FCC354</t>
  </si>
  <si>
    <t xml:space="preserve">Will need to move to 354 when group is available.</t>
  </si>
  <si>
    <t xml:space="preserve">Fuel Cards - DNZ-NZH-Historical</t>
  </si>
  <si>
    <t xml:space="preserve">L9.DNZJ.1220</t>
  </si>
  <si>
    <t xml:space="preserve">Fuel Cards - DOW-DIV-Divestments</t>
  </si>
  <si>
    <t xml:space="preserve">L9.B.8542090</t>
  </si>
  <si>
    <t xml:space="preserve">Fuel Cards - DOW-JVS-Joint Ventures</t>
  </si>
  <si>
    <t xml:space="preserve">L9.WAU.001501</t>
  </si>
  <si>
    <t xml:space="preserve">Fuel Cards - DT-201 - DT Infrastructure</t>
  </si>
  <si>
    <t xml:space="preserve">L9.J.201</t>
  </si>
  <si>
    <t xml:space="preserve">Fuel Cards - EU-242 - Utilities Legacy &amp; Other</t>
  </si>
  <si>
    <t xml:space="preserve">L9.J.230102</t>
  </si>
  <si>
    <t xml:space="preserve">Fuel Cards - EU-243 - Utilities Management</t>
  </si>
  <si>
    <t xml:space="preserve">L9.J.241101</t>
  </si>
  <si>
    <t xml:space="preserve">Fuel Cards - EU-245 - Technology &amp; Comms Services</t>
  </si>
  <si>
    <t xml:space="preserve">Fuel Cards - EU-246 - Energy Networks</t>
  </si>
  <si>
    <t xml:space="preserve">L9.J.22910013</t>
  </si>
  <si>
    <t xml:space="preserve">Fuel Cards - EU-252 - Strategy &amp; Growth</t>
  </si>
  <si>
    <t xml:space="preserve">L9.J.2411000407</t>
  </si>
  <si>
    <t xml:space="preserve">Fuel Cards - EU-253 - Water Services</t>
  </si>
  <si>
    <t xml:space="preserve">L9.J.23020005</t>
  </si>
  <si>
    <t xml:space="preserve">Fuel Cards - EU-3195.121 - Utilities Power, Gas &amp; Comms</t>
  </si>
  <si>
    <t xml:space="preserve">L9.S.13000917</t>
  </si>
  <si>
    <t xml:space="preserve">Fuel Cards - EU-360 - Power Transmission &amp; Storage</t>
  </si>
  <si>
    <t xml:space="preserve">L9.J.371003</t>
  </si>
  <si>
    <t xml:space="preserve">Fuel Cards - EU-362 - I&amp;PG - East</t>
  </si>
  <si>
    <t xml:space="preserve">L9.J.38210104</t>
  </si>
  <si>
    <t xml:space="preserve">Previously named: Fuel Cards - IE-362 - I&amp;E - East</t>
  </si>
  <si>
    <t xml:space="preserve">Fuel Cards - EU-363 - Future Energy and Integrated Gas 01</t>
  </si>
  <si>
    <t xml:space="preserve">L9.J.24130117</t>
  </si>
  <si>
    <t xml:space="preserve">Previously named: Fuel Cards - IE-363 - Future Energy Solutions</t>
  </si>
  <si>
    <t xml:space="preserve">Fuel Cards - EU-363 - Future Energy and Integrated Gas 02</t>
  </si>
  <si>
    <t xml:space="preserve">L9.J.38250003</t>
  </si>
  <si>
    <t xml:space="preserve">Previously named: Fuel Cards - IE-364 - Integrated Gas</t>
  </si>
  <si>
    <t xml:space="preserve">Fuel Cards - EU-364 - Energy Networks</t>
  </si>
  <si>
    <t xml:space="preserve">L9.J.24170142</t>
  </si>
  <si>
    <t xml:space="preserve">Fuel Cards - EU-365 - I&amp;PG - West 01</t>
  </si>
  <si>
    <t xml:space="preserve">L9.J.38130005</t>
  </si>
  <si>
    <t xml:space="preserve">Previously named: Fuel Cards - IE-365 - I&amp;E - West</t>
  </si>
  <si>
    <t xml:space="preserve">Fuel Cards - EU-365 - I&amp;PG - West 02</t>
  </si>
  <si>
    <t xml:space="preserve">L9.J.38225116</t>
  </si>
  <si>
    <t xml:space="preserve">FCF365</t>
  </si>
  <si>
    <t xml:space="preserve">Previously named: Fuel Cards - IE-365 - Industrial &amp; Marine</t>
  </si>
  <si>
    <t xml:space="preserve">Fuel Cards - EU-366 - I&amp;E - Support 01</t>
  </si>
  <si>
    <t xml:space="preserve">L9.J.381160</t>
  </si>
  <si>
    <t xml:space="preserve">FCF363</t>
  </si>
  <si>
    <t xml:space="preserve">Previously named: Fuel Cards - IE-363 - Power &amp; Energy</t>
  </si>
  <si>
    <t xml:space="preserve">Fuel Cards - EU-366 - I&amp;E - Support 02</t>
  </si>
  <si>
    <t xml:space="preserve">L9.J.382010</t>
  </si>
  <si>
    <t xml:space="preserve">FCF366</t>
  </si>
  <si>
    <t xml:space="preserve">Previously named: Fuel Cards - IE-366 - AS Business Support</t>
  </si>
  <si>
    <t xml:space="preserve">Fuel Cards - EU-366 - I&amp;E - Support 03</t>
  </si>
  <si>
    <t xml:space="preserve">L9.J.382157</t>
  </si>
  <si>
    <t xml:space="preserve">Previously named: Fuel Cards - IE-366 - I&amp;E - Support</t>
  </si>
  <si>
    <t xml:space="preserve">Fuel Cards - EU-700 - Confluence Water</t>
  </si>
  <si>
    <t xml:space="preserve">Fuel Cards - IE-357 - Mineral Technologies</t>
  </si>
  <si>
    <t xml:space="preserve">L9.MIN.8010.ADMI.OFF</t>
  </si>
  <si>
    <t xml:space="preserve">Fuel Cards - IP-202 - Infrastructure Projects</t>
  </si>
  <si>
    <t xml:space="preserve">L9.J.200611</t>
  </si>
  <si>
    <t xml:space="preserve">Fuel Cards - IP-205 - Rail Infrastructure</t>
  </si>
  <si>
    <t xml:space="preserve">L9.D.201422</t>
  </si>
  <si>
    <t xml:space="preserve">Fuel Cards - MIN-403 - Mining</t>
  </si>
  <si>
    <t xml:space="preserve">L9.MIN.3040.MAIN.DSH</t>
  </si>
  <si>
    <t xml:space="preserve">Fuel Cards - RTS-705 - Rolling Stock</t>
  </si>
  <si>
    <t xml:space="preserve">Fuel Cards - RTS-706 - Rail MPM</t>
  </si>
  <si>
    <t xml:space="preserve">L9.J.70700016</t>
  </si>
  <si>
    <t xml:space="preserve">Fuel Cards - SI-0012 - Base &amp; Estate Management</t>
  </si>
  <si>
    <t xml:space="preserve">Fuel Cards - SI-0012 - Defence</t>
  </si>
  <si>
    <t xml:space="preserve">L9.S.13000771</t>
  </si>
  <si>
    <t xml:space="preserve">Fuel Cards - SI-3174 - Government &amp; IFM</t>
  </si>
  <si>
    <t xml:space="preserve">L9.S.13000854</t>
  </si>
  <si>
    <t xml:space="preserve">Fuel Cards - SI-3175 - Health and Education</t>
  </si>
  <si>
    <t xml:space="preserve">L9.S.13000910</t>
  </si>
  <si>
    <t xml:space="preserve">Fuel Cards - SI-3176 - Precinct Upgrade &amp; New Ener</t>
  </si>
  <si>
    <t xml:space="preserve">L9.S.13001519</t>
  </si>
  <si>
    <t xml:space="preserve">Fuel Cards - SPT-3106 - Laundries FM</t>
  </si>
  <si>
    <t xml:space="preserve">L9.S.16017139</t>
  </si>
  <si>
    <t xml:space="preserve">Fuel Cards - SPT-3198 - Hospitality</t>
  </si>
  <si>
    <t xml:space="preserve">L9.S.16012183</t>
  </si>
  <si>
    <t xml:space="preserve">Fuel Cards - SPT-3199 - Corporate Australia</t>
  </si>
  <si>
    <t xml:space="preserve">Fuel Cards - TI-171 - TI-HO Office 01</t>
  </si>
  <si>
    <t xml:space="preserve">L9.J.170834</t>
  </si>
  <si>
    <t xml:space="preserve">FCR171</t>
  </si>
  <si>
    <t xml:space="preserve">Previous named: Fuel Cards - TI-171 - RO-HO Office</t>
  </si>
  <si>
    <t xml:space="preserve">Fuel Cards - TI-171 - TI-HO Office 02</t>
  </si>
  <si>
    <t xml:space="preserve">L9.J.170821</t>
  </si>
  <si>
    <t xml:space="preserve">Previously named: Fuel Cards - TI-172 - Transport &amp; Infrastructure H</t>
  </si>
  <si>
    <t xml:space="preserve">Fuel Cards - TI-174 - Maintenance &amp; ITS</t>
  </si>
  <si>
    <t xml:space="preserve">L9.J.170278</t>
  </si>
  <si>
    <t xml:space="preserve">FCR174</t>
  </si>
  <si>
    <t xml:space="preserve">Previously named: Fuel Cards - TI-174 - DM Roads</t>
  </si>
  <si>
    <t xml:space="preserve">Fuel Cards - TI-187 - Asphalt &amp; Products 01</t>
  </si>
  <si>
    <t xml:space="preserve">L9.J.170321</t>
  </si>
  <si>
    <t xml:space="preserve">Previously named: Fuel Cards - TI-173 - National Ops AU</t>
  </si>
  <si>
    <t xml:space="preserve">Fuel Cards - TI-187 - Asphalt &amp; Products 03</t>
  </si>
  <si>
    <t xml:space="preserve">L9.J.170325</t>
  </si>
  <si>
    <t xml:space="preserve">FCR178</t>
  </si>
  <si>
    <t xml:space="preserve">Previously named: Fuel Cards - TI-178 - Tasmania Operations</t>
  </si>
  <si>
    <t xml:space="preserve">Fuel Cards - TI-188 - Pavement Rehab &amp; Civils</t>
  </si>
  <si>
    <t xml:space="preserve">L9.J.170968</t>
  </si>
  <si>
    <t xml:space="preserve">170968</t>
  </si>
  <si>
    <t xml:space="preserve">TI-170968 - Pave Rehab &amp; Civils Admin</t>
  </si>
  <si>
    <t xml:space="preserve">Fuel Cards - TI-189 - Specialised Pavements &amp; Projec</t>
  </si>
  <si>
    <t xml:space="preserve">L9.J.17093326</t>
  </si>
  <si>
    <t xml:space="preserve">Fuel Cards - TI-190 - Thin Surfacing</t>
  </si>
  <si>
    <t xml:space="preserve">L9.J.170526</t>
  </si>
  <si>
    <t xml:space="preserve">FCR175</t>
  </si>
  <si>
    <t xml:space="preserve">Previously named: Fuel Cards - TI-175 - National Bituminous Product</t>
  </si>
  <si>
    <t xml:space="preserve">Fuel Cards - TI-191 - T&amp;I AU Management</t>
  </si>
  <si>
    <t xml:space="preserve">L9.J.170123</t>
  </si>
  <si>
    <t xml:space="preserve">FCR173</t>
  </si>
  <si>
    <t xml:space="preserve">Previously named: Fuel Cards - TI-173 - Pavements</t>
  </si>
  <si>
    <t xml:space="preserve">Fuel Cards - TI-192 - AU Fleet &amp; TI 01</t>
  </si>
  <si>
    <t xml:space="preserve">L9.J.170136</t>
  </si>
  <si>
    <t xml:space="preserve">Previously named: Fuel Cards - TI-174 - ANZ Operations</t>
  </si>
  <si>
    <t xml:space="preserve">Fuel Cards - TI-192 - AU Fleet &amp; TI 02</t>
  </si>
  <si>
    <t xml:space="preserve">FCR176</t>
  </si>
  <si>
    <t xml:space="preserve">Previously named: Fuel Cards - TI-176 - Plant &amp; Equipment</t>
  </si>
  <si>
    <t xml:space="preserve">Fuel Cards - TI-193 - AU Fleet - Fleet</t>
  </si>
  <si>
    <t xml:space="preserve">L9.J.170802</t>
  </si>
  <si>
    <t xml:space="preserve">170802</t>
  </si>
  <si>
    <t xml:space="preserve">Fuel Cards - UTIL-242 Utilities Legacy &amp; Other</t>
  </si>
  <si>
    <t xml:space="preserve">L9.DUA.301100</t>
  </si>
  <si>
    <t xml:space="preserve">FCU242</t>
  </si>
  <si>
    <t xml:space="preserve">Fuel Cards - UTIL-243 Utilities Management</t>
  </si>
  <si>
    <t xml:space="preserve">L9.DUA.12010</t>
  </si>
  <si>
    <t xml:space="preserve">FCU243</t>
  </si>
  <si>
    <t xml:space="preserve">Fuel Cards - UTIL-245 - Technology &amp; Comms Service</t>
  </si>
  <si>
    <t xml:space="preserve">L9.J.23440160</t>
  </si>
  <si>
    <t xml:space="preserve">FCU245</t>
  </si>
  <si>
    <t xml:space="preserve">Fuel Cards - UTIL-246 - Power&amp;Gas Distribution Net</t>
  </si>
  <si>
    <t xml:space="preserve">FCU246</t>
  </si>
  <si>
    <t xml:space="preserve">Fuel Cards - UTIL-252 - Water Services Projects NS</t>
  </si>
  <si>
    <t xml:space="preserve">FCU252</t>
  </si>
  <si>
    <t xml:space="preserve">Fuel Cards - UTIL-253 - Water Services Programs</t>
  </si>
  <si>
    <t xml:space="preserve">L9.J.241503</t>
  </si>
  <si>
    <t xml:space="preserve">FCU253</t>
  </si>
  <si>
    <t xml:space="preserve">Needs to move to new group (253) when created</t>
  </si>
  <si>
    <t xml:space="preserve">Fuel Cards - UTIL-359 - Engineering</t>
  </si>
  <si>
    <t xml:space="preserve">L9.J.377102</t>
  </si>
  <si>
    <t xml:space="preserve">FCI359</t>
  </si>
  <si>
    <t xml:space="preserve">Fuel Cards - UTIL-360 - Power Systems</t>
  </si>
  <si>
    <t xml:space="preserve">L9.J.37210031</t>
  </si>
  <si>
    <t xml:space="preserve">FCI360</t>
  </si>
  <si>
    <t xml:space="preserve">Fuel Cards Non-Op - COR-103 - Group Services</t>
  </si>
  <si>
    <t xml:space="preserve">L9.J.10910021</t>
  </si>
  <si>
    <t xml:space="preserve">Fuel Cards Non-Op - TI-173 - National Ops AU</t>
  </si>
  <si>
    <t xml:space="preserve">Fuel Cards Non-Op - TI-175 - Maint &amp; Pave AU</t>
  </si>
  <si>
    <t xml:space="preserve">L9.J.170168</t>
  </si>
  <si>
    <t xml:space="preserve">Fuel MT-997</t>
  </si>
  <si>
    <t xml:space="preserve">Future Energy Projects EU Subcontractors</t>
  </si>
  <si>
    <t xml:space="preserve">L9.J.382111</t>
  </si>
  <si>
    <t xml:space="preserve">FY22 Cartage Subcontractors</t>
  </si>
  <si>
    <t xml:space="preserve">L9.J.170400</t>
  </si>
  <si>
    <t xml:space="preserve">FY22 T&amp;I AU Subcontractors - Other</t>
  </si>
  <si>
    <t xml:space="preserve">FY25 AGL Maintenance Works</t>
  </si>
  <si>
    <t xml:space="preserve">L9.J.38243023</t>
  </si>
  <si>
    <t xml:space="preserve">38243023</t>
  </si>
  <si>
    <t xml:space="preserve">FY25 Bay Of Plenty Proactive EU Subcontractors</t>
  </si>
  <si>
    <t xml:space="preserve">L9.DNZ.810.21124</t>
  </si>
  <si>
    <t xml:space="preserve">Gas Hutt Valley Cvl Direct OH</t>
  </si>
  <si>
    <t xml:space="preserve">L9.DUN.50132</t>
  </si>
  <si>
    <t xml:space="preserve">PG50132</t>
  </si>
  <si>
    <t xml:space="preserve">Gas Hutt Valley Indirect OH</t>
  </si>
  <si>
    <t xml:space="preserve">L9.DUN.50130</t>
  </si>
  <si>
    <t xml:space="preserve">PG50130</t>
  </si>
  <si>
    <t xml:space="preserve">Gas Hutt Valley Tech Direct OH</t>
  </si>
  <si>
    <t xml:space="preserve">PG50131</t>
  </si>
  <si>
    <t xml:space="preserve">Gas Meter Reading</t>
  </si>
  <si>
    <t xml:space="preserve">L9.J.241736</t>
  </si>
  <si>
    <t xml:space="preserve">241736</t>
  </si>
  <si>
    <t xml:space="preserve">Gas Projects Indirect OH</t>
  </si>
  <si>
    <t xml:space="preserve">L9.DUN.50110</t>
  </si>
  <si>
    <t xml:space="preserve">PG50110</t>
  </si>
  <si>
    <t xml:space="preserve">Gas Projects PM/Des Direct OH</t>
  </si>
  <si>
    <t xml:space="preserve">L9.DUN.50113</t>
  </si>
  <si>
    <t xml:space="preserve">PG50113</t>
  </si>
  <si>
    <t xml:space="preserve">Gas Taranaki Gas Tch Direct OH</t>
  </si>
  <si>
    <t xml:space="preserve">L9.DUN.50121</t>
  </si>
  <si>
    <t xml:space="preserve">50121</t>
  </si>
  <si>
    <t xml:space="preserve">Gas Taranaki Indirect OH</t>
  </si>
  <si>
    <t xml:space="preserve">L9.DUN.50120</t>
  </si>
  <si>
    <t xml:space="preserve">50120</t>
  </si>
  <si>
    <t xml:space="preserve">Gas Vector AMS Direct OH</t>
  </si>
  <si>
    <t xml:space="preserve">L9.DUN.50211</t>
  </si>
  <si>
    <t xml:space="preserve">PG50211</t>
  </si>
  <si>
    <t xml:space="preserve">Gas Vector AMS Indirect OH</t>
  </si>
  <si>
    <t xml:space="preserve">L9.DUN.50210</t>
  </si>
  <si>
    <t xml:space="preserve">PG50210</t>
  </si>
  <si>
    <t xml:space="preserve">Gas Wellington Tech Direct OH</t>
  </si>
  <si>
    <t xml:space="preserve">L9.DUN.50141</t>
  </si>
  <si>
    <t xml:space="preserve">50141</t>
  </si>
  <si>
    <t xml:space="preserve">GC - Payroll Clearing</t>
  </si>
  <si>
    <t xml:space="preserve">L9.J.241615</t>
  </si>
  <si>
    <t xml:space="preserve">241615</t>
  </si>
  <si>
    <t xml:space="preserve">GCI Solutions (Downer Ventia JV)</t>
  </si>
  <si>
    <t xml:space="preserve">Gold Coast</t>
  </si>
  <si>
    <t xml:space="preserve">GE RNC Minor Capital Works OH</t>
  </si>
  <si>
    <t xml:space="preserve">L9.J.170265</t>
  </si>
  <si>
    <t xml:space="preserve">170265</t>
  </si>
  <si>
    <t xml:space="preserve">GE RNC Mobilisation</t>
  </si>
  <si>
    <t xml:space="preserve">L9.J.25460001</t>
  </si>
  <si>
    <t xml:space="preserve">25460001</t>
  </si>
  <si>
    <t xml:space="preserve">GE RNC Plant Pool</t>
  </si>
  <si>
    <t xml:space="preserve">L9.J.254603</t>
  </si>
  <si>
    <t xml:space="preserve">254603</t>
  </si>
  <si>
    <t xml:space="preserve">General Workspace</t>
  </si>
  <si>
    <t xml:space="preserve">L9.J.258101</t>
  </si>
  <si>
    <t xml:space="preserve">UTIL-258101</t>
  </si>
  <si>
    <t xml:space="preserve">General Workspace for SFP JV</t>
  </si>
  <si>
    <t xml:space="preserve">Generation &amp; Private Networks</t>
  </si>
  <si>
    <t xml:space="preserve">L9.DUN.20040</t>
  </si>
  <si>
    <t xml:space="preserve">20040</t>
  </si>
  <si>
    <t xml:space="preserve">Gepps Cross</t>
  </si>
  <si>
    <t xml:space="preserve">L9.J.10920031</t>
  </si>
  <si>
    <t xml:space="preserve">Utilities site</t>
  </si>
  <si>
    <t xml:space="preserve">535 Prospect Road</t>
  </si>
  <si>
    <t xml:space="preserve">Gillman - BIT</t>
  </si>
  <si>
    <t xml:space="preserve">L9.J.170517</t>
  </si>
  <si>
    <t xml:space="preserve">GBIT</t>
  </si>
  <si>
    <t xml:space="preserve">Gillman - P&amp;E</t>
  </si>
  <si>
    <t xml:space="preserve">L9.J.170592</t>
  </si>
  <si>
    <t xml:space="preserve">Gillman - PAV</t>
  </si>
  <si>
    <t xml:space="preserve">L9.J.17050664</t>
  </si>
  <si>
    <t xml:space="preserve">6 Matson Court</t>
  </si>
  <si>
    <t xml:space="preserve">Gillman</t>
  </si>
  <si>
    <t xml:space="preserve">-34.841</t>
  </si>
  <si>
    <t xml:space="preserve">138.528</t>
  </si>
  <si>
    <t xml:space="preserve">Gillman Workshop</t>
  </si>
  <si>
    <t xml:space="preserve">170592</t>
  </si>
  <si>
    <t xml:space="preserve">Gippsl&amp; Water - Water Mtr Serv SD</t>
  </si>
  <si>
    <t xml:space="preserve">L9.S.16013449</t>
  </si>
  <si>
    <t xml:space="preserve">16013449</t>
  </si>
  <si>
    <t xml:space="preserve">Gippsland Asphalt - Bairnsdale</t>
  </si>
  <si>
    <t xml:space="preserve">L9.J.176103.1</t>
  </si>
  <si>
    <t xml:space="preserve">103.1</t>
  </si>
  <si>
    <t xml:space="preserve">2026/01/01</t>
  </si>
  <si>
    <t xml:space="preserve">Gisborne (222 Dunstan Road)</t>
  </si>
  <si>
    <t xml:space="preserve">Land</t>
  </si>
  <si>
    <t xml:space="preserve">L9.DNZJ.91201</t>
  </si>
  <si>
    <t xml:space="preserve">91201</t>
  </si>
  <si>
    <t xml:space="preserve">COR-NZHO.91201-Gisborne (222 Dunstan Road)
T&amp;I Land - NZ property listing</t>
  </si>
  <si>
    <t xml:space="preserve">Gisborne (3-58 Peel Street)</t>
  </si>
  <si>
    <t xml:space="preserve">L9.DNZJ.91200</t>
  </si>
  <si>
    <t xml:space="preserve">91200</t>
  </si>
  <si>
    <t xml:space="preserve">3-58 Peel Street</t>
  </si>
  <si>
    <t xml:space="preserve">-38.6668</t>
  </si>
  <si>
    <t xml:space="preserve">178.0258</t>
  </si>
  <si>
    <t xml:space="preserve">Gisborne COS - Recharge</t>
  </si>
  <si>
    <t xml:space="preserve">L9.DNZJ.54985</t>
  </si>
  <si>
    <t xml:space="preserve">54985</t>
  </si>
  <si>
    <t xml:space="preserve">Gisborne Depot</t>
  </si>
  <si>
    <t xml:space="preserve">L9.DNZJ.55580</t>
  </si>
  <si>
    <t xml:space="preserve">55580</t>
  </si>
  <si>
    <t xml:space="preserve">898161</t>
  </si>
  <si>
    <t xml:space="preserve">187 Awapuni Road</t>
  </si>
  <si>
    <t xml:space="preserve">Awapuni</t>
  </si>
  <si>
    <t xml:space="preserve">-38.6681</t>
  </si>
  <si>
    <t xml:space="preserve">178.0022</t>
  </si>
  <si>
    <t xml:space="preserve">Gisborne Telco Ops</t>
  </si>
  <si>
    <t xml:space="preserve">L9.DNZ.810.10.169</t>
  </si>
  <si>
    <t xml:space="preserve">10169</t>
  </si>
  <si>
    <t xml:space="preserve">10.169</t>
  </si>
  <si>
    <t xml:space="preserve">GMS - Inland</t>
  </si>
  <si>
    <t xml:space="preserve">L9.J.38280142</t>
  </si>
  <si>
    <t xml:space="preserve">38280142</t>
  </si>
  <si>
    <t xml:space="preserve">Gold Coast City Council EOI</t>
  </si>
  <si>
    <t xml:space="preserve">L9.J.3776000907</t>
  </si>
  <si>
    <t xml:space="preserve">3776000907</t>
  </si>
  <si>
    <t xml:space="preserve">Goldfields - Minor Works</t>
  </si>
  <si>
    <t xml:space="preserve">L9.J.38280125</t>
  </si>
  <si>
    <t xml:space="preserve">38280125</t>
  </si>
  <si>
    <t xml:space="preserve">Goldfields EU Subcontractors</t>
  </si>
  <si>
    <t xml:space="preserve">Gore DC - RCM</t>
  </si>
  <si>
    <t xml:space="preserve">L9.DNZJ.55373</t>
  </si>
  <si>
    <t xml:space="preserve">55373</t>
  </si>
  <si>
    <t xml:space="preserve">Gorgon - Plant</t>
  </si>
  <si>
    <t xml:space="preserve">L9.J.382903</t>
  </si>
  <si>
    <t xml:space="preserve">382903</t>
  </si>
  <si>
    <t xml:space="preserve">Gorgon NPI</t>
  </si>
  <si>
    <t xml:space="preserve">ASV-12905</t>
  </si>
  <si>
    <t xml:space="preserve">Barrow Island</t>
  </si>
  <si>
    <t xml:space="preserve">6712</t>
  </si>
  <si>
    <t xml:space="preserve">-20.791433</t>
  </si>
  <si>
    <t xml:space="preserve">115.450829</t>
  </si>
  <si>
    <t xml:space="preserve">GPC Conveyor Gantry</t>
  </si>
  <si>
    <t xml:space="preserve">L9.J.38215008</t>
  </si>
  <si>
    <t xml:space="preserve">38215008</t>
  </si>
  <si>
    <t xml:space="preserve">GR Services Pre Connect</t>
  </si>
  <si>
    <t xml:space="preserve">L9.EMS.410.10232</t>
  </si>
  <si>
    <t xml:space="preserve">Grafton Spray Services</t>
  </si>
  <si>
    <t xml:space="preserve">L9.J.170782</t>
  </si>
  <si>
    <t xml:space="preserve">170782</t>
  </si>
  <si>
    <t xml:space="preserve">Green Vision Recycling Admin</t>
  </si>
  <si>
    <t xml:space="preserve">3201</t>
  </si>
  <si>
    <t xml:space="preserve">Green Vision Recycling Product</t>
  </si>
  <si>
    <t xml:space="preserve">3202</t>
  </si>
  <si>
    <t xml:space="preserve">1041511</t>
  </si>
  <si>
    <t xml:space="preserve">39 Miami Parade</t>
  </si>
  <si>
    <t xml:space="preserve">Onehunga</t>
  </si>
  <si>
    <t xml:space="preserve">-36.9302</t>
  </si>
  <si>
    <t xml:space="preserve">174.8066</t>
  </si>
  <si>
    <t xml:space="preserve">Greenwood Station</t>
  </si>
  <si>
    <t xml:space="preserve">Group Property and Procurement EU Subcontractors</t>
  </si>
  <si>
    <t xml:space="preserve">Group Travel - Australia</t>
  </si>
  <si>
    <t xml:space="preserve">L9.J.150214</t>
  </si>
  <si>
    <t xml:space="preserve">1003</t>
  </si>
  <si>
    <t xml:space="preserve">Group Travel - New Zealand</t>
  </si>
  <si>
    <t xml:space="preserve">L9.COR.120.20.820</t>
  </si>
  <si>
    <t xml:space="preserve">not listed</t>
  </si>
  <si>
    <t xml:space="preserve">c/- Group Office, T3, Triniti Business Campus, 39 Delhi Rd</t>
  </si>
  <si>
    <t xml:space="preserve">Group Travel - Spotless</t>
  </si>
  <si>
    <t xml:space="preserve">L9.COR.120.20.801</t>
  </si>
  <si>
    <t xml:space="preserve">GSC - GMR EU Subcontractors</t>
  </si>
  <si>
    <t xml:space="preserve">L9.J.241720</t>
  </si>
  <si>
    <t xml:space="preserve">GSC - Overhead EU Subcontractors</t>
  </si>
  <si>
    <t xml:space="preserve">L9.J.24170058</t>
  </si>
  <si>
    <t xml:space="preserve">GSC - Unitised/Non-unitised EU Subcontractors</t>
  </si>
  <si>
    <t xml:space="preserve">GSC Ararat Depot</t>
  </si>
  <si>
    <t xml:space="preserve">L9.J.241728</t>
  </si>
  <si>
    <t xml:space="preserve">241728</t>
  </si>
  <si>
    <t xml:space="preserve">GSC Ballarat Depot</t>
  </si>
  <si>
    <t xml:space="preserve">L9.J.241725</t>
  </si>
  <si>
    <t xml:space="preserve">241725</t>
  </si>
  <si>
    <t xml:space="preserve">GSC Bendigo Depot</t>
  </si>
  <si>
    <t xml:space="preserve">L9.J.241724</t>
  </si>
  <si>
    <t xml:space="preserve">241724</t>
  </si>
  <si>
    <t xml:space="preserve">GSC Colac Depot</t>
  </si>
  <si>
    <t xml:space="preserve">L9.J.241727</t>
  </si>
  <si>
    <t xml:space="preserve">241727</t>
  </si>
  <si>
    <t xml:space="preserve">GSC Contract Manager</t>
  </si>
  <si>
    <t xml:space="preserve">L9.J.241701</t>
  </si>
  <si>
    <t xml:space="preserve">241701</t>
  </si>
  <si>
    <t xml:space="preserve">GSC Derrimut Support</t>
  </si>
  <si>
    <t xml:space="preserve">L9.J.241745</t>
  </si>
  <si>
    <t xml:space="preserve">241745</t>
  </si>
  <si>
    <t xml:space="preserve">GSC Gas Supply</t>
  </si>
  <si>
    <t xml:space="preserve">L9.J.241737</t>
  </si>
  <si>
    <t xml:space="preserve">241737</t>
  </si>
  <si>
    <t xml:space="preserve">GSC Geelong Depot</t>
  </si>
  <si>
    <t xml:space="preserve">L9.J.241723</t>
  </si>
  <si>
    <t xml:space="preserve">241723</t>
  </si>
  <si>
    <t xml:space="preserve">GSC Geelong Support</t>
  </si>
  <si>
    <t xml:space="preserve">L9.J.241707</t>
  </si>
  <si>
    <t xml:space="preserve">241707</t>
  </si>
  <si>
    <t xml:space="preserve">GSC Hamilton Depot</t>
  </si>
  <si>
    <t xml:space="preserve">L9.J.241732</t>
  </si>
  <si>
    <t xml:space="preserve">241732</t>
  </si>
  <si>
    <t xml:space="preserve">GSC Horsham Depot</t>
  </si>
  <si>
    <t xml:space="preserve">L9.J.241729</t>
  </si>
  <si>
    <t xml:space="preserve">241729</t>
  </si>
  <si>
    <t xml:space="preserve">GSC Laverton Depot</t>
  </si>
  <si>
    <t xml:space="preserve">L9.J.241733</t>
  </si>
  <si>
    <t xml:space="preserve">241733</t>
  </si>
  <si>
    <t xml:space="preserve">GSC Mains &amp; Services Support</t>
  </si>
  <si>
    <t xml:space="preserve">L9.J.241717</t>
  </si>
  <si>
    <t xml:space="preserve">241717</t>
  </si>
  <si>
    <t xml:space="preserve">GSC Pipeline Patrol</t>
  </si>
  <si>
    <t xml:space="preserve">L9.J.241735</t>
  </si>
  <si>
    <t xml:space="preserve">241735</t>
  </si>
  <si>
    <t xml:space="preserve">GSC Planning Support</t>
  </si>
  <si>
    <t xml:space="preserve">L9.J.241721</t>
  </si>
  <si>
    <t xml:space="preserve">241721</t>
  </si>
  <si>
    <t xml:space="preserve">GSC Portland Depot</t>
  </si>
  <si>
    <t xml:space="preserve">L9.J.241731</t>
  </si>
  <si>
    <t xml:space="preserve">241731</t>
  </si>
  <si>
    <t xml:space="preserve">GSC SQE Support</t>
  </si>
  <si>
    <t xml:space="preserve">L9.J.241705</t>
  </si>
  <si>
    <t xml:space="preserve">241705</t>
  </si>
  <si>
    <t xml:space="preserve">GSC System Ops</t>
  </si>
  <si>
    <t xml:space="preserve">L9.J.241734</t>
  </si>
  <si>
    <t xml:space="preserve">241734</t>
  </si>
  <si>
    <t xml:space="preserve">GSC System Ops Support</t>
  </si>
  <si>
    <t xml:space="preserve">L9.J.241718</t>
  </si>
  <si>
    <t xml:space="preserve">241718</t>
  </si>
  <si>
    <t xml:space="preserve">GSC Technical Support</t>
  </si>
  <si>
    <t xml:space="preserve">L9.J.241703</t>
  </si>
  <si>
    <t xml:space="preserve">241703</t>
  </si>
  <si>
    <t xml:space="preserve">GSC Training Support</t>
  </si>
  <si>
    <t xml:space="preserve">L9.J.241722</t>
  </si>
  <si>
    <t xml:space="preserve">241722</t>
  </si>
  <si>
    <t xml:space="preserve">GSC Warrnambool Depot</t>
  </si>
  <si>
    <t xml:space="preserve">L9.J.241726</t>
  </si>
  <si>
    <t xml:space="preserve">241726</t>
  </si>
  <si>
    <t xml:space="preserve">GSC Warrnambool Support</t>
  </si>
  <si>
    <t xml:space="preserve">L9.J.241710</t>
  </si>
  <si>
    <t xml:space="preserve">241710</t>
  </si>
  <si>
    <t xml:space="preserve">GSC Woodend Depot</t>
  </si>
  <si>
    <t xml:space="preserve">L9.J.241730</t>
  </si>
  <si>
    <t xml:space="preserve">241730</t>
  </si>
  <si>
    <t xml:space="preserve">GVR Truck Fleet</t>
  </si>
  <si>
    <t xml:space="preserve">L9.DNZJ.3203</t>
  </si>
  <si>
    <t xml:space="preserve">3203</t>
  </si>
  <si>
    <t xml:space="preserve">Associated with TI-NZT.T32.321 - Green Vision Recycling (INX); TI-NZT-3203 - GVR Truck Fleet</t>
  </si>
  <si>
    <t xml:space="preserve">GWW - Campbellfield Depot</t>
  </si>
  <si>
    <t xml:space="preserve">L9.J.239501</t>
  </si>
  <si>
    <t xml:space="preserve">41-43 Fordson Rd, Campbellfield</t>
  </si>
  <si>
    <t xml:space="preserve">41-43 FORDSON RD</t>
  </si>
  <si>
    <t xml:space="preserve">CAMPBELLFIELD</t>
  </si>
  <si>
    <t xml:space="preserve">3061</t>
  </si>
  <si>
    <t xml:space="preserve">Gympie</t>
  </si>
  <si>
    <t xml:space="preserve">L9.J.17040613</t>
  </si>
  <si>
    <t xml:space="preserve">142</t>
  </si>
  <si>
    <t xml:space="preserve">3 Rafter Road</t>
  </si>
  <si>
    <t xml:space="preserve">4570</t>
  </si>
  <si>
    <t xml:space="preserve">-26.227</t>
  </si>
  <si>
    <t xml:space="preserve">152.691</t>
  </si>
  <si>
    <t xml:space="preserve">H.C. Coombs Center</t>
  </si>
  <si>
    <t xml:space="preserve">Center</t>
  </si>
  <si>
    <t xml:space="preserve">Kirribilli</t>
  </si>
  <si>
    <t xml:space="preserve">HAM/TGA Mobile Network</t>
  </si>
  <si>
    <t xml:space="preserve">L9.DNZ.810.10.259</t>
  </si>
  <si>
    <t xml:space="preserve">10259</t>
  </si>
  <si>
    <t xml:space="preserve">10.259</t>
  </si>
  <si>
    <t xml:space="preserve">HAM/TGA Mobile Network EU Subcontractors</t>
  </si>
  <si>
    <t xml:space="preserve">L9.DNZJ.10259</t>
  </si>
  <si>
    <t xml:space="preserve">Hamilton (Gilchrist Rd)</t>
  </si>
  <si>
    <t xml:space="preserve">L9.DNZJ.91411</t>
  </si>
  <si>
    <t xml:space="preserve">91411</t>
  </si>
  <si>
    <t xml:space="preserve">COR-NZHO.91411-Hamil</t>
  </si>
  <si>
    <t xml:space="preserve">HAMILTON CITY C 45001378</t>
  </si>
  <si>
    <t xml:space="preserve">L9.S.26008480</t>
  </si>
  <si>
    <t xml:space="preserve">2000003728</t>
  </si>
  <si>
    <t xml:space="preserve">Hamilton Depot</t>
  </si>
  <si>
    <t xml:space="preserve">55540</t>
  </si>
  <si>
    <t xml:space="preserve">10 Charlies Way</t>
  </si>
  <si>
    <t xml:space="preserve">Frankton</t>
  </si>
  <si>
    <t xml:space="preserve">-37.8004</t>
  </si>
  <si>
    <t xml:space="preserve">175.2579</t>
  </si>
  <si>
    <t xml:space="preserve">Hamilton East Telco Ops</t>
  </si>
  <si>
    <t xml:space="preserve">L9.DNZ.810.10.173</t>
  </si>
  <si>
    <t xml:space="preserve">10173</t>
  </si>
  <si>
    <t xml:space="preserve">Hamilton West Telco Ops</t>
  </si>
  <si>
    <t xml:space="preserve">L9.DNZ.810.10.172</t>
  </si>
  <si>
    <t xml:space="preserve">10172</t>
  </si>
  <si>
    <t xml:space="preserve">10.172</t>
  </si>
  <si>
    <t xml:space="preserve">HamiltonCityCncilH3Claudelands</t>
  </si>
  <si>
    <t xml:space="preserve">L9.S.26018025</t>
  </si>
  <si>
    <t xml:space="preserve">26018025</t>
  </si>
  <si>
    <t xml:space="preserve">Hamner Springs (22 River Road)</t>
  </si>
  <si>
    <t xml:space="preserve">L9.DNZJ.91324</t>
  </si>
  <si>
    <t xml:space="preserve">91324</t>
  </si>
  <si>
    <t xml:space="preserve">22 River Road</t>
  </si>
  <si>
    <t xml:space="preserve">7334</t>
  </si>
  <si>
    <t xml:space="preserve">-42.5716</t>
  </si>
  <si>
    <t xml:space="preserve">172.7966</t>
  </si>
  <si>
    <t xml:space="preserve">Hard Surface Reinstatement EU Subcontractors</t>
  </si>
  <si>
    <t xml:space="preserve">L9.J.24010010</t>
  </si>
  <si>
    <t xml:space="preserve">Harewood (397 Mcleans Island R</t>
  </si>
  <si>
    <t xml:space="preserve">L9.DNZJ.91327</t>
  </si>
  <si>
    <t xml:space="preserve">91327</t>
  </si>
  <si>
    <t xml:space="preserve">HARLEY GRAY RADIOLOGY</t>
  </si>
  <si>
    <t xml:space="preserve">Medical Office</t>
  </si>
  <si>
    <t xml:space="preserve">L9.DNZ.HA0418</t>
  </si>
  <si>
    <t xml:space="preserve">HA0418</t>
  </si>
  <si>
    <t xml:space="preserve">TI-NZT-BP.HA0418-Harley Gray Radiology</t>
  </si>
  <si>
    <t xml:space="preserve">Harman Clean</t>
  </si>
  <si>
    <t xml:space="preserve">L9.S.16011467</t>
  </si>
  <si>
    <t xml:space="preserve">16011467</t>
  </si>
  <si>
    <t xml:space="preserve">Harman Estate Upkeep</t>
  </si>
  <si>
    <t xml:space="preserve">L9.S.16011471</t>
  </si>
  <si>
    <t xml:space="preserve">16011471</t>
  </si>
  <si>
    <t xml:space="preserve">Harman Zone Project - Subs</t>
  </si>
  <si>
    <t xml:space="preserve">37740100</t>
  </si>
  <si>
    <t xml:space="preserve">Harman Zone Project - TXL</t>
  </si>
  <si>
    <t xml:space="preserve">L9.J.37740101</t>
  </si>
  <si>
    <t xml:space="preserve">37740101</t>
  </si>
  <si>
    <t xml:space="preserve">Hastings Depot</t>
  </si>
  <si>
    <t xml:space="preserve">55582</t>
  </si>
  <si>
    <t xml:space="preserve">1436 Omahu Road</t>
  </si>
  <si>
    <t xml:space="preserve">Twyford</t>
  </si>
  <si>
    <t xml:space="preserve">-39.6114</t>
  </si>
  <si>
    <t xml:space="preserve">176.788</t>
  </si>
  <si>
    <t xml:space="preserve">Hawera - Depot</t>
  </si>
  <si>
    <t xml:space="preserve">L9.DUN.60215</t>
  </si>
  <si>
    <t xml:space="preserve">60215</t>
  </si>
  <si>
    <t xml:space="preserve">Hawera - WM 214</t>
  </si>
  <si>
    <t xml:space="preserve">PG60214</t>
  </si>
  <si>
    <t xml:space="preserve">Hawera (329 Waihi Rd)</t>
  </si>
  <si>
    <t xml:space="preserve">L9.DNZJ.91253</t>
  </si>
  <si>
    <t xml:space="preserve">91253</t>
  </si>
  <si>
    <t xml:space="preserve">329 Waihi Road</t>
  </si>
  <si>
    <t xml:space="preserve">Hāwera</t>
  </si>
  <si>
    <t xml:space="preserve">South Taranaki</t>
  </si>
  <si>
    <t xml:space="preserve">4673</t>
  </si>
  <si>
    <t xml:space="preserve">Hawera Depot</t>
  </si>
  <si>
    <t xml:space="preserve">55570</t>
  </si>
  <si>
    <t xml:space="preserve">Hawkes Bay (TF1)</t>
  </si>
  <si>
    <t xml:space="preserve">L9.DUN.80311</t>
  </si>
  <si>
    <t xml:space="preserve">80311</t>
  </si>
  <si>
    <t xml:space="preserve">Hawkes Bay Telco Ops</t>
  </si>
  <si>
    <t xml:space="preserve">L9.DNZ.810.10.193</t>
  </si>
  <si>
    <t xml:space="preserve">10193</t>
  </si>
  <si>
    <t xml:space="preserve">10.193</t>
  </si>
  <si>
    <t xml:space="preserve">Hawkes Bay/P. North Mobile/ISP</t>
  </si>
  <si>
    <t xml:space="preserve">10247</t>
  </si>
  <si>
    <t xml:space="preserve">10.247</t>
  </si>
  <si>
    <t xml:space="preserve">Hawkins - Recharge</t>
  </si>
  <si>
    <t xml:space="preserve">L9.DNZ.HS0165</t>
  </si>
  <si>
    <t xml:space="preserve">Hawkins Construction Recharges</t>
  </si>
  <si>
    <t xml:space="preserve">L9.DNZJ.9010</t>
  </si>
  <si>
    <t xml:space="preserve">9010</t>
  </si>
  <si>
    <t xml:space="preserve">Hawkins Domestic Processor Project</t>
  </si>
  <si>
    <t xml:space="preserve">L9.DNZ.HA0423</t>
  </si>
  <si>
    <t xml:space="preserve">JP_HA0423</t>
  </si>
  <si>
    <t xml:space="preserve">TI-NZT-BP.HA0423 - AIAL Domestic Jet Terminal</t>
  </si>
  <si>
    <t xml:space="preserve">HB HOSPITAL-RADIOLOGY 2.0</t>
  </si>
  <si>
    <t xml:space="preserve">L9.DNZ.HW0268</t>
  </si>
  <si>
    <t xml:space="preserve">JP_HW0268</t>
  </si>
  <si>
    <t xml:space="preserve">TI-NZT-BP.HW0268-HB Radiology</t>
  </si>
  <si>
    <t xml:space="preserve">HB Overhead</t>
  </si>
  <si>
    <t xml:space="preserve">L9.DNZJ.54938</t>
  </si>
  <si>
    <t xml:space="preserve">54938</t>
  </si>
  <si>
    <t xml:space="preserve">TI-NZT-54938 - HB Ov</t>
  </si>
  <si>
    <t xml:space="preserve">HB REGIONAL STAFF FACILITIES</t>
  </si>
  <si>
    <t xml:space="preserve">L9.DNZ.HW0232</t>
  </si>
  <si>
    <t xml:space="preserve">JP_HW0232</t>
  </si>
  <si>
    <t xml:space="preserve">HCMT -  East Pakenham Depot</t>
  </si>
  <si>
    <t xml:space="preserve">68</t>
  </si>
  <si>
    <t xml:space="preserve">-38.077848</t>
  </si>
  <si>
    <t xml:space="preserve">145.543377</t>
  </si>
  <si>
    <t xml:space="preserve">HCMT - Depot</t>
  </si>
  <si>
    <t xml:space="preserve">20042010</t>
  </si>
  <si>
    <t xml:space="preserve">HCMT HCS</t>
  </si>
  <si>
    <t xml:space="preserve">70800012</t>
  </si>
  <si>
    <t xml:space="preserve">HCMT OVERHEADS</t>
  </si>
  <si>
    <t xml:space="preserve">L9.J.713001</t>
  </si>
  <si>
    <t xml:space="preserve">713001</t>
  </si>
  <si>
    <t xml:space="preserve">HCMT TLS VIC Project</t>
  </si>
  <si>
    <t xml:space="preserve">L9.J.71300001</t>
  </si>
  <si>
    <t xml:space="preserve">71300001</t>
  </si>
  <si>
    <t xml:space="preserve">HCMT Train Admin &amp; Mgmt</t>
  </si>
  <si>
    <t xml:space="preserve">L9.S.16016056</t>
  </si>
  <si>
    <t xml:space="preserve">16016056</t>
  </si>
  <si>
    <t xml:space="preserve">HCMT Train Pakenham East Depot</t>
  </si>
  <si>
    <t xml:space="preserve">L9.S.16016051</t>
  </si>
  <si>
    <t xml:space="preserve">16016051</t>
  </si>
  <si>
    <t xml:space="preserve">Health AU Nat Support &amp; Bus. Develp</t>
  </si>
  <si>
    <t xml:space="preserve">L9.S.13000760</t>
  </si>
  <si>
    <t xml:space="preserve">13000760</t>
  </si>
  <si>
    <t xml:space="preserve">Heavy Metalling (Uawa)</t>
  </si>
  <si>
    <t xml:space="preserve">L9.DNZJ.551024</t>
  </si>
  <si>
    <t xml:space="preserve">551024</t>
  </si>
  <si>
    <t xml:space="preserve">Heinz Watties (Food) - 45002891</t>
  </si>
  <si>
    <t xml:space="preserve">L9.S.24000171</t>
  </si>
  <si>
    <t xml:space="preserve">2000004705</t>
  </si>
  <si>
    <t xml:space="preserve">Henderson Depot (Water)</t>
  </si>
  <si>
    <t xml:space="preserve">55528</t>
  </si>
  <si>
    <t xml:space="preserve">9 Rabone Street</t>
  </si>
  <si>
    <t xml:space="preserve">Henderson</t>
  </si>
  <si>
    <t xml:space="preserve">-36.8874</t>
  </si>
  <si>
    <t xml:space="preserve">174.6305</t>
  </si>
  <si>
    <t xml:space="preserve">Hertz AU</t>
  </si>
  <si>
    <t xml:space="preserve">1024</t>
  </si>
  <si>
    <t xml:space="preserve">Hexham Factory Works 2023</t>
  </si>
  <si>
    <t xml:space="preserve">L9.J.38270104</t>
  </si>
  <si>
    <t xml:space="preserve">38270104</t>
  </si>
  <si>
    <t xml:space="preserve">Hexham Office</t>
  </si>
  <si>
    <t xml:space="preserve">COR-10920006</t>
  </si>
  <si>
    <t xml:space="preserve">16-17 Galleghan Road</t>
  </si>
  <si>
    <t xml:space="preserve">HFC FTTC MIMA Proj Closeout</t>
  </si>
  <si>
    <t xml:space="preserve">L9.J.23440326</t>
  </si>
  <si>
    <t xml:space="preserve">23440326</t>
  </si>
  <si>
    <t xml:space="preserve">HFC NSW OH</t>
  </si>
  <si>
    <t xml:space="preserve">L9.J.23440032</t>
  </si>
  <si>
    <t xml:space="preserve">23440032</t>
  </si>
  <si>
    <t xml:space="preserve">HFC QLD OH</t>
  </si>
  <si>
    <t xml:space="preserve">23440036</t>
  </si>
  <si>
    <t xml:space="preserve">HO_SubContractors</t>
  </si>
  <si>
    <t xml:space="preserve">L9.DNZJ.9008</t>
  </si>
  <si>
    <t xml:space="preserve">HOBART AIRPORT AUP - 1</t>
  </si>
  <si>
    <t xml:space="preserve">L9.J.17093302</t>
  </si>
  <si>
    <t xml:space="preserve">17093302</t>
  </si>
  <si>
    <t xml:space="preserve">Hobart Contracting Ser</t>
  </si>
  <si>
    <t xml:space="preserve">L9.J.170318</t>
  </si>
  <si>
    <t xml:space="preserve">170318</t>
  </si>
  <si>
    <t xml:space="preserve">Hobart Emulsion Resale</t>
  </si>
  <si>
    <t xml:space="preserve">170321</t>
  </si>
  <si>
    <t xml:space="preserve">Hobart Minor Civil Ser</t>
  </si>
  <si>
    <t xml:space="preserve">L9.J.170331</t>
  </si>
  <si>
    <t xml:space="preserve">170331</t>
  </si>
  <si>
    <t xml:space="preserve">HOMAI PEDESTRIAN LEVEL CROSSIN</t>
  </si>
  <si>
    <t xml:space="preserve">L9.DNZJ.DN1212</t>
  </si>
  <si>
    <t xml:space="preserve">JP_DN1212</t>
  </si>
  <si>
    <t xml:space="preserve">TI-NZT-DN1212 - Homai</t>
  </si>
  <si>
    <t xml:space="preserve">Hope Valley Production</t>
  </si>
  <si>
    <t xml:space="preserve">L9.J.170628</t>
  </si>
  <si>
    <t xml:space="preserve">170628</t>
  </si>
  <si>
    <t xml:space="preserve">Horowhenua DC Water Alliance EU Subcontractors</t>
  </si>
  <si>
    <t xml:space="preserve">L9.DNZJ.56133</t>
  </si>
  <si>
    <t xml:space="preserve">Horowhenua Depot</t>
  </si>
  <si>
    <t xml:space="preserve">55604</t>
  </si>
  <si>
    <t xml:space="preserve">Horowhenua</t>
  </si>
  <si>
    <t xml:space="preserve">-40.6252</t>
  </si>
  <si>
    <t xml:space="preserve">175.2576</t>
  </si>
  <si>
    <t xml:space="preserve">Horsham - Ballinger St</t>
  </si>
  <si>
    <t xml:space="preserve">L9.J.24170007</t>
  </si>
  <si>
    <t xml:space="preserve">10 Ballinger Street</t>
  </si>
  <si>
    <t xml:space="preserve">Horsham</t>
  </si>
  <si>
    <t xml:space="preserve">3400</t>
  </si>
  <si>
    <t xml:space="preserve">Hospital - The Alfred</t>
  </si>
  <si>
    <t xml:space="preserve">L9.S.16011145</t>
  </si>
  <si>
    <t xml:space="preserve">9142</t>
  </si>
  <si>
    <t xml:space="preserve">55 Commercial Road, Melbourne</t>
  </si>
  <si>
    <t xml:space="preserve">Hospitality - Perth Zoo</t>
  </si>
  <si>
    <t xml:space="preserve">L9.S.16011785</t>
  </si>
  <si>
    <t xml:space="preserve">9143</t>
  </si>
  <si>
    <t xml:space="preserve">20 LABOUCHERE RD
South Perth</t>
  </si>
  <si>
    <t xml:space="preserve">Hospitality - Taronga Zoo</t>
  </si>
  <si>
    <t xml:space="preserve">L9.S.16014031</t>
  </si>
  <si>
    <t xml:space="preserve">9144</t>
  </si>
  <si>
    <t xml:space="preserve">Mosman</t>
  </si>
  <si>
    <t xml:space="preserve">HQJOC Cleaning Serv Del</t>
  </si>
  <si>
    <t xml:space="preserve">L9.S.16010979</t>
  </si>
  <si>
    <t xml:space="preserve">16010979</t>
  </si>
  <si>
    <t xml:space="preserve">HQJOC Maint Service Delivery</t>
  </si>
  <si>
    <t xml:space="preserve">L9.S.16010970</t>
  </si>
  <si>
    <t xml:space="preserve">16010970</t>
  </si>
  <si>
    <t xml:space="preserve">HQJOC Security Serv Del</t>
  </si>
  <si>
    <t xml:space="preserve">L9.S.16010977</t>
  </si>
  <si>
    <t xml:space="preserve">16010977</t>
  </si>
  <si>
    <t xml:space="preserve">HR - Utilities</t>
  </si>
  <si>
    <t xml:space="preserve">L9.DNZJ.63950</t>
  </si>
  <si>
    <t xml:space="preserve">63950</t>
  </si>
  <si>
    <t xml:space="preserve">HRC Bus Shelters</t>
  </si>
  <si>
    <t xml:space="preserve">L9.DNZJ.552411</t>
  </si>
  <si>
    <t xml:space="preserve">552411</t>
  </si>
  <si>
    <t xml:space="preserve">TI-NZT-552411 - HRC</t>
  </si>
  <si>
    <t xml:space="preserve">HSF (Zero Harm)</t>
  </si>
  <si>
    <t xml:space="preserve">L9.DNZJ.63960</t>
  </si>
  <si>
    <t xml:space="preserve">63960</t>
  </si>
  <si>
    <t xml:space="preserve">HSQE</t>
  </si>
  <si>
    <t xml:space="preserve">L9.J.241918</t>
  </si>
  <si>
    <t xml:space="preserve">241918</t>
  </si>
  <si>
    <t xml:space="preserve">Human Resources</t>
  </si>
  <si>
    <t xml:space="preserve">L9.DNZJ.55910</t>
  </si>
  <si>
    <t xml:space="preserve">55910</t>
  </si>
  <si>
    <t xml:space="preserve">Hume - P&amp;E</t>
  </si>
  <si>
    <t xml:space="preserve">L9.J.170137</t>
  </si>
  <si>
    <t xml:space="preserve">Hume Maintenance</t>
  </si>
  <si>
    <t xml:space="preserve">L9.J.170292</t>
  </si>
  <si>
    <t xml:space="preserve">170292</t>
  </si>
  <si>
    <t xml:space="preserve">Hume Workshop</t>
  </si>
  <si>
    <t xml:space="preserve">170137</t>
  </si>
  <si>
    <t xml:space="preserve">HUTT VALLEY HIGH SCHL NEW</t>
  </si>
  <si>
    <t xml:space="preserve">L9.DNZ.HW0229</t>
  </si>
  <si>
    <t xml:space="preserve">JP_HW0229</t>
  </si>
  <si>
    <t xml:space="preserve">84-114 Woburn Road</t>
  </si>
  <si>
    <t xml:space="preserve">Woburn</t>
  </si>
  <si>
    <t xml:space="preserve">-41.2158</t>
  </si>
  <si>
    <t xml:space="preserve">174.9021</t>
  </si>
  <si>
    <t xml:space="preserve">Hutt Valley Telco Ops</t>
  </si>
  <si>
    <t xml:space="preserve">L9.DNZ.810.10.163</t>
  </si>
  <si>
    <t xml:space="preserve">10163</t>
  </si>
  <si>
    <t xml:space="preserve">10.163</t>
  </si>
  <si>
    <t xml:space="preserve">HV Small Works FY 21</t>
  </si>
  <si>
    <t xml:space="preserve">L9.J.38210106</t>
  </si>
  <si>
    <t xml:space="preserve">38210106</t>
  </si>
  <si>
    <t xml:space="preserve">HV western Ring Stage 1</t>
  </si>
  <si>
    <t xml:space="preserve">L9.J.37740134</t>
  </si>
  <si>
    <t xml:space="preserve">37740134</t>
  </si>
  <si>
    <t xml:space="preserve">HVO HV Works</t>
  </si>
  <si>
    <t xml:space="preserve">L9.J.38220073</t>
  </si>
  <si>
    <t xml:space="preserve">38220073</t>
  </si>
  <si>
    <t xml:space="preserve">Hydrogen Jobs Plan</t>
  </si>
  <si>
    <t xml:space="preserve">I&amp;E West - Ropes &amp; Other</t>
  </si>
  <si>
    <t xml:space="preserve">L9.J.38280002</t>
  </si>
  <si>
    <t xml:space="preserve">38280002</t>
  </si>
  <si>
    <t xml:space="preserve">I&amp;PG COO / Ops Mgmt</t>
  </si>
  <si>
    <t xml:space="preserve">L9.J.382019</t>
  </si>
  <si>
    <t xml:space="preserve">382019</t>
  </si>
  <si>
    <t xml:space="preserve">ICC Piped Network Mtnc 2017</t>
  </si>
  <si>
    <t xml:space="preserve">L9.DNZJ.56132</t>
  </si>
  <si>
    <t xml:space="preserve">56132</t>
  </si>
  <si>
    <t xml:space="preserve">ICC Piped Network Mtnc 2017 EU Subcontractors</t>
  </si>
  <si>
    <t xml:space="preserve">ICC STREETSCAPES</t>
  </si>
  <si>
    <t xml:space="preserve">L9.DNZJ.DS2669</t>
  </si>
  <si>
    <t xml:space="preserve">JP_DS2669</t>
  </si>
  <si>
    <t xml:space="preserve">69 Don Street</t>
  </si>
  <si>
    <t xml:space="preserve">-46.4109</t>
  </si>
  <si>
    <t xml:space="preserve">168.3521</t>
  </si>
  <si>
    <t xml:space="preserve">ICON EU Subcontractors</t>
  </si>
  <si>
    <t xml:space="preserve">L9.J.239015</t>
  </si>
  <si>
    <t xml:space="preserve">IM West - Heavy IND OH</t>
  </si>
  <si>
    <t xml:space="preserve">L9.J.382403</t>
  </si>
  <si>
    <t xml:space="preserve">382403</t>
  </si>
  <si>
    <t xml:space="preserve">IND East - Branch OH</t>
  </si>
  <si>
    <t xml:space="preserve">L9.J.382301</t>
  </si>
  <si>
    <t xml:space="preserve">382301</t>
  </si>
  <si>
    <t xml:space="preserve">IND East - Hexham OH</t>
  </si>
  <si>
    <t xml:space="preserve">L9.J.382201</t>
  </si>
  <si>
    <t xml:space="preserve">382201</t>
  </si>
  <si>
    <t xml:space="preserve">IND East - Wollongong OH</t>
  </si>
  <si>
    <t xml:space="preserve">L9.J.382210</t>
  </si>
  <si>
    <t xml:space="preserve">382210</t>
  </si>
  <si>
    <t xml:space="preserve">IND ELECTRICAL West OH (DEL)</t>
  </si>
  <si>
    <t xml:space="preserve">L9.J.381130</t>
  </si>
  <si>
    <t xml:space="preserve">381130</t>
  </si>
  <si>
    <t xml:space="preserve">Industrial NSW North EU Subcontractors</t>
  </si>
  <si>
    <t xml:space="preserve">L9.J.38220078</t>
  </si>
  <si>
    <t xml:space="preserve">Industrial NSW South / VIC EU Subcontractors</t>
  </si>
  <si>
    <t xml:space="preserve">L9.J.38220081</t>
  </si>
  <si>
    <t xml:space="preserve">Industrial Services FY21</t>
  </si>
  <si>
    <t xml:space="preserve">L9.J.38210100</t>
  </si>
  <si>
    <t xml:space="preserve">38210100</t>
  </si>
  <si>
    <t xml:space="preserve">Infrastructure Del Overheads</t>
  </si>
  <si>
    <t xml:space="preserve">TI-NZT-8801 - Divisional Overheads</t>
  </si>
  <si>
    <t xml:space="preserve">Infrastructure Delivery Admin</t>
  </si>
  <si>
    <t xml:space="preserve">8805</t>
  </si>
  <si>
    <t xml:space="preserve">Inland EU Subcontractors</t>
  </si>
  <si>
    <t xml:space="preserve">Innisfail Secondary Systems Replace</t>
  </si>
  <si>
    <t xml:space="preserve">Instrumentation &amp; Radiation</t>
  </si>
  <si>
    <t xml:space="preserve">L9.J.38210101</t>
  </si>
  <si>
    <t xml:space="preserve">38210101</t>
  </si>
  <si>
    <t xml:space="preserve">Integrated Gas EU Subcontractors</t>
  </si>
  <si>
    <t xml:space="preserve">L9.J.382761</t>
  </si>
  <si>
    <t xml:space="preserve">IntelliHUB Field Services</t>
  </si>
  <si>
    <t xml:space="preserve">L9.S.16016674</t>
  </si>
  <si>
    <t xml:space="preserve">16016674</t>
  </si>
  <si>
    <t xml:space="preserve">Internal FM EU Subcontractors</t>
  </si>
  <si>
    <t xml:space="preserve">L9.DNZJ.564300</t>
  </si>
  <si>
    <t xml:space="preserve">Inventory and Procurement</t>
  </si>
  <si>
    <t xml:space="preserve">L9.DUN.30520</t>
  </si>
  <si>
    <t xml:space="preserve">30520</t>
  </si>
  <si>
    <t xml:space="preserve">Invercargill (12 Fern Street)</t>
  </si>
  <si>
    <t xml:space="preserve">L9.DNZJ.91364</t>
  </si>
  <si>
    <t xml:space="preserve">91364</t>
  </si>
  <si>
    <t xml:space="preserve">12 Fern Street</t>
  </si>
  <si>
    <t xml:space="preserve">Hargest</t>
  </si>
  <si>
    <t xml:space="preserve">-46.3876</t>
  </si>
  <si>
    <t xml:space="preserve">168.3772</t>
  </si>
  <si>
    <t xml:space="preserve">Invercargill (122B Rockdale Rd</t>
  </si>
  <si>
    <t xml:space="preserve">L9.DNZJ.91405</t>
  </si>
  <si>
    <t xml:space="preserve">91405</t>
  </si>
  <si>
    <t xml:space="preserve">COR-NZHO-91405 - Invercargill (122B Rockdale Rd
122 Rockdale Road  Rockdale  Invercargill 9810  Southland Region</t>
  </si>
  <si>
    <t xml:space="preserve">Invercargill (82 Lothian St)</t>
  </si>
  <si>
    <t xml:space="preserve">L9.DNZJ.91368</t>
  </si>
  <si>
    <t xml:space="preserve">91368</t>
  </si>
  <si>
    <t xml:space="preserve">82 Lothian Crescent</t>
  </si>
  <si>
    <t xml:space="preserve">Strathern</t>
  </si>
  <si>
    <t xml:space="preserve">9812</t>
  </si>
  <si>
    <t xml:space="preserve">-46.4348</t>
  </si>
  <si>
    <t xml:space="preserve">168.3778</t>
  </si>
  <si>
    <t xml:space="preserve">Invercargill AOR</t>
  </si>
  <si>
    <t xml:space="preserve">26019486</t>
  </si>
  <si>
    <t xml:space="preserve">Invercargill Communications</t>
  </si>
  <si>
    <t xml:space="preserve">L9.DNZJ.561531</t>
  </si>
  <si>
    <t xml:space="preserve">561531</t>
  </si>
  <si>
    <t xml:space="preserve">Mid Dome</t>
  </si>
  <si>
    <t xml:space="preserve">9793</t>
  </si>
  <si>
    <t xml:space="preserve">Lumsden</t>
  </si>
  <si>
    <t xml:space="preserve">-45.5627</t>
  </si>
  <si>
    <t xml:space="preserve">168.5606</t>
  </si>
  <si>
    <t xml:space="preserve">Invercargill Depot</t>
  </si>
  <si>
    <t xml:space="preserve">55670</t>
  </si>
  <si>
    <t xml:space="preserve">159-174 Liddel Street</t>
  </si>
  <si>
    <t xml:space="preserve">-46.4215</t>
  </si>
  <si>
    <t xml:space="preserve">168.3453</t>
  </si>
  <si>
    <t xml:space="preserve">Invercargill(1/78 Islington St</t>
  </si>
  <si>
    <t xml:space="preserve">L9.DNZJ.91366</t>
  </si>
  <si>
    <t xml:space="preserve">91366</t>
  </si>
  <si>
    <t xml:space="preserve">1/78 Islington Street</t>
  </si>
  <si>
    <t xml:space="preserve">Turnbull Thomson Park</t>
  </si>
  <si>
    <t xml:space="preserve">-46.4128</t>
  </si>
  <si>
    <t xml:space="preserve">168.3693</t>
  </si>
  <si>
    <t xml:space="preserve">Invermay</t>
  </si>
  <si>
    <t xml:space="preserve">L9.J.17030229</t>
  </si>
  <si>
    <t xml:space="preserve">148</t>
  </si>
  <si>
    <t xml:space="preserve">44 Gleadow Street</t>
  </si>
  <si>
    <t xml:space="preserve">7250</t>
  </si>
  <si>
    <t xml:space="preserve">-41.426</t>
  </si>
  <si>
    <t xml:space="preserve">147.133</t>
  </si>
  <si>
    <t xml:space="preserve">iRex (14 Kent Street)</t>
  </si>
  <si>
    <t xml:space="preserve">L9.DNZJ.PN4215</t>
  </si>
  <si>
    <t xml:space="preserve">PN4215</t>
  </si>
  <si>
    <t xml:space="preserve">TI-NZT-PN4215 - iRex
14 Kent Street  Picton 7220  Marlborough Region</t>
  </si>
  <si>
    <t xml:space="preserve">IS Business Support</t>
  </si>
  <si>
    <t xml:space="preserve">L9.J.150210</t>
  </si>
  <si>
    <t xml:space="preserve">150210</t>
  </si>
  <si>
    <t xml:space="preserve">IS National</t>
  </si>
  <si>
    <t xml:space="preserve">L9.DNZJ.55948</t>
  </si>
  <si>
    <t xml:space="preserve">55948</t>
  </si>
  <si>
    <t xml:space="preserve">ISP - Ausnet</t>
  </si>
  <si>
    <t xml:space="preserve">L9.J.241741</t>
  </si>
  <si>
    <t xml:space="preserve">241741</t>
  </si>
  <si>
    <t xml:space="preserve">ISP Designers</t>
  </si>
  <si>
    <t xml:space="preserve">L9.DNZ.810.10.082</t>
  </si>
  <si>
    <t xml:space="preserve">10082</t>
  </si>
  <si>
    <t xml:space="preserve">10.082</t>
  </si>
  <si>
    <t xml:space="preserve">IT Infra Design &amp; Solutions</t>
  </si>
  <si>
    <t xml:space="preserve">L9.J.109101</t>
  </si>
  <si>
    <t xml:space="preserve">109101</t>
  </si>
  <si>
    <t xml:space="preserve">ITG Devices</t>
  </si>
  <si>
    <t xml:space="preserve">L9.DNZJ.92007</t>
  </si>
  <si>
    <t xml:space="preserve">92007</t>
  </si>
  <si>
    <t xml:space="preserve">ITG Servers &amp; Data Centres</t>
  </si>
  <si>
    <t xml:space="preserve">L9.DNZJ.92006</t>
  </si>
  <si>
    <t xml:space="preserve">92006</t>
  </si>
  <si>
    <t xml:space="preserve">ITS - Projects</t>
  </si>
  <si>
    <t xml:space="preserve">L9.DNZJ.54402</t>
  </si>
  <si>
    <t xml:space="preserve">54402</t>
  </si>
  <si>
    <t xml:space="preserve">ITS - Vic Projects</t>
  </si>
  <si>
    <t xml:space="preserve">L9.J.170259</t>
  </si>
  <si>
    <t xml:space="preserve">170259</t>
  </si>
  <si>
    <t xml:space="preserve">ITS - WA</t>
  </si>
  <si>
    <t xml:space="preserve">L9.J.170261</t>
  </si>
  <si>
    <t xml:space="preserve">170261</t>
  </si>
  <si>
    <t xml:space="preserve">ITS Christchurch - People</t>
  </si>
  <si>
    <t xml:space="preserve">L9.DNZJ.54326</t>
  </si>
  <si>
    <t xml:space="preserve">54326</t>
  </si>
  <si>
    <t xml:space="preserve">TI-NZT-54326 - ITS Christchurch - People</t>
  </si>
  <si>
    <t xml:space="preserve">ITS Christchurch - Plant</t>
  </si>
  <si>
    <t xml:space="preserve">L9.DNZJ.54336</t>
  </si>
  <si>
    <t xml:space="preserve">54336</t>
  </si>
  <si>
    <t xml:space="preserve">ITS CWA Alliance Holding EU Subcontractors</t>
  </si>
  <si>
    <t xml:space="preserve">L9.DUN.79212</t>
  </si>
  <si>
    <t xml:space="preserve">ITS Intersection Renewals</t>
  </si>
  <si>
    <t xml:space="preserve">L9.DNZJ.554560</t>
  </si>
  <si>
    <t xml:space="preserve">554560</t>
  </si>
  <si>
    <t xml:space="preserve">TI-NZT-554560 - ITS Intersection Renewals</t>
  </si>
  <si>
    <t xml:space="preserve">ITS Kaikoura NCTIR</t>
  </si>
  <si>
    <t xml:space="preserve">L9.DNZJ.561535</t>
  </si>
  <si>
    <t xml:space="preserve">561535</t>
  </si>
  <si>
    <t xml:space="preserve">Maui Street</t>
  </si>
  <si>
    <t xml:space="preserve">7300</t>
  </si>
  <si>
    <t xml:space="preserve">-42.4186</t>
  </si>
  <si>
    <t xml:space="preserve">173.6937</t>
  </si>
  <si>
    <t xml:space="preserve">ITS Labour &amp; Light Vehicles</t>
  </si>
  <si>
    <t xml:space="preserve">L9.J.252102</t>
  </si>
  <si>
    <t xml:space="preserve">252102</t>
  </si>
  <si>
    <t xml:space="preserve">ITS National - People</t>
  </si>
  <si>
    <t xml:space="preserve">L9.DNZJ.54328</t>
  </si>
  <si>
    <t xml:space="preserve">ITS National - Plant</t>
  </si>
  <si>
    <t xml:space="preserve">L9.DNZJ.54338</t>
  </si>
  <si>
    <t xml:space="preserve">54338</t>
  </si>
  <si>
    <t xml:space="preserve">ITS North - People</t>
  </si>
  <si>
    <t xml:space="preserve">L9.DNZJ.54321</t>
  </si>
  <si>
    <t xml:space="preserve">54321</t>
  </si>
  <si>
    <t xml:space="preserve">ITS North - Plant</t>
  </si>
  <si>
    <t xml:space="preserve">L9.DNZJ.54331</t>
  </si>
  <si>
    <t xml:space="preserve">54331</t>
  </si>
  <si>
    <t xml:space="preserve">ITS NSW</t>
  </si>
  <si>
    <t xml:space="preserve">ITS Operations Central</t>
  </si>
  <si>
    <t xml:space="preserve">L9.DNZJ.56903</t>
  </si>
  <si>
    <t xml:space="preserve">1514</t>
  </si>
  <si>
    <t xml:space="preserve">ITS Overheads</t>
  </si>
  <si>
    <t xml:space="preserve">L9.DNZJ.3511</t>
  </si>
  <si>
    <t xml:space="preserve">54706</t>
  </si>
  <si>
    <t xml:space="preserve">ITS QLD</t>
  </si>
  <si>
    <t xml:space="preserve">170257</t>
  </si>
  <si>
    <t xml:space="preserve">ITS South - People</t>
  </si>
  <si>
    <t xml:space="preserve">L9.DNZJ.54327</t>
  </si>
  <si>
    <t xml:space="preserve">54327</t>
  </si>
  <si>
    <t xml:space="preserve">ITS South - Plant</t>
  </si>
  <si>
    <t xml:space="preserve">L9.DNZJ.54337</t>
  </si>
  <si>
    <t xml:space="preserve">54337</t>
  </si>
  <si>
    <t xml:space="preserve">ITS Support Services</t>
  </si>
  <si>
    <t xml:space="preserve">56903</t>
  </si>
  <si>
    <t xml:space="preserve">ITS VIC</t>
  </si>
  <si>
    <t xml:space="preserve">ITSVIC</t>
  </si>
  <si>
    <t xml:space="preserve">ITS Victoria</t>
  </si>
  <si>
    <t xml:space="preserve">170258</t>
  </si>
  <si>
    <t xml:space="preserve">ITS Wellington - People</t>
  </si>
  <si>
    <t xml:space="preserve">L9.DNZJ.54325</t>
  </si>
  <si>
    <t xml:space="preserve">54325</t>
  </si>
  <si>
    <t xml:space="preserve">ITS Wellington - Plant</t>
  </si>
  <si>
    <t xml:space="preserve">L9.DNZJ.54335</t>
  </si>
  <si>
    <t xml:space="preserve">54335</t>
  </si>
  <si>
    <t xml:space="preserve">TI-NZT-54335 - ITS Wellington - Plant</t>
  </si>
  <si>
    <t xml:space="preserve">JAMES HARGEST SCHOOL- RDVLPMNT</t>
  </si>
  <si>
    <t xml:space="preserve">L9.DNZ.HS0169</t>
  </si>
  <si>
    <t xml:space="preserve">JP_HS0169</t>
  </si>
  <si>
    <t xml:space="preserve">TI-NZT.BP.HS0169 James Hargest College</t>
  </si>
  <si>
    <t xml:space="preserve">Jandakot Depot</t>
  </si>
  <si>
    <t xml:space="preserve">L9.J.170276</t>
  </si>
  <si>
    <t xml:space="preserve">8018</t>
  </si>
  <si>
    <t xml:space="preserve">20 Orion Road</t>
  </si>
  <si>
    <t xml:space="preserve">Jandakot</t>
  </si>
  <si>
    <t xml:space="preserve">-32.087506</t>
  </si>
  <si>
    <t xml:space="preserve">115.878657</t>
  </si>
  <si>
    <t xml:space="preserve">Jemena Asset JEN-Electric Mtr Serv</t>
  </si>
  <si>
    <t xml:space="preserve">L9.S.16013432</t>
  </si>
  <si>
    <t xml:space="preserve">16013432</t>
  </si>
  <si>
    <t xml:space="preserve">Jemena Asset JGN - Gas Mtring Serv</t>
  </si>
  <si>
    <t xml:space="preserve">L9.S.16013399</t>
  </si>
  <si>
    <t xml:space="preserve">16013399</t>
  </si>
  <si>
    <t xml:space="preserve">Jesmond to Callaghan Upgrade</t>
  </si>
  <si>
    <t xml:space="preserve">L9.J.38270101</t>
  </si>
  <si>
    <t xml:space="preserve">38270101</t>
  </si>
  <si>
    <t xml:space="preserve">Judgeford (Paremata Haywards)</t>
  </si>
  <si>
    <t xml:space="preserve">L9.DNZJ.91251</t>
  </si>
  <si>
    <t xml:space="preserve">91251</t>
  </si>
  <si>
    <t xml:space="preserve">COR-NZHO.91251-Judge</t>
  </si>
  <si>
    <t xml:space="preserve">Kaikoura Depot</t>
  </si>
  <si>
    <t xml:space="preserve">55626</t>
  </si>
  <si>
    <t xml:space="preserve">89 Kowhai Ford Road</t>
  </si>
  <si>
    <t xml:space="preserve">-42.3865</t>
  </si>
  <si>
    <t xml:space="preserve">173.6235</t>
  </si>
  <si>
    <t xml:space="preserve">Kainga Ora - OTTK (Otara/Takanini)</t>
  </si>
  <si>
    <t xml:space="preserve">L9.S.24000029</t>
  </si>
  <si>
    <t xml:space="preserve">24000029</t>
  </si>
  <si>
    <t xml:space="preserve">Kainga Ora - WEL (Wellington)</t>
  </si>
  <si>
    <t xml:space="preserve">L9.S.24000031</t>
  </si>
  <si>
    <t xml:space="preserve">24000031</t>
  </si>
  <si>
    <t xml:space="preserve">Kainga Ora-MGMK (Manukau/Mangere)</t>
  </si>
  <si>
    <t xml:space="preserve">L9.S.24000030</t>
  </si>
  <si>
    <t xml:space="preserve">24000030</t>
  </si>
  <si>
    <t xml:space="preserve">Kaipara DC EU Subcontractors</t>
  </si>
  <si>
    <t xml:space="preserve">L9.DNZJ.561126</t>
  </si>
  <si>
    <t xml:space="preserve">Kaipara People/Plant</t>
  </si>
  <si>
    <t xml:space="preserve">L9.DNZJ.66201</t>
  </si>
  <si>
    <t xml:space="preserve">66201</t>
  </si>
  <si>
    <t xml:space="preserve">Kaipara Plant</t>
  </si>
  <si>
    <t xml:space="preserve">L9.DNZJ.66213</t>
  </si>
  <si>
    <t xml:space="preserve">66213</t>
  </si>
  <si>
    <t xml:space="preserve">Kalgoorlie</t>
  </si>
  <si>
    <t xml:space="preserve">L9.J.382852</t>
  </si>
  <si>
    <t xml:space="preserve">ASV-382852, ASV-13381, ASV-13382, ASV-13387</t>
  </si>
  <si>
    <t xml:space="preserve">Cnr Gt Eastern Hwy &amp; Hunter St</t>
  </si>
  <si>
    <t xml:space="preserve">-30.747015</t>
  </si>
  <si>
    <t xml:space="preserve">121.474855</t>
  </si>
  <si>
    <t xml:space="preserve">Kapooka Military Estate Upkeep</t>
  </si>
  <si>
    <t xml:space="preserve">L9.S.16011523</t>
  </si>
  <si>
    <t xml:space="preserve">16011523</t>
  </si>
  <si>
    <t xml:space="preserve">Kapooka Military Land</t>
  </si>
  <si>
    <t xml:space="preserve">L9.S.16011520</t>
  </si>
  <si>
    <t xml:space="preserve">16011520</t>
  </si>
  <si>
    <t xml:space="preserve">Kapooka Military Transport</t>
  </si>
  <si>
    <t xml:space="preserve">L9.S.16011526</t>
  </si>
  <si>
    <t xml:space="preserve">16011526</t>
  </si>
  <si>
    <t xml:space="preserve">Katherine</t>
  </si>
  <si>
    <t xml:space="preserve">L9.J.17050041</t>
  </si>
  <si>
    <t xml:space="preserve">Lot 2378 Emungalan Road</t>
  </si>
  <si>
    <t xml:space="preserve">-14.439</t>
  </si>
  <si>
    <t xml:space="preserve">132.256</t>
  </si>
  <si>
    <t xml:space="preserve">Katherine Operations</t>
  </si>
  <si>
    <t xml:space="preserve">L9.J.170527</t>
  </si>
  <si>
    <t xml:space="preserve">170527</t>
  </si>
  <si>
    <t xml:space="preserve">KBF Operation Maintenance</t>
  </si>
  <si>
    <t xml:space="preserve">L9.J.38220090</t>
  </si>
  <si>
    <t xml:space="preserve">38220090</t>
  </si>
  <si>
    <t xml:space="preserve">KDC - Stormwater</t>
  </si>
  <si>
    <t xml:space="preserve">L9.DNZJ.561124</t>
  </si>
  <si>
    <t xml:space="preserve">561124</t>
  </si>
  <si>
    <t xml:space="preserve">Kenepuru Patient Food Serv. Del.</t>
  </si>
  <si>
    <t xml:space="preserve">L9.S.26017012</t>
  </si>
  <si>
    <t xml:space="preserve">26017012</t>
  </si>
  <si>
    <t xml:space="preserve">Kensington - Hobsons Rd</t>
  </si>
  <si>
    <t xml:space="preserve">L9.S.13001208</t>
  </si>
  <si>
    <t xml:space="preserve">9045</t>
  </si>
  <si>
    <t xml:space="preserve">41-45 Hobsons Rd</t>
  </si>
  <si>
    <t xml:space="preserve">Kensington</t>
  </si>
  <si>
    <t xml:space="preserve">3031</t>
  </si>
  <si>
    <t xml:space="preserve">-37.797017</t>
  </si>
  <si>
    <t xml:space="preserve">144.91802</t>
  </si>
  <si>
    <t xml:space="preserve">Keolis</t>
  </si>
  <si>
    <t xml:space="preserve">L9.KD.YT.5720</t>
  </si>
  <si>
    <t xml:space="preserve">Keolis Downer-Australia based travel</t>
  </si>
  <si>
    <t xml:space="preserve">1019</t>
  </si>
  <si>
    <t xml:space="preserve">KMW Team DEL</t>
  </si>
  <si>
    <t xml:space="preserve">L9.J.38130004</t>
  </si>
  <si>
    <t xml:space="preserve">38130004</t>
  </si>
  <si>
    <t xml:space="preserve">KMW Team DEP</t>
  </si>
  <si>
    <t xml:space="preserve">L9.J.38280128</t>
  </si>
  <si>
    <t xml:space="preserve">38280128</t>
  </si>
  <si>
    <t xml:space="preserve">Knights Drain Wetland</t>
  </si>
  <si>
    <t xml:space="preserve">L9.DNZJ.554553</t>
  </si>
  <si>
    <t xml:space="preserve">554553</t>
  </si>
  <si>
    <t xml:space="preserve">TI-NZT-554553 - Knights Drain Wetland
589 Pages Road, Christchurch,  8061 New Zealand</t>
  </si>
  <si>
    <t xml:space="preserve">Kunda Park</t>
  </si>
  <si>
    <t xml:space="preserve">L9.J.10920046</t>
  </si>
  <si>
    <t xml:space="preserve">10920046</t>
  </si>
  <si>
    <t xml:space="preserve">This site was originally put under 170431 BU code under T&amp;I. 30/04/2025 reassign to Corporate based on INX COR-10920046 - 32 Page St, Kunda Park, QLD.</t>
  </si>
  <si>
    <t xml:space="preserve">32 Page Street</t>
  </si>
  <si>
    <t xml:space="preserve">4556</t>
  </si>
  <si>
    <t xml:space="preserve">Kwinana &amp; SW EU Subcontractors</t>
  </si>
  <si>
    <t xml:space="preserve">L9.J.38270070</t>
  </si>
  <si>
    <t xml:space="preserve">Kwinana Maintenance Operations</t>
  </si>
  <si>
    <t xml:space="preserve">L9.J.38270053</t>
  </si>
  <si>
    <t xml:space="preserve">38270053</t>
  </si>
  <si>
    <t xml:space="preserve">Kwinana SDH (Service Delivery)</t>
  </si>
  <si>
    <t xml:space="preserve">L9.J.38280140</t>
  </si>
  <si>
    <t xml:space="preserve">38280140</t>
  </si>
  <si>
    <t xml:space="preserve">Laboratories - Admin</t>
  </si>
  <si>
    <t xml:space="preserve">3520</t>
  </si>
  <si>
    <t xml:space="preserve">Laboratory Bathurst</t>
  </si>
  <si>
    <t xml:space="preserve">170168</t>
  </si>
  <si>
    <t xml:space="preserve">Laboratory Sydney</t>
  </si>
  <si>
    <t xml:space="preserve">L9.J.170110</t>
  </si>
  <si>
    <t xml:space="preserve">170110</t>
  </si>
  <si>
    <t xml:space="preserve">Laboratory Teralba</t>
  </si>
  <si>
    <t xml:space="preserve">L9.J.170126</t>
  </si>
  <si>
    <t xml:space="preserve">170126</t>
  </si>
  <si>
    <t xml:space="preserve">Laboratory WA</t>
  </si>
  <si>
    <t xml:space="preserve">L9.J.170603</t>
  </si>
  <si>
    <t xml:space="preserve">170603</t>
  </si>
  <si>
    <t xml:space="preserve">Laboratory Wodonga</t>
  </si>
  <si>
    <t xml:space="preserve">L9.J.170359</t>
  </si>
  <si>
    <t xml:space="preserve">170359</t>
  </si>
  <si>
    <t xml:space="preserve">LAHC NSW - Central Coast</t>
  </si>
  <si>
    <t xml:space="preserve">L9.S.3174.45002371</t>
  </si>
  <si>
    <t xml:space="preserve">LAHC NSW - Kingsgrove</t>
  </si>
  <si>
    <t xml:space="preserve">6 The Crescent</t>
  </si>
  <si>
    <t xml:space="preserve">Kingsgrove</t>
  </si>
  <si>
    <t xml:space="preserve">2208</t>
  </si>
  <si>
    <t xml:space="preserve">LAHC NSW - Macarthur</t>
  </si>
  <si>
    <t xml:space="preserve">LAHC NSW - Springhill</t>
  </si>
  <si>
    <t xml:space="preserve">5 Edney Lane</t>
  </si>
  <si>
    <t xml:space="preserve">Spring Hill</t>
  </si>
  <si>
    <t xml:space="preserve">Landcox St, Brighton East</t>
  </si>
  <si>
    <t xml:space="preserve">L9.J.24190350</t>
  </si>
  <si>
    <t xml:space="preserve">24190350</t>
  </si>
  <si>
    <t xml:space="preserve">Landfill - Copping</t>
  </si>
  <si>
    <t xml:space="preserve">L9.J.170316</t>
  </si>
  <si>
    <t xml:space="preserve">170316</t>
  </si>
  <si>
    <t xml:space="preserve">LANDFILL OPERATIONS</t>
  </si>
  <si>
    <t xml:space="preserve">17030214</t>
  </si>
  <si>
    <t xml:space="preserve">Largs Bay</t>
  </si>
  <si>
    <t xml:space="preserve">L9.J.17090106</t>
  </si>
  <si>
    <t xml:space="preserve">188-194 Jetty Road</t>
  </si>
  <si>
    <t xml:space="preserve">138.496</t>
  </si>
  <si>
    <t xml:space="preserve">Laundry - BOC</t>
  </si>
  <si>
    <t xml:space="preserve">9053</t>
  </si>
  <si>
    <t xml:space="preserve">18 Victoria Cres</t>
  </si>
  <si>
    <t xml:space="preserve">Abbotsford</t>
  </si>
  <si>
    <t xml:space="preserve">3067</t>
  </si>
  <si>
    <t xml:space="preserve">-37.806456</t>
  </si>
  <si>
    <t xml:space="preserve">144.998018</t>
  </si>
  <si>
    <t xml:space="preserve">Lawrence (6 Irvine St)</t>
  </si>
  <si>
    <t xml:space="preserve">L9.DNZJ.91419</t>
  </si>
  <si>
    <t xml:space="preserve">Lawrence Depot</t>
  </si>
  <si>
    <t xml:space="preserve">55688</t>
  </si>
  <si>
    <t xml:space="preserve">36 Waipori Road</t>
  </si>
  <si>
    <t xml:space="preserve">Gabriels Gully</t>
  </si>
  <si>
    <t xml:space="preserve">-45.9085</t>
  </si>
  <si>
    <t xml:space="preserve">169.7005</t>
  </si>
  <si>
    <t xml:space="preserve">Laying Contracting Services</t>
  </si>
  <si>
    <t xml:space="preserve">170402</t>
  </si>
  <si>
    <t xml:space="preserve">Laying Services Rosehi</t>
  </si>
  <si>
    <t xml:space="preserve">L9.J.170131</t>
  </si>
  <si>
    <t xml:space="preserve">170131</t>
  </si>
  <si>
    <t xml:space="preserve">LBI FM - Wellington EU Subcontractors</t>
  </si>
  <si>
    <t xml:space="preserve">L9.DNZ.810.20876</t>
  </si>
  <si>
    <t xml:space="preserve">LBI National Operations EU Subcontractors</t>
  </si>
  <si>
    <t xml:space="preserve">L9.DNZ.810.20785</t>
  </si>
  <si>
    <t xml:space="preserve">Learning EU Subcontractors</t>
  </si>
  <si>
    <t xml:space="preserve">L9.DNZ.810.10.060</t>
  </si>
  <si>
    <t xml:space="preserve">Leongatha Support</t>
  </si>
  <si>
    <t xml:space="preserve">L9.J.241927</t>
  </si>
  <si>
    <t xml:space="preserve">241927</t>
  </si>
  <si>
    <t xml:space="preserve">LGWM - SP2 THORNDON QUAY</t>
  </si>
  <si>
    <t xml:space="preserve">L9.DNZJ.DS2677</t>
  </si>
  <si>
    <t xml:space="preserve">JP_DS2677</t>
  </si>
  <si>
    <t xml:space="preserve">TI-NZT-DS2677 - LGWM - SP2 Thorndon Quay
LVL2/202 Thorndon Quay  Pipitea  Wellington 6011</t>
  </si>
  <si>
    <t xml:space="preserve">L2, Tenancy 4, 202 Thorndon Quay</t>
  </si>
  <si>
    <t xml:space="preserve">Pipitea</t>
  </si>
  <si>
    <t xml:space="preserve">Light Vehicles</t>
  </si>
  <si>
    <t xml:space="preserve">L9.DNZJ.1904</t>
  </si>
  <si>
    <t xml:space="preserve">1904</t>
  </si>
  <si>
    <t xml:space="preserve">Link Alliance</t>
  </si>
  <si>
    <t xml:space="preserve">L9.DNZJ.553350</t>
  </si>
  <si>
    <t xml:space="preserve">553350</t>
  </si>
  <si>
    <t xml:space="preserve">TI-NZT-553350 - CRL 3 - Link Alliance</t>
  </si>
  <si>
    <t xml:space="preserve">Linton Cleaning Serv Del</t>
  </si>
  <si>
    <t xml:space="preserve">L9.S.26016629</t>
  </si>
  <si>
    <t xml:space="preserve">26016629</t>
  </si>
  <si>
    <t xml:space="preserve">Linton Grounds Overhead</t>
  </si>
  <si>
    <t xml:space="preserve">L9.S.24000061</t>
  </si>
  <si>
    <t xml:space="preserve">24000061</t>
  </si>
  <si>
    <t xml:space="preserve">Linton Grounds Serv Del</t>
  </si>
  <si>
    <t xml:space="preserve">L9.S.26016634</t>
  </si>
  <si>
    <t xml:space="preserve">26016634</t>
  </si>
  <si>
    <t xml:space="preserve">Linton Maintenance Overhead</t>
  </si>
  <si>
    <t xml:space="preserve">L9.S.24000047</t>
  </si>
  <si>
    <t xml:space="preserve">24000047</t>
  </si>
  <si>
    <t xml:space="preserve">Linton Mgmt &amp; Admin Overhead</t>
  </si>
  <si>
    <t xml:space="preserve">L9.S.24000046</t>
  </si>
  <si>
    <t xml:space="preserve">24000046</t>
  </si>
  <si>
    <t xml:space="preserve">Linton Operations - 45002412</t>
  </si>
  <si>
    <t xml:space="preserve">2000004494</t>
  </si>
  <si>
    <t xml:space="preserve">Fosters Rd (Linton Military Camp)</t>
  </si>
  <si>
    <t xml:space="preserve">4820</t>
  </si>
  <si>
    <t xml:space="preserve">Linton Operations Serv Del.</t>
  </si>
  <si>
    <t xml:space="preserve">L9.S.26016615</t>
  </si>
  <si>
    <t xml:space="preserve">26016615</t>
  </si>
  <si>
    <t xml:space="preserve">Linton Park Dam Construction</t>
  </si>
  <si>
    <t xml:space="preserve">L9.DNZJ.550718</t>
  </si>
  <si>
    <t xml:space="preserve">550718</t>
  </si>
  <si>
    <t xml:space="preserve">LINTON PARK SPILLWAY</t>
  </si>
  <si>
    <t xml:space="preserve">L9.DNZJ.DN1202</t>
  </si>
  <si>
    <t xml:space="preserve">JP_DN1202</t>
  </si>
  <si>
    <t xml:space="preserve">Linton Projects Overheads</t>
  </si>
  <si>
    <t xml:space="preserve">L9.S.24000048</t>
  </si>
  <si>
    <t xml:space="preserve">24000048</t>
  </si>
  <si>
    <t xml:space="preserve">LINZ Contract OH</t>
  </si>
  <si>
    <t xml:space="preserve">Lloyd Elsmore Park</t>
  </si>
  <si>
    <t xml:space="preserve">L9.DNZJ.553198</t>
  </si>
  <si>
    <t xml:space="preserve">553198</t>
  </si>
  <si>
    <t xml:space="preserve">Pakuranga Heights</t>
  </si>
  <si>
    <t xml:space="preserve">2010</t>
  </si>
  <si>
    <t xml:space="preserve">-36.9126</t>
  </si>
  <si>
    <t xml:space="preserve">174.8838</t>
  </si>
  <si>
    <t xml:space="preserve">Logan Payroll Clearing</t>
  </si>
  <si>
    <t xml:space="preserve">L9.J.241201</t>
  </si>
  <si>
    <t xml:space="preserve">241201</t>
  </si>
  <si>
    <t xml:space="preserve">Logan Water Meter Exchange</t>
  </si>
  <si>
    <t xml:space="preserve">L9.S.16018055</t>
  </si>
  <si>
    <t xml:space="preserve">16018055</t>
  </si>
  <si>
    <t xml:space="preserve">Logan Water Meter Reading</t>
  </si>
  <si>
    <t xml:space="preserve">L9.S.16018054</t>
  </si>
  <si>
    <t xml:space="preserve">16018054</t>
  </si>
  <si>
    <t xml:space="preserve">LOGAN WIPA EU Subcontractors</t>
  </si>
  <si>
    <t xml:space="preserve">L9.J.241697</t>
  </si>
  <si>
    <t xml:space="preserve">Logistics</t>
  </si>
  <si>
    <t xml:space="preserve">L9.J.241919</t>
  </si>
  <si>
    <t xml:space="preserve">241919</t>
  </si>
  <si>
    <t xml:space="preserve">Logistics Operations</t>
  </si>
  <si>
    <t xml:space="preserve">10.033</t>
  </si>
  <si>
    <t xml:space="preserve">LOGISTICS OPERATIONS EU Subcontractors</t>
  </si>
  <si>
    <t xml:space="preserve">L9.DNZJ.63985</t>
  </si>
  <si>
    <t xml:space="preserve">Logistics Ops North Island</t>
  </si>
  <si>
    <t xml:space="preserve">Logistics Ops South Island</t>
  </si>
  <si>
    <t xml:space="preserve">L9.DNZJ.63981</t>
  </si>
  <si>
    <t xml:space="preserve">63981</t>
  </si>
  <si>
    <t xml:space="preserve">31 Canada Crescent</t>
  </si>
  <si>
    <t xml:space="preserve">Hornby South</t>
  </si>
  <si>
    <t xml:space="preserve">-43.5606</t>
  </si>
  <si>
    <t xml:space="preserve">172.5185</t>
  </si>
  <si>
    <t xml:space="preserve">LOGISTICS PROJECTS EU Subcontractors</t>
  </si>
  <si>
    <t xml:space="preserve">L9.DNZ.810.10.039</t>
  </si>
  <si>
    <t xml:space="preserve">Lotus Creek Transmission Line</t>
  </si>
  <si>
    <t xml:space="preserve">L9.J.37740125</t>
  </si>
  <si>
    <t xml:space="preserve">37740125</t>
  </si>
  <si>
    <t xml:space="preserve">Lotus Creek, QLD Australia</t>
  </si>
  <si>
    <t xml:space="preserve">Lotus Creek</t>
  </si>
  <si>
    <t xml:space="preserve">Lotus Creek Wind Farm Connecti</t>
  </si>
  <si>
    <t xml:space="preserve">Lower Hutt (26A Bracken St)</t>
  </si>
  <si>
    <t xml:space="preserve">L9.DNZJ.91266</t>
  </si>
  <si>
    <t xml:space="preserve">91266</t>
  </si>
  <si>
    <t xml:space="preserve">26A Bracken Street</t>
  </si>
  <si>
    <t xml:space="preserve">Petone</t>
  </si>
  <si>
    <t xml:space="preserve">-41.2241</t>
  </si>
  <si>
    <t xml:space="preserve">174.8937</t>
  </si>
  <si>
    <t xml:space="preserve">Lower Hutt (3-69 Hutt Rd)</t>
  </si>
  <si>
    <t xml:space="preserve">L9.DNZJ.91377</t>
  </si>
  <si>
    <t xml:space="preserve">91377</t>
  </si>
  <si>
    <t xml:space="preserve">3/69 Hutt Rd</t>
  </si>
  <si>
    <t xml:space="preserve">Lower North Design</t>
  </si>
  <si>
    <t xml:space="preserve">L9.DNZ.810.10.261</t>
  </si>
  <si>
    <t xml:space="preserve">10261</t>
  </si>
  <si>
    <t xml:space="preserve">10.261</t>
  </si>
  <si>
    <t xml:space="preserve">Lower North Island Corrections</t>
  </si>
  <si>
    <t xml:space="preserve">L9.DNZ.810.10.135</t>
  </si>
  <si>
    <t xml:space="preserve">10135</t>
  </si>
  <si>
    <t xml:space="preserve">10.135</t>
  </si>
  <si>
    <t xml:space="preserve">Lower North Island CorrectionsDEL</t>
  </si>
  <si>
    <t xml:space="preserve">L9.DNZJ.10135</t>
  </si>
  <si>
    <t xml:space="preserve">Lower North Regional</t>
  </si>
  <si>
    <t xml:space="preserve">L9.DNZ.810.10.136</t>
  </si>
  <si>
    <t xml:space="preserve">10136</t>
  </si>
  <si>
    <t xml:space="preserve">10.136</t>
  </si>
  <si>
    <t xml:space="preserve">LSE - Perth Convention &amp; Exhibition Centre (WA)</t>
  </si>
  <si>
    <t xml:space="preserve">L9.S.16011871</t>
  </si>
  <si>
    <t xml:space="preserve">9068</t>
  </si>
  <si>
    <t xml:space="preserve">21 Mounts Bay Rd</t>
  </si>
  <si>
    <t xml:space="preserve">-31.956872</t>
  </si>
  <si>
    <t xml:space="preserve">115.853601</t>
  </si>
  <si>
    <t xml:space="preserve">LSE - Zinc (VIC)</t>
  </si>
  <si>
    <t xml:space="preserve">L9.S.16008450</t>
  </si>
  <si>
    <t xml:space="preserve">9070</t>
  </si>
  <si>
    <t xml:space="preserve">Cnr Swanston and Flinders St Federation Bld</t>
  </si>
  <si>
    <t xml:space="preserve">-37.817425</t>
  </si>
  <si>
    <t xml:space="preserve">144.9696</t>
  </si>
  <si>
    <t xml:space="preserve">LTP Reservoirs Construction</t>
  </si>
  <si>
    <t xml:space="preserve">L9.DNZJ.DN1181</t>
  </si>
  <si>
    <t xml:space="preserve">JP_DN1181</t>
  </si>
  <si>
    <t xml:space="preserve">43 Rawiri Drive</t>
  </si>
  <si>
    <t xml:space="preserve">Bell Block</t>
  </si>
  <si>
    <t xml:space="preserve">-39.0268</t>
  </si>
  <si>
    <t xml:space="preserve">174.1604</t>
  </si>
  <si>
    <t xml:space="preserve">LWIA PBE090 Alfred Street Risi</t>
  </si>
  <si>
    <t xml:space="preserve">L9.J.24160109</t>
  </si>
  <si>
    <t xml:space="preserve">24160109</t>
  </si>
  <si>
    <t xml:space="preserve">LWIA PM005 Office Costs</t>
  </si>
  <si>
    <t xml:space="preserve">L9.J.2412002701</t>
  </si>
  <si>
    <t xml:space="preserve">2412002701</t>
  </si>
  <si>
    <t xml:space="preserve">LWIA PM006 Office Costs 17/18</t>
  </si>
  <si>
    <t xml:space="preserve">L9.J.2412011001</t>
  </si>
  <si>
    <t xml:space="preserve">2412011001</t>
  </si>
  <si>
    <t xml:space="preserve">LYB Gen Rot Slip Ring Machine</t>
  </si>
  <si>
    <t xml:space="preserve">L9.J.38215195</t>
  </si>
  <si>
    <t xml:space="preserve">38215195</t>
  </si>
  <si>
    <t xml:space="preserve">LYTTELTON PORT WORKSHOPS-PCSA</t>
  </si>
  <si>
    <t xml:space="preserve">L9.DNZ.HS0160</t>
  </si>
  <si>
    <t xml:space="preserve">JP_HS0160</t>
  </si>
  <si>
    <t xml:space="preserve">Mackay Airport RYW Overlay</t>
  </si>
  <si>
    <t xml:space="preserve">L9.J.17093375</t>
  </si>
  <si>
    <t xml:space="preserve">Christensen Circuit, South Mackay</t>
  </si>
  <si>
    <t xml:space="preserve">2025/09/01</t>
  </si>
  <si>
    <t xml:space="preserve">Mackay Asp Laying</t>
  </si>
  <si>
    <t xml:space="preserve">L9.J.170772</t>
  </si>
  <si>
    <t xml:space="preserve">170772</t>
  </si>
  <si>
    <t xml:space="preserve">Mackay Laboratory</t>
  </si>
  <si>
    <t xml:space="preserve">L9.J.170775</t>
  </si>
  <si>
    <t xml:space="preserve">170775</t>
  </si>
  <si>
    <t xml:space="preserve">Mackay Spray Services</t>
  </si>
  <si>
    <t xml:space="preserve">L9.J.170771</t>
  </si>
  <si>
    <t xml:space="preserve">170771</t>
  </si>
  <si>
    <t xml:space="preserve">Maddington - BIT</t>
  </si>
  <si>
    <t xml:space="preserve">L9.J.170617</t>
  </si>
  <si>
    <t xml:space="preserve">171</t>
  </si>
  <si>
    <t xml:space="preserve">5 Marion Road</t>
  </si>
  <si>
    <t xml:space="preserve">-32.039</t>
  </si>
  <si>
    <t xml:space="preserve">115.985</t>
  </si>
  <si>
    <t xml:space="preserve">Maddington - P&amp;E</t>
  </si>
  <si>
    <t xml:space="preserve">Maint Support - LGA</t>
  </si>
  <si>
    <t xml:space="preserve">L9.J.170229</t>
  </si>
  <si>
    <t xml:space="preserve">170229</t>
  </si>
  <si>
    <t xml:space="preserve">Maintenance &amp; OPEX</t>
  </si>
  <si>
    <t xml:space="preserve">L9.DNZJ.553302</t>
  </si>
  <si>
    <t xml:space="preserve">553302</t>
  </si>
  <si>
    <t xml:space="preserve">Maintenance North Over</t>
  </si>
  <si>
    <t xml:space="preserve">L9.J.170275</t>
  </si>
  <si>
    <t xml:space="preserve">170275</t>
  </si>
  <si>
    <t xml:space="preserve">MAIREHAU HS - CSR RDLPM STG2</t>
  </si>
  <si>
    <t xml:space="preserve">L9.DNZ.HS0152</t>
  </si>
  <si>
    <t xml:space="preserve">JP_HS0153</t>
  </si>
  <si>
    <t xml:space="preserve">Maitland Depot</t>
  </si>
  <si>
    <t xml:space="preserve">L9.J.17023128</t>
  </si>
  <si>
    <t xml:space="preserve">17023128</t>
  </si>
  <si>
    <t xml:space="preserve">Temporarily allocate to TI-17023128 - Downer- Maitland Depot</t>
  </si>
  <si>
    <t xml:space="preserve">28-34 Yorketown Rd, Maitland</t>
  </si>
  <si>
    <t xml:space="preserve">Major Projects Leadership</t>
  </si>
  <si>
    <t xml:space="preserve">TI-NZT.MAP.MPR.MPR - Major Projects
TI-NZT-8803 - Estimating</t>
  </si>
  <si>
    <t xml:space="preserve">Management &amp; Support EU Subcontractors</t>
  </si>
  <si>
    <t xml:space="preserve">L9.J.381</t>
  </si>
  <si>
    <t xml:space="preserve">Management EU Subcontractors</t>
  </si>
  <si>
    <t xml:space="preserve">L9.DUA.RESCKW</t>
  </si>
  <si>
    <t xml:space="preserve">Management Overhead</t>
  </si>
  <si>
    <t xml:space="preserve">L9.J.501001</t>
  </si>
  <si>
    <t xml:space="preserve">501001</t>
  </si>
  <si>
    <t xml:space="preserve">Manawatu Overhead</t>
  </si>
  <si>
    <t xml:space="preserve">L9.DNZJ.54939</t>
  </si>
  <si>
    <t xml:space="preserve">54939</t>
  </si>
  <si>
    <t xml:space="preserve">TI-NZT-54939 - Manawatu Overhead</t>
  </si>
  <si>
    <t xml:space="preserve">Manawatu SIP Long Life</t>
  </si>
  <si>
    <t xml:space="preserve">L9.DNZJ.552412</t>
  </si>
  <si>
    <t xml:space="preserve">552412</t>
  </si>
  <si>
    <t xml:space="preserve">Manawatu Support Serv. Del.</t>
  </si>
  <si>
    <t xml:space="preserve">L9.S.26016616</t>
  </si>
  <si>
    <t xml:space="preserve">26016616</t>
  </si>
  <si>
    <t xml:space="preserve">Manawatu Support Services - 45002412</t>
  </si>
  <si>
    <t xml:space="preserve">L9.S.24000034</t>
  </si>
  <si>
    <t xml:space="preserve">2000004495</t>
  </si>
  <si>
    <t xml:space="preserve">Mangawhai (10 Nautical Heights</t>
  </si>
  <si>
    <t xml:space="preserve">10 Nautical Heights  Mangawhai Heads  Mangawhai 0505  Northland Region</t>
  </si>
  <si>
    <t xml:space="preserve">Mansfield - Support</t>
  </si>
  <si>
    <t xml:space="preserve">L9.J.241938</t>
  </si>
  <si>
    <t xml:space="preserve">241938</t>
  </si>
  <si>
    <t xml:space="preserve">Manufacturing EU Subcontractors</t>
  </si>
  <si>
    <t xml:space="preserve">L9.S.GNMANUFC00</t>
  </si>
  <si>
    <t xml:space="preserve">Manufacturing OH</t>
  </si>
  <si>
    <t xml:space="preserve">L9.J.382101</t>
  </si>
  <si>
    <t xml:space="preserve">382101</t>
  </si>
  <si>
    <t xml:space="preserve">Manuwatu Overhead</t>
  </si>
  <si>
    <t xml:space="preserve">L9.DNZJ.54936</t>
  </si>
  <si>
    <t xml:space="preserve">54936</t>
  </si>
  <si>
    <t xml:space="preserve">Marine Services FY21</t>
  </si>
  <si>
    <t xml:space="preserve">L9.J.38210107</t>
  </si>
  <si>
    <t xml:space="preserve">38210107</t>
  </si>
  <si>
    <t xml:space="preserve">Marini Mobile Asphalt Plant</t>
  </si>
  <si>
    <t xml:space="preserve">3511</t>
  </si>
  <si>
    <t xml:space="preserve">Maritime NZ EU Subcontractors</t>
  </si>
  <si>
    <t xml:space="preserve">L9.DNZ.810.20206</t>
  </si>
  <si>
    <t xml:space="preserve">Marketing Dept</t>
  </si>
  <si>
    <t xml:space="preserve">3022</t>
  </si>
  <si>
    <t xml:space="preserve">Marlborough People/Plant</t>
  </si>
  <si>
    <t xml:space="preserve">L9.DNZJ.66205</t>
  </si>
  <si>
    <t xml:space="preserve">66205</t>
  </si>
  <si>
    <t xml:space="preserve">L9.J.709203</t>
  </si>
  <si>
    <t xml:space="preserve">3011</t>
  </si>
  <si>
    <t xml:space="preserve">175</t>
  </si>
  <si>
    <t xml:space="preserve">23 Bowen Street</t>
  </si>
  <si>
    <t xml:space="preserve">-25.542</t>
  </si>
  <si>
    <t xml:space="preserve">152.705</t>
  </si>
  <si>
    <t xml:space="preserve">MARYBOROUGH FACILITIES MAINTEN</t>
  </si>
  <si>
    <t xml:space="preserve">L9.J.709210</t>
  </si>
  <si>
    <t xml:space="preserve">709210</t>
  </si>
  <si>
    <t xml:space="preserve">MARYBOROUGH OVERHEADS</t>
  </si>
  <si>
    <t xml:space="preserve">L9.J.709201</t>
  </si>
  <si>
    <t xml:space="preserve">709201</t>
  </si>
  <si>
    <t xml:space="preserve">MASSEY SOVS STAGE 1A/1B</t>
  </si>
  <si>
    <t xml:space="preserve">L9.DNZ.HW0194</t>
  </si>
  <si>
    <t xml:space="preserve">JP_HW0194</t>
  </si>
  <si>
    <t xml:space="preserve">Masterton - Lines 242</t>
  </si>
  <si>
    <t xml:space="preserve">PG60242</t>
  </si>
  <si>
    <t xml:space="preserve">Masterton - Subs 241</t>
  </si>
  <si>
    <t xml:space="preserve">L9.DUN.60241</t>
  </si>
  <si>
    <t xml:space="preserve">60241</t>
  </si>
  <si>
    <t xml:space="preserve">Masterton Area Manager</t>
  </si>
  <si>
    <t xml:space="preserve">L9.DUN.60240</t>
  </si>
  <si>
    <t xml:space="preserve">PG60240</t>
  </si>
  <si>
    <t xml:space="preserve">73-77 Ngaumutawa Road</t>
  </si>
  <si>
    <t xml:space="preserve">-40.9599</t>
  </si>
  <si>
    <t xml:space="preserve">175.6131</t>
  </si>
  <si>
    <t xml:space="preserve">Masterton School - 45003005</t>
  </si>
  <si>
    <t xml:space="preserve">L9.S.24000265</t>
  </si>
  <si>
    <t xml:space="preserve">2000004805</t>
  </si>
  <si>
    <t xml:space="preserve">Masterton School Serv Del</t>
  </si>
  <si>
    <t xml:space="preserve">L9.S.26017255</t>
  </si>
  <si>
    <t xml:space="preserve">26017255</t>
  </si>
  <si>
    <t xml:space="preserve">Matamata - Depot</t>
  </si>
  <si>
    <t xml:space="preserve">L9.DUN.60126</t>
  </si>
  <si>
    <t xml:space="preserve">PG60126</t>
  </si>
  <si>
    <t xml:space="preserve">-37.8103</t>
  </si>
  <si>
    <t xml:space="preserve">175.7708</t>
  </si>
  <si>
    <t xml:space="preserve">Matamata - SP 124</t>
  </si>
  <si>
    <t xml:space="preserve">PG60124</t>
  </si>
  <si>
    <t xml:space="preserve">Maungatoroto (32 Hurndall St)</t>
  </si>
  <si>
    <t xml:space="preserve">L9.DNZJ.91409</t>
  </si>
  <si>
    <t xml:space="preserve">91409</t>
  </si>
  <si>
    <t xml:space="preserve">COR-NZHO-91409 - Maungatoroto (32 Hurndall St)</t>
  </si>
  <si>
    <t xml:space="preserve">32 Hurndall Street East</t>
  </si>
  <si>
    <t xml:space="preserve">Maungaturoto</t>
  </si>
  <si>
    <t xml:space="preserve">0520</t>
  </si>
  <si>
    <t xml:space="preserve">Mayne</t>
  </si>
  <si>
    <t xml:space="preserve">L9.J.709202A</t>
  </si>
  <si>
    <t xml:space="preserve">MAYNE OVERHEADS</t>
  </si>
  <si>
    <t xml:space="preserve">L9.J.709202</t>
  </si>
  <si>
    <t xml:space="preserve">709202</t>
  </si>
  <si>
    <t xml:space="preserve">MBH Facility</t>
  </si>
  <si>
    <t xml:space="preserve">L9.J.709212</t>
  </si>
  <si>
    <t xml:space="preserve">709212</t>
  </si>
  <si>
    <t xml:space="preserve">MC Const Minor Works</t>
  </si>
  <si>
    <t xml:space="preserve">L9.DNZJ.552302</t>
  </si>
  <si>
    <t xml:space="preserve">552302</t>
  </si>
  <si>
    <t xml:space="preserve">MCR Northern Line</t>
  </si>
  <si>
    <t xml:space="preserve">L9.DNZJ.554557</t>
  </si>
  <si>
    <t xml:space="preserve">554557</t>
  </si>
  <si>
    <t xml:space="preserve">Meandu Mine Relocation - TXLEU-3</t>
  </si>
  <si>
    <t xml:space="preserve">37740114</t>
  </si>
  <si>
    <t xml:space="preserve">Mechanical Hexham Works</t>
  </si>
  <si>
    <t xml:space="preserve">L9.J.38210110</t>
  </si>
  <si>
    <t xml:space="preserve">38210110</t>
  </si>
  <si>
    <t xml:space="preserve">Mechanical Labour Hire</t>
  </si>
  <si>
    <t xml:space="preserve">L9.J.38275003</t>
  </si>
  <si>
    <t xml:space="preserve">38275003</t>
  </si>
  <si>
    <t xml:space="preserve">Melb Transport (Excl F</t>
  </si>
  <si>
    <t xml:space="preserve">L9.J.170314</t>
  </si>
  <si>
    <t xml:space="preserve">170314</t>
  </si>
  <si>
    <t xml:space="preserve">Melbourne Airport PA</t>
  </si>
  <si>
    <t xml:space="preserve">L9.J.17090825</t>
  </si>
  <si>
    <t xml:space="preserve">125 Mansfield Road, Melbourne Airport</t>
  </si>
  <si>
    <t xml:space="preserve">2025/11/01</t>
  </si>
  <si>
    <t xml:space="preserve">Melbourne City Council East ServDel</t>
  </si>
  <si>
    <t xml:space="preserve">L9.S.16012000</t>
  </si>
  <si>
    <t xml:space="preserve">16012000</t>
  </si>
  <si>
    <t xml:space="preserve">Melbourne City Council Overhead</t>
  </si>
  <si>
    <t xml:space="preserve">L9.S.14000665</t>
  </si>
  <si>
    <t xml:space="preserve">14000665</t>
  </si>
  <si>
    <t xml:space="preserve">Melbourne City Council Serv Del</t>
  </si>
  <si>
    <t xml:space="preserve">L9.S.16011998</t>
  </si>
  <si>
    <t xml:space="preserve">16011998</t>
  </si>
  <si>
    <t xml:space="preserve">Melbourne Floats</t>
  </si>
  <si>
    <t xml:space="preserve">L9.J.170323</t>
  </si>
  <si>
    <t xml:space="preserve">170323</t>
  </si>
  <si>
    <t xml:space="preserve">Melbourne Laboratory</t>
  </si>
  <si>
    <t xml:space="preserve">L9.J.170301</t>
  </si>
  <si>
    <t xml:space="preserve">170301</t>
  </si>
  <si>
    <t xml:space="preserve">Melbourne Laying Servi</t>
  </si>
  <si>
    <t xml:space="preserve">L9.J.170305</t>
  </si>
  <si>
    <t xml:space="preserve">170305</t>
  </si>
  <si>
    <t xml:space="preserve">Melbourne Water Jv Clearing Ac</t>
  </si>
  <si>
    <t xml:space="preserve">241209</t>
  </si>
  <si>
    <t xml:space="preserve">Melbourne Workshop</t>
  </si>
  <si>
    <t xml:space="preserve">L9.J.170912</t>
  </si>
  <si>
    <t xml:space="preserve">170912</t>
  </si>
  <si>
    <t xml:space="preserve">Melton Support</t>
  </si>
  <si>
    <t xml:space="preserve">170232</t>
  </si>
  <si>
    <t xml:space="preserve">Metallurgical Test Labs EU Subcontractors</t>
  </si>
  <si>
    <t xml:space="preserve">L9.J.395311</t>
  </si>
  <si>
    <t xml:space="preserve">Methven Depot (Excell)</t>
  </si>
  <si>
    <t xml:space="preserve">55643</t>
  </si>
  <si>
    <t xml:space="preserve">76 Racecourse Avenue</t>
  </si>
  <si>
    <t xml:space="preserve">-43.6262</t>
  </si>
  <si>
    <t xml:space="preserve">171.6398</t>
  </si>
  <si>
    <t xml:space="preserve">METRO NTH WEST - VR</t>
  </si>
  <si>
    <t xml:space="preserve">L9.J.17020090</t>
  </si>
  <si>
    <t xml:space="preserve">17020090</t>
  </si>
  <si>
    <t xml:space="preserve">Metro Spray Services</t>
  </si>
  <si>
    <t xml:space="preserve">L9.J.170777</t>
  </si>
  <si>
    <t xml:space="preserve">170777</t>
  </si>
  <si>
    <t xml:space="preserve">MFAT - People &amp; Plant</t>
  </si>
  <si>
    <t xml:space="preserve">L9.DNZJ.69701</t>
  </si>
  <si>
    <t xml:space="preserve">69701</t>
  </si>
  <si>
    <t xml:space="preserve">SI-NZF-69701-MFAT - People &amp; Plant</t>
  </si>
  <si>
    <t xml:space="preserve">Mgmt &amp; Support EU Subcontractors</t>
  </si>
  <si>
    <t xml:space="preserve">L9.J.382110</t>
  </si>
  <si>
    <t xml:space="preserve">MHPS - Eraring Power Station</t>
  </si>
  <si>
    <t xml:space="preserve">4062</t>
  </si>
  <si>
    <t xml:space="preserve">Cooranbong</t>
  </si>
  <si>
    <t xml:space="preserve">MHS Pumps Electrical Install</t>
  </si>
  <si>
    <t xml:space="preserve">L9.J.38210149</t>
  </si>
  <si>
    <t xml:space="preserve">38210149</t>
  </si>
  <si>
    <t xml:space="preserve">Micro Operations</t>
  </si>
  <si>
    <t xml:space="preserve">L9.J.170910</t>
  </si>
  <si>
    <t xml:space="preserve">170910</t>
  </si>
  <si>
    <t xml:space="preserve">MICROSOFT DATA CENTRE</t>
  </si>
  <si>
    <t xml:space="preserve">L9.DNZ.HA0394</t>
  </si>
  <si>
    <t xml:space="preserve">JP_HA0394</t>
  </si>
  <si>
    <t xml:space="preserve">Microsurfacing</t>
  </si>
  <si>
    <t xml:space="preserve">54217</t>
  </si>
  <si>
    <t xml:space="preserve">Mid North York Maintenance</t>
  </si>
  <si>
    <t xml:space="preserve">L9.J.170253</t>
  </si>
  <si>
    <t xml:space="preserve">170253</t>
  </si>
  <si>
    <t xml:space="preserve">Middlemore Espresso Plus - 45002515</t>
  </si>
  <si>
    <t xml:space="preserve">L9.S.26016960</t>
  </si>
  <si>
    <t xml:space="preserve">2000004549</t>
  </si>
  <si>
    <t xml:space="preserve">As per INX, DNZ-NZF-26016960 - Middlemore Espresso Plus SD
L9.S.26016960</t>
  </si>
  <si>
    <t xml:space="preserve">Midland Station</t>
  </si>
  <si>
    <t xml:space="preserve">Midland</t>
  </si>
  <si>
    <t xml:space="preserve">Milford Road Alliance</t>
  </si>
  <si>
    <t xml:space="preserve">Mill Road ECI</t>
  </si>
  <si>
    <t xml:space="preserve">L9.DNZJ.DN1213</t>
  </si>
  <si>
    <t xml:space="preserve">Milling</t>
  </si>
  <si>
    <t xml:space="preserve">L9.DNZJ.55163</t>
  </si>
  <si>
    <t xml:space="preserve">55163</t>
  </si>
  <si>
    <t xml:space="preserve">Millings</t>
  </si>
  <si>
    <t xml:space="preserve">3516</t>
  </si>
  <si>
    <t xml:space="preserve">Milton - Brisbane (QLD)</t>
  </si>
  <si>
    <t xml:space="preserve">L9.J.10920032</t>
  </si>
  <si>
    <t xml:space="preserve">1016</t>
  </si>
  <si>
    <t xml:space="preserve">Milton Head Office</t>
  </si>
  <si>
    <t xml:space="preserve">135 Coronation Drive</t>
  </si>
  <si>
    <t xml:space="preserve">-27.468329</t>
  </si>
  <si>
    <t xml:space="preserve">153.010271</t>
  </si>
  <si>
    <t xml:space="preserve">2019/01/01</t>
  </si>
  <si>
    <t xml:space="preserve">MIMA EU Subcontractors</t>
  </si>
  <si>
    <t xml:space="preserve">L9.J.234853</t>
  </si>
  <si>
    <t xml:space="preserve">MIMA FY18 Construction EU Subcontractors</t>
  </si>
  <si>
    <t xml:space="preserve">MIMA NSW OH</t>
  </si>
  <si>
    <t xml:space="preserve">L9.J.23440013</t>
  </si>
  <si>
    <t xml:space="preserve">23440013</t>
  </si>
  <si>
    <t xml:space="preserve">MIMA QLD OH</t>
  </si>
  <si>
    <t xml:space="preserve">L9.J.23440019</t>
  </si>
  <si>
    <t xml:space="preserve">23440019</t>
  </si>
  <si>
    <t xml:space="preserve">MIMA WA OH</t>
  </si>
  <si>
    <t xml:space="preserve">L9.J.23440025</t>
  </si>
  <si>
    <t xml:space="preserve">23440025</t>
  </si>
  <si>
    <t xml:space="preserve">Min of Justice Taupo/Rotorua 45003763</t>
  </si>
  <si>
    <t xml:space="preserve">L9.S.26018214</t>
  </si>
  <si>
    <t xml:space="preserve">2000004946</t>
  </si>
  <si>
    <t xml:space="preserve">MIN_Blackwater</t>
  </si>
  <si>
    <t xml:space="preserve">389</t>
  </si>
  <si>
    <t xml:space="preserve">Blackwater Mine - Arurad Rd</t>
  </si>
  <si>
    <t xml:space="preserve">-23.4606</t>
  </si>
  <si>
    <t xml:space="preserve">148.5241</t>
  </si>
  <si>
    <t xml:space="preserve">60</t>
  </si>
  <si>
    <t xml:space="preserve">MIN_Citec Pacific Cape Preston</t>
  </si>
  <si>
    <t xml:space="preserve">4026</t>
  </si>
  <si>
    <t xml:space="preserve">Cape Preston Mine Site via Karratha</t>
  </si>
  <si>
    <t xml:space="preserve">Cape Preston</t>
  </si>
  <si>
    <t xml:space="preserve">-21.04445</t>
  </si>
  <si>
    <t xml:space="preserve">116.09510</t>
  </si>
  <si>
    <t xml:space="preserve">MIN_Cloudbreak</t>
  </si>
  <si>
    <t xml:space="preserve">4046</t>
  </si>
  <si>
    <t xml:space="preserve">Nullagine Road Via Newman</t>
  </si>
  <si>
    <t xml:space="preserve">-22.326133</t>
  </si>
  <si>
    <t xml:space="preserve">119.407504</t>
  </si>
  <si>
    <t xml:space="preserve">MIN_Commodore</t>
  </si>
  <si>
    <t xml:space="preserve">L9.J.8523</t>
  </si>
  <si>
    <t xml:space="preserve">MIN-EST-8523</t>
  </si>
  <si>
    <t xml:space="preserve">50</t>
  </si>
  <si>
    <t xml:space="preserve">Koorangarra Road</t>
  </si>
  <si>
    <t xml:space="preserve">Millmerran</t>
  </si>
  <si>
    <t xml:space="preserve">4357</t>
  </si>
  <si>
    <t xml:space="preserve">-27.57144</t>
  </si>
  <si>
    <t xml:space="preserve">151.165808</t>
  </si>
  <si>
    <t xml:space="preserve">060</t>
  </si>
  <si>
    <t xml:space="preserve">MIN_CSA</t>
  </si>
  <si>
    <t xml:space="preserve">4014</t>
  </si>
  <si>
    <t xml:space="preserve">503</t>
  </si>
  <si>
    <t xml:space="preserve">ANZSIC 0803 Copper Ore Mining</t>
  </si>
  <si>
    <t xml:space="preserve">Louth Road</t>
  </si>
  <si>
    <t xml:space="preserve">Cobar</t>
  </si>
  <si>
    <t xml:space="preserve">2835</t>
  </si>
  <si>
    <t xml:space="preserve">-31.4096</t>
  </si>
  <si>
    <t xml:space="preserve">145.7978</t>
  </si>
  <si>
    <t xml:space="preserve">MIN_Eliwana</t>
  </si>
  <si>
    <t xml:space="preserve">4070</t>
  </si>
  <si>
    <t xml:space="preserve">MIN_FMG Solomon</t>
  </si>
  <si>
    <t xml:space="preserve">MIN_Goonyella</t>
  </si>
  <si>
    <t xml:space="preserve">4041</t>
  </si>
  <si>
    <t xml:space="preserve">Goonyella Rd</t>
  </si>
  <si>
    <t xml:space="preserve">-21.482679</t>
  </si>
  <si>
    <t xml:space="preserve">147.573153</t>
  </si>
  <si>
    <t xml:space="preserve">MIN_Gruyere</t>
  </si>
  <si>
    <t xml:space="preserve">4044</t>
  </si>
  <si>
    <t xml:space="preserve">-27.59</t>
  </si>
  <si>
    <t xml:space="preserve">123.50</t>
  </si>
  <si>
    <t xml:space="preserve">MIN_Karara</t>
  </si>
  <si>
    <t xml:space="preserve">4017</t>
  </si>
  <si>
    <t xml:space="preserve">801</t>
  </si>
  <si>
    <t xml:space="preserve">Karara Mine Site</t>
  </si>
  <si>
    <t xml:space="preserve">Perenjori</t>
  </si>
  <si>
    <t xml:space="preserve">6620</t>
  </si>
  <si>
    <t xml:space="preserve">-29.11313</t>
  </si>
  <si>
    <t xml:space="preserve">116.45366</t>
  </si>
  <si>
    <t xml:space="preserve">MIN_Mackay</t>
  </si>
  <si>
    <t xml:space="preserve">L9.J.8100012</t>
  </si>
  <si>
    <t xml:space="preserve">MIN-PLA-8100012</t>
  </si>
  <si>
    <t xml:space="preserve">376</t>
  </si>
  <si>
    <t xml:space="preserve">Lot 7 Southgate Dr</t>
  </si>
  <si>
    <t xml:space="preserve">-21.110482</t>
  </si>
  <si>
    <t xml:space="preserve">149.092344</t>
  </si>
  <si>
    <t xml:space="preserve">MIN_Meandu</t>
  </si>
  <si>
    <t xml:space="preserve">L9.J.8512</t>
  </si>
  <si>
    <t xml:space="preserve">MIN-EST-8512</t>
  </si>
  <si>
    <t xml:space="preserve">391</t>
  </si>
  <si>
    <t xml:space="preserve">Meandu Mine, Nobby Smith Way</t>
  </si>
  <si>
    <t xml:space="preserve">Nanango</t>
  </si>
  <si>
    <t xml:space="preserve">4615</t>
  </si>
  <si>
    <t xml:space="preserve">-26.473951</t>
  </si>
  <si>
    <t xml:space="preserve">151.535411</t>
  </si>
  <si>
    <t xml:space="preserve">Mining-unallocated accounts</t>
  </si>
  <si>
    <t xml:space="preserve">For re-assigning unallocated accounts</t>
  </si>
  <si>
    <t xml:space="preserve">Ministry of Social Development</t>
  </si>
  <si>
    <t xml:space="preserve">L9.DNZJ.55946</t>
  </si>
  <si>
    <t xml:space="preserve">55946</t>
  </si>
  <si>
    <t xml:space="preserve">Minor Civil Services V</t>
  </si>
  <si>
    <t xml:space="preserve">L9.J.170234</t>
  </si>
  <si>
    <t xml:space="preserve">170234</t>
  </si>
  <si>
    <t xml:space="preserve">Minor Construction Works</t>
  </si>
  <si>
    <t xml:space="preserve">L9.DNZJ.561366</t>
  </si>
  <si>
    <t xml:space="preserve">561366</t>
  </si>
  <si>
    <t xml:space="preserve">UT-NZU-561366-Minor (UT-NZU-Water Northern)</t>
  </si>
  <si>
    <t xml:space="preserve">Minor Site Works</t>
  </si>
  <si>
    <t xml:space="preserve">L9.DNZJ.312010</t>
  </si>
  <si>
    <t xml:space="preserve">312010</t>
  </si>
  <si>
    <t xml:space="preserve">Minor Works - Electrical - LB</t>
  </si>
  <si>
    <t xml:space="preserve">L9.J.38210144</t>
  </si>
  <si>
    <t xml:space="preserve">38210144</t>
  </si>
  <si>
    <t xml:space="preserve">Minor Works - Sec &amp; Comms - AA</t>
  </si>
  <si>
    <t xml:space="preserve">L9.J.38210125</t>
  </si>
  <si>
    <t xml:space="preserve">38210125</t>
  </si>
  <si>
    <t xml:space="preserve">Minor Works EU Subcontractors</t>
  </si>
  <si>
    <t xml:space="preserve">L9.J.39220118</t>
  </si>
  <si>
    <t xml:space="preserve">Minor Works Kaikoura 2018-19</t>
  </si>
  <si>
    <t xml:space="preserve">L9.DNZJ.553624</t>
  </si>
  <si>
    <t xml:space="preserve">553624</t>
  </si>
  <si>
    <t xml:space="preserve">Minor Works Whanganui Const</t>
  </si>
  <si>
    <t xml:space="preserve">L9.DNZJ.552400</t>
  </si>
  <si>
    <t xml:space="preserve">552400</t>
  </si>
  <si>
    <t xml:space="preserve">Miscellaneous HV South East</t>
  </si>
  <si>
    <t xml:space="preserve">L9.J.38220074</t>
  </si>
  <si>
    <t xml:space="preserve">38220074</t>
  </si>
  <si>
    <t xml:space="preserve">Miscellaneous Utilities</t>
  </si>
  <si>
    <t xml:space="preserve">241599</t>
  </si>
  <si>
    <t xml:space="preserve">Allocation in the absence of further information for:
251 Princes Highway, Bega (original code 1583586 unable to find in record. Use Location Ref 241599)</t>
  </si>
  <si>
    <t xml:space="preserve">MMA</t>
  </si>
  <si>
    <t xml:space="preserve">L9.DNZJ.883005</t>
  </si>
  <si>
    <t xml:space="preserve">883005</t>
  </si>
  <si>
    <t xml:space="preserve">MNC Management Overhead</t>
  </si>
  <si>
    <t xml:space="preserve">170273</t>
  </si>
  <si>
    <t xml:space="preserve">MNC Plant Pool</t>
  </si>
  <si>
    <t xml:space="preserve">L9.J.254503</t>
  </si>
  <si>
    <t xml:space="preserve">254503</t>
  </si>
  <si>
    <t xml:space="preserve">Moana (2178b Arnold Valley Rd)</t>
  </si>
  <si>
    <t xml:space="preserve">L9.DNZJ.91386</t>
  </si>
  <si>
    <t xml:space="preserve">91386</t>
  </si>
  <si>
    <t xml:space="preserve">COR-NZHO.91386-Moana (2178b Arnold Valley Rd)
2178B Arnold Valley Road  Moana 7872  West Coast Region</t>
  </si>
  <si>
    <t xml:space="preserve">Moana (2180 Arnold Valley Rd)</t>
  </si>
  <si>
    <t xml:space="preserve">L9.DNZJ.91385</t>
  </si>
  <si>
    <t xml:space="preserve">91385</t>
  </si>
  <si>
    <t xml:space="preserve">COR-NZHO.91385-Moana (2180 Arnold Valley Rd)
2180 Arnold Valley Road  Moana 7872  West Coast Region</t>
  </si>
  <si>
    <t xml:space="preserve">2180 Arnold Valley Road  Moana</t>
  </si>
  <si>
    <t xml:space="preserve">Moana</t>
  </si>
  <si>
    <t xml:space="preserve">7872</t>
  </si>
  <si>
    <t xml:space="preserve">Mobile AC Plant</t>
  </si>
  <si>
    <t xml:space="preserve">Mobile Data Collection</t>
  </si>
  <si>
    <t xml:space="preserve">L9.DNZJ.3526</t>
  </si>
  <si>
    <t xml:space="preserve">3526</t>
  </si>
  <si>
    <t xml:space="preserve">Mobile Laboratory</t>
  </si>
  <si>
    <t xml:space="preserve">3524</t>
  </si>
  <si>
    <t xml:space="preserve">Mobile.ISP Miscellaneous Work EU Subcontractors</t>
  </si>
  <si>
    <t xml:space="preserve">MOE - Overheads</t>
  </si>
  <si>
    <t xml:space="preserve">L9.DNZJ.69502</t>
  </si>
  <si>
    <t xml:space="preserve">69502</t>
  </si>
  <si>
    <t xml:space="preserve">Mogo - P&amp;E</t>
  </si>
  <si>
    <t xml:space="preserve">MOGOP&amp;E</t>
  </si>
  <si>
    <t xml:space="preserve">Mogo Laying</t>
  </si>
  <si>
    <t xml:space="preserve">170106</t>
  </si>
  <si>
    <t xml:space="preserve">Mogo Sprayseal</t>
  </si>
  <si>
    <t xml:space="preserve">L9.J.170107</t>
  </si>
  <si>
    <t xml:space="preserve">170107</t>
  </si>
  <si>
    <t xml:space="preserve">Mogo Workshop</t>
  </si>
  <si>
    <t xml:space="preserve">170136</t>
  </si>
  <si>
    <t xml:space="preserve">Molonglo Zone Subs Project</t>
  </si>
  <si>
    <t xml:space="preserve">Moolarben Undergroun</t>
  </si>
  <si>
    <t xml:space="preserve">L9.J.37210024</t>
  </si>
  <si>
    <t xml:space="preserve">37210024</t>
  </si>
  <si>
    <t xml:space="preserve">Mornington Cleansing</t>
  </si>
  <si>
    <t xml:space="preserve">L9.J.170270</t>
  </si>
  <si>
    <t xml:space="preserve">170270</t>
  </si>
  <si>
    <t xml:space="preserve">Mornington Maintenance</t>
  </si>
  <si>
    <t xml:space="preserve">L9.J.170230</t>
  </si>
  <si>
    <t xml:space="preserve">170230</t>
  </si>
  <si>
    <t xml:space="preserve">Mornington Peninsula SLR- 1218</t>
  </si>
  <si>
    <t xml:space="preserve">L9.J.17021277</t>
  </si>
  <si>
    <t xml:space="preserve">17021277</t>
  </si>
  <si>
    <t xml:space="preserve">MPSC SLR YEAR 11 201</t>
  </si>
  <si>
    <t xml:space="preserve">L9.J.17020683</t>
  </si>
  <si>
    <t xml:space="preserve">17020683</t>
  </si>
  <si>
    <t xml:space="preserve">MPSC SLR YR 12 to 13</t>
  </si>
  <si>
    <t xml:space="preserve">L9.J.17020684</t>
  </si>
  <si>
    <t xml:space="preserve">17020684</t>
  </si>
  <si>
    <t xml:space="preserve">MRPV Clyde Road</t>
  </si>
  <si>
    <t xml:space="preserve">Berwick</t>
  </si>
  <si>
    <t xml:space="preserve">MRPV Overhead</t>
  </si>
  <si>
    <t xml:space="preserve">L9.J.241213</t>
  </si>
  <si>
    <t xml:space="preserve">241213</t>
  </si>
  <si>
    <t xml:space="preserve">MS Plant - DEP</t>
  </si>
  <si>
    <t xml:space="preserve">L9.J.382307</t>
  </si>
  <si>
    <t xml:space="preserve">382307</t>
  </si>
  <si>
    <t xml:space="preserve">MSW North West OH (Clearing)</t>
  </si>
  <si>
    <t xml:space="preserve">L9.J.382854</t>
  </si>
  <si>
    <t xml:space="preserve">382854</t>
  </si>
  <si>
    <t xml:space="preserve">MT BD &amp; Int'l Operations EU Subcontractors</t>
  </si>
  <si>
    <t xml:space="preserve">L9.ENG.982.11.845</t>
  </si>
  <si>
    <t xml:space="preserve">MT Business Development OH EU Subcontractors</t>
  </si>
  <si>
    <t xml:space="preserve">L9.J.395204</t>
  </si>
  <si>
    <t xml:space="preserve">MT Equipment R&amp;D Eng Mfg AS EU Subcontractors</t>
  </si>
  <si>
    <t xml:space="preserve">L9.J.39530679</t>
  </si>
  <si>
    <t xml:space="preserve">Mt Maunganui Laboratory</t>
  </si>
  <si>
    <t xml:space="preserve">3525</t>
  </si>
  <si>
    <t xml:space="preserve">9/2 Owens Place</t>
  </si>
  <si>
    <t xml:space="preserve">-37.6778</t>
  </si>
  <si>
    <t xml:space="preserve">176.2186</t>
  </si>
  <si>
    <t xml:space="preserve">MT Process Design &amp; Proj Ctrls EU Subcontractors</t>
  </si>
  <si>
    <t xml:space="preserve">L9.J.39530375</t>
  </si>
  <si>
    <t xml:space="preserve">Mt Smart Stadium Admin. Serv Del</t>
  </si>
  <si>
    <t xml:space="preserve">L9.S.26017088</t>
  </si>
  <si>
    <t xml:space="preserve">26017088</t>
  </si>
  <si>
    <t xml:space="preserve">Mt Smart Stadium Administration</t>
  </si>
  <si>
    <t xml:space="preserve">2000006000</t>
  </si>
  <si>
    <t xml:space="preserve">2 Beasley Avenue</t>
  </si>
  <si>
    <t xml:space="preserve">-36.9191</t>
  </si>
  <si>
    <t xml:space="preserve">174.8101</t>
  </si>
  <si>
    <t xml:space="preserve">Mt Smart Stadium Overhead</t>
  </si>
  <si>
    <t xml:space="preserve">L9.S.24000153</t>
  </si>
  <si>
    <t xml:space="preserve">24000153</t>
  </si>
  <si>
    <t xml:space="preserve">Mt Smart Stadium Recovery</t>
  </si>
  <si>
    <t xml:space="preserve">2000006004</t>
  </si>
  <si>
    <t xml:space="preserve">MT-Brazil_Office</t>
  </si>
  <si>
    <t xml:space="preserve">L9.J.402201</t>
  </si>
  <si>
    <t xml:space="preserve">2012</t>
  </si>
  <si>
    <t xml:space="preserve">Av. Alvares Cabral 593 - Sala 1303 
Belo Horizonte</t>
  </si>
  <si>
    <t xml:space="preserve">Lourdes</t>
  </si>
  <si>
    <t xml:space="preserve">Minas Gerais</t>
  </si>
  <si>
    <t xml:space="preserve">CEP 30.170-2606</t>
  </si>
  <si>
    <t xml:space="preserve">Estado de Minas Gerais</t>
  </si>
  <si>
    <t xml:space="preserve">-19.927519</t>
  </si>
  <si>
    <t xml:space="preserve">-43.94015</t>
  </si>
  <si>
    <t xml:space="preserve">MT-Brazil_Warehouse</t>
  </si>
  <si>
    <t xml:space="preserve">L9.J.402211</t>
  </si>
  <si>
    <t xml:space="preserve">MT-39520009</t>
  </si>
  <si>
    <t xml:space="preserve">Rua Alcides Fonseca 215 CO</t>
  </si>
  <si>
    <t xml:space="preserve">Henrique Neri</t>
  </si>
  <si>
    <t xml:space="preserve">Sete Lagoas</t>
  </si>
  <si>
    <t xml:space="preserve">35700-332</t>
  </si>
  <si>
    <t xml:space="preserve">-19.471127</t>
  </si>
  <si>
    <t xml:space="preserve">-44.26305</t>
  </si>
  <si>
    <t xml:space="preserve">MT-Carrara</t>
  </si>
  <si>
    <t xml:space="preserve">L9.J.39510068</t>
  </si>
  <si>
    <t xml:space="preserve">MT-39510068</t>
  </si>
  <si>
    <t xml:space="preserve">75</t>
  </si>
  <si>
    <t xml:space="preserve">2-8 Keller Crescent</t>
  </si>
  <si>
    <t xml:space="preserve">Carrara</t>
  </si>
  <si>
    <t xml:space="preserve">-28.034</t>
  </si>
  <si>
    <t xml:space="preserve">153.356</t>
  </si>
  <si>
    <t xml:space="preserve">246</t>
  </si>
  <si>
    <t xml:space="preserve">MT-Dulwich (SA)</t>
  </si>
  <si>
    <t xml:space="preserve">2007</t>
  </si>
  <si>
    <t xml:space="preserve">99</t>
  </si>
  <si>
    <t xml:space="preserve">Changed from DI-East to DI-IS per R.Brookshaw email 21-Jan-2014</t>
  </si>
  <si>
    <t xml:space="preserve">191 Fullarton Road</t>
  </si>
  <si>
    <t xml:space="preserve">Dulwich</t>
  </si>
  <si>
    <t xml:space="preserve">-34.9387065</t>
  </si>
  <si>
    <t xml:space="preserve">138.6243834</t>
  </si>
  <si>
    <t xml:space="preserve">MT-India</t>
  </si>
  <si>
    <t xml:space="preserve">L9.J.401201</t>
  </si>
  <si>
    <t xml:space="preserve">MT-39530274</t>
  </si>
  <si>
    <t xml:space="preserve">76</t>
  </si>
  <si>
    <t xml:space="preserve">14/81b Alliance Junction, Thevarakavu Road, Tripunithura Po, Ernakulam ,Kerala ,India, 682301</t>
  </si>
  <si>
    <t xml:space="preserve">India</t>
  </si>
  <si>
    <t xml:space="preserve">State of Kerala</t>
  </si>
  <si>
    <t xml:space="preserve">9.955971</t>
  </si>
  <si>
    <t xml:space="preserve">76.343133</t>
  </si>
  <si>
    <t xml:space="preserve">MTM Management &amp; Admin</t>
  </si>
  <si>
    <t xml:space="preserve">L9.S.16016221</t>
  </si>
  <si>
    <t xml:space="preserve">16016221</t>
  </si>
  <si>
    <t xml:space="preserve">MT-MetQ</t>
  </si>
  <si>
    <t xml:space="preserve">Office / Manufacturing</t>
  </si>
  <si>
    <t xml:space="preserve">Akasia</t>
  </si>
  <si>
    <t xml:space="preserve">2026/07/01</t>
  </si>
  <si>
    <t xml:space="preserve">Mtr Read (ACT) - Embed MtrServ-FF</t>
  </si>
  <si>
    <t xml:space="preserve">L9.S.16013407</t>
  </si>
  <si>
    <t xml:space="preserve">16013407</t>
  </si>
  <si>
    <t xml:space="preserve">Mtr Read (VIC) - Embedded Mtr Serv</t>
  </si>
  <si>
    <t xml:space="preserve">L9.S.16013435</t>
  </si>
  <si>
    <t xml:space="preserve">16013435</t>
  </si>
  <si>
    <t xml:space="preserve">MT-Sth Africa</t>
  </si>
  <si>
    <t xml:space="preserve">L9.J.398201</t>
  </si>
  <si>
    <t xml:space="preserve">MT-39520105</t>
  </si>
  <si>
    <t xml:space="preserve">77</t>
  </si>
  <si>
    <t xml:space="preserve">14 Bauxite Bay, Alton Richards Bay 39900 Sth Africa</t>
  </si>
  <si>
    <t xml:space="preserve">Richards Bay</t>
  </si>
  <si>
    <t xml:space="preserve">-28.752498</t>
  </si>
  <si>
    <t xml:space="preserve">32.022074</t>
  </si>
  <si>
    <t xml:space="preserve">MTW 66kV ST1250 Upgrade</t>
  </si>
  <si>
    <t xml:space="preserve">L9.J.38270092</t>
  </si>
  <si>
    <t xml:space="preserve">38270092</t>
  </si>
  <si>
    <t xml:space="preserve">Mulgrave - Wellington Rd, Clayton</t>
  </si>
  <si>
    <t xml:space="preserve">9118</t>
  </si>
  <si>
    <t xml:space="preserve">U2 200 Wellington Road</t>
  </si>
  <si>
    <t xml:space="preserve">-37.917875</t>
  </si>
  <si>
    <t xml:space="preserve">145.147449</t>
  </si>
  <si>
    <t xml:space="preserve">MultiNet EU Subcontractors</t>
  </si>
  <si>
    <t xml:space="preserve">L9.J.24190191</t>
  </si>
  <si>
    <t xml:space="preserve">Multinet Gas - Gas Metering Serv</t>
  </si>
  <si>
    <t xml:space="preserve">L9.S.16013431</t>
  </si>
  <si>
    <t xml:space="preserve">16013431</t>
  </si>
  <si>
    <t xml:space="preserve">Murra Warra</t>
  </si>
  <si>
    <t xml:space="preserve">L9.J.24120128</t>
  </si>
  <si>
    <t xml:space="preserve">24120128</t>
  </si>
  <si>
    <t xml:space="preserve">MWE Callide B1 2024 Outage</t>
  </si>
  <si>
    <t xml:space="preserve">L9.J.38215167</t>
  </si>
  <si>
    <t xml:space="preserve">38215167</t>
  </si>
  <si>
    <t xml:space="preserve">MWE Kogan Outage 2022</t>
  </si>
  <si>
    <t xml:space="preserve">L9.J.38215149</t>
  </si>
  <si>
    <t xml:space="preserve">38215149</t>
  </si>
  <si>
    <t xml:space="preserve">Myer FM Non Ops Overhead</t>
  </si>
  <si>
    <t xml:space="preserve">L9.S.14000953</t>
  </si>
  <si>
    <t xml:space="preserve">14000953</t>
  </si>
  <si>
    <t xml:space="preserve">Myer FM NSW Electrical Serv Del</t>
  </si>
  <si>
    <t xml:space="preserve">L9.S.16012477</t>
  </si>
  <si>
    <t xml:space="preserve">16012477</t>
  </si>
  <si>
    <t xml:space="preserve">Myer FM NSW Mgmt Serv Del</t>
  </si>
  <si>
    <t xml:space="preserve">L9.S.16012474</t>
  </si>
  <si>
    <t xml:space="preserve">16012474</t>
  </si>
  <si>
    <t xml:space="preserve">Myer FM NSW Plumbing Serv Del</t>
  </si>
  <si>
    <t xml:space="preserve">L9.S.16012476</t>
  </si>
  <si>
    <t xml:space="preserve">16012476</t>
  </si>
  <si>
    <t xml:space="preserve">Myer FM NSW Shopfitting Serv Del</t>
  </si>
  <si>
    <t xml:space="preserve">L9.S.16012475</t>
  </si>
  <si>
    <t xml:space="preserve">16012475</t>
  </si>
  <si>
    <t xml:space="preserve">Myer FM QLD Electrical Serv Del</t>
  </si>
  <si>
    <t xml:space="preserve">L9.S.16012492</t>
  </si>
  <si>
    <t xml:space="preserve">16012492</t>
  </si>
  <si>
    <t xml:space="preserve">Myer FM VIC Electrical Serv Del</t>
  </si>
  <si>
    <t xml:space="preserve">L9.S.16012487</t>
  </si>
  <si>
    <t xml:space="preserve">16012487</t>
  </si>
  <si>
    <t xml:space="preserve">Myer FM VIC Plumbing Serv Del</t>
  </si>
  <si>
    <t xml:space="preserve">L9.S.16012486</t>
  </si>
  <si>
    <t xml:space="preserve">16012486</t>
  </si>
  <si>
    <t xml:space="preserve">Myer FM VIC Shopfitting Serv Del</t>
  </si>
  <si>
    <t xml:space="preserve">L9.S.16012485</t>
  </si>
  <si>
    <t xml:space="preserve">16012485</t>
  </si>
  <si>
    <t xml:space="preserve">Myrtleford - Support</t>
  </si>
  <si>
    <t xml:space="preserve">L9.J.241935</t>
  </si>
  <si>
    <t xml:space="preserve">241935</t>
  </si>
  <si>
    <t xml:space="preserve">N01 Anzac Square - Terrica Place</t>
  </si>
  <si>
    <t xml:space="preserve">L9.J.799996</t>
  </si>
  <si>
    <t xml:space="preserve">799996</t>
  </si>
  <si>
    <t xml:space="preserve">Temporarily allocate to RTS-799996 - Creek St, Brisbane City.  Jay Whatley: 140 Creek St, this is a multiple offices floors in Brisbane CBD.  RTS are the occupants.</t>
  </si>
  <si>
    <t xml:space="preserve">140 CREEK ST, BRISBANE QLD 4000</t>
  </si>
  <si>
    <t xml:space="preserve">BRISBANE</t>
  </si>
  <si>
    <t xml:space="preserve">N2P Evolution EU Subcontractors</t>
  </si>
  <si>
    <t xml:space="preserve">L9.J.23440310</t>
  </si>
  <si>
    <t xml:space="preserve">N2P Evolution NSW OH</t>
  </si>
  <si>
    <t xml:space="preserve">L9.J.23440313</t>
  </si>
  <si>
    <t xml:space="preserve">23440313</t>
  </si>
  <si>
    <t xml:space="preserve">N2P Evolution WA OH</t>
  </si>
  <si>
    <t xml:space="preserve">L9.J.23440316</t>
  </si>
  <si>
    <t xml:space="preserve">23440316</t>
  </si>
  <si>
    <t xml:space="preserve">N2P Pilot EU Subcontractors</t>
  </si>
  <si>
    <t xml:space="preserve">L9.J.23440233</t>
  </si>
  <si>
    <t xml:space="preserve">NAP Onekawa (41 Wakefield St)</t>
  </si>
  <si>
    <t xml:space="preserve">L9.DNZJ.91823</t>
  </si>
  <si>
    <t xml:space="preserve">91823</t>
  </si>
  <si>
    <t xml:space="preserve">41 Wakefield Street, Onekawa</t>
  </si>
  <si>
    <t xml:space="preserve">4110</t>
  </si>
  <si>
    <t xml:space="preserve">Narrandera Sprayseal</t>
  </si>
  <si>
    <t xml:space="preserve">170115</t>
  </si>
  <si>
    <t xml:space="preserve">Nat Ops Admin</t>
  </si>
  <si>
    <t xml:space="preserve">L9.DNZJ.54947</t>
  </si>
  <si>
    <t xml:space="preserve">54947</t>
  </si>
  <si>
    <t xml:space="preserve">Nat Ops Management</t>
  </si>
  <si>
    <t xml:space="preserve">L9.DNZJ.54950</t>
  </si>
  <si>
    <t xml:space="preserve">54950</t>
  </si>
  <si>
    <t xml:space="preserve">Nat Pavements Manageme</t>
  </si>
  <si>
    <t xml:space="preserve">170123</t>
  </si>
  <si>
    <t xml:space="preserve">National - Overhead</t>
  </si>
  <si>
    <t xml:space="preserve">L9.S.13000860</t>
  </si>
  <si>
    <t xml:space="preserve">13000860</t>
  </si>
  <si>
    <t xml:space="preserve">National Asset Management</t>
  </si>
  <si>
    <t xml:space="preserve">L9.DNZJ.55966</t>
  </si>
  <si>
    <t xml:space="preserve">55966</t>
  </si>
  <si>
    <t xml:space="preserve">National Bitumen Trans</t>
  </si>
  <si>
    <t xml:space="preserve">L9.J.170935</t>
  </si>
  <si>
    <t xml:space="preserve">170935</t>
  </si>
  <si>
    <t xml:space="preserve">NATIONAL CARS EU Subcontractors</t>
  </si>
  <si>
    <t xml:space="preserve">L9.DNZJ.10267</t>
  </si>
  <si>
    <t xml:space="preserve">National Emulsion Tran</t>
  </si>
  <si>
    <t xml:space="preserve">L9.J.170934</t>
  </si>
  <si>
    <t xml:space="preserve">170934</t>
  </si>
  <si>
    <t xml:space="preserve">National Laboratory</t>
  </si>
  <si>
    <t xml:space="preserve">L9.J.170338</t>
  </si>
  <si>
    <t xml:space="preserve">170338</t>
  </si>
  <si>
    <t xml:space="preserve">National Management OH</t>
  </si>
  <si>
    <t xml:space="preserve">L9.J.23440217</t>
  </si>
  <si>
    <t xml:space="preserve">23440217</t>
  </si>
  <si>
    <t xml:space="preserve">National Operations Support</t>
  </si>
  <si>
    <t xml:space="preserve">L9.J.560300</t>
  </si>
  <si>
    <t xml:space="preserve">560300</t>
  </si>
  <si>
    <t xml:space="preserve">National Performance Improveme</t>
  </si>
  <si>
    <t xml:space="preserve">L9.DNZJ.55964</t>
  </si>
  <si>
    <t xml:space="preserve">55964</t>
  </si>
  <si>
    <t xml:space="preserve">National Plant</t>
  </si>
  <si>
    <t xml:space="preserve">1923</t>
  </si>
  <si>
    <t xml:space="preserve">National Plant Group Bal Sheet</t>
  </si>
  <si>
    <t xml:space="preserve">L9.DNZJ.1900</t>
  </si>
  <si>
    <t xml:space="preserve">1900</t>
  </si>
  <si>
    <t xml:space="preserve">898135</t>
  </si>
  <si>
    <t xml:space="preserve">National Project Support</t>
  </si>
  <si>
    <t xml:space="preserve">L9.DNZJ.8808</t>
  </si>
  <si>
    <t xml:space="preserve">8808</t>
  </si>
  <si>
    <t xml:space="preserve">National Projects Team EU Subcontractors</t>
  </si>
  <si>
    <t xml:space="preserve">L9.J.24160075</t>
  </si>
  <si>
    <t xml:space="preserve">National Road Marking</t>
  </si>
  <si>
    <t xml:space="preserve">L9.DNZJ.55916</t>
  </si>
  <si>
    <t xml:space="preserve">55916</t>
  </si>
  <si>
    <t xml:space="preserve">National SPP Maintenance</t>
  </si>
  <si>
    <t xml:space="preserve">L9.J.170761</t>
  </si>
  <si>
    <t xml:space="preserve">170761</t>
  </si>
  <si>
    <t xml:space="preserve">National Survey</t>
  </si>
  <si>
    <t xml:space="preserve">L9.DNZJ.55973</t>
  </si>
  <si>
    <t xml:space="preserve">55973</t>
  </si>
  <si>
    <t xml:space="preserve">National Traffic Management</t>
  </si>
  <si>
    <t xml:space="preserve">L9.DNZJ.55972</t>
  </si>
  <si>
    <t xml:space="preserve">55972</t>
  </si>
  <si>
    <t xml:space="preserve">Natl Ops Support North</t>
  </si>
  <si>
    <t xml:space="preserve">L9.DNZ.810.10.200</t>
  </si>
  <si>
    <t xml:space="preserve">10.200</t>
  </si>
  <si>
    <t xml:space="preserve">Natl Telco Quality Team</t>
  </si>
  <si>
    <t xml:space="preserve">L9.DNZ.810.10.091</t>
  </si>
  <si>
    <t xml:space="preserve">10091</t>
  </si>
  <si>
    <t xml:space="preserve">NBN FIXED WIRELESS EU Subcontractors</t>
  </si>
  <si>
    <t xml:space="preserve">L9.J.23440295</t>
  </si>
  <si>
    <t xml:space="preserve">nbn MAC OHD - QLD</t>
  </si>
  <si>
    <t xml:space="preserve">L9.J.23420045</t>
  </si>
  <si>
    <t xml:space="preserve">23420045</t>
  </si>
  <si>
    <t xml:space="preserve">NBN Unify EU Subcontractors</t>
  </si>
  <si>
    <t xml:space="preserve">L9.J.234470</t>
  </si>
  <si>
    <t xml:space="preserve">NCC (2019) - RCM</t>
  </si>
  <si>
    <t xml:space="preserve">L9.DNZJ.55195</t>
  </si>
  <si>
    <t xml:space="preserve">55195</t>
  </si>
  <si>
    <t xml:space="preserve">NCIG Operation Maintenance</t>
  </si>
  <si>
    <t xml:space="preserve">38220078</t>
  </si>
  <si>
    <t xml:space="preserve">NCM NSW</t>
  </si>
  <si>
    <t xml:space="preserve">L9.J.234241</t>
  </si>
  <si>
    <t xml:space="preserve">234241</t>
  </si>
  <si>
    <t xml:space="preserve">NCM VIC</t>
  </si>
  <si>
    <t xml:space="preserve">L9.J.234242</t>
  </si>
  <si>
    <t xml:space="preserve">234242</t>
  </si>
  <si>
    <t xml:space="preserve">NCNOC - AWT - Benmore</t>
  </si>
  <si>
    <t xml:space="preserve">L9.DNZJ.555313</t>
  </si>
  <si>
    <t xml:space="preserve">555313</t>
  </si>
  <si>
    <t xml:space="preserve">TI-NZT-555313-NCNOC - AWT - Benmore</t>
  </si>
  <si>
    <t xml:space="preserve">NCNOC - AWT - Castle Hill</t>
  </si>
  <si>
    <t xml:space="preserve">L9.DNZJ.555311</t>
  </si>
  <si>
    <t xml:space="preserve">555311</t>
  </si>
  <si>
    <t xml:space="preserve">TI-NZT-555311 - NCNOC - AWT - Castle Hill</t>
  </si>
  <si>
    <t xml:space="preserve">NCNOC - AWT - Handy Side</t>
  </si>
  <si>
    <t xml:space="preserve">L9.DNZJ.555316</t>
  </si>
  <si>
    <t xml:space="preserve">555316</t>
  </si>
  <si>
    <t xml:space="preserve">TI-NZT-555316 - NCNOC - AWT - Handy Side</t>
  </si>
  <si>
    <t xml:space="preserve">NCNOC - AWT - Weka Pass</t>
  </si>
  <si>
    <t xml:space="preserve">L9.DNZJ.555315</t>
  </si>
  <si>
    <t xml:space="preserve">555315</t>
  </si>
  <si>
    <t xml:space="preserve">TI-NZT-555315 - NCNOC - AWT - Weka Pass</t>
  </si>
  <si>
    <t xml:space="preserve">NCNOC - AWT-East Birdling Flat</t>
  </si>
  <si>
    <t xml:space="preserve">L9.DNZJ.555314</t>
  </si>
  <si>
    <t xml:space="preserve">555314</t>
  </si>
  <si>
    <t xml:space="preserve">TI-NZT.I38.I10.55404 - NZTA Nth Cant NOC - RCM</t>
  </si>
  <si>
    <t xml:space="preserve">NCNOC-AWT-KDC-Hawthorn Rd</t>
  </si>
  <si>
    <t xml:space="preserve">L9.DNZJ.555310</t>
  </si>
  <si>
    <t xml:space="preserve">555310</t>
  </si>
  <si>
    <t xml:space="preserve">TI-NZT-555310 - NCNOC-AWT-KDC-Hawthorn Rd</t>
  </si>
  <si>
    <t xml:space="preserve">NCNOC-Const-Minor Var - W/O</t>
  </si>
  <si>
    <t xml:space="preserve">L9.DNZJ.555271</t>
  </si>
  <si>
    <t xml:space="preserve">555271</t>
  </si>
  <si>
    <t xml:space="preserve">TI-NZT-555271 - NCNOC-Const-Minor Var - W/O (TI-NZT - Canterbury Road Corridor Maintenance)</t>
  </si>
  <si>
    <t xml:space="preserve">NCNOC-Sealing</t>
  </si>
  <si>
    <t xml:space="preserve">L9.DNZJ.555080</t>
  </si>
  <si>
    <t xml:space="preserve">555080</t>
  </si>
  <si>
    <t xml:space="preserve">Nebo Substation</t>
  </si>
  <si>
    <t xml:space="preserve">37740013</t>
  </si>
  <si>
    <t xml:space="preserve">Nelson (22 Iwa St)</t>
  </si>
  <si>
    <t xml:space="preserve">L9.DNZJ.91380</t>
  </si>
  <si>
    <t xml:space="preserve">91380</t>
  </si>
  <si>
    <t xml:space="preserve">Nelson (41a Kendall View)</t>
  </si>
  <si>
    <t xml:space="preserve">L9.DNZJ.91308</t>
  </si>
  <si>
    <t xml:space="preserve">91308</t>
  </si>
  <si>
    <t xml:space="preserve">41 Kendall View</t>
  </si>
  <si>
    <t xml:space="preserve">Stoke</t>
  </si>
  <si>
    <t xml:space="preserve">-41.3147</t>
  </si>
  <si>
    <t xml:space="preserve">173.2149</t>
  </si>
  <si>
    <t xml:space="preserve">Nelson CC - York</t>
  </si>
  <si>
    <t xml:space="preserve">L9.DNZJ.55304</t>
  </si>
  <si>
    <t xml:space="preserve">55304</t>
  </si>
  <si>
    <t xml:space="preserve">Nelson Depot</t>
  </si>
  <si>
    <t xml:space="preserve">55610</t>
  </si>
  <si>
    <t xml:space="preserve">4/750 Lower Queen Street</t>
  </si>
  <si>
    <t xml:space="preserve">-41.3082</t>
  </si>
  <si>
    <t xml:space="preserve">173.1521</t>
  </si>
  <si>
    <t xml:space="preserve">Nelson Telco Ops</t>
  </si>
  <si>
    <t xml:space="preserve">L9.DNZ.810.10.179</t>
  </si>
  <si>
    <t xml:space="preserve">10179</t>
  </si>
  <si>
    <t xml:space="preserve">10.179</t>
  </si>
  <si>
    <t xml:space="preserve">NELSON TELCO OPS EU Subcontractors</t>
  </si>
  <si>
    <t xml:space="preserve">L9.DNZJ.10179</t>
  </si>
  <si>
    <t xml:space="preserve">Nelson/Blenheim ISP</t>
  </si>
  <si>
    <t xml:space="preserve">L9.DNZ.810.10.170</t>
  </si>
  <si>
    <t xml:space="preserve">10170</t>
  </si>
  <si>
    <t xml:space="preserve">10.17</t>
  </si>
  <si>
    <t xml:space="preserve">NEMA Field O/H</t>
  </si>
  <si>
    <t xml:space="preserve">L9.J.170811</t>
  </si>
  <si>
    <t xml:space="preserve">170811</t>
  </si>
  <si>
    <t xml:space="preserve">NEMA Office O/H</t>
  </si>
  <si>
    <t xml:space="preserve">L9.J.170812</t>
  </si>
  <si>
    <t xml:space="preserve">170812</t>
  </si>
  <si>
    <t xml:space="preserve">NEMA VicRoads O/H</t>
  </si>
  <si>
    <t xml:space="preserve">L9.J.170813</t>
  </si>
  <si>
    <t xml:space="preserve">170813</t>
  </si>
  <si>
    <t xml:space="preserve">Network Services Chorus EU Subcontractors</t>
  </si>
  <si>
    <t xml:space="preserve">L9.J.24170236</t>
  </si>
  <si>
    <t xml:space="preserve">Network Services EU Subcontractors</t>
  </si>
  <si>
    <t xml:space="preserve">Network Services Leadership</t>
  </si>
  <si>
    <t xml:space="preserve">L9.DNZ.810.10.081</t>
  </si>
  <si>
    <t xml:space="preserve">10081</t>
  </si>
  <si>
    <t xml:space="preserve">Networks - ESC EU Subcontractors</t>
  </si>
  <si>
    <t xml:space="preserve">L9.J.24189967</t>
  </si>
  <si>
    <t xml:space="preserve">Networks - External Gas EU Subcontractors</t>
  </si>
  <si>
    <t xml:space="preserve">Networks - GSC EU Subcontractors</t>
  </si>
  <si>
    <t xml:space="preserve">L9.DUA.13000</t>
  </si>
  <si>
    <t xml:space="preserve">Networks - O&amp;M Electricity EU Subcontractors</t>
  </si>
  <si>
    <t xml:space="preserve">L9.J.241999</t>
  </si>
  <si>
    <t xml:space="preserve">Networks - Other EU Subcontractors</t>
  </si>
  <si>
    <t xml:space="preserve">L9.J.24170153</t>
  </si>
  <si>
    <t xml:space="preserve">Networks - Power Cor EU Subcontractors</t>
  </si>
  <si>
    <t xml:space="preserve">L9.J.241910</t>
  </si>
  <si>
    <t xml:space="preserve">New Connections Clearing</t>
  </si>
  <si>
    <t xml:space="preserve">L9.J.241818</t>
  </si>
  <si>
    <t xml:space="preserve">241818</t>
  </si>
  <si>
    <t xml:space="preserve">New Plymonth (477 Devon Street</t>
  </si>
  <si>
    <t xml:space="preserve">L9.DNZJ.91241</t>
  </si>
  <si>
    <t xml:space="preserve">91241</t>
  </si>
  <si>
    <t xml:space="preserve">2/477 Devon Street East</t>
  </si>
  <si>
    <t xml:space="preserve">Strandon</t>
  </si>
  <si>
    <t xml:space="preserve">-39.0509</t>
  </si>
  <si>
    <t xml:space="preserve">174.0963</t>
  </si>
  <si>
    <t xml:space="preserve">New Plymouth - TM 212</t>
  </si>
  <si>
    <t xml:space="preserve">L9.DUN.60212</t>
  </si>
  <si>
    <t xml:space="preserve">PG60212</t>
  </si>
  <si>
    <t xml:space="preserve">New Plymouth - WM 211</t>
  </si>
  <si>
    <t xml:space="preserve">L9.DUN.60211</t>
  </si>
  <si>
    <t xml:space="preserve">PG60211</t>
  </si>
  <si>
    <t xml:space="preserve">New Plymouth (33 Papawhero Dr)</t>
  </si>
  <si>
    <t xml:space="preserve">L9.DNZJ.91239</t>
  </si>
  <si>
    <t xml:space="preserve">91239</t>
  </si>
  <si>
    <t xml:space="preserve">33 Papawhero Drive</t>
  </si>
  <si>
    <t xml:space="preserve">-39.0261</t>
  </si>
  <si>
    <t xml:space="preserve">174.1617</t>
  </si>
  <si>
    <t xml:space="preserve">New Plymouth Area Manager</t>
  </si>
  <si>
    <t xml:space="preserve">PG60210</t>
  </si>
  <si>
    <t xml:space="preserve">35 Junction Street</t>
  </si>
  <si>
    <t xml:space="preserve">Welbourn</t>
  </si>
  <si>
    <t xml:space="preserve">-39.0779</t>
  </si>
  <si>
    <t xml:space="preserve">174.0976</t>
  </si>
  <si>
    <t xml:space="preserve">New Plymouth Depot</t>
  </si>
  <si>
    <t xml:space="preserve">55572</t>
  </si>
  <si>
    <t xml:space="preserve">-39.0418</t>
  </si>
  <si>
    <t xml:space="preserve">174.1193</t>
  </si>
  <si>
    <t xml:space="preserve">New Plymouth Telco Ops</t>
  </si>
  <si>
    <t xml:space="preserve">L9.DNZ.810.10.177</t>
  </si>
  <si>
    <t xml:space="preserve">10177</t>
  </si>
  <si>
    <t xml:space="preserve">10.177</t>
  </si>
  <si>
    <t xml:space="preserve">NEW PLYMOUTH TELCO OPS EU Subcontractors</t>
  </si>
  <si>
    <t xml:space="preserve">L9.DNZJ.10177</t>
  </si>
  <si>
    <t xml:space="preserve">NEW PLYMOUTH THERMAL DRYER</t>
  </si>
  <si>
    <t xml:space="preserve">L9.DNZJ.UN0002</t>
  </si>
  <si>
    <t xml:space="preserve">UN0002</t>
  </si>
  <si>
    <t xml:space="preserve">New Zealand Steel (FM) - 45002887</t>
  </si>
  <si>
    <t xml:space="preserve">L9.S.24000170</t>
  </si>
  <si>
    <t xml:space="preserve">2000004700</t>
  </si>
  <si>
    <t xml:space="preserve">131 Mission Bush Road</t>
  </si>
  <si>
    <t xml:space="preserve">Glenbrook</t>
  </si>
  <si>
    <t xml:space="preserve">2681</t>
  </si>
  <si>
    <t xml:space="preserve">Waiuku</t>
  </si>
  <si>
    <t xml:space="preserve">-37.2093</t>
  </si>
  <si>
    <t xml:space="preserve">174.7352</t>
  </si>
  <si>
    <t xml:space="preserve">Newcastle - Stenhouse Dr, Cameron Pk</t>
  </si>
  <si>
    <t xml:space="preserve">L9.S.13000985</t>
  </si>
  <si>
    <t xml:space="preserve">7043</t>
  </si>
  <si>
    <t xml:space="preserve">113 Stenhouse Drive</t>
  </si>
  <si>
    <t xml:space="preserve">Cameron Park</t>
  </si>
  <si>
    <t xml:space="preserve">Newcastle Industrial Overheads</t>
  </si>
  <si>
    <t xml:space="preserve">L9.J.38220067</t>
  </si>
  <si>
    <t xml:space="preserve">38220067</t>
  </si>
  <si>
    <t xml:space="preserve">NEWCASTLE LIGHT RAIL MNG CONT</t>
  </si>
  <si>
    <t xml:space="preserve">L9.J.20041016</t>
  </si>
  <si>
    <t xml:space="preserve">20041016</t>
  </si>
  <si>
    <t xml:space="preserve">Newcastle University</t>
  </si>
  <si>
    <t xml:space="preserve">Campus Building</t>
  </si>
  <si>
    <t xml:space="preserve">University Drive</t>
  </si>
  <si>
    <t xml:space="preserve">Callaghan</t>
  </si>
  <si>
    <t xml:space="preserve">2038</t>
  </si>
  <si>
    <t xml:space="preserve">Newman Facility</t>
  </si>
  <si>
    <t xml:space="preserve">L9.J.38235013</t>
  </si>
  <si>
    <t xml:space="preserve">38235013</t>
  </si>
  <si>
    <t xml:space="preserve">Newman Mobile 1</t>
  </si>
  <si>
    <t xml:space="preserve">L9.J.17060634</t>
  </si>
  <si>
    <t xml:space="preserve">197</t>
  </si>
  <si>
    <t xml:space="preserve">Big Rock Quarry, Great Northern Highway</t>
  </si>
  <si>
    <t xml:space="preserve">-22.715</t>
  </si>
  <si>
    <t xml:space="preserve">119.047</t>
  </si>
  <si>
    <t xml:space="preserve">Newport</t>
  </si>
  <si>
    <t xml:space="preserve">L9.J.709401</t>
  </si>
  <si>
    <t xml:space="preserve">198</t>
  </si>
  <si>
    <t xml:space="preserve">Champion Road</t>
  </si>
  <si>
    <t xml:space="preserve">NEWPORT OVERHEADS</t>
  </si>
  <si>
    <t xml:space="preserve">709401</t>
  </si>
  <si>
    <t xml:space="preserve">NGT EU Subcontractors</t>
  </si>
  <si>
    <t xml:space="preserve">L9.J.38210115</t>
  </si>
  <si>
    <t xml:space="preserve">NGT OH</t>
  </si>
  <si>
    <t xml:space="preserve">L9.J.382108</t>
  </si>
  <si>
    <t xml:space="preserve">382108</t>
  </si>
  <si>
    <t xml:space="preserve">No.6BF Reline TCE Works</t>
  </si>
  <si>
    <t xml:space="preserve">L9.J.38225140</t>
  </si>
  <si>
    <t xml:space="preserve">38225140</t>
  </si>
  <si>
    <t xml:space="preserve">Nokia DWDM Replacement EU Subcontractors</t>
  </si>
  <si>
    <t xml:space="preserve">L9.DNZ.810.20995</t>
  </si>
  <si>
    <t xml:space="preserve">North Connex Maintenance</t>
  </si>
  <si>
    <t xml:space="preserve">L9.J.170262</t>
  </si>
  <si>
    <t xml:space="preserve">170262</t>
  </si>
  <si>
    <t xml:space="preserve">North East - Minor Civ</t>
  </si>
  <si>
    <t xml:space="preserve">L9.J.170351</t>
  </si>
  <si>
    <t xml:space="preserve">170351</t>
  </si>
  <si>
    <t xml:space="preserve">North East Link Package</t>
  </si>
  <si>
    <t xml:space="preserve">L9.J.17033975</t>
  </si>
  <si>
    <t xml:space="preserve">North East Region Water Corporatio</t>
  </si>
  <si>
    <t xml:space="preserve">16014017</t>
  </si>
  <si>
    <t xml:space="preserve">North Island Management</t>
  </si>
  <si>
    <t xml:space="preserve">L9.DNZJ.8804</t>
  </si>
  <si>
    <t xml:space="preserve">8804</t>
  </si>
  <si>
    <t xml:space="preserve">North Ryde T1 - Level 1</t>
  </si>
  <si>
    <t xml:space="preserve">1006</t>
  </si>
  <si>
    <t xml:space="preserve">201</t>
  </si>
  <si>
    <t xml:space="preserve">Shared Services</t>
  </si>
  <si>
    <t xml:space="preserve">North Ryde T1 - Level 3</t>
  </si>
  <si>
    <t xml:space="preserve">L9.J.103001</t>
  </si>
  <si>
    <t xml:space="preserve">1007</t>
  </si>
  <si>
    <t xml:space="preserve">occupied space: Keolis-Downer (1/4), Mouchel (1/4), IT (1/2) occupied from April 2015, bill data starts at May 2015</t>
  </si>
  <si>
    <t xml:space="preserve">North Ryde T1 - Level 4</t>
  </si>
  <si>
    <t xml:space="preserve">L9.J.104001</t>
  </si>
  <si>
    <t xml:space="preserve">1008</t>
  </si>
  <si>
    <t xml:space="preserve">Utilities, IT. Occupied from April 2015, bill data from May 2015</t>
  </si>
  <si>
    <t xml:space="preserve">North Ryde T3 - Level 2</t>
  </si>
  <si>
    <t xml:space="preserve">L9.J.107001</t>
  </si>
  <si>
    <t xml:space="preserve">1013</t>
  </si>
  <si>
    <t xml:space="preserve">North Ryde T3 - Level 3</t>
  </si>
  <si>
    <t xml:space="preserve">L9.J.109001</t>
  </si>
  <si>
    <t xml:space="preserve">1009</t>
  </si>
  <si>
    <t xml:space="preserve">202</t>
  </si>
  <si>
    <t xml:space="preserve">Group, IT &amp; Infrastructure Services</t>
  </si>
  <si>
    <t xml:space="preserve">T3, Triniti Business Campus, 39 Delhi Road</t>
  </si>
  <si>
    <t xml:space="preserve">NORTH WANAKA WW CONVEYANCE</t>
  </si>
  <si>
    <t xml:space="preserve">L9.DNZJ.DS2671</t>
  </si>
  <si>
    <t xml:space="preserve">JP_DS2671</t>
  </si>
  <si>
    <t xml:space="preserve">North West Metro Support</t>
  </si>
  <si>
    <t xml:space="preserve">L9.J.170231</t>
  </si>
  <si>
    <t xml:space="preserve">170231</t>
  </si>
  <si>
    <t xml:space="preserve">North West Tas Maint</t>
  </si>
  <si>
    <t xml:space="preserve">L9.J.170260</t>
  </si>
  <si>
    <t xml:space="preserve">170260</t>
  </si>
  <si>
    <t xml:space="preserve">North Wollongong Office</t>
  </si>
  <si>
    <t xml:space="preserve">Was previously called "LAHC - North Wollongong"</t>
  </si>
  <si>
    <t xml:space="preserve">5/13 Ralph Black Drive</t>
  </si>
  <si>
    <t xml:space="preserve">North Wollongong</t>
  </si>
  <si>
    <t xml:space="preserve">-34.408277</t>
  </si>
  <si>
    <t xml:space="preserve">150.893433</t>
  </si>
  <si>
    <t xml:space="preserve">NorthConnex</t>
  </si>
  <si>
    <t xml:space="preserve">7053</t>
  </si>
  <si>
    <t xml:space="preserve">170262 - Project Number
Customer: Tollaust Pty Ltd
Incident Response and Motorway maintenance</t>
  </si>
  <si>
    <t xml:space="preserve">Northern BPL's</t>
  </si>
  <si>
    <t xml:space="preserve">L9.DNZ.810.10.237</t>
  </si>
  <si>
    <t xml:space="preserve">10237</t>
  </si>
  <si>
    <t xml:space="preserve">10.237</t>
  </si>
  <si>
    <t xml:space="preserve">Northern Corrections</t>
  </si>
  <si>
    <t xml:space="preserve">10131</t>
  </si>
  <si>
    <t xml:space="preserve">Northern CorrectionsDEL</t>
  </si>
  <si>
    <t xml:space="preserve">L9.DNZJ.10131</t>
  </si>
  <si>
    <t xml:space="preserve">Northern Food AOR</t>
  </si>
  <si>
    <t xml:space="preserve">L9.S.26019466</t>
  </si>
  <si>
    <t xml:space="preserve">2000005064</t>
  </si>
  <si>
    <t xml:space="preserve">NORTHERN NETWORK TRANSPORTATIO</t>
  </si>
  <si>
    <t xml:space="preserve">JP_DN1171</t>
  </si>
  <si>
    <t xml:space="preserve">Northern Operations Manager</t>
  </si>
  <si>
    <t xml:space="preserve">L9.DUN.70100</t>
  </si>
  <si>
    <t xml:space="preserve">PG70100</t>
  </si>
  <si>
    <t xml:space="preserve">Northern Overhead</t>
  </si>
  <si>
    <t xml:space="preserve">L9.DNZJ.55923</t>
  </si>
  <si>
    <t xml:space="preserve">55923</t>
  </si>
  <si>
    <t xml:space="preserve">Northern Regional</t>
  </si>
  <si>
    <t xml:space="preserve">L9.DUN.10132</t>
  </si>
  <si>
    <t xml:space="preserve">10132</t>
  </si>
  <si>
    <t xml:space="preserve">Northern RegionalDEL</t>
  </si>
  <si>
    <t xml:space="preserve">L9.DNZJ.10132</t>
  </si>
  <si>
    <t xml:space="preserve">Northern Star Resources (NSR)</t>
  </si>
  <si>
    <t xml:space="preserve">L9.J.38280124</t>
  </si>
  <si>
    <t xml:space="preserve">38280124</t>
  </si>
  <si>
    <t xml:space="preserve">Northland Hlth 45000806</t>
  </si>
  <si>
    <t xml:space="preserve">L9.S.26006372</t>
  </si>
  <si>
    <t xml:space="preserve">2000003263</t>
  </si>
  <si>
    <t xml:space="preserve">Northland Hospital Operations - 45002552</t>
  </si>
  <si>
    <t xml:space="preserve">L9.S.24000130</t>
  </si>
  <si>
    <t xml:space="preserve">2000004516</t>
  </si>
  <si>
    <t xml:space="preserve">Northland Operations Overhead</t>
  </si>
  <si>
    <t xml:space="preserve">24000130</t>
  </si>
  <si>
    <t xml:space="preserve">NPT Overheads (Other) EU Subcontractors</t>
  </si>
  <si>
    <t xml:space="preserve">L9.J.239009</t>
  </si>
  <si>
    <t xml:space="preserve">NQ Region Mgt Overhead</t>
  </si>
  <si>
    <t xml:space="preserve">L9.S.14000502</t>
  </si>
  <si>
    <t xml:space="preserve">14000502</t>
  </si>
  <si>
    <t xml:space="preserve">NQLD Service OH (DEP)</t>
  </si>
  <si>
    <t xml:space="preserve">L9.J.301303</t>
  </si>
  <si>
    <t xml:space="preserve">301303</t>
  </si>
  <si>
    <t xml:space="preserve">nRAH Facilities Management Services</t>
  </si>
  <si>
    <t xml:space="preserve">L9.S.16013452</t>
  </si>
  <si>
    <t xml:space="preserve">16013452</t>
  </si>
  <si>
    <t xml:space="preserve">NSpark Mobile Network National</t>
  </si>
  <si>
    <t xml:space="preserve">L9.DNZJ.10220</t>
  </si>
  <si>
    <t xml:space="preserve">10220</t>
  </si>
  <si>
    <t xml:space="preserve">NSW / ACT Plant</t>
  </si>
  <si>
    <t xml:space="preserve">L9.J.200413</t>
  </si>
  <si>
    <t xml:space="preserve">200413</t>
  </si>
  <si>
    <t xml:space="preserve">NSW ACT Unify Direct OH</t>
  </si>
  <si>
    <t xml:space="preserve">L9.J.23440375</t>
  </si>
  <si>
    <t xml:space="preserve">23440375</t>
  </si>
  <si>
    <t xml:space="preserve">NSW Civil Projects</t>
  </si>
  <si>
    <t xml:space="preserve">L9.J.170227</t>
  </si>
  <si>
    <t xml:space="preserve">170227</t>
  </si>
  <si>
    <t xml:space="preserve">NSW Crushing Services</t>
  </si>
  <si>
    <t xml:space="preserve">L9.J.170155</t>
  </si>
  <si>
    <t xml:space="preserve">170155</t>
  </si>
  <si>
    <t xml:space="preserve">NSW Maintenance Servic</t>
  </si>
  <si>
    <t xml:space="preserve">L9.J.170209</t>
  </si>
  <si>
    <t xml:space="preserve">170209</t>
  </si>
  <si>
    <t xml:space="preserve">NSW Plant</t>
  </si>
  <si>
    <t xml:space="preserve">L9.J.382052</t>
  </si>
  <si>
    <t xml:space="preserve">382052</t>
  </si>
  <si>
    <t xml:space="preserve">NSW Police Capital Works Management Services</t>
  </si>
  <si>
    <t xml:space="preserve">L9.S.0392.1029</t>
  </si>
  <si>
    <t xml:space="preserve">NSW RU Management</t>
  </si>
  <si>
    <t xml:space="preserve">L9.J.170112</t>
  </si>
  <si>
    <t xml:space="preserve">170112</t>
  </si>
  <si>
    <t xml:space="preserve">NSW Sch#1 Dapto PS Maintenance</t>
  </si>
  <si>
    <t xml:space="preserve">L9.S.16012366</t>
  </si>
  <si>
    <t xml:space="preserve">16012366</t>
  </si>
  <si>
    <t xml:space="preserve">NSW Sch#1 Glenwood HS Maintenance</t>
  </si>
  <si>
    <t xml:space="preserve">L9.S.16012380</t>
  </si>
  <si>
    <t xml:space="preserve">16012380</t>
  </si>
  <si>
    <t xml:space="preserve">NSW Sch#1 Ironbark Rdg PS Maint</t>
  </si>
  <si>
    <t xml:space="preserve">L9.S.16012376</t>
  </si>
  <si>
    <t xml:space="preserve">16012376</t>
  </si>
  <si>
    <t xml:space="preserve">NSW Sch#1 JohnEdm HS Maintenance</t>
  </si>
  <si>
    <t xml:space="preserve">L9.S.16012382</t>
  </si>
  <si>
    <t xml:space="preserve">16012382</t>
  </si>
  <si>
    <t xml:space="preserve">NSW Sch#1 Kllyv Ridge PS Maint</t>
  </si>
  <si>
    <t xml:space="preserve">L9.S.16012370</t>
  </si>
  <si>
    <t xml:space="preserve">16012370</t>
  </si>
  <si>
    <t xml:space="preserve">NSW Sch#1 Shell Cove PS Maintenance</t>
  </si>
  <si>
    <t xml:space="preserve">L9.S.16012374</t>
  </si>
  <si>
    <t xml:space="preserve">16012374</t>
  </si>
  <si>
    <t xml:space="preserve">NSW Sch#1 Shrwd Ridge PS Maint</t>
  </si>
  <si>
    <t xml:space="preserve">L9.S.16012368</t>
  </si>
  <si>
    <t xml:space="preserve">16012368</t>
  </si>
  <si>
    <t xml:space="preserve">NSW Sch#1 Tallowood SS Maintenance</t>
  </si>
  <si>
    <t xml:space="preserve">L9.S.16012372</t>
  </si>
  <si>
    <t xml:space="preserve">16012372</t>
  </si>
  <si>
    <t xml:space="preserve">NSW Sch#1 Woongarrah PS Maintenance</t>
  </si>
  <si>
    <t xml:space="preserve">L9.S.16012378</t>
  </si>
  <si>
    <t xml:space="preserve">16012378</t>
  </si>
  <si>
    <t xml:space="preserve">NSW Sch#2 Ashtonfield PS Maint</t>
  </si>
  <si>
    <t xml:space="preserve">L9.S.16012401</t>
  </si>
  <si>
    <t xml:space="preserve">16012401</t>
  </si>
  <si>
    <t xml:space="preserve">NSW Sch#2 Elderslie PS Maintenance</t>
  </si>
  <si>
    <t xml:space="preserve">L9.S.16012393</t>
  </si>
  <si>
    <t xml:space="preserve">16012393</t>
  </si>
  <si>
    <t xml:space="preserve">NSW Sch#2 Halinda SSP Maintenance</t>
  </si>
  <si>
    <t xml:space="preserve">L9.S.16012403</t>
  </si>
  <si>
    <t xml:space="preserve">16012403</t>
  </si>
  <si>
    <t xml:space="preserve">NSW Sch#2 JohnPalmer PS Janitorial</t>
  </si>
  <si>
    <t xml:space="preserve">L9.S.16015831</t>
  </si>
  <si>
    <t xml:space="preserve">16015831</t>
  </si>
  <si>
    <t xml:space="preserve">NSW Sch#2 Kariong Mtns HS Maint</t>
  </si>
  <si>
    <t xml:space="preserve">L9.S.16012405</t>
  </si>
  <si>
    <t xml:space="preserve">16012405</t>
  </si>
  <si>
    <t xml:space="preserve">NSW Sch#2 Kelso HS Maintenance</t>
  </si>
  <si>
    <t xml:space="preserve">L9.S.16012399</t>
  </si>
  <si>
    <t xml:space="preserve">16012399</t>
  </si>
  <si>
    <t xml:space="preserve">NSW Sch#2 Management Serv Del</t>
  </si>
  <si>
    <t xml:space="preserve">L9.S.16012384</t>
  </si>
  <si>
    <t xml:space="preserve">16012384</t>
  </si>
  <si>
    <t xml:space="preserve">NSW Sch#2 Middleton Gr PS Maint</t>
  </si>
  <si>
    <t xml:space="preserve">L9.S.16012395</t>
  </si>
  <si>
    <t xml:space="preserve">16012395</t>
  </si>
  <si>
    <t xml:space="preserve">NSW Sch#2 RopesCross PS Maintenance</t>
  </si>
  <si>
    <t xml:space="preserve">L9.S.16012387</t>
  </si>
  <si>
    <t xml:space="preserve">16012387</t>
  </si>
  <si>
    <t xml:space="preserve">NSW Sch#2 Rouse Hill HS Maintenance</t>
  </si>
  <si>
    <t xml:space="preserve">L9.S.16012397</t>
  </si>
  <si>
    <t xml:space="preserve">16012397</t>
  </si>
  <si>
    <t xml:space="preserve">NSW Sch#2 Tullimbar PS Maintenance</t>
  </si>
  <si>
    <t xml:space="preserve">L9.S.16012391</t>
  </si>
  <si>
    <t xml:space="preserve">16012391</t>
  </si>
  <si>
    <t xml:space="preserve">NSW Sch#2 Warnervale PS Maintenance</t>
  </si>
  <si>
    <t xml:space="preserve">L9.S.16012385</t>
  </si>
  <si>
    <t xml:space="preserve">16012385</t>
  </si>
  <si>
    <t xml:space="preserve">NSW Schools #1 Mgt Sev Del</t>
  </si>
  <si>
    <t xml:space="preserve">L9.S.16012364</t>
  </si>
  <si>
    <t xml:space="preserve">16012364</t>
  </si>
  <si>
    <t xml:space="preserve">NSW Spray Seal</t>
  </si>
  <si>
    <t xml:space="preserve">L9.J.171210</t>
  </si>
  <si>
    <t xml:space="preserve">171210</t>
  </si>
  <si>
    <t xml:space="preserve">Includes all RPQ NSW spray seal depots</t>
  </si>
  <si>
    <t xml:space="preserve">3 Tyson Street</t>
  </si>
  <si>
    <t xml:space="preserve">South Grafton</t>
  </si>
  <si>
    <t xml:space="preserve">2460</t>
  </si>
  <si>
    <t xml:space="preserve">NSW Stabilisaton Services</t>
  </si>
  <si>
    <t xml:space="preserve">L9.J.170111</t>
  </si>
  <si>
    <t xml:space="preserve">170111</t>
  </si>
  <si>
    <t xml:space="preserve">NSW Telco EU Subcontractors</t>
  </si>
  <si>
    <t xml:space="preserve">L9.J.23440129</t>
  </si>
  <si>
    <t xml:space="preserve">NSW Telco SAED</t>
  </si>
  <si>
    <t xml:space="preserve">23440129</t>
  </si>
  <si>
    <t xml:space="preserve">NSW WhoG Mgt Overhead</t>
  </si>
  <si>
    <t xml:space="preserve">L9.S.14001333</t>
  </si>
  <si>
    <t xml:space="preserve">14001333</t>
  </si>
  <si>
    <t xml:space="preserve">NSW/ACT/Vic other customers EU Subcontractors</t>
  </si>
  <si>
    <t xml:space="preserve">NSW/ACT/VIC Overhead EU Subcontractors</t>
  </si>
  <si>
    <t xml:space="preserve">L9.J.240102</t>
  </si>
  <si>
    <t xml:space="preserve">NSW/ACT/VIC Recoveries EU Subcontractors</t>
  </si>
  <si>
    <t xml:space="preserve">L9.J.240107</t>
  </si>
  <si>
    <t xml:space="preserve">NSW/VIC RU Management</t>
  </si>
  <si>
    <t xml:space="preserve">L9.J.170135</t>
  </si>
  <si>
    <t xml:space="preserve">170135</t>
  </si>
  <si>
    <t xml:space="preserve">NT Bitumen Blending</t>
  </si>
  <si>
    <t xml:space="preserve">L9.J.170535</t>
  </si>
  <si>
    <t xml:space="preserve">170535</t>
  </si>
  <si>
    <t xml:space="preserve">NT Laying Sevices</t>
  </si>
  <si>
    <t xml:space="preserve">L9.J.170539</t>
  </si>
  <si>
    <t xml:space="preserve">170539</t>
  </si>
  <si>
    <t xml:space="preserve">NT Management</t>
  </si>
  <si>
    <t xml:space="preserve">L9.J.170532</t>
  </si>
  <si>
    <t xml:space="preserve">170532</t>
  </si>
  <si>
    <t xml:space="preserve">NT Northern Ops Suppor</t>
  </si>
  <si>
    <t xml:space="preserve">L9.J.170524</t>
  </si>
  <si>
    <t xml:space="preserve">170524</t>
  </si>
  <si>
    <t xml:space="preserve">NT PWC</t>
  </si>
  <si>
    <t xml:space="preserve">L9.S.16016228</t>
  </si>
  <si>
    <t xml:space="preserve">16016228</t>
  </si>
  <si>
    <t xml:space="preserve">NT Southern Ops Suppor</t>
  </si>
  <si>
    <t xml:space="preserve">L9.J.170531</t>
  </si>
  <si>
    <t xml:space="preserve">170531</t>
  </si>
  <si>
    <t xml:space="preserve">NT Spray Services</t>
  </si>
  <si>
    <t xml:space="preserve">170526</t>
  </si>
  <si>
    <t xml:space="preserve">Nth Tas Minor Civil Services</t>
  </si>
  <si>
    <t xml:space="preserve">L9.J.170357</t>
  </si>
  <si>
    <t xml:space="preserve">170357</t>
  </si>
  <si>
    <t xml:space="preserve">NTPWC Elizabeth Parent</t>
  </si>
  <si>
    <t xml:space="preserve">L9.J.23010001</t>
  </si>
  <si>
    <t xml:space="preserve">23010001</t>
  </si>
  <si>
    <t xml:space="preserve">NULL2</t>
  </si>
  <si>
    <t xml:space="preserve">Numurkah O&amp;M</t>
  </si>
  <si>
    <t xml:space="preserve">L9.J.24130111</t>
  </si>
  <si>
    <t xml:space="preserve">24130111</t>
  </si>
  <si>
    <t xml:space="preserve">Numurkah SF O&amp;M</t>
  </si>
  <si>
    <t xml:space="preserve">L9.J.38600006</t>
  </si>
  <si>
    <t xml:space="preserve">38600006</t>
  </si>
  <si>
    <t xml:space="preserve">Nyrstar</t>
  </si>
  <si>
    <t xml:space="preserve">L9.S.16007560</t>
  </si>
  <si>
    <t xml:space="preserve">16007560</t>
  </si>
  <si>
    <t xml:space="preserve">NZ Aluminium (Food) - 45002914</t>
  </si>
  <si>
    <t xml:space="preserve">L9.S.24000203</t>
  </si>
  <si>
    <t xml:space="preserve">2000004776</t>
  </si>
  <si>
    <t xml:space="preserve">Tiwai Road</t>
  </si>
  <si>
    <t xml:space="preserve">Tiwai Point</t>
  </si>
  <si>
    <t xml:space="preserve">9877</t>
  </si>
  <si>
    <t xml:space="preserve">-46.583</t>
  </si>
  <si>
    <t xml:space="preserve">168.3875</t>
  </si>
  <si>
    <t xml:space="preserve">NZ Aluminium Smelters  45000887</t>
  </si>
  <si>
    <t xml:space="preserve">NZ Aluminium Smelters Serv Del</t>
  </si>
  <si>
    <t xml:space="preserve">L9.S.26017175</t>
  </si>
  <si>
    <t xml:space="preserve">26017175</t>
  </si>
  <si>
    <t xml:space="preserve">NZ ANZ Ops Overheads</t>
  </si>
  <si>
    <t xml:space="preserve">1937</t>
  </si>
  <si>
    <t xml:space="preserve">NZ Asset Management</t>
  </si>
  <si>
    <t xml:space="preserve">L9.DNZJ.1936</t>
  </si>
  <si>
    <t xml:space="preserve">1936</t>
  </si>
  <si>
    <t xml:space="preserve">Fleet-NZ Asset Management</t>
  </si>
  <si>
    <t xml:space="preserve">NZ Car Rentals</t>
  </si>
  <si>
    <t xml:space="preserve">L9.DNZJ.9006</t>
  </si>
  <si>
    <t xml:space="preserve">1028</t>
  </si>
  <si>
    <t xml:space="preserve">NZ Construction Direct Overhead</t>
  </si>
  <si>
    <t xml:space="preserve">L9.S.26020301</t>
  </si>
  <si>
    <t xml:space="preserve">2000008050</t>
  </si>
  <si>
    <t xml:space="preserve">NZ Construction Electrical 45003670</t>
  </si>
  <si>
    <t xml:space="preserve">L9.S.26019357</t>
  </si>
  <si>
    <t xml:space="preserve">2000008005</t>
  </si>
  <si>
    <t xml:space="preserve">NZ Construction Overhead</t>
  </si>
  <si>
    <t xml:space="preserve">L9.S.23016600</t>
  </si>
  <si>
    <t xml:space="preserve">2000008051</t>
  </si>
  <si>
    <t xml:space="preserve">NZ Construction Resource Pool</t>
  </si>
  <si>
    <t xml:space="preserve">L9.S.26020300</t>
  </si>
  <si>
    <t xml:space="preserve">2000008049</t>
  </si>
  <si>
    <t xml:space="preserve">NZ E&amp;U Plant Pool</t>
  </si>
  <si>
    <t xml:space="preserve">L9.DNZJ.7401</t>
  </si>
  <si>
    <t xml:space="preserve">7401</t>
  </si>
  <si>
    <t xml:space="preserve">NZ E&amp;U Recharges - P&amp;G</t>
  </si>
  <si>
    <t xml:space="preserve">L9.DNZJ.7403</t>
  </si>
  <si>
    <t xml:space="preserve">7403</t>
  </si>
  <si>
    <t xml:space="preserve">NZ E&amp;U Recharges - Telco</t>
  </si>
  <si>
    <t xml:space="preserve">L9.DNZJ.7402</t>
  </si>
  <si>
    <t xml:space="preserve">7402</t>
  </si>
  <si>
    <t xml:space="preserve">NZ Education Food - Management</t>
  </si>
  <si>
    <t xml:space="preserve">L9.S.23000789</t>
  </si>
  <si>
    <t xml:space="preserve">2000004855</t>
  </si>
  <si>
    <t xml:space="preserve">NZ Education Food-Management</t>
  </si>
  <si>
    <t xml:space="preserve">23000789</t>
  </si>
  <si>
    <t xml:space="preserve">NZ Govt Housing - 45002376</t>
  </si>
  <si>
    <t xml:space="preserve">L9.S.24000003</t>
  </si>
  <si>
    <t xml:space="preserve">2000004482</t>
  </si>
  <si>
    <t xml:space="preserve">NZ Hamilton City Council Reporting</t>
  </si>
  <si>
    <t xml:space="preserve">L9.DNZJ.55130</t>
  </si>
  <si>
    <t xml:space="preserve">55130</t>
  </si>
  <si>
    <t xml:space="preserve">Applied filters:
BUDIVLEVEL4 is 55130 - Hamilton CC Alliance - RCM, 55706 - People (Hamilton Alliance), or 55709 - People Facility (Hamilton All)</t>
  </si>
  <si>
    <t xml:space="preserve">NZ I &amp; C Overhead</t>
  </si>
  <si>
    <t xml:space="preserve">2000008009</t>
  </si>
  <si>
    <t xml:space="preserve">NZ Overhead</t>
  </si>
  <si>
    <t xml:space="preserve">L9.S.23016602</t>
  </si>
  <si>
    <t xml:space="preserve">2000008055</t>
  </si>
  <si>
    <t xml:space="preserve">NZ Sch-Kumeu PS 45003777</t>
  </si>
  <si>
    <t xml:space="preserve">L9.S.26018544</t>
  </si>
  <si>
    <t xml:space="preserve">2000004978</t>
  </si>
  <si>
    <t xml:space="preserve">NZ Sch-Kumeu PS Works</t>
  </si>
  <si>
    <t xml:space="preserve">26018544</t>
  </si>
  <si>
    <t xml:space="preserve">NZ Sch-Shirley Boys HS 45003777</t>
  </si>
  <si>
    <t xml:space="preserve">L9.S.26018555</t>
  </si>
  <si>
    <t xml:space="preserve">2000004979</t>
  </si>
  <si>
    <t xml:space="preserve">209 Travis Road</t>
  </si>
  <si>
    <t xml:space="preserve">New Brighton</t>
  </si>
  <si>
    <t xml:space="preserve">8083</t>
  </si>
  <si>
    <t xml:space="preserve">-43.4937</t>
  </si>
  <si>
    <t xml:space="preserve">172.7055</t>
  </si>
  <si>
    <t xml:space="preserve">NZ Sch-Shirley Boys HS Works</t>
  </si>
  <si>
    <t xml:space="preserve">26018555</t>
  </si>
  <si>
    <t xml:space="preserve">NZ Sch-Sylvester PS 45003777</t>
  </si>
  <si>
    <t xml:space="preserve">L9.S.26018577</t>
  </si>
  <si>
    <t xml:space="preserve">2000004981</t>
  </si>
  <si>
    <t xml:space="preserve">NZ Sch-Sylvester PS Works</t>
  </si>
  <si>
    <t xml:space="preserve">26018577</t>
  </si>
  <si>
    <t xml:space="preserve">NZ Service Direct Overhead</t>
  </si>
  <si>
    <t xml:space="preserve">L9.S.26020303</t>
  </si>
  <si>
    <t xml:space="preserve">2000008053</t>
  </si>
  <si>
    <t xml:space="preserve">NZ Service Resource Pool</t>
  </si>
  <si>
    <t xml:space="preserve">L9.S.26020302</t>
  </si>
  <si>
    <t xml:space="preserve">2000008052</t>
  </si>
  <si>
    <t xml:space="preserve">NZ SI&amp;CS - Defence</t>
  </si>
  <si>
    <t xml:space="preserve">L9.DNZJ.6804</t>
  </si>
  <si>
    <t xml:space="preserve">6804</t>
  </si>
  <si>
    <t xml:space="preserve">NZ SI&amp;CS - Government &amp; IFM</t>
  </si>
  <si>
    <t xml:space="preserve">L9.DNZJ.6802</t>
  </si>
  <si>
    <t xml:space="preserve">6802</t>
  </si>
  <si>
    <t xml:space="preserve">NZ SI&amp;CS - Health &amp; Education</t>
  </si>
  <si>
    <t xml:space="preserve">L9.DNZJ.6803</t>
  </si>
  <si>
    <t xml:space="preserve">6803</t>
  </si>
  <si>
    <t xml:space="preserve">NZ SI&amp;CS Plant Pool</t>
  </si>
  <si>
    <t xml:space="preserve">L9.DNZJ.6801</t>
  </si>
  <si>
    <t xml:space="preserve">6801</t>
  </si>
  <si>
    <t xml:space="preserve">NZ SI&amp;CS Recharges - C&amp;J</t>
  </si>
  <si>
    <t xml:space="preserve">L9.DNZJ.6805</t>
  </si>
  <si>
    <t xml:space="preserve">6805</t>
  </si>
  <si>
    <t xml:space="preserve">NZ Steel Overhead</t>
  </si>
  <si>
    <t xml:space="preserve">24000170</t>
  </si>
  <si>
    <t xml:space="preserve">NZ Telco Leadership</t>
  </si>
  <si>
    <t xml:space="preserve">L9.J.560101</t>
  </si>
  <si>
    <t xml:space="preserve">560101</t>
  </si>
  <si>
    <t xml:space="preserve">NZ_Nauru</t>
  </si>
  <si>
    <t xml:space="preserve">L9.DNZJ.300210</t>
  </si>
  <si>
    <t xml:space="preserve">300210</t>
  </si>
  <si>
    <t xml:space="preserve">TI-NZT-300210 - Pacific Recharge - Nauru</t>
  </si>
  <si>
    <t xml:space="preserve">Yaren</t>
  </si>
  <si>
    <t xml:space="preserve">Nauru</t>
  </si>
  <si>
    <t xml:space="preserve">NZ_Solomon Islands</t>
  </si>
  <si>
    <t xml:space="preserve">L9.DNZJ.8060</t>
  </si>
  <si>
    <t xml:space="preserve">Seghe</t>
  </si>
  <si>
    <t xml:space="preserve">Solomon Islands</t>
  </si>
  <si>
    <t xml:space="preserve">NZ_Vanuatu</t>
  </si>
  <si>
    <t xml:space="preserve">L9.DNZJ.300201</t>
  </si>
  <si>
    <t xml:space="preserve">90</t>
  </si>
  <si>
    <t xml:space="preserve">Final obligations August 2012, coincided with expiry of DNP for final part of the works. Reported up to FY15. Divisional restructure &amp; data input to "facility" modified from FY16 - see Lisa Martin or Emily Townsend for detail.</t>
  </si>
  <si>
    <t xml:space="preserve">Lot 31 Stella-Marie Subdivision, Second Lagoon, Port Vila</t>
  </si>
  <si>
    <t xml:space="preserve">Port Vila</t>
  </si>
  <si>
    <t xml:space="preserve">-17.7875</t>
  </si>
  <si>
    <t xml:space="preserve">168.4514</t>
  </si>
  <si>
    <t xml:space="preserve">NZTA 9970 SH3 Stewart Rd SIP</t>
  </si>
  <si>
    <t xml:space="preserve">L9.DNZJ.552415</t>
  </si>
  <si>
    <t xml:space="preserve">552415</t>
  </si>
  <si>
    <t xml:space="preserve">TI-NZT-552415 - NZTA 9970 SH3 Stewart Rd SIP (TI-NZT - Taranaki Whanganui Projects)</t>
  </si>
  <si>
    <t xml:space="preserve">NZTA BOP West - RCM</t>
  </si>
  <si>
    <t xml:space="preserve">L9.DNZJ.55143</t>
  </si>
  <si>
    <t xml:space="preserve">55143</t>
  </si>
  <si>
    <t xml:space="preserve">NZTA CO NOC - Construction</t>
  </si>
  <si>
    <t xml:space="preserve">L9.DNZJ.556224</t>
  </si>
  <si>
    <t xml:space="preserve">556224</t>
  </si>
  <si>
    <t xml:space="preserve">NZTA CO NOC - RCM</t>
  </si>
  <si>
    <t xml:space="preserve">L9.DNZJ.55383</t>
  </si>
  <si>
    <t xml:space="preserve">55383</t>
  </si>
  <si>
    <t xml:space="preserve">NZTA CO NOC - Reseals</t>
  </si>
  <si>
    <t xml:space="preserve">L9.DNZJ.556227</t>
  </si>
  <si>
    <t xml:space="preserve">556227</t>
  </si>
  <si>
    <t xml:space="preserve">NZTA Contract PW S88/01</t>
  </si>
  <si>
    <t xml:space="preserve">L9.DNZJ.556260</t>
  </si>
  <si>
    <t xml:space="preserve">556260</t>
  </si>
  <si>
    <t xml:space="preserve">401 Kakapo Road</t>
  </si>
  <si>
    <t xml:space="preserve">9672</t>
  </si>
  <si>
    <t xml:space="preserve">-45.4146</t>
  </si>
  <si>
    <t xml:space="preserve">167.814</t>
  </si>
  <si>
    <t xml:space="preserve">NZTA Nth Cant NOC - RCM</t>
  </si>
  <si>
    <t xml:space="preserve">L9.DNZJ.55404</t>
  </si>
  <si>
    <t xml:space="preserve">55404</t>
  </si>
  <si>
    <t xml:space="preserve">NZTA TNOC - Maintenance LS</t>
  </si>
  <si>
    <t xml:space="preserve">L9.DNZJ.551983</t>
  </si>
  <si>
    <t xml:space="preserve">551983</t>
  </si>
  <si>
    <t xml:space="preserve">NZTA TNOC - Surfacing 22/23</t>
  </si>
  <si>
    <t xml:space="preserve">L9.DNZJ.552038</t>
  </si>
  <si>
    <t xml:space="preserve">552038</t>
  </si>
  <si>
    <t xml:space="preserve">NZTA Weigh Right - SP1 Ohakea</t>
  </si>
  <si>
    <t xml:space="preserve">L9.DNZJ.558020</t>
  </si>
  <si>
    <t xml:space="preserve">558020</t>
  </si>
  <si>
    <t xml:space="preserve">TI-NZT.558020-NZTA Weigh Right - SP1 Ohakea</t>
  </si>
  <si>
    <t xml:space="preserve">Oamaru (39 Chelmers St)</t>
  </si>
  <si>
    <t xml:space="preserve">L9.DNZJ.91335</t>
  </si>
  <si>
    <t xml:space="preserve">91335</t>
  </si>
  <si>
    <t xml:space="preserve">39B Chelmer Street</t>
  </si>
  <si>
    <t xml:space="preserve">9400</t>
  </si>
  <si>
    <t xml:space="preserve">-45.0977</t>
  </si>
  <si>
    <t xml:space="preserve">170.9562</t>
  </si>
  <si>
    <t xml:space="preserve">Oamaru Depot</t>
  </si>
  <si>
    <t xml:space="preserve">55684</t>
  </si>
  <si>
    <t xml:space="preserve">3A Main North Road</t>
  </si>
  <si>
    <t xml:space="preserve">Oamaru North</t>
  </si>
  <si>
    <t xml:space="preserve">-45.0654</t>
  </si>
  <si>
    <t xml:space="preserve">170.9964</t>
  </si>
  <si>
    <t xml:space="preserve">OCD Landscape + Road Repairs</t>
  </si>
  <si>
    <t xml:space="preserve">L9.DNZJ.312035</t>
  </si>
  <si>
    <t xml:space="preserve">312035</t>
  </si>
  <si>
    <t xml:space="preserve">Ocean Oufall Pump Station</t>
  </si>
  <si>
    <t xml:space="preserve">L9.DNZJ.8109</t>
  </si>
  <si>
    <t xml:space="preserve">8109</t>
  </si>
  <si>
    <t xml:space="preserve">Oceana Gold</t>
  </si>
  <si>
    <t xml:space="preserve">L9.S.26004890</t>
  </si>
  <si>
    <t xml:space="preserve">26004890</t>
  </si>
  <si>
    <t xml:space="preserve">Oceana Gold (NZ)  45000822</t>
  </si>
  <si>
    <t xml:space="preserve">SI-NZG-26004890-Oceana Gold</t>
  </si>
  <si>
    <t xml:space="preserve">ODM - BDOD EU Subcontractors</t>
  </si>
  <si>
    <t xml:space="preserve">L9.J.23440412</t>
  </si>
  <si>
    <t xml:space="preserve">ODM - Overheads NSW</t>
  </si>
  <si>
    <t xml:space="preserve">L9.J.23440177</t>
  </si>
  <si>
    <t xml:space="preserve">23440177</t>
  </si>
  <si>
    <t xml:space="preserve">ODM - Overheads QLD</t>
  </si>
  <si>
    <t xml:space="preserve">L9.J.23440181</t>
  </si>
  <si>
    <t xml:space="preserve">23440181</t>
  </si>
  <si>
    <t xml:space="preserve">ODM - Overheads WA</t>
  </si>
  <si>
    <t xml:space="preserve">L9.J.23440173</t>
  </si>
  <si>
    <t xml:space="preserve">23440173</t>
  </si>
  <si>
    <t xml:space="preserve">ODM - SD2 EU Subcontractors</t>
  </si>
  <si>
    <t xml:space="preserve">L9.J.23440353</t>
  </si>
  <si>
    <t xml:space="preserve">ODM Other Works EU Subcontractors</t>
  </si>
  <si>
    <t xml:space="preserve">L9.J.23440330</t>
  </si>
  <si>
    <t xml:space="preserve">ODM2 - Overheads NSW</t>
  </si>
  <si>
    <t xml:space="preserve">L9.J.23440352</t>
  </si>
  <si>
    <t xml:space="preserve">23440352</t>
  </si>
  <si>
    <t xml:space="preserve">ODM2 - Overheads QLD</t>
  </si>
  <si>
    <t xml:space="preserve">L9.J.23440365</t>
  </si>
  <si>
    <t xml:space="preserve">23440365</t>
  </si>
  <si>
    <t xml:space="preserve">ODM2 - Overheads WA</t>
  </si>
  <si>
    <t xml:space="preserve">L9.J.23440339</t>
  </si>
  <si>
    <t xml:space="preserve">23440339</t>
  </si>
  <si>
    <t xml:space="preserve">ODMS Overheads - WA</t>
  </si>
  <si>
    <t xml:space="preserve">L9.J.23440437</t>
  </si>
  <si>
    <t xml:space="preserve">23440437</t>
  </si>
  <si>
    <t xml:space="preserve">Office for Recreation &amp; Sport</t>
  </si>
  <si>
    <t xml:space="preserve">Ohakea Cleaning Serv. Del.</t>
  </si>
  <si>
    <t xml:space="preserve">L9.S.26016622</t>
  </si>
  <si>
    <t xml:space="preserve">26016622</t>
  </si>
  <si>
    <t xml:space="preserve">Ohakea Grounds Serv Del</t>
  </si>
  <si>
    <t xml:space="preserve">L9.S.26016636</t>
  </si>
  <si>
    <t xml:space="preserve">26016636</t>
  </si>
  <si>
    <t xml:space="preserve">Ohakea Maintenance Overhead</t>
  </si>
  <si>
    <t xml:space="preserve">L9.S.24000038</t>
  </si>
  <si>
    <t xml:space="preserve">24000038</t>
  </si>
  <si>
    <t xml:space="preserve">Ohakea Maintenance Serv Del.</t>
  </si>
  <si>
    <t xml:space="preserve">L9.S.26016620</t>
  </si>
  <si>
    <t xml:space="preserve">26016620</t>
  </si>
  <si>
    <t xml:space="preserve">Ohakea Operations - 45002412</t>
  </si>
  <si>
    <t xml:space="preserve">L9.S.24000037</t>
  </si>
  <si>
    <t xml:space="preserve">2000004492</t>
  </si>
  <si>
    <t xml:space="preserve">Ohakea Operations Admin ServDel</t>
  </si>
  <si>
    <t xml:space="preserve">L9.S.26016613</t>
  </si>
  <si>
    <t xml:space="preserve">26016613</t>
  </si>
  <si>
    <t xml:space="preserve">Ohakea Weigh Right</t>
  </si>
  <si>
    <t xml:space="preserve">L9.DNZ.HW0253</t>
  </si>
  <si>
    <t xml:space="preserve">HW0253</t>
  </si>
  <si>
    <t xml:space="preserve">In INX, it's named as TI-NZT-BP.HW0253 Ohakea Weigh Right.
in EDW, it's named as WHAKATANE MENTAL HEALTH</t>
  </si>
  <si>
    <t xml:space="preserve">O'Herns Road - Stage 2 Upgrade</t>
  </si>
  <si>
    <t xml:space="preserve">20042031</t>
  </si>
  <si>
    <t xml:space="preserve">Oil &amp; Gas - Plant - DEP</t>
  </si>
  <si>
    <t xml:space="preserve">L9.J.382904</t>
  </si>
  <si>
    <t xml:space="preserve">382904</t>
  </si>
  <si>
    <t xml:space="preserve">Oil and Gas QLD EU Subcontractors</t>
  </si>
  <si>
    <t xml:space="preserve">L9.J.381393</t>
  </si>
  <si>
    <t xml:space="preserve">OM&amp;S  DEL</t>
  </si>
  <si>
    <t xml:space="preserve">OM&amp;S Growth &amp; Development EU Subcontractors</t>
  </si>
  <si>
    <t xml:space="preserve">L9.J.382016</t>
  </si>
  <si>
    <t xml:space="preserve">OM&amp;S Operational Services</t>
  </si>
  <si>
    <t xml:space="preserve">L9.J.382001</t>
  </si>
  <si>
    <t xml:space="preserve">382001</t>
  </si>
  <si>
    <t xml:space="preserve">OM&amp;S Plant-Const</t>
  </si>
  <si>
    <t xml:space="preserve">L9.J.382602</t>
  </si>
  <si>
    <t xml:space="preserve">382602</t>
  </si>
  <si>
    <t xml:space="preserve">One Melbourne Quarter</t>
  </si>
  <si>
    <t xml:space="preserve">02109</t>
  </si>
  <si>
    <t xml:space="preserve">temporarily use COR-02109 - IT St Kilda Rd Move</t>
  </si>
  <si>
    <t xml:space="preserve">Level 10, 699 Collins Street</t>
  </si>
  <si>
    <t xml:space="preserve">One NZ Fxd Proj Mangmt</t>
  </si>
  <si>
    <t xml:space="preserve">L9.DNZJ.10086</t>
  </si>
  <si>
    <t xml:space="preserve">10086</t>
  </si>
  <si>
    <t xml:space="preserve">EU-NZU-10086-One NZ Fxd Proj Mangmt</t>
  </si>
  <si>
    <t xml:space="preserve">One NZ Maintenance North EU Subcontractors</t>
  </si>
  <si>
    <t xml:space="preserve">L9.DNZ.810.21011</t>
  </si>
  <si>
    <t xml:space="preserve">One NZ Projects</t>
  </si>
  <si>
    <t xml:space="preserve">L9.DNZ.810.20984</t>
  </si>
  <si>
    <t xml:space="preserve">20984</t>
  </si>
  <si>
    <t xml:space="preserve">EU-NZU-20984 - One NZ - National Projects</t>
  </si>
  <si>
    <t xml:space="preserve">One NZ Wireless - New Builds EU Subcontractors</t>
  </si>
  <si>
    <t xml:space="preserve">L9.DNZ.810.20991</t>
  </si>
  <si>
    <t xml:space="preserve">One NZ Wireless - Upgrades EU Subcontractors</t>
  </si>
  <si>
    <t xml:space="preserve">L9.DNZ.810.20992</t>
  </si>
  <si>
    <t xml:space="preserve">ONSLOW COLLEGE BOARD OF TRUSTE</t>
  </si>
  <si>
    <t xml:space="preserve">L9.DNZ.HW0231</t>
  </si>
  <si>
    <t xml:space="preserve">JP_HW0242</t>
  </si>
  <si>
    <t xml:space="preserve">L9.DNZJ.8810</t>
  </si>
  <si>
    <t xml:space="preserve">8810</t>
  </si>
  <si>
    <t xml:space="preserve">Operations - Lower North</t>
  </si>
  <si>
    <t xml:space="preserve">55925</t>
  </si>
  <si>
    <t xml:space="preserve">OPERATIONS - NSW</t>
  </si>
  <si>
    <t xml:space="preserve">-160047116</t>
  </si>
  <si>
    <t xml:space="preserve">Operations - Southern</t>
  </si>
  <si>
    <t xml:space="preserve">55926</t>
  </si>
  <si>
    <t xml:space="preserve">Operations Leadership</t>
  </si>
  <si>
    <t xml:space="preserve">10035</t>
  </si>
  <si>
    <t xml:space="preserve">10.035</t>
  </si>
  <si>
    <t xml:space="preserve">Operations North EU Subcontractors</t>
  </si>
  <si>
    <t xml:space="preserve">L9.DNZJ.64920</t>
  </si>
  <si>
    <t xml:space="preserve">Operations OSM</t>
  </si>
  <si>
    <t xml:space="preserve">L9.DNZJ.66901</t>
  </si>
  <si>
    <t xml:space="preserve">66901</t>
  </si>
  <si>
    <t xml:space="preserve">Operations South EU Subcontractors</t>
  </si>
  <si>
    <t xml:space="preserve">L9.DNZJ.1518</t>
  </si>
  <si>
    <t xml:space="preserve">Operations Support Leadership</t>
  </si>
  <si>
    <t xml:space="preserve">10037</t>
  </si>
  <si>
    <t xml:space="preserve">10.037</t>
  </si>
  <si>
    <t xml:space="preserve">Orange Hosp - Admin Overhead</t>
  </si>
  <si>
    <t xml:space="preserve">L9.S.14000464</t>
  </si>
  <si>
    <t xml:space="preserve">14000464</t>
  </si>
  <si>
    <t xml:space="preserve">Orange Hosp - Admin Serv. Del.</t>
  </si>
  <si>
    <t xml:space="preserve">L9.S.16011165</t>
  </si>
  <si>
    <t xml:space="preserve">16011165</t>
  </si>
  <si>
    <t xml:space="preserve">Orange Hosp - Bathurst Optnl OH</t>
  </si>
  <si>
    <t xml:space="preserve">L9.S.14000462</t>
  </si>
  <si>
    <t xml:space="preserve">14000462</t>
  </si>
  <si>
    <t xml:space="preserve">Orange Hosp - Bloomfield Overhead</t>
  </si>
  <si>
    <t xml:space="preserve">L9.S.14000463</t>
  </si>
  <si>
    <t xml:space="preserve">14000463</t>
  </si>
  <si>
    <t xml:space="preserve">Orange Hosp - Bloomfield Serv Del</t>
  </si>
  <si>
    <t xml:space="preserve">L9.S.16016310</t>
  </si>
  <si>
    <t xml:space="preserve">16016310</t>
  </si>
  <si>
    <t xml:space="preserve">Orange Hosp - Cleaning Serv. Del</t>
  </si>
  <si>
    <t xml:space="preserve">L9.S.16011160</t>
  </si>
  <si>
    <t xml:space="preserve">16011160</t>
  </si>
  <si>
    <t xml:space="preserve">Orange Hosp - Orange Opertnl OH</t>
  </si>
  <si>
    <t xml:space="preserve">L9.S.14000461</t>
  </si>
  <si>
    <t xml:space="preserve">14000461</t>
  </si>
  <si>
    <t xml:space="preserve">Orica KI Prill Tower</t>
  </si>
  <si>
    <t xml:space="preserve">L9.J.38225135</t>
  </si>
  <si>
    <t xml:space="preserve">38225135</t>
  </si>
  <si>
    <t xml:space="preserve">Orica Maintenance 2025-2026</t>
  </si>
  <si>
    <t xml:space="preserve">L9.J.38215210</t>
  </si>
  <si>
    <t xml:space="preserve">38215210</t>
  </si>
  <si>
    <t xml:space="preserve">Orica Yarwun Maintenance</t>
  </si>
  <si>
    <t xml:space="preserve">L9.J.38225093</t>
  </si>
  <si>
    <t xml:space="preserve">38225093</t>
  </si>
  <si>
    <t xml:space="preserve">Origin EU Subcontractors</t>
  </si>
  <si>
    <t xml:space="preserve">L9.J.39210321</t>
  </si>
  <si>
    <t xml:space="preserve">Ormeau - QTMP</t>
  </si>
  <si>
    <t xml:space="preserve">2025/02/01</t>
  </si>
  <si>
    <t xml:space="preserve">Otago Overhead</t>
  </si>
  <si>
    <t xml:space="preserve">L9.DNZJ.54943</t>
  </si>
  <si>
    <t xml:space="preserve">54943</t>
  </si>
  <si>
    <t xml:space="preserve">TI-NZT-54943 - Otago Overhead</t>
  </si>
  <si>
    <t xml:space="preserve">Otago Telco Ops</t>
  </si>
  <si>
    <t xml:space="preserve">10185</t>
  </si>
  <si>
    <t xml:space="preserve">10.185</t>
  </si>
  <si>
    <t xml:space="preserve">Otaki (91 Riverbank Rd)</t>
  </si>
  <si>
    <t xml:space="preserve">L9.DNZJ.91401</t>
  </si>
  <si>
    <t xml:space="preserve">91401</t>
  </si>
  <si>
    <t xml:space="preserve">COR-NZHO-91401 - Otaki (91 Riverbank Rd)
91 RIVERBANK ROAD  OTAKI 0</t>
  </si>
  <si>
    <t xml:space="preserve">Otaki</t>
  </si>
  <si>
    <t xml:space="preserve">Other EU Subcontractors</t>
  </si>
  <si>
    <t xml:space="preserve">OTR AU WR - St Ives</t>
  </si>
  <si>
    <t xml:space="preserve">L9.J.8210143</t>
  </si>
  <si>
    <t xml:space="preserve">8210143</t>
  </si>
  <si>
    <t xml:space="preserve">Overheads EU Subcontractors</t>
  </si>
  <si>
    <t xml:space="preserve">L9.J.382037</t>
  </si>
  <si>
    <t xml:space="preserve">P1 33kV BSL Switchyard</t>
  </si>
  <si>
    <t xml:space="preserve">L9.J.38215186</t>
  </si>
  <si>
    <t xml:space="preserve">38215186</t>
  </si>
  <si>
    <t xml:space="preserve">PAC1 Leakes Road Data Centre</t>
  </si>
  <si>
    <t xml:space="preserve">L9.J.37740150</t>
  </si>
  <si>
    <t xml:space="preserve">37740150</t>
  </si>
  <si>
    <t xml:space="preserve">Pacific Region Balance Sheet</t>
  </si>
  <si>
    <t xml:space="preserve">L9.DNZJ.8000</t>
  </si>
  <si>
    <t xml:space="preserve">8000</t>
  </si>
  <si>
    <t xml:space="preserve">Paeroa - Faults 127</t>
  </si>
  <si>
    <t xml:space="preserve">L9.DUN.60127</t>
  </si>
  <si>
    <t xml:space="preserve">PG60127</t>
  </si>
  <si>
    <t xml:space="preserve">Paeroa - WM 121</t>
  </si>
  <si>
    <t xml:space="preserve">L9.DUN.60121</t>
  </si>
  <si>
    <t xml:space="preserve">PG60121</t>
  </si>
  <si>
    <t xml:space="preserve">Paeroa - WM 122</t>
  </si>
  <si>
    <t xml:space="preserve">PG60122</t>
  </si>
  <si>
    <t xml:space="preserve">Paeroa Depot</t>
  </si>
  <si>
    <t xml:space="preserve">55552</t>
  </si>
  <si>
    <t xml:space="preserve">-37.3743</t>
  </si>
  <si>
    <t xml:space="preserve">175.6615</t>
  </si>
  <si>
    <t xml:space="preserve">Pahiatua - WM 232</t>
  </si>
  <si>
    <t xml:space="preserve">L9.DUN.60233</t>
  </si>
  <si>
    <t xml:space="preserve">PG60233</t>
  </si>
  <si>
    <t xml:space="preserve">15 Mangahao Road</t>
  </si>
  <si>
    <t xml:space="preserve">-40.4527</t>
  </si>
  <si>
    <t xml:space="preserve">175.8393</t>
  </si>
  <si>
    <t xml:space="preserve">Palm North (315 Albert St)</t>
  </si>
  <si>
    <t xml:space="preserve">L9.DNZJ.91261</t>
  </si>
  <si>
    <t xml:space="preserve">91261</t>
  </si>
  <si>
    <t xml:space="preserve">315 Albert Street</t>
  </si>
  <si>
    <t xml:space="preserve">Hokowhitu</t>
  </si>
  <si>
    <t xml:space="preserve">4410</t>
  </si>
  <si>
    <t xml:space="preserve">-40.3607</t>
  </si>
  <si>
    <t xml:space="preserve">175.6326</t>
  </si>
  <si>
    <t xml:space="preserve">Palm North (Tennant Dr Massey)</t>
  </si>
  <si>
    <t xml:space="preserve">L9.DNZJ.91190</t>
  </si>
  <si>
    <t xml:space="preserve">91190</t>
  </si>
  <si>
    <t xml:space="preserve">Tennent Drive</t>
  </si>
  <si>
    <t xml:space="preserve">Massey University</t>
  </si>
  <si>
    <t xml:space="preserve">4474</t>
  </si>
  <si>
    <t xml:space="preserve">-40.3834</t>
  </si>
  <si>
    <t xml:space="preserve">175.6146</t>
  </si>
  <si>
    <t xml:space="preserve">Palmerston Depot</t>
  </si>
  <si>
    <t xml:space="preserve">55550</t>
  </si>
  <si>
    <t xml:space="preserve">9430</t>
  </si>
  <si>
    <t xml:space="preserve">-45.489</t>
  </si>
  <si>
    <t xml:space="preserve">170.7156</t>
  </si>
  <si>
    <t xml:space="preserve">Palmerston Lines (TL2)</t>
  </si>
  <si>
    <t xml:space="preserve">L9.DUN.80121</t>
  </si>
  <si>
    <t xml:space="preserve">PG80121</t>
  </si>
  <si>
    <t xml:space="preserve">Palmerston North - WM 231</t>
  </si>
  <si>
    <t xml:space="preserve">L9.DUN.60231</t>
  </si>
  <si>
    <t xml:space="preserve">PG60231</t>
  </si>
  <si>
    <t xml:space="preserve">Palmerston North - WM 232</t>
  </si>
  <si>
    <t xml:space="preserve">PG60232</t>
  </si>
  <si>
    <t xml:space="preserve">Palmerston North (24 Ashford A</t>
  </si>
  <si>
    <t xml:space="preserve">L9.DNZJ.91742</t>
  </si>
  <si>
    <t xml:space="preserve">91742</t>
  </si>
  <si>
    <t xml:space="preserve">24 Ashford Avenue</t>
  </si>
  <si>
    <t xml:space="preserve">-40.3655</t>
  </si>
  <si>
    <t xml:space="preserve">175.6375</t>
  </si>
  <si>
    <t xml:space="preserve">Palmerston North (3a Miles Pl)</t>
  </si>
  <si>
    <t xml:space="preserve">L9.DNZJ.91269</t>
  </si>
  <si>
    <t xml:space="preserve">91269</t>
  </si>
  <si>
    <t xml:space="preserve">3A Miles Place</t>
  </si>
  <si>
    <t xml:space="preserve">4412</t>
  </si>
  <si>
    <t xml:space="preserve">-40.3737</t>
  </si>
  <si>
    <t xml:space="preserve">175.5911</t>
  </si>
  <si>
    <t xml:space="preserve">Palmerston North (572 Church S</t>
  </si>
  <si>
    <t xml:space="preserve">L9.DNZJ.91640</t>
  </si>
  <si>
    <t xml:space="preserve">91640</t>
  </si>
  <si>
    <t xml:space="preserve">572 Church Street</t>
  </si>
  <si>
    <t xml:space="preserve">Terrace End</t>
  </si>
  <si>
    <t xml:space="preserve">-40.3502</t>
  </si>
  <si>
    <t xml:space="preserve">175.6283</t>
  </si>
  <si>
    <t xml:space="preserve">Palmerston North (62 West Stre</t>
  </si>
  <si>
    <t xml:space="preserve">L9.DNZJ.91642</t>
  </si>
  <si>
    <t xml:space="preserve">91642</t>
  </si>
  <si>
    <t xml:space="preserve">62 West Street</t>
  </si>
  <si>
    <t xml:space="preserve">West End</t>
  </si>
  <si>
    <t xml:space="preserve">-40.3649</t>
  </si>
  <si>
    <t xml:space="preserve">175.601</t>
  </si>
  <si>
    <t xml:space="preserve">Palmerston North Area Manager</t>
  </si>
  <si>
    <t xml:space="preserve">PG60230</t>
  </si>
  <si>
    <t xml:space="preserve">50 Mihaere Drive</t>
  </si>
  <si>
    <t xml:space="preserve">-40.3354</t>
  </si>
  <si>
    <t xml:space="preserve">175.6448</t>
  </si>
  <si>
    <t xml:space="preserve">Palmerston North Depot</t>
  </si>
  <si>
    <t xml:space="preserve">55590</t>
  </si>
  <si>
    <t xml:space="preserve">Milson</t>
  </si>
  <si>
    <t xml:space="preserve">-40.3148</t>
  </si>
  <si>
    <t xml:space="preserve">175.6233</t>
  </si>
  <si>
    <t xml:space="preserve">Palmerston North Lines Super</t>
  </si>
  <si>
    <t xml:space="preserve">L9.DUN.80120</t>
  </si>
  <si>
    <t xml:space="preserve">80120</t>
  </si>
  <si>
    <t xml:space="preserve">Palmerston North NGA</t>
  </si>
  <si>
    <t xml:space="preserve">L9.DNZ.810.10.113</t>
  </si>
  <si>
    <t xml:space="preserve">10113</t>
  </si>
  <si>
    <t xml:space="preserve">10.113</t>
  </si>
  <si>
    <t xml:space="preserve">Palmerston North Substation</t>
  </si>
  <si>
    <t xml:space="preserve">L9.DUN.80220</t>
  </si>
  <si>
    <t xml:space="preserve">80220</t>
  </si>
  <si>
    <t xml:space="preserve">Palmerston North Telco Ops</t>
  </si>
  <si>
    <t xml:space="preserve">L9.DNZ.810.10.161</t>
  </si>
  <si>
    <t xml:space="preserve">10161</t>
  </si>
  <si>
    <t xml:space="preserve">10.161</t>
  </si>
  <si>
    <t xml:space="preserve">PAS Amberley Aero</t>
  </si>
  <si>
    <t xml:space="preserve">L9.S.16017788</t>
  </si>
  <si>
    <t xml:space="preserve">16017788</t>
  </si>
  <si>
    <t xml:space="preserve">PAS Amberley EU- Correc</t>
  </si>
  <si>
    <t xml:space="preserve">L9.S.16017784</t>
  </si>
  <si>
    <t xml:space="preserve">16017784</t>
  </si>
  <si>
    <t xml:space="preserve">PAS Amberley EU- Prevent</t>
  </si>
  <si>
    <t xml:space="preserve">L9.S.16017785</t>
  </si>
  <si>
    <t xml:space="preserve">16017785</t>
  </si>
  <si>
    <t xml:space="preserve">PAS Amberley Land</t>
  </si>
  <si>
    <t xml:space="preserve">L9.S.16017786</t>
  </si>
  <si>
    <t xml:space="preserve">16017786</t>
  </si>
  <si>
    <t xml:space="preserve">PAS Amberley Overhead</t>
  </si>
  <si>
    <t xml:space="preserve">L9.S.16017789</t>
  </si>
  <si>
    <t xml:space="preserve">16017789</t>
  </si>
  <si>
    <t xml:space="preserve">PAS Brisbane EU- Correct</t>
  </si>
  <si>
    <t xml:space="preserve">L9.S.16017763</t>
  </si>
  <si>
    <t xml:space="preserve">16017763</t>
  </si>
  <si>
    <t xml:space="preserve">PAS Brisbane EU- Prevent</t>
  </si>
  <si>
    <t xml:space="preserve">L9.S.16017764</t>
  </si>
  <si>
    <t xml:space="preserve">16017764</t>
  </si>
  <si>
    <t xml:space="preserve">PAS Brisbane Land</t>
  </si>
  <si>
    <t xml:space="preserve">L9.S.16017765</t>
  </si>
  <si>
    <t xml:space="preserve">16017765</t>
  </si>
  <si>
    <t xml:space="preserve">PAS Brisbane Overhead</t>
  </si>
  <si>
    <t xml:space="preserve">L9.S.16017768</t>
  </si>
  <si>
    <t xml:space="preserve">16017768</t>
  </si>
  <si>
    <t xml:space="preserve">PAS Brisbane TARM</t>
  </si>
  <si>
    <t xml:space="preserve">L9.S.16017766</t>
  </si>
  <si>
    <t xml:space="preserve">16017766</t>
  </si>
  <si>
    <t xml:space="preserve">PAS BSC - Cairns EU- Correc</t>
  </si>
  <si>
    <t xml:space="preserve">L9.S.16017805</t>
  </si>
  <si>
    <t xml:space="preserve">16017805</t>
  </si>
  <si>
    <t xml:space="preserve">PAS BSC - Cairns EU- Prevent</t>
  </si>
  <si>
    <t xml:space="preserve">L9.S.16017806</t>
  </si>
  <si>
    <t xml:space="preserve">16017806</t>
  </si>
  <si>
    <t xml:space="preserve">PAS BSC - Cairns Land</t>
  </si>
  <si>
    <t xml:space="preserve">L9.S.16013631</t>
  </si>
  <si>
    <t xml:space="preserve">-144041594</t>
  </si>
  <si>
    <t xml:space="preserve">PAS BSC - Cairns Overhead</t>
  </si>
  <si>
    <t xml:space="preserve">L9.S.16017810</t>
  </si>
  <si>
    <t xml:space="preserve">16017810</t>
  </si>
  <si>
    <t xml:space="preserve">PAS BSC - RCK EU- Correc</t>
  </si>
  <si>
    <t xml:space="preserve">L9.S.16017978</t>
  </si>
  <si>
    <t xml:space="preserve">PAS BSC - RCK Land</t>
  </si>
  <si>
    <t xml:space="preserve">L9.S.16013633</t>
  </si>
  <si>
    <t xml:space="preserve">-208063682</t>
  </si>
  <si>
    <t xml:space="preserve">PAS BSC - RCK Overhead</t>
  </si>
  <si>
    <t xml:space="preserve">L9.S.16017982</t>
  </si>
  <si>
    <t xml:space="preserve">16017982</t>
  </si>
  <si>
    <t xml:space="preserve">PAS BSC - RCK TARM</t>
  </si>
  <si>
    <t xml:space="preserve">L9.S.16017981</t>
  </si>
  <si>
    <t xml:space="preserve">16017981</t>
  </si>
  <si>
    <t xml:space="preserve">PAS BSC - Towns N EU- Correc</t>
  </si>
  <si>
    <t xml:space="preserve">L9.S.16017811</t>
  </si>
  <si>
    <t xml:space="preserve">16017811</t>
  </si>
  <si>
    <t xml:space="preserve">PAS BSC - Towns N EU- Prevent</t>
  </si>
  <si>
    <t xml:space="preserve">L9.S.16017812</t>
  </si>
  <si>
    <t xml:space="preserve">16017812</t>
  </si>
  <si>
    <t xml:space="preserve">PAS BSC - Towns N Land</t>
  </si>
  <si>
    <t xml:space="preserve">L9.S.16017813</t>
  </si>
  <si>
    <t xml:space="preserve">16017813</t>
  </si>
  <si>
    <t xml:space="preserve">PAS BSC - Towns N Overhead</t>
  </si>
  <si>
    <t xml:space="preserve">L9.S.16017816</t>
  </si>
  <si>
    <t xml:space="preserve">16017816</t>
  </si>
  <si>
    <t xml:space="preserve">PAS BSC - Towns N TARM</t>
  </si>
  <si>
    <t xml:space="preserve">L9.S.16017814</t>
  </si>
  <si>
    <t xml:space="preserve">PAS BSC - TWS Sth EU- Correc</t>
  </si>
  <si>
    <t xml:space="preserve">L9.S.16017826</t>
  </si>
  <si>
    <t xml:space="preserve">16017826</t>
  </si>
  <si>
    <t xml:space="preserve">PAS BSC - TWS Sth EU- Prevent</t>
  </si>
  <si>
    <t xml:space="preserve">L9.S.16017827</t>
  </si>
  <si>
    <t xml:space="preserve">16017827</t>
  </si>
  <si>
    <t xml:space="preserve">PAS BSC - TWS Sth Land</t>
  </si>
  <si>
    <t xml:space="preserve">L9.S.16017828</t>
  </si>
  <si>
    <t xml:space="preserve">16017828</t>
  </si>
  <si>
    <t xml:space="preserve">PAS BSC - TWS Sth Overhead</t>
  </si>
  <si>
    <t xml:space="preserve">L9.S.16017831</t>
  </si>
  <si>
    <t xml:space="preserve">16017831</t>
  </si>
  <si>
    <t xml:space="preserve">PAS BSC - TWS Sth TARM</t>
  </si>
  <si>
    <t xml:space="preserve">L9.S.16017829</t>
  </si>
  <si>
    <t xml:space="preserve">16017829</t>
  </si>
  <si>
    <t xml:space="preserve">PAS Canberra Trng Bases EU-Correc</t>
  </si>
  <si>
    <t xml:space="preserve">L9.S.16017858</t>
  </si>
  <si>
    <t xml:space="preserve">16017858</t>
  </si>
  <si>
    <t xml:space="preserve">PAS Canberra Trng Bases EU-Prevent</t>
  </si>
  <si>
    <t xml:space="preserve">PAS Canberra Trng Bases Land</t>
  </si>
  <si>
    <t xml:space="preserve">L9.S.16017860</t>
  </si>
  <si>
    <t xml:space="preserve">16017860</t>
  </si>
  <si>
    <t xml:space="preserve">PAS Canberra Trng Bases Overhead</t>
  </si>
  <si>
    <t xml:space="preserve">L9.S.16017863</t>
  </si>
  <si>
    <t xml:space="preserve">16017863</t>
  </si>
  <si>
    <t xml:space="preserve">PAS Canberra Trng Bases TARM</t>
  </si>
  <si>
    <t xml:space="preserve">L9.S.16017861</t>
  </si>
  <si>
    <t xml:space="preserve">16017861</t>
  </si>
  <si>
    <t xml:space="preserve">PAS Canungra EU- Correc</t>
  </si>
  <si>
    <t xml:space="preserve">L9.S.16017769</t>
  </si>
  <si>
    <t xml:space="preserve">16017769</t>
  </si>
  <si>
    <t xml:space="preserve">PAS Canungra EU- Prevent</t>
  </si>
  <si>
    <t xml:space="preserve">L9.S.16017770</t>
  </si>
  <si>
    <t xml:space="preserve">16017770</t>
  </si>
  <si>
    <t xml:space="preserve">PAS Canungra Land</t>
  </si>
  <si>
    <t xml:space="preserve">L9.S.16017771</t>
  </si>
  <si>
    <t xml:space="preserve">16017771</t>
  </si>
  <si>
    <t xml:space="preserve">PAS Canungra Overhead</t>
  </si>
  <si>
    <t xml:space="preserve">L9.S.16017774</t>
  </si>
  <si>
    <t xml:space="preserve">16017774</t>
  </si>
  <si>
    <t xml:space="preserve">PAS Canungra TARM</t>
  </si>
  <si>
    <t xml:space="preserve">L9.S.16017772</t>
  </si>
  <si>
    <t xml:space="preserve">16017772</t>
  </si>
  <si>
    <t xml:space="preserve">PAS Darling Downs Aero</t>
  </si>
  <si>
    <t xml:space="preserve">L9.S.16017794</t>
  </si>
  <si>
    <t xml:space="preserve">PAS Darling Downs EU- Correc</t>
  </si>
  <si>
    <t xml:space="preserve">L9.S.16017790</t>
  </si>
  <si>
    <t xml:space="preserve">16017790</t>
  </si>
  <si>
    <t xml:space="preserve">PAS Darling Downs EU- Prevent</t>
  </si>
  <si>
    <t xml:space="preserve">L9.S.16017791</t>
  </si>
  <si>
    <t xml:space="preserve">16017791</t>
  </si>
  <si>
    <t xml:space="preserve">PAS Darling Downs Land</t>
  </si>
  <si>
    <t xml:space="preserve">L9.S.16017792</t>
  </si>
  <si>
    <t xml:space="preserve">16017792</t>
  </si>
  <si>
    <t xml:space="preserve">PAS Darling Downs Overhead</t>
  </si>
  <si>
    <t xml:space="preserve">L9.S.16017795</t>
  </si>
  <si>
    <t xml:space="preserve">16017795</t>
  </si>
  <si>
    <t xml:space="preserve">PAS Fleet Base Estab EU- Correc</t>
  </si>
  <si>
    <t xml:space="preserve">L9.S.16017929</t>
  </si>
  <si>
    <t xml:space="preserve">16017929</t>
  </si>
  <si>
    <t xml:space="preserve">PAS Fleet Base Estab EU- Prevent</t>
  </si>
  <si>
    <t xml:space="preserve">L9.S.16013638</t>
  </si>
  <si>
    <t xml:space="preserve">-368118902</t>
  </si>
  <si>
    <t xml:space="preserve">PAS Fleet Base Estab Overhead</t>
  </si>
  <si>
    <t xml:space="preserve">L9.S.16017932</t>
  </si>
  <si>
    <t xml:space="preserve">16017932</t>
  </si>
  <si>
    <t xml:space="preserve">PAS Kapooka &amp; Wagga Land</t>
  </si>
  <si>
    <t xml:space="preserve">L9.S.16017895</t>
  </si>
  <si>
    <t xml:space="preserve">16017895</t>
  </si>
  <si>
    <t xml:space="preserve">PAS Kapooka MA EU- Prevent</t>
  </si>
  <si>
    <t xml:space="preserve">L9.S.16017882</t>
  </si>
  <si>
    <t xml:space="preserve">16017882</t>
  </si>
  <si>
    <t xml:space="preserve">PAS Kapooka MA EU-Correc</t>
  </si>
  <si>
    <t xml:space="preserve">L9.S.16017881</t>
  </si>
  <si>
    <t xml:space="preserve">16017881</t>
  </si>
  <si>
    <t xml:space="preserve">PAS Kapooka MA Land</t>
  </si>
  <si>
    <t xml:space="preserve">L9.S.16017883</t>
  </si>
  <si>
    <t xml:space="preserve">16017883</t>
  </si>
  <si>
    <t xml:space="preserve">PAS Kapooka MA Overhead</t>
  </si>
  <si>
    <t xml:space="preserve">L9.S.16017886</t>
  </si>
  <si>
    <t xml:space="preserve">16017886</t>
  </si>
  <si>
    <t xml:space="preserve">PAS Kapooka MA TARM</t>
  </si>
  <si>
    <t xml:space="preserve">L9.S.16017884</t>
  </si>
  <si>
    <t xml:space="preserve">16017884</t>
  </si>
  <si>
    <t xml:space="preserve">PAS Liverpool Mil Area EU- Correc</t>
  </si>
  <si>
    <t xml:space="preserve">L9.S.16017942</t>
  </si>
  <si>
    <t xml:space="preserve">16017942</t>
  </si>
  <si>
    <t xml:space="preserve">PAS Liverpool Mil Area EU- Prevent</t>
  </si>
  <si>
    <t xml:space="preserve">L9.S.16017943</t>
  </si>
  <si>
    <t xml:space="preserve">16017943</t>
  </si>
  <si>
    <t xml:space="preserve">PAS Liverpool Mil Area Land</t>
  </si>
  <si>
    <t xml:space="preserve">L9.S.16017944</t>
  </si>
  <si>
    <t xml:space="preserve">16017944</t>
  </si>
  <si>
    <t xml:space="preserve">PAS Liverpool Mil Area Overhead</t>
  </si>
  <si>
    <t xml:space="preserve">L9.S.16017947</t>
  </si>
  <si>
    <t xml:space="preserve">16017947</t>
  </si>
  <si>
    <t xml:space="preserve">PAS Liverpool Mil Area Overhead OH</t>
  </si>
  <si>
    <t xml:space="preserve">L9.S.14001986</t>
  </si>
  <si>
    <t xml:space="preserve">14001986</t>
  </si>
  <si>
    <t xml:space="preserve">PAS Liverpool Mil Area TARM</t>
  </si>
  <si>
    <t xml:space="preserve">L9.S.16017945</t>
  </si>
  <si>
    <t xml:space="preserve">16017945</t>
  </si>
  <si>
    <t xml:space="preserve">PAS NSW Management</t>
  </si>
  <si>
    <t xml:space="preserve">L9.S.16017976</t>
  </si>
  <si>
    <t xml:space="preserve">16017976</t>
  </si>
  <si>
    <t xml:space="preserve">PAS QLD Management Ov</t>
  </si>
  <si>
    <t xml:space="preserve">L9.S.16017842</t>
  </si>
  <si>
    <t xml:space="preserve">16017842</t>
  </si>
  <si>
    <t xml:space="preserve">PAS RAAF Richmond Aero</t>
  </si>
  <si>
    <t xml:space="preserve">L9.S.16013635</t>
  </si>
  <si>
    <t xml:space="preserve">-272085770</t>
  </si>
  <si>
    <t xml:space="preserve">PAS RAAF Richmond EU- Correc</t>
  </si>
  <si>
    <t xml:space="preserve">L9.S.16017951</t>
  </si>
  <si>
    <t xml:space="preserve">16017951</t>
  </si>
  <si>
    <t xml:space="preserve">PAS RAAF Richmond EU- Prevent</t>
  </si>
  <si>
    <t xml:space="preserve">L9.S.16017952</t>
  </si>
  <si>
    <t xml:space="preserve">16017952</t>
  </si>
  <si>
    <t xml:space="preserve">PAS RAAF Richmond Land</t>
  </si>
  <si>
    <t xml:space="preserve">L9.S.16017953</t>
  </si>
  <si>
    <t xml:space="preserve">16017953</t>
  </si>
  <si>
    <t xml:space="preserve">PAS RAAF Richmond Overhead</t>
  </si>
  <si>
    <t xml:space="preserve">L9.S.16017956</t>
  </si>
  <si>
    <t xml:space="preserve">16017956</t>
  </si>
  <si>
    <t xml:space="preserve">PAS RAAF Richmond TARM</t>
  </si>
  <si>
    <t xml:space="preserve">L9.S.16017954</t>
  </si>
  <si>
    <t xml:space="preserve">16017954</t>
  </si>
  <si>
    <t xml:space="preserve">PAS RAAF Wagga Aero</t>
  </si>
  <si>
    <t xml:space="preserve">L9.S.16017891</t>
  </si>
  <si>
    <t xml:space="preserve">PAS RAAF Wagga EU-Correc</t>
  </si>
  <si>
    <t xml:space="preserve">L9.S.16017887</t>
  </si>
  <si>
    <t xml:space="preserve">PAS RAAF Wagga Land</t>
  </si>
  <si>
    <t xml:space="preserve">L9.S.16017889</t>
  </si>
  <si>
    <t xml:space="preserve">PAS RAAF Wagga Overhead OH</t>
  </si>
  <si>
    <t xml:space="preserve">L9.S.14001977</t>
  </si>
  <si>
    <t xml:space="preserve">14001977</t>
  </si>
  <si>
    <t xml:space="preserve">PAS Russell EU-Correc</t>
  </si>
  <si>
    <t xml:space="preserve">L9.S.16013630</t>
  </si>
  <si>
    <t xml:space="preserve">-112030550</t>
  </si>
  <si>
    <t xml:space="preserve">PAS Shoalhaven Aero</t>
  </si>
  <si>
    <t xml:space="preserve">L9.S.16017964</t>
  </si>
  <si>
    <t xml:space="preserve">16017964</t>
  </si>
  <si>
    <t xml:space="preserve">PAS Shoalhaven EU- Correc</t>
  </si>
  <si>
    <t xml:space="preserve">L9.S.16017960</t>
  </si>
  <si>
    <t xml:space="preserve">16017960</t>
  </si>
  <si>
    <t xml:space="preserve">PAS Shoalhaven EU- Prevent</t>
  </si>
  <si>
    <t xml:space="preserve">PAS Shoalhaven Land</t>
  </si>
  <si>
    <t xml:space="preserve">L9.S.16017962</t>
  </si>
  <si>
    <t xml:space="preserve">16017962</t>
  </si>
  <si>
    <t xml:space="preserve">PAS Shoalhaven Overhead</t>
  </si>
  <si>
    <t xml:space="preserve">L9.S.16017965</t>
  </si>
  <si>
    <t xml:space="preserve">16017965</t>
  </si>
  <si>
    <t xml:space="preserve">PAS Shoalhaven TARM</t>
  </si>
  <si>
    <t xml:space="preserve">L9.S.16017963</t>
  </si>
  <si>
    <t xml:space="preserve">16017963</t>
  </si>
  <si>
    <t xml:space="preserve">PAS Singleton EU- Prevent</t>
  </si>
  <si>
    <t xml:space="preserve">L9.S.16017908</t>
  </si>
  <si>
    <t xml:space="preserve">16017908</t>
  </si>
  <si>
    <t xml:space="preserve">PAS Singleton EU-Correc</t>
  </si>
  <si>
    <t xml:space="preserve">L9.S.16017907</t>
  </si>
  <si>
    <t xml:space="preserve">16017907</t>
  </si>
  <si>
    <t xml:space="preserve">PAS Singleton Land</t>
  </si>
  <si>
    <t xml:space="preserve">L9.S.16017909</t>
  </si>
  <si>
    <t xml:space="preserve">16017909</t>
  </si>
  <si>
    <t xml:space="preserve">PAS Singleton Overhead</t>
  </si>
  <si>
    <t xml:space="preserve">L9.S.16017911</t>
  </si>
  <si>
    <t xml:space="preserve">16017911</t>
  </si>
  <si>
    <t xml:space="preserve">PAS Singleton TARM</t>
  </si>
  <si>
    <t xml:space="preserve">L9.S.16017910</t>
  </si>
  <si>
    <t xml:space="preserve">16017910</t>
  </si>
  <si>
    <t xml:space="preserve">PAS Sydney &amp; Metro Army EU-Correc</t>
  </si>
  <si>
    <t xml:space="preserve">L9.S.16017921</t>
  </si>
  <si>
    <t xml:space="preserve">16017921</t>
  </si>
  <si>
    <t xml:space="preserve">PAS Sydney &amp; Metro Army EU-Prevent</t>
  </si>
  <si>
    <t xml:space="preserve">L9.S.16017922</t>
  </si>
  <si>
    <t xml:space="preserve">16017922</t>
  </si>
  <si>
    <t xml:space="preserve">PAS Sydney &amp; Metro Army Land</t>
  </si>
  <si>
    <t xml:space="preserve">L9.S.16017923</t>
  </si>
  <si>
    <t xml:space="preserve">PAS Sydney Maritime Estab EU- Correc</t>
  </si>
  <si>
    <t xml:space="preserve">L9.S.16017925</t>
  </si>
  <si>
    <t xml:space="preserve">16017925</t>
  </si>
  <si>
    <t xml:space="preserve">PAS Williamtown Aero</t>
  </si>
  <si>
    <t xml:space="preserve">L9.S.16017905</t>
  </si>
  <si>
    <t xml:space="preserve">16017905</t>
  </si>
  <si>
    <t xml:space="preserve">PAS Williamtown EU-Correc</t>
  </si>
  <si>
    <t xml:space="preserve">L9.S.16017902</t>
  </si>
  <si>
    <t xml:space="preserve">16017902</t>
  </si>
  <si>
    <t xml:space="preserve">PAS Williamtown EU-Prevent</t>
  </si>
  <si>
    <t xml:space="preserve">L9.S.16017903</t>
  </si>
  <si>
    <t xml:space="preserve">16017903</t>
  </si>
  <si>
    <t xml:space="preserve">PAS Williamtown Land</t>
  </si>
  <si>
    <t xml:space="preserve">L9.S.16017904</t>
  </si>
  <si>
    <t xml:space="preserve">16017904</t>
  </si>
  <si>
    <t xml:space="preserve">PAS Williamtown Overhead</t>
  </si>
  <si>
    <t xml:space="preserve">L9.S.16017906</t>
  </si>
  <si>
    <t xml:space="preserve">16017906</t>
  </si>
  <si>
    <t xml:space="preserve">Pavements</t>
  </si>
  <si>
    <t xml:space="preserve">Paving - Waikato</t>
  </si>
  <si>
    <t xml:space="preserve">L9.DNZJ.55403</t>
  </si>
  <si>
    <t xml:space="preserve">55403</t>
  </si>
  <si>
    <t xml:space="preserve">TI-NZT-55403 - Paving - Waikato</t>
  </si>
  <si>
    <t xml:space="preserve">PCEC - Food &amp; Beverage SD</t>
  </si>
  <si>
    <t xml:space="preserve">L9.S.16011857</t>
  </si>
  <si>
    <t xml:space="preserve">16011857</t>
  </si>
  <si>
    <t xml:space="preserve">PCEC - Maintenance Home SD</t>
  </si>
  <si>
    <t xml:space="preserve">L9.S.16011869</t>
  </si>
  <si>
    <t xml:space="preserve">16011869</t>
  </si>
  <si>
    <t xml:space="preserve">PCEC - Sales &amp; Marketing SD</t>
  </si>
  <si>
    <t xml:space="preserve">L9.S.16011864</t>
  </si>
  <si>
    <t xml:space="preserve">16011864</t>
  </si>
  <si>
    <t xml:space="preserve">PCO Overhead BU - Indirect</t>
  </si>
  <si>
    <t xml:space="preserve">L9.DUN.40000</t>
  </si>
  <si>
    <t xml:space="preserve">40000</t>
  </si>
  <si>
    <t xml:space="preserve">PCO Valley EFSA Contract Jobs</t>
  </si>
  <si>
    <t xml:space="preserve">L9.DUN.49120</t>
  </si>
  <si>
    <t xml:space="preserve">49120</t>
  </si>
  <si>
    <t xml:space="preserve">PCONW Hawera - Direct</t>
  </si>
  <si>
    <t xml:space="preserve">L9.DUN.40214</t>
  </si>
  <si>
    <t xml:space="preserve">40214</t>
  </si>
  <si>
    <t xml:space="preserve">PCONW New Plym Lines - Direct</t>
  </si>
  <si>
    <t xml:space="preserve">L9.DUN.40212</t>
  </si>
  <si>
    <t xml:space="preserve">40212</t>
  </si>
  <si>
    <t xml:space="preserve">PCONW New Plym Subs - Direct</t>
  </si>
  <si>
    <t xml:space="preserve">L9.DUN.40211</t>
  </si>
  <si>
    <t xml:space="preserve">40211</t>
  </si>
  <si>
    <t xml:space="preserve">PCONW Nthwest Stores -Indirect</t>
  </si>
  <si>
    <t xml:space="preserve">L9.DUN.40750</t>
  </si>
  <si>
    <t xml:space="preserve">40750</t>
  </si>
  <si>
    <t xml:space="preserve">PCONW Whanganui - Indirect</t>
  </si>
  <si>
    <t xml:space="preserve">L9.DUN.40220</t>
  </si>
  <si>
    <t xml:space="preserve">40220</t>
  </si>
  <si>
    <t xml:space="preserve">PCONW Whanganui Lines - Direct</t>
  </si>
  <si>
    <t xml:space="preserve">L9.DUN.85413</t>
  </si>
  <si>
    <t xml:space="preserve">PG40222</t>
  </si>
  <si>
    <t xml:space="preserve">PCONW Whanganui Subs -Direct</t>
  </si>
  <si>
    <t xml:space="preserve">L9.DUN.40221</t>
  </si>
  <si>
    <t xml:space="preserve">40221</t>
  </si>
  <si>
    <t xml:space="preserve">PCOVL Coromandel - Direct</t>
  </si>
  <si>
    <t xml:space="preserve">L9.DUN.40123</t>
  </si>
  <si>
    <t xml:space="preserve">40123</t>
  </si>
  <si>
    <t xml:space="preserve">PCOVL Matamata Lines - Direct</t>
  </si>
  <si>
    <t xml:space="preserve">L9.DUN.40124</t>
  </si>
  <si>
    <t xml:space="preserve">40124</t>
  </si>
  <si>
    <t xml:space="preserve">PCOVL Matamata Subs - Direct</t>
  </si>
  <si>
    <t xml:space="preserve">L9.DUN.40128</t>
  </si>
  <si>
    <t xml:space="preserve">40128</t>
  </si>
  <si>
    <t xml:space="preserve">PCOVL Paeroa - Indirect</t>
  </si>
  <si>
    <t xml:space="preserve">L9.DUN.40120</t>
  </si>
  <si>
    <t xml:space="preserve">40120</t>
  </si>
  <si>
    <t xml:space="preserve">PCOVL Paeroa Lines - Direct</t>
  </si>
  <si>
    <t xml:space="preserve">L9.DUN.40122</t>
  </si>
  <si>
    <t xml:space="preserve">40122</t>
  </si>
  <si>
    <t xml:space="preserve">PCOVL Paeroa Subs - Direct</t>
  </si>
  <si>
    <t xml:space="preserve">L9.DUN.40121</t>
  </si>
  <si>
    <t xml:space="preserve">40121</t>
  </si>
  <si>
    <t xml:space="preserve">PCOVL Valley Stores - Indirect</t>
  </si>
  <si>
    <t xml:space="preserve">L9.DUN.40700</t>
  </si>
  <si>
    <t xml:space="preserve">40700</t>
  </si>
  <si>
    <t xml:space="preserve">PD NSWPF Overhead</t>
  </si>
  <si>
    <t xml:space="preserve">13001519</t>
  </si>
  <si>
    <t xml:space="preserve">Peacockes Project</t>
  </si>
  <si>
    <t xml:space="preserve">L9.DNZJ.352405</t>
  </si>
  <si>
    <t xml:space="preserve">352405</t>
  </si>
  <si>
    <t xml:space="preserve">Pelican Point BESS Connection</t>
  </si>
  <si>
    <t xml:space="preserve">L9.J.37740133</t>
  </si>
  <si>
    <t xml:space="preserve">37740133</t>
  </si>
  <si>
    <t xml:space="preserve">Penrose Depot</t>
  </si>
  <si>
    <t xml:space="preserve">55530</t>
  </si>
  <si>
    <t xml:space="preserve">-36.9149</t>
  </si>
  <si>
    <t xml:space="preserve">174.8212</t>
  </si>
  <si>
    <t xml:space="preserve">People - AC Stormwater North</t>
  </si>
  <si>
    <t xml:space="preserve">L9.DNZJ.56703</t>
  </si>
  <si>
    <t xml:space="preserve">56703</t>
  </si>
  <si>
    <t xml:space="preserve">People - Automation Nth Is.</t>
  </si>
  <si>
    <t xml:space="preserve">L9.DNZJ.56719</t>
  </si>
  <si>
    <t xml:space="preserve">56719</t>
  </si>
  <si>
    <t xml:space="preserve">People - Automation Sth Is.</t>
  </si>
  <si>
    <t xml:space="preserve">L9.DNZJ.56720</t>
  </si>
  <si>
    <t xml:space="preserve">56720</t>
  </si>
  <si>
    <t xml:space="preserve">People - Const. Canterbury/WTC</t>
  </si>
  <si>
    <t xml:space="preserve">L9.DNZJ.56747</t>
  </si>
  <si>
    <t xml:space="preserve">56747</t>
  </si>
  <si>
    <t xml:space="preserve">People - Const. Otago Southlnd</t>
  </si>
  <si>
    <t xml:space="preserve">L9.DNZJ.56746</t>
  </si>
  <si>
    <t xml:space="preserve">56746</t>
  </si>
  <si>
    <t xml:space="preserve">People - Const. Otago/Southlnd</t>
  </si>
  <si>
    <t xml:space="preserve">People - Const. Otago/Southlnd EU Subcontractors</t>
  </si>
  <si>
    <t xml:space="preserve">People - Cranes Auckland</t>
  </si>
  <si>
    <t xml:space="preserve">L9.DNZJ.54745</t>
  </si>
  <si>
    <t xml:space="preserve">54745</t>
  </si>
  <si>
    <t xml:space="preserve">TI-NZT-54745 - People - Cranes Auckland</t>
  </si>
  <si>
    <t xml:space="preserve">People - Engineering Services</t>
  </si>
  <si>
    <t xml:space="preserve">L9.DNZJ.56751</t>
  </si>
  <si>
    <t xml:space="preserve">56751</t>
  </si>
  <si>
    <t xml:space="preserve">People - ICC Piped Network Mtn</t>
  </si>
  <si>
    <t xml:space="preserve">L9.DNZJ.56718</t>
  </si>
  <si>
    <t xml:space="preserve">56718</t>
  </si>
  <si>
    <t xml:space="preserve">People - Kaipara</t>
  </si>
  <si>
    <t xml:space="preserve">L9.DNZJ.56702</t>
  </si>
  <si>
    <t xml:space="preserve">56702</t>
  </si>
  <si>
    <t xml:space="preserve">People - Kaipara DC</t>
  </si>
  <si>
    <t xml:space="preserve">L9.DNZJ.54786</t>
  </si>
  <si>
    <t xml:space="preserve">54786</t>
  </si>
  <si>
    <t xml:space="preserve">TI-NZT-54786 - People - Kaipara DC</t>
  </si>
  <si>
    <t xml:space="preserve">People - Levin</t>
  </si>
  <si>
    <t xml:space="preserve">L9.DNZJ.56708</t>
  </si>
  <si>
    <t xml:space="preserve">56708</t>
  </si>
  <si>
    <t xml:space="preserve">People - Microsurfacing</t>
  </si>
  <si>
    <t xml:space="preserve">L9.DNZJ.54748</t>
  </si>
  <si>
    <t xml:space="preserve">54748</t>
  </si>
  <si>
    <t xml:space="preserve">People - Products Cranes</t>
  </si>
  <si>
    <t xml:space="preserve">L9.DNZJ.54744</t>
  </si>
  <si>
    <t xml:space="preserve">54744</t>
  </si>
  <si>
    <t xml:space="preserve">TI-NZT-54744 - People - Products Cranes</t>
  </si>
  <si>
    <t xml:space="preserve">People - Projects O&amp;M</t>
  </si>
  <si>
    <t xml:space="preserve">L9.DNZJ.56712</t>
  </si>
  <si>
    <t xml:space="preserve">56712</t>
  </si>
  <si>
    <t xml:space="preserve">People - Rejuv Surfacing</t>
  </si>
  <si>
    <t xml:space="preserve">L9.DNZJ.553439</t>
  </si>
  <si>
    <t xml:space="preserve">54747</t>
  </si>
  <si>
    <t xml:space="preserve">Allocate to INX prj: 
TI-NZT - NTH PRJ Microsurfacing
TI-NZT-553439 - Rejuvenation Establish Plan
Region TBC</t>
  </si>
  <si>
    <t xml:space="preserve">People - Southland</t>
  </si>
  <si>
    <t xml:space="preserve">L9.DNZJ.56711</t>
  </si>
  <si>
    <t xml:space="preserve">56711</t>
  </si>
  <si>
    <t xml:space="preserve">People - Specialist Civil Con.</t>
  </si>
  <si>
    <t xml:space="preserve">L9.DNZJ.56739</t>
  </si>
  <si>
    <t xml:space="preserve">56739</t>
  </si>
  <si>
    <t xml:space="preserve">People - T2W Project</t>
  </si>
  <si>
    <t xml:space="preserve">L9.DNZJ.54751</t>
  </si>
  <si>
    <t xml:space="preserve">54751</t>
  </si>
  <si>
    <t xml:space="preserve">TI-NZT-54751 - Peopl</t>
  </si>
  <si>
    <t xml:space="preserve">People - Tasman</t>
  </si>
  <si>
    <t xml:space="preserve">L9.DNZJ.56710</t>
  </si>
  <si>
    <t xml:space="preserve">56710</t>
  </si>
  <si>
    <t xml:space="preserve">People - Taupo 3 Waters</t>
  </si>
  <si>
    <t xml:space="preserve">L9.DNZJ.56714</t>
  </si>
  <si>
    <t xml:space="preserve">56714</t>
  </si>
  <si>
    <t xml:space="preserve">People - Tauranga</t>
  </si>
  <si>
    <t xml:space="preserve">L9.DNZJ.56707</t>
  </si>
  <si>
    <t xml:space="preserve">56707</t>
  </si>
  <si>
    <t xml:space="preserve">326 Devonport Road</t>
  </si>
  <si>
    <t xml:space="preserve">-37.6979</t>
  </si>
  <si>
    <t xml:space="preserve">176.1636</t>
  </si>
  <si>
    <t xml:space="preserve">People - Water Const Nth Is.</t>
  </si>
  <si>
    <t xml:space="preserve">L9.DNZJ.56749</t>
  </si>
  <si>
    <t xml:space="preserve">56749</t>
  </si>
  <si>
    <t xml:space="preserve">People - Watercare</t>
  </si>
  <si>
    <t xml:space="preserve">L9.DNZJ.56705</t>
  </si>
  <si>
    <t xml:space="preserve">56705</t>
  </si>
  <si>
    <t xml:space="preserve">People - Whangarei</t>
  </si>
  <si>
    <t xml:space="preserve">L9.DNZJ.56701</t>
  </si>
  <si>
    <t xml:space="preserve">56701</t>
  </si>
  <si>
    <t xml:space="preserve">People (Auckland Roadmarking)</t>
  </si>
  <si>
    <t xml:space="preserve">L9.DNZJ.55744</t>
  </si>
  <si>
    <t xml:space="preserve">55744</t>
  </si>
  <si>
    <t xml:space="preserve">People (Biosecurity)</t>
  </si>
  <si>
    <t xml:space="preserve">L9.DNZJ.55783</t>
  </si>
  <si>
    <t xml:space="preserve">55783</t>
  </si>
  <si>
    <t xml:space="preserve">People (BOP Traffic Control)</t>
  </si>
  <si>
    <t xml:space="preserve">L9.DNZJ.55710</t>
  </si>
  <si>
    <t xml:space="preserve">55710</t>
  </si>
  <si>
    <t xml:space="preserve">People (Cen Hawkes Bay Maint)</t>
  </si>
  <si>
    <t xml:space="preserve">L9.DNZJ.54736</t>
  </si>
  <si>
    <t xml:space="preserve">54736</t>
  </si>
  <si>
    <t xml:space="preserve">People (CHCH Roadmarking)</t>
  </si>
  <si>
    <t xml:space="preserve">L9.DNZJ.55295</t>
  </si>
  <si>
    <t xml:space="preserve">55295</t>
  </si>
  <si>
    <t xml:space="preserve">People (CN Technical Services)</t>
  </si>
  <si>
    <t xml:space="preserve">L9.DNZJ.55274</t>
  </si>
  <si>
    <t xml:space="preserve">55274</t>
  </si>
  <si>
    <t xml:space="preserve">People (Construction BOP)</t>
  </si>
  <si>
    <t xml:space="preserve">L9.DNZJ.55273</t>
  </si>
  <si>
    <t xml:space="preserve">55273</t>
  </si>
  <si>
    <t xml:space="preserve">People (Construction CHCH)</t>
  </si>
  <si>
    <t xml:space="preserve">L9.DNZJ.55292</t>
  </si>
  <si>
    <t xml:space="preserve">55292</t>
  </si>
  <si>
    <t xml:space="preserve">People (Construction CNI)</t>
  </si>
  <si>
    <t xml:space="preserve">L9.DNZJ.55275</t>
  </si>
  <si>
    <t xml:space="preserve">55275</t>
  </si>
  <si>
    <t xml:space="preserve">People (Construction Gisborne)</t>
  </si>
  <si>
    <t xml:space="preserve">L9.DNZJ.55285</t>
  </si>
  <si>
    <t xml:space="preserve">55285</t>
  </si>
  <si>
    <t xml:space="preserve">People (Construction HB)</t>
  </si>
  <si>
    <t xml:space="preserve">L9.DNZJ.55286</t>
  </si>
  <si>
    <t xml:space="preserve">55286</t>
  </si>
  <si>
    <t xml:space="preserve">People (Construction Otago)</t>
  </si>
  <si>
    <t xml:space="preserve">L9.DNZJ.55294</t>
  </si>
  <si>
    <t xml:space="preserve">55294</t>
  </si>
  <si>
    <t xml:space="preserve">People (Construction Taranaki)</t>
  </si>
  <si>
    <t xml:space="preserve">L9.DNZJ.55748</t>
  </si>
  <si>
    <t xml:space="preserve">55748</t>
  </si>
  <si>
    <t xml:space="preserve">People (Construction Waikato)</t>
  </si>
  <si>
    <t xml:space="preserve">L9.DNZJ.55272</t>
  </si>
  <si>
    <t xml:space="preserve">55272</t>
  </si>
  <si>
    <t xml:space="preserve">People (Construction Wgtn)</t>
  </si>
  <si>
    <t xml:space="preserve">L9.DNZJ.55715</t>
  </si>
  <si>
    <t xml:space="preserve">55715</t>
  </si>
  <si>
    <t xml:space="preserve">People (Gisborne LR)</t>
  </si>
  <si>
    <t xml:space="preserve">L9.DNZJ.55283</t>
  </si>
  <si>
    <t xml:space="preserve">55283</t>
  </si>
  <si>
    <t xml:space="preserve">People (Gisborne NOC)</t>
  </si>
  <si>
    <t xml:space="preserve">L9.DNZJ.55284</t>
  </si>
  <si>
    <t xml:space="preserve">55284</t>
  </si>
  <si>
    <t xml:space="preserve">People (Gisborne Other)</t>
  </si>
  <si>
    <t xml:space="preserve">L9.DNZJ.55750</t>
  </si>
  <si>
    <t xml:space="preserve">55750</t>
  </si>
  <si>
    <t xml:space="preserve">445B Nelson Road</t>
  </si>
  <si>
    <t xml:space="preserve">Riverdale</t>
  </si>
  <si>
    <t xml:space="preserve">-38.6444</t>
  </si>
  <si>
    <t xml:space="preserve">177.9926</t>
  </si>
  <si>
    <t xml:space="preserve">People (Hamilton Alliance)</t>
  </si>
  <si>
    <t xml:space="preserve">L9.DNZJ.55706</t>
  </si>
  <si>
    <t xml:space="preserve">55706</t>
  </si>
  <si>
    <t xml:space="preserve">People (Hastings DC Maint)</t>
  </si>
  <si>
    <t xml:space="preserve">L9.DNZJ.55281</t>
  </si>
  <si>
    <t xml:space="preserve">55281</t>
  </si>
  <si>
    <t xml:space="preserve">it was previously named 'People (Hawkes Bay Maint)'. As per EDW dashboard, this is allocated to People (Hastings DC Maint) with code 55281 (updated by 2024.07.08)</t>
  </si>
  <si>
    <t xml:space="preserve">People (Hawkes Bay Other)</t>
  </si>
  <si>
    <t xml:space="preserve">L9.DNZJ.55751</t>
  </si>
  <si>
    <t xml:space="preserve">55751</t>
  </si>
  <si>
    <t xml:space="preserve">People (ITS - Rail)</t>
  </si>
  <si>
    <t xml:space="preserve">L9.DNZJ.54704</t>
  </si>
  <si>
    <t xml:space="preserve">54704</t>
  </si>
  <si>
    <t xml:space="preserve">People (ITS)</t>
  </si>
  <si>
    <t xml:space="preserve">L9.DNZJ.54702</t>
  </si>
  <si>
    <t xml:space="preserve">54702</t>
  </si>
  <si>
    <t xml:space="preserve">People (Kaikoura)</t>
  </si>
  <si>
    <t xml:space="preserve">L9.DNZJ.55768</t>
  </si>
  <si>
    <t xml:space="preserve">55768</t>
  </si>
  <si>
    <t xml:space="preserve">People (LS Roadmarking)</t>
  </si>
  <si>
    <t xml:space="preserve">L9.DNZJ.55296</t>
  </si>
  <si>
    <t xml:space="preserve">55296</t>
  </si>
  <si>
    <t xml:space="preserve">People (Maintenance CHCH)</t>
  </si>
  <si>
    <t xml:space="preserve">L9.DNZJ.55780</t>
  </si>
  <si>
    <t xml:space="preserve">55780</t>
  </si>
  <si>
    <t xml:space="preserve">People (Manawatu Construction)</t>
  </si>
  <si>
    <t xml:space="preserve">L9.DNZJ.55758</t>
  </si>
  <si>
    <t xml:space="preserve">55758</t>
  </si>
  <si>
    <t xml:space="preserve">People (Milford Road Alliance)</t>
  </si>
  <si>
    <t xml:space="preserve">L9.DNZJ.55793</t>
  </si>
  <si>
    <t xml:space="preserve">55793</t>
  </si>
  <si>
    <t xml:space="preserve">People (Napier CC Alliance)</t>
  </si>
  <si>
    <t xml:space="preserve">L9.DNZJ.54723</t>
  </si>
  <si>
    <t xml:space="preserve">54723</t>
  </si>
  <si>
    <t xml:space="preserve">People (NP Other)</t>
  </si>
  <si>
    <t xml:space="preserve">L9.DNZJ.55746</t>
  </si>
  <si>
    <t xml:space="preserve">55746</t>
  </si>
  <si>
    <t xml:space="preserve">People (NPDC)</t>
  </si>
  <si>
    <t xml:space="preserve">L9.DNZJ.55278</t>
  </si>
  <si>
    <t xml:space="preserve">55278</t>
  </si>
  <si>
    <t xml:space="preserve">People (Nthn Young Professns)</t>
  </si>
  <si>
    <t xml:space="preserve">L9.DNZJ.55270</t>
  </si>
  <si>
    <t xml:space="preserve">55270</t>
  </si>
  <si>
    <t xml:space="preserve">People (NZTA Taranaki NOC)</t>
  </si>
  <si>
    <t xml:space="preserve">L9.DNZJ.55277</t>
  </si>
  <si>
    <t xml:space="preserve">55277</t>
  </si>
  <si>
    <t xml:space="preserve">People (Otago Maintenance)</t>
  </si>
  <si>
    <t xml:space="preserve">L9.DNZJ.55787</t>
  </si>
  <si>
    <t xml:space="preserve">55787</t>
  </si>
  <si>
    <t xml:space="preserve">People (Paeroa)</t>
  </si>
  <si>
    <t xml:space="preserve">L9.DNZJ.55713</t>
  </si>
  <si>
    <t xml:space="preserve">55713</t>
  </si>
  <si>
    <t xml:space="preserve">People (Pavement Services)</t>
  </si>
  <si>
    <t xml:space="preserve">L9.DNZJ.55739</t>
  </si>
  <si>
    <t xml:space="preserve">55739</t>
  </si>
  <si>
    <t xml:space="preserve">TI-NZT-55739 - People (Pavement Services)</t>
  </si>
  <si>
    <t xml:space="preserve">People (Paving - BOP)</t>
  </si>
  <si>
    <t xml:space="preserve">L9.DNZJ.54717</t>
  </si>
  <si>
    <t xml:space="preserve">54717</t>
  </si>
  <si>
    <t xml:space="preserve">People (Paving - CHCH)</t>
  </si>
  <si>
    <t xml:space="preserve">L9.DNZJ.55796</t>
  </si>
  <si>
    <t xml:space="preserve">55796</t>
  </si>
  <si>
    <t xml:space="preserve">People (Paving - Gisborne)</t>
  </si>
  <si>
    <t xml:space="preserve">L9.DNZJ.54710</t>
  </si>
  <si>
    <t xml:space="preserve">54710</t>
  </si>
  <si>
    <t xml:space="preserve">People (Paving - Otago/Sthld)</t>
  </si>
  <si>
    <t xml:space="preserve">L9.DNZJ.55792</t>
  </si>
  <si>
    <t xml:space="preserve">55792</t>
  </si>
  <si>
    <t xml:space="preserve">People (Paving - Waikato)</t>
  </si>
  <si>
    <t xml:space="preserve">L9.DNZJ.55738</t>
  </si>
  <si>
    <t xml:space="preserve">55738</t>
  </si>
  <si>
    <t xml:space="preserve">People (Paving - Wellington)</t>
  </si>
  <si>
    <t xml:space="preserve">L9.DNZJ.55763</t>
  </si>
  <si>
    <t xml:space="preserve">55763</t>
  </si>
  <si>
    <t xml:space="preserve">People (PCC Wgtn)</t>
  </si>
  <si>
    <t xml:space="preserve">L9.DNZJ.55717</t>
  </si>
  <si>
    <t xml:space="preserve">55717</t>
  </si>
  <si>
    <t xml:space="preserve">People (Queenstown)</t>
  </si>
  <si>
    <t xml:space="preserve">L9.DNZJ.55785</t>
  </si>
  <si>
    <t xml:space="preserve">55785</t>
  </si>
  <si>
    <t xml:space="preserve">People (Rangitikei)</t>
  </si>
  <si>
    <t xml:space="preserve">L9.DNZJ.54776</t>
  </si>
  <si>
    <t xml:space="preserve">54776</t>
  </si>
  <si>
    <t xml:space="preserve">TI-NZT-54776 - People (Rangitikei)</t>
  </si>
  <si>
    <t xml:space="preserve">People (RM Wgtn)</t>
  </si>
  <si>
    <t xml:space="preserve">L9.DNZJ.55719</t>
  </si>
  <si>
    <t xml:space="preserve">55719</t>
  </si>
  <si>
    <t xml:space="preserve">People (Roadmarking National)</t>
  </si>
  <si>
    <t xml:space="preserve">L9.DNZJ.55297</t>
  </si>
  <si>
    <t xml:space="preserve">55297</t>
  </si>
  <si>
    <t xml:space="preserve">People (Roadmarking Nthland)</t>
  </si>
  <si>
    <t xml:space="preserve">L9.DNZJ.55727</t>
  </si>
  <si>
    <t xml:space="preserve">55727</t>
  </si>
  <si>
    <t xml:space="preserve">People (Roadmarking TKI)</t>
  </si>
  <si>
    <t xml:space="preserve">L9.DNZJ.55287</t>
  </si>
  <si>
    <t xml:space="preserve">55287</t>
  </si>
  <si>
    <t xml:space="preserve">People (Roadmarking)</t>
  </si>
  <si>
    <t xml:space="preserve">L9.DNZJ.55276</t>
  </si>
  <si>
    <t xml:space="preserve">55276</t>
  </si>
  <si>
    <t xml:space="preserve">People (Sealing - BOP)</t>
  </si>
  <si>
    <t xml:space="preserve">L9.DNZJ.54716</t>
  </si>
  <si>
    <t xml:space="preserve">54716</t>
  </si>
  <si>
    <t xml:space="preserve">People (Sealing - CHCH)</t>
  </si>
  <si>
    <t xml:space="preserve">L9.DNZJ.55798</t>
  </si>
  <si>
    <t xml:space="preserve">55798</t>
  </si>
  <si>
    <t xml:space="preserve">People (Sealing - Hawkes Bay)</t>
  </si>
  <si>
    <t xml:space="preserve">L9.DNZJ.55762</t>
  </si>
  <si>
    <t xml:space="preserve">55762</t>
  </si>
  <si>
    <t xml:space="preserve">People (Sealing - Otago/Sthld)</t>
  </si>
  <si>
    <t xml:space="preserve">L9.DNZJ.55795</t>
  </si>
  <si>
    <t xml:space="preserve">55795</t>
  </si>
  <si>
    <t xml:space="preserve">People (Sealing - Taranaki)</t>
  </si>
  <si>
    <t xml:space="preserve">L9.DNZJ.55760</t>
  </si>
  <si>
    <t xml:space="preserve">55760</t>
  </si>
  <si>
    <t xml:space="preserve">People (Sealing - Tasman)</t>
  </si>
  <si>
    <t xml:space="preserve">L9.DNZJ.55794</t>
  </si>
  <si>
    <t xml:space="preserve">55794</t>
  </si>
  <si>
    <t xml:space="preserve">People (Sealing - Waikato)</t>
  </si>
  <si>
    <t xml:space="preserve">L9.DNZJ.55733</t>
  </si>
  <si>
    <t xml:space="preserve">55733</t>
  </si>
  <si>
    <t xml:space="preserve">People (Sealing - Whanganui)</t>
  </si>
  <si>
    <t xml:space="preserve">L9.DNZJ.55237</t>
  </si>
  <si>
    <t xml:space="preserve">55237</t>
  </si>
  <si>
    <t xml:space="preserve">People (Services Wgtn)</t>
  </si>
  <si>
    <t xml:space="preserve">L9.DNZJ.54741</t>
  </si>
  <si>
    <t xml:space="preserve">54741</t>
  </si>
  <si>
    <t xml:space="preserve">People (South Canterbury)</t>
  </si>
  <si>
    <t xml:space="preserve">L9.DNZJ.55782</t>
  </si>
  <si>
    <t xml:space="preserve">55782</t>
  </si>
  <si>
    <t xml:space="preserve">People (South/Central Const.)</t>
  </si>
  <si>
    <t xml:space="preserve">L9.DNZJ.55789</t>
  </si>
  <si>
    <t xml:space="preserve">55789</t>
  </si>
  <si>
    <t xml:space="preserve">People (Taranaki Traffic Serv)</t>
  </si>
  <si>
    <t xml:space="preserve">L9.DNZJ.55299</t>
  </si>
  <si>
    <t xml:space="preserve">55299</t>
  </si>
  <si>
    <t xml:space="preserve">People (Tararua)</t>
  </si>
  <si>
    <t xml:space="preserve">55755</t>
  </si>
  <si>
    <t xml:space="preserve">People (Tasman Construction)</t>
  </si>
  <si>
    <t xml:space="preserve">L9.DNZJ.55766</t>
  </si>
  <si>
    <t xml:space="preserve">55766</t>
  </si>
  <si>
    <t xml:space="preserve">People (Tasman Road Services)</t>
  </si>
  <si>
    <t xml:space="preserve">L9.DNZJ.55290</t>
  </si>
  <si>
    <t xml:space="preserve">55290</t>
  </si>
  <si>
    <t xml:space="preserve">People (Tasman Roadmarking)</t>
  </si>
  <si>
    <t xml:space="preserve">L9.DNZJ.55289</t>
  </si>
  <si>
    <t xml:space="preserve">55289</t>
  </si>
  <si>
    <t xml:space="preserve">People (Taumarunui)</t>
  </si>
  <si>
    <t xml:space="preserve">L9.DNZJ.55724</t>
  </si>
  <si>
    <t xml:space="preserve">55724</t>
  </si>
  <si>
    <t xml:space="preserve">People (Taupo)</t>
  </si>
  <si>
    <t xml:space="preserve">L9.DNZJ.55723</t>
  </si>
  <si>
    <t xml:space="preserve">55723</t>
  </si>
  <si>
    <t xml:space="preserve">People (Tauranga)</t>
  </si>
  <si>
    <t xml:space="preserve">People (TC - Otago)</t>
  </si>
  <si>
    <t xml:space="preserve">L9.DNZJ.54714</t>
  </si>
  <si>
    <t xml:space="preserve">54714</t>
  </si>
  <si>
    <t xml:space="preserve">People (TC - Tasman)</t>
  </si>
  <si>
    <t xml:space="preserve">People (TC CHCH)</t>
  </si>
  <si>
    <t xml:space="preserve">L9.DNZJ.55293</t>
  </si>
  <si>
    <t xml:space="preserve">55293</t>
  </si>
  <si>
    <t xml:space="preserve">People (TC Gisborne)</t>
  </si>
  <si>
    <t xml:space="preserve">L9.DNZJ.54728</t>
  </si>
  <si>
    <t xml:space="preserve">54728</t>
  </si>
  <si>
    <t xml:space="preserve">People (TC Hawkes Bay)</t>
  </si>
  <si>
    <t xml:space="preserve">L9.DNZJ.54740</t>
  </si>
  <si>
    <t xml:space="preserve">54740</t>
  </si>
  <si>
    <t xml:space="preserve">People (TDC Alliance)</t>
  </si>
  <si>
    <t xml:space="preserve">L9.DNZJ.55288</t>
  </si>
  <si>
    <t xml:space="preserve">55288</t>
  </si>
  <si>
    <t xml:space="preserve">People (Technical Services)</t>
  </si>
  <si>
    <t xml:space="preserve">L9.DNZJ.55282</t>
  </si>
  <si>
    <t xml:space="preserve">55282</t>
  </si>
  <si>
    <t xml:space="preserve">People (Tirau)</t>
  </si>
  <si>
    <t xml:space="preserve">L9.DNZJ.55720</t>
  </si>
  <si>
    <t xml:space="preserve">55720</t>
  </si>
  <si>
    <t xml:space="preserve">People (TM Wgtn)</t>
  </si>
  <si>
    <t xml:space="preserve">L9.DNZJ.55726</t>
  </si>
  <si>
    <t xml:space="preserve">55726</t>
  </si>
  <si>
    <t xml:space="preserve">People (TNOC Taumaranui)</t>
  </si>
  <si>
    <t xml:space="preserve">L9.DNZJ.54727</t>
  </si>
  <si>
    <t xml:space="preserve">54727</t>
  </si>
  <si>
    <t xml:space="preserve">People (TRC Construction)</t>
  </si>
  <si>
    <t xml:space="preserve">L9.DNZJ.3121</t>
  </si>
  <si>
    <t xml:space="preserve">3121</t>
  </si>
  <si>
    <t xml:space="preserve">People (TRC Crushing)</t>
  </si>
  <si>
    <t xml:space="preserve">L9.DNZJ.3131</t>
  </si>
  <si>
    <t xml:space="preserve">3131</t>
  </si>
  <si>
    <t xml:space="preserve">People (Waikato Alliance)</t>
  </si>
  <si>
    <t xml:space="preserve">L9.DNZJ.55707</t>
  </si>
  <si>
    <t xml:space="preserve">55707</t>
  </si>
  <si>
    <t xml:space="preserve">People (Waikato Reg Services)</t>
  </si>
  <si>
    <t xml:space="preserve">L9.DNZJ.54721</t>
  </si>
  <si>
    <t xml:space="preserve">54721</t>
  </si>
  <si>
    <t xml:space="preserve">People (Waikato TS)</t>
  </si>
  <si>
    <t xml:space="preserve">L9.DNZJ.54719</t>
  </si>
  <si>
    <t xml:space="preserve">54719</t>
  </si>
  <si>
    <t xml:space="preserve">People (Waipa DC)</t>
  </si>
  <si>
    <t xml:space="preserve">L9.DNZJ.54839</t>
  </si>
  <si>
    <t xml:space="preserve">54739</t>
  </si>
  <si>
    <t xml:space="preserve">People (WCC Maintenance Wgtn)</t>
  </si>
  <si>
    <t xml:space="preserve">L9.DNZJ.55716</t>
  </si>
  <si>
    <t xml:space="preserve">55716</t>
  </si>
  <si>
    <t xml:space="preserve">People (Wellington Other)</t>
  </si>
  <si>
    <t xml:space="preserve">L9.DNZJ.55756</t>
  </si>
  <si>
    <t xml:space="preserve">55756</t>
  </si>
  <si>
    <t xml:space="preserve">People (Whanganui Alliance)</t>
  </si>
  <si>
    <t xml:space="preserve">L9.DNZJ.55754</t>
  </si>
  <si>
    <t xml:space="preserve">55754</t>
  </si>
  <si>
    <t xml:space="preserve">People (Whanganui Other)</t>
  </si>
  <si>
    <t xml:space="preserve">L9.DNZJ.54735</t>
  </si>
  <si>
    <t xml:space="preserve">54735</t>
  </si>
  <si>
    <t xml:space="preserve">People AT Central Urban RCM</t>
  </si>
  <si>
    <t xml:space="preserve">L9.DNZJ.55740</t>
  </si>
  <si>
    <t xml:space="preserve">55740</t>
  </si>
  <si>
    <t xml:space="preserve">People AT North Rural RCM</t>
  </si>
  <si>
    <t xml:space="preserve">L9.DNZJ.55704</t>
  </si>
  <si>
    <t xml:space="preserve">55704</t>
  </si>
  <si>
    <t xml:space="preserve">People AT Waiheke-Rakino RCM</t>
  </si>
  <si>
    <t xml:space="preserve">L9.DNZJ.55705</t>
  </si>
  <si>
    <t xml:space="preserve">55705</t>
  </si>
  <si>
    <t xml:space="preserve">People Concrete Akld</t>
  </si>
  <si>
    <t xml:space="preserve">L9.DNZJ.55736</t>
  </si>
  <si>
    <t xml:space="preserve">55736</t>
  </si>
  <si>
    <t xml:space="preserve">People Construction Akld</t>
  </si>
  <si>
    <t xml:space="preserve">L9.DNZJ.55725</t>
  </si>
  <si>
    <t xml:space="preserve">55725</t>
  </si>
  <si>
    <t xml:space="preserve">People Construction Nthld</t>
  </si>
  <si>
    <t xml:space="preserve">L9.DNZJ.55702</t>
  </si>
  <si>
    <t xml:space="preserve">55702</t>
  </si>
  <si>
    <t xml:space="preserve">People Facility (Hamilton All)</t>
  </si>
  <si>
    <t xml:space="preserve">L9.DNZJ.55709</t>
  </si>
  <si>
    <t xml:space="preserve">55709</t>
  </si>
  <si>
    <t xml:space="preserve">People Facility (Napier Allia)</t>
  </si>
  <si>
    <t xml:space="preserve">L9.DNZJ.54722</t>
  </si>
  <si>
    <t xml:space="preserve">54722</t>
  </si>
  <si>
    <t xml:space="preserve">People Facility (Tararua All)</t>
  </si>
  <si>
    <t xml:space="preserve">L9.DNZJ.55759</t>
  </si>
  <si>
    <t xml:space="preserve">55759</t>
  </si>
  <si>
    <t xml:space="preserve">People Facility (Whanganui All</t>
  </si>
  <si>
    <t xml:space="preserve">L9.DNZJ.55753</t>
  </si>
  <si>
    <t xml:space="preserve">55753</t>
  </si>
  <si>
    <t xml:space="preserve">People NTA WDC Mtce</t>
  </si>
  <si>
    <t xml:space="preserve">L9.DNZJ.55730</t>
  </si>
  <si>
    <t xml:space="preserve">55730</t>
  </si>
  <si>
    <t xml:space="preserve">People Nthld</t>
  </si>
  <si>
    <t xml:space="preserve">55701</t>
  </si>
  <si>
    <t xml:space="preserve">People OSM - Blenheim</t>
  </si>
  <si>
    <t xml:space="preserve">L9.DNZJ.55775</t>
  </si>
  <si>
    <t xml:space="preserve">55775</t>
  </si>
  <si>
    <t xml:space="preserve">People OSM - Canterbury</t>
  </si>
  <si>
    <t xml:space="preserve">L9.DNZJ.55735</t>
  </si>
  <si>
    <t xml:space="preserve">55735</t>
  </si>
  <si>
    <t xml:space="preserve">TI-NZT-55735-People OSM - Canterbury</t>
  </si>
  <si>
    <t xml:space="preserve">People Paving Akld</t>
  </si>
  <si>
    <t xml:space="preserve">L9.DNZJ.55734</t>
  </si>
  <si>
    <t xml:space="preserve">55734</t>
  </si>
  <si>
    <t xml:space="preserve">People Penrose Akld</t>
  </si>
  <si>
    <t xml:space="preserve">L9.DNZJ.55703</t>
  </si>
  <si>
    <t xml:space="preserve">55703</t>
  </si>
  <si>
    <t xml:space="preserve">People Quarry (Gisborne)</t>
  </si>
  <si>
    <t xml:space="preserve">L9.DNZJ.55749</t>
  </si>
  <si>
    <t xml:space="preserve">55749</t>
  </si>
  <si>
    <t xml:space="preserve">People Sealing Akld</t>
  </si>
  <si>
    <t xml:space="preserve">L9.DNZJ.55732</t>
  </si>
  <si>
    <t xml:space="preserve">55732</t>
  </si>
  <si>
    <t xml:space="preserve">People Sealing Nthld</t>
  </si>
  <si>
    <t xml:space="preserve">L9.DNZJ.55799</t>
  </si>
  <si>
    <t xml:space="preserve">55799</t>
  </si>
  <si>
    <t xml:space="preserve">People Tech. Servs Akl</t>
  </si>
  <si>
    <t xml:space="preserve">L9.DNZJ.55742</t>
  </si>
  <si>
    <t xml:space="preserve">55742</t>
  </si>
  <si>
    <t xml:space="preserve">People Traffic Management Akld</t>
  </si>
  <si>
    <t xml:space="preserve">L9.DNZJ.55743</t>
  </si>
  <si>
    <t xml:space="preserve">55743</t>
  </si>
  <si>
    <t xml:space="preserve">People Traffic Management Nthl</t>
  </si>
  <si>
    <t xml:space="preserve">L9.DNZJ.55728</t>
  </si>
  <si>
    <t xml:space="preserve">55728</t>
  </si>
  <si>
    <t xml:space="preserve">People Traffic Signs &amp; Proj Ak</t>
  </si>
  <si>
    <t xml:space="preserve">L9.DNZJ.54724</t>
  </si>
  <si>
    <t xml:space="preserve">54724</t>
  </si>
  <si>
    <t xml:space="preserve">People(Construction Whanganui)</t>
  </si>
  <si>
    <t xml:space="preserve">L9.DNZJ.55279</t>
  </si>
  <si>
    <t xml:space="preserve">55279</t>
  </si>
  <si>
    <t xml:space="preserve">People(Manawatu Traffic Svces)</t>
  </si>
  <si>
    <t xml:space="preserve">L9.DNZJ.54725</t>
  </si>
  <si>
    <t xml:space="preserve">54725</t>
  </si>
  <si>
    <t xml:space="preserve">Perth Plant Pool</t>
  </si>
  <si>
    <t xml:space="preserve">L9.J.254202</t>
  </si>
  <si>
    <t xml:space="preserve">254202</t>
  </si>
  <si>
    <t xml:space="preserve">Perth Transport Auth Contract OH</t>
  </si>
  <si>
    <t xml:space="preserve">L9.S.14000280</t>
  </si>
  <si>
    <t xml:space="preserve">14000280</t>
  </si>
  <si>
    <t xml:space="preserve">Petone (201/2 Campbell St)</t>
  </si>
  <si>
    <t xml:space="preserve">L9.DNZJ.91406</t>
  </si>
  <si>
    <t xml:space="preserve">91406</t>
  </si>
  <si>
    <t xml:space="preserve">COR-NZHO-91406 - Petone (201/2 Campbell St)</t>
  </si>
  <si>
    <t xml:space="preserve">201/2 Campbell Terrace</t>
  </si>
  <si>
    <t xml:space="preserve">PG CS ENERGY ALLIANCE OH</t>
  </si>
  <si>
    <t xml:space="preserve">L9.J.382757</t>
  </si>
  <si>
    <t xml:space="preserve">382757</t>
  </si>
  <si>
    <t xml:space="preserve">PG East Direct Overheads</t>
  </si>
  <si>
    <t xml:space="preserve">L9.J.382755</t>
  </si>
  <si>
    <t xml:space="preserve">382755</t>
  </si>
  <si>
    <t xml:space="preserve">PG Gas Lower Hutt EU Subcontractors</t>
  </si>
  <si>
    <t xml:space="preserve">PG Gas Wellington EU Subcontractors</t>
  </si>
  <si>
    <t xml:space="preserve">L9.DUN.50140</t>
  </si>
  <si>
    <t xml:space="preserve">PG MECH Management OH</t>
  </si>
  <si>
    <t xml:space="preserve">L9.J.382156</t>
  </si>
  <si>
    <t xml:space="preserve">382156</t>
  </si>
  <si>
    <t xml:space="preserve">PG Plant (DEP)</t>
  </si>
  <si>
    <t xml:space="preserve">382157</t>
  </si>
  <si>
    <t xml:space="preserve">PG Plant (MHPS)</t>
  </si>
  <si>
    <t xml:space="preserve">L9.J.383005</t>
  </si>
  <si>
    <t xml:space="preserve">383005</t>
  </si>
  <si>
    <t xml:space="preserve">PG Power Auckland EU Subcontractors</t>
  </si>
  <si>
    <t xml:space="preserve">L9.DUN.70111</t>
  </si>
  <si>
    <t xml:space="preserve">PG Power Coromandel EU Subcontractors</t>
  </si>
  <si>
    <t xml:space="preserve">L9.DUN.60125</t>
  </si>
  <si>
    <t xml:space="preserve">PG Power Hawera EU Subcontractors</t>
  </si>
  <si>
    <t xml:space="preserve">PG Power Masterton EU Subcontractors</t>
  </si>
  <si>
    <t xml:space="preserve">L9.DUN.69240</t>
  </si>
  <si>
    <t xml:space="preserve">PG Power Matamata EU Subcontractors</t>
  </si>
  <si>
    <t xml:space="preserve">PG Power New Plymouth EU Subcontractors</t>
  </si>
  <si>
    <t xml:space="preserve">L9.DUN.69210</t>
  </si>
  <si>
    <t xml:space="preserve">PG Power Paeroa EU Subcontractors</t>
  </si>
  <si>
    <t xml:space="preserve">PG Power Pahiatua EU Subcontractors</t>
  </si>
  <si>
    <t xml:space="preserve">L9.DUN.79121</t>
  </si>
  <si>
    <t xml:space="preserve">PG Power Palmerston North EU Subcontractors</t>
  </si>
  <si>
    <t xml:space="preserve">PG Power Tauranga EU Subcontractors</t>
  </si>
  <si>
    <t xml:space="preserve">L9.DUN.60110</t>
  </si>
  <si>
    <t xml:space="preserve">PG Power Wanganui EU Subcontractors</t>
  </si>
  <si>
    <t xml:space="preserve">L9.DUN.60220</t>
  </si>
  <si>
    <t xml:space="preserve">PG Power Wellington EU Subcontractors</t>
  </si>
  <si>
    <t xml:space="preserve">L9.DUN.70311</t>
  </si>
  <si>
    <t xml:space="preserve">PG SS NGT OH</t>
  </si>
  <si>
    <t xml:space="preserve">L9.J.392201</t>
  </si>
  <si>
    <t xml:space="preserve">392201</t>
  </si>
  <si>
    <t xml:space="preserve">PG WEL Network EU Subcontractors</t>
  </si>
  <si>
    <t xml:space="preserve">L9.DUN.79313</t>
  </si>
  <si>
    <t xml:space="preserve">PGI West WA Plant</t>
  </si>
  <si>
    <t xml:space="preserve">L9.J.381702</t>
  </si>
  <si>
    <t xml:space="preserve">381702</t>
  </si>
  <si>
    <t xml:space="preserve">Picton (12 - 14 Kent Street)</t>
  </si>
  <si>
    <t xml:space="preserve">L9.DNZJ.91389</t>
  </si>
  <si>
    <t xml:space="preserve">91389</t>
  </si>
  <si>
    <t xml:space="preserve">UT-NZU-564424-Picton Depot
COR-NZHO.91389-Picton (12 - 14 Kent Street)
12A Kent Street  Picton 7220  Marlborough Region</t>
  </si>
  <si>
    <t xml:space="preserve">12-14 Kent Street</t>
  </si>
  <si>
    <t xml:space="preserve">Picton Depot</t>
  </si>
  <si>
    <t xml:space="preserve">55628</t>
  </si>
  <si>
    <t xml:space="preserve">-41.2924</t>
  </si>
  <si>
    <t xml:space="preserve">174.0035</t>
  </si>
  <si>
    <t xml:space="preserve">Piling</t>
  </si>
  <si>
    <t xml:space="preserve">L9.DNZJ.8817</t>
  </si>
  <si>
    <t xml:space="preserve">8817</t>
  </si>
  <si>
    <t xml:space="preserve">1093086</t>
  </si>
  <si>
    <t xml:space="preserve">PINEHAVEN STREAM IMPROVEMENTS</t>
  </si>
  <si>
    <t xml:space="preserve">L9.DNZJ.DS2662</t>
  </si>
  <si>
    <t xml:space="preserve">JP_DS2662</t>
  </si>
  <si>
    <t xml:space="preserve">Pipe Bursting &amp; SLip Lining EU Subcontractors</t>
  </si>
  <si>
    <t xml:space="preserve">L9.J.24160295</t>
  </si>
  <si>
    <t xml:space="preserve">Pipeline Renewal EU Subcontractors</t>
  </si>
  <si>
    <t xml:space="preserve">L9.J.24010015</t>
  </si>
  <si>
    <t xml:space="preserve">Pipetech - Fyshwick Depot</t>
  </si>
  <si>
    <t xml:space="preserve">L9.J.30168101</t>
  </si>
  <si>
    <t xml:space="preserve">51 Whyalla Street</t>
  </si>
  <si>
    <t xml:space="preserve">40 Bunda Street</t>
  </si>
  <si>
    <t xml:space="preserve">2600</t>
  </si>
  <si>
    <t xml:space="preserve">-35.277896</t>
  </si>
  <si>
    <t xml:space="preserve">149.131217</t>
  </si>
  <si>
    <t xml:space="preserve">Pipetech National</t>
  </si>
  <si>
    <t xml:space="preserve">L9.J.239001</t>
  </si>
  <si>
    <t xml:space="preserve">239001</t>
  </si>
  <si>
    <t xml:space="preserve">Pipetech NSW/ACT</t>
  </si>
  <si>
    <t xml:space="preserve">239004</t>
  </si>
  <si>
    <t xml:space="preserve">Pipetech Plant National</t>
  </si>
  <si>
    <t xml:space="preserve">L9.J.239003</t>
  </si>
  <si>
    <t xml:space="preserve">239003</t>
  </si>
  <si>
    <t xml:space="preserve">Pipetech Plant NPT</t>
  </si>
  <si>
    <t xml:space="preserve">L9.J.239012</t>
  </si>
  <si>
    <t xml:space="preserve">239012</t>
  </si>
  <si>
    <t xml:space="preserve">Pipetech Plant NSW</t>
  </si>
  <si>
    <t xml:space="preserve">L9.J.239011</t>
  </si>
  <si>
    <t xml:space="preserve">239011</t>
  </si>
  <si>
    <t xml:space="preserve">Pipetech Plant QLD</t>
  </si>
  <si>
    <t xml:space="preserve">L9.J.239013</t>
  </si>
  <si>
    <t xml:space="preserve">239013</t>
  </si>
  <si>
    <t xml:space="preserve">Pipetech Plant SWC</t>
  </si>
  <si>
    <t xml:space="preserve">L9.J.239010</t>
  </si>
  <si>
    <t xml:space="preserve">239010</t>
  </si>
  <si>
    <t xml:space="preserve">Planning and Programming</t>
  </si>
  <si>
    <t xml:space="preserve">L9.DNZJ.8812</t>
  </si>
  <si>
    <t xml:space="preserve">8812</t>
  </si>
  <si>
    <t xml:space="preserve">L9.J.382011</t>
  </si>
  <si>
    <t xml:space="preserve">382011</t>
  </si>
  <si>
    <t xml:space="preserve">Plant - AC Stormwater Central</t>
  </si>
  <si>
    <t xml:space="preserve">L9.DNZJ.56803</t>
  </si>
  <si>
    <t xml:space="preserve">56804</t>
  </si>
  <si>
    <t xml:space="preserve">Plant - AC Stormwater North</t>
  </si>
  <si>
    <t xml:space="preserve">56803</t>
  </si>
  <si>
    <t xml:space="preserve">Plant - Administration</t>
  </si>
  <si>
    <t xml:space="preserve">L9.DNZJ.8010</t>
  </si>
  <si>
    <t xml:space="preserve">8010</t>
  </si>
  <si>
    <t xml:space="preserve">Plant - Automation Nth Is.</t>
  </si>
  <si>
    <t xml:space="preserve">56819</t>
  </si>
  <si>
    <t xml:space="preserve">Plant - Automation Sth Is.</t>
  </si>
  <si>
    <t xml:space="preserve">56820</t>
  </si>
  <si>
    <t xml:space="preserve">Plant - Bairnsdale</t>
  </si>
  <si>
    <t xml:space="preserve">L9.J.241983</t>
  </si>
  <si>
    <t xml:space="preserve">241983</t>
  </si>
  <si>
    <t xml:space="preserve">Plant - Beaconfield</t>
  </si>
  <si>
    <t xml:space="preserve">L9.J.241979</t>
  </si>
  <si>
    <t xml:space="preserve">241979</t>
  </si>
  <si>
    <t xml:space="preserve">Plant - Benalla</t>
  </si>
  <si>
    <t xml:space="preserve">L9.J.241994</t>
  </si>
  <si>
    <t xml:space="preserve">241994</t>
  </si>
  <si>
    <t xml:space="preserve">Plant - Const. Canterbury/WTC</t>
  </si>
  <si>
    <t xml:space="preserve">L9.DNZJ.56847</t>
  </si>
  <si>
    <t xml:space="preserve">56847</t>
  </si>
  <si>
    <t xml:space="preserve">Plant - Const. Otago/Southlnd</t>
  </si>
  <si>
    <t xml:space="preserve">56846</t>
  </si>
  <si>
    <t xml:space="preserve">Plant - Const. Otago/Southlnd EU Subcontractors</t>
  </si>
  <si>
    <t xml:space="preserve">L9.DNZJ.56846</t>
  </si>
  <si>
    <t xml:space="preserve">Plant - Cranes Auckland</t>
  </si>
  <si>
    <t xml:space="preserve">L9.DNZJ.54845</t>
  </si>
  <si>
    <t xml:space="preserve">54845</t>
  </si>
  <si>
    <t xml:space="preserve">Not in INX.</t>
  </si>
  <si>
    <t xml:space="preserve">Plant - Engineering Services</t>
  </si>
  <si>
    <t xml:space="preserve">L9.DUN.20300</t>
  </si>
  <si>
    <t xml:space="preserve">56851</t>
  </si>
  <si>
    <t xml:space="preserve">Plant - ICC Piped Network Mtnc</t>
  </si>
  <si>
    <t xml:space="preserve">56818</t>
  </si>
  <si>
    <t xml:space="preserve">Plant - Kaipara</t>
  </si>
  <si>
    <t xml:space="preserve">L9.DNZJ.56111</t>
  </si>
  <si>
    <t xml:space="preserve">56802</t>
  </si>
  <si>
    <t xml:space="preserve">Plant - Kaipara DC</t>
  </si>
  <si>
    <t xml:space="preserve">L9.DNZJ.54886</t>
  </si>
  <si>
    <t xml:space="preserve">54886</t>
  </si>
  <si>
    <t xml:space="preserve">Plant - Leongatha</t>
  </si>
  <si>
    <t xml:space="preserve">L9.J.241984</t>
  </si>
  <si>
    <t xml:space="preserve">241984</t>
  </si>
  <si>
    <t xml:space="preserve">Plant - Levin</t>
  </si>
  <si>
    <t xml:space="preserve">L9.DNZJ.561350</t>
  </si>
  <si>
    <t xml:space="preserve">56808</t>
  </si>
  <si>
    <t xml:space="preserve">Plant - Lilydale</t>
  </si>
  <si>
    <t xml:space="preserve">L9.J.241977</t>
  </si>
  <si>
    <t xml:space="preserve">241977</t>
  </si>
  <si>
    <t xml:space="preserve">Plant - Mansfield</t>
  </si>
  <si>
    <t xml:space="preserve">L9.J.241995</t>
  </si>
  <si>
    <t xml:space="preserve">241995</t>
  </si>
  <si>
    <t xml:space="preserve">Plant - Microsurfacing</t>
  </si>
  <si>
    <t xml:space="preserve">L9.DNZJ.54848</t>
  </si>
  <si>
    <t xml:space="preserve">54848</t>
  </si>
  <si>
    <t xml:space="preserve">Plant – Microsurfacing</t>
  </si>
  <si>
    <t xml:space="preserve">L9.DNZJ.553443</t>
  </si>
  <si>
    <t xml:space="preserve">As per INX, allocate to prj: 
TI-NZT - NTH PRJ Microsurfacing
TI-NZT-553443 - Tauranga City FH Rejuves</t>
  </si>
  <si>
    <t xml:space="preserve">Plant - Myrtleford</t>
  </si>
  <si>
    <t xml:space="preserve">L9.J.241992</t>
  </si>
  <si>
    <t xml:space="preserve">241992</t>
  </si>
  <si>
    <t xml:space="preserve">Plant - Products Cranes</t>
  </si>
  <si>
    <t xml:space="preserve">L9.DNZJ.54844</t>
  </si>
  <si>
    <t xml:space="preserve">54844</t>
  </si>
  <si>
    <t xml:space="preserve">Plant - Projects O&amp;M</t>
  </si>
  <si>
    <t xml:space="preserve">L9.DNZJ.56812</t>
  </si>
  <si>
    <t xml:space="preserve">56812</t>
  </si>
  <si>
    <t xml:space="preserve">Plant - Projects O&amp;M EU Subcontractors</t>
  </si>
  <si>
    <t xml:space="preserve">Plant - Public Lighting</t>
  </si>
  <si>
    <t xml:space="preserve">L9.J.241997</t>
  </si>
  <si>
    <t xml:space="preserve">241997</t>
  </si>
  <si>
    <t xml:space="preserve">Plant - Rejuv Surfacing</t>
  </si>
  <si>
    <t xml:space="preserve">L9.DNZJ.54847</t>
  </si>
  <si>
    <t xml:space="preserve">54847</t>
  </si>
  <si>
    <t xml:space="preserve">Plant - Sale</t>
  </si>
  <si>
    <t xml:space="preserve">L9.J.241986</t>
  </si>
  <si>
    <t xml:space="preserve">241986</t>
  </si>
  <si>
    <t xml:space="preserve">Plant - Seymour</t>
  </si>
  <si>
    <t xml:space="preserve">L9.J.241996</t>
  </si>
  <si>
    <t xml:space="preserve">241996</t>
  </si>
  <si>
    <t xml:space="preserve">Plant - Southland</t>
  </si>
  <si>
    <t xml:space="preserve">L9.DNZJ.56811</t>
  </si>
  <si>
    <t xml:space="preserve">56811</t>
  </si>
  <si>
    <t xml:space="preserve">Plant - Specialist Civil Con.</t>
  </si>
  <si>
    <t xml:space="preserve">L9.DNZJ.56839</t>
  </si>
  <si>
    <t xml:space="preserve">56839</t>
  </si>
  <si>
    <t xml:space="preserve">Plant - Tasman</t>
  </si>
  <si>
    <t xml:space="preserve">L9.DNZJ.56125</t>
  </si>
  <si>
    <t xml:space="preserve">56810</t>
  </si>
  <si>
    <t xml:space="preserve">Plant - Taupo 3 Waters</t>
  </si>
  <si>
    <t xml:space="preserve">56814</t>
  </si>
  <si>
    <t xml:space="preserve">Plant - Tauranga</t>
  </si>
  <si>
    <t xml:space="preserve">L9.DNZJ.56807</t>
  </si>
  <si>
    <t xml:space="preserve">56807</t>
  </si>
  <si>
    <t xml:space="preserve">Plant - Thomastown</t>
  </si>
  <si>
    <t xml:space="preserve">L9.J.241978</t>
  </si>
  <si>
    <t xml:space="preserve">241978</t>
  </si>
  <si>
    <t xml:space="preserve">Plant - Traralgon</t>
  </si>
  <si>
    <t xml:space="preserve">L9.J.241985</t>
  </si>
  <si>
    <t xml:space="preserve">241985</t>
  </si>
  <si>
    <t xml:space="preserve">Plant - UG Central</t>
  </si>
  <si>
    <t xml:space="preserve">L9.J.241980</t>
  </si>
  <si>
    <t xml:space="preserve">241980</t>
  </si>
  <si>
    <t xml:space="preserve">Plant - UG East</t>
  </si>
  <si>
    <t xml:space="preserve">L9.J.241988</t>
  </si>
  <si>
    <t xml:space="preserve">241988</t>
  </si>
  <si>
    <t xml:space="preserve">Plant - UG North</t>
  </si>
  <si>
    <t xml:space="preserve">L9.J.241475</t>
  </si>
  <si>
    <t xml:space="preserve">241475</t>
  </si>
  <si>
    <t xml:space="preserve">Plant - Wangaratta</t>
  </si>
  <si>
    <t xml:space="preserve">L9.J.241993</t>
  </si>
  <si>
    <t xml:space="preserve">241993</t>
  </si>
  <si>
    <t xml:space="preserve">Plant - Warragul</t>
  </si>
  <si>
    <t xml:space="preserve">L9.J.241987</t>
  </si>
  <si>
    <t xml:space="preserve">241987</t>
  </si>
  <si>
    <t xml:space="preserve">Plant - Water Const Nth Is.</t>
  </si>
  <si>
    <t xml:space="preserve">L9.DNZJ.56849</t>
  </si>
  <si>
    <t xml:space="preserve">56849</t>
  </si>
  <si>
    <t xml:space="preserve">Plant - Watercare</t>
  </si>
  <si>
    <t xml:space="preserve">56805</t>
  </si>
  <si>
    <t xml:space="preserve">Plant - Whangarei</t>
  </si>
  <si>
    <t xml:space="preserve">L9.DNZJ.564418</t>
  </si>
  <si>
    <t xml:space="preserve">56801</t>
  </si>
  <si>
    <t xml:space="preserve">Plant - Wodonga</t>
  </si>
  <si>
    <t xml:space="preserve">L9.J.241991</t>
  </si>
  <si>
    <t xml:space="preserve">241991</t>
  </si>
  <si>
    <t xml:space="preserve">Plant &amp; Equipment - New</t>
  </si>
  <si>
    <t xml:space="preserve">L9.J.38275032</t>
  </si>
  <si>
    <t xml:space="preserve">38275032</t>
  </si>
  <si>
    <t xml:space="preserve">Plant (Auckland Roadmarking)</t>
  </si>
  <si>
    <t xml:space="preserve">L9.DNZJ.55844</t>
  </si>
  <si>
    <t xml:space="preserve">55844</t>
  </si>
  <si>
    <t xml:space="preserve">Plant (Biosecurity)</t>
  </si>
  <si>
    <t xml:space="preserve">L9.DNZJ.55883</t>
  </si>
  <si>
    <t xml:space="preserve">55883</t>
  </si>
  <si>
    <t xml:space="preserve">Plant (BOP Traffic Control)</t>
  </si>
  <si>
    <t xml:space="preserve">55810</t>
  </si>
  <si>
    <t xml:space="preserve">Plant (Cen Hawkes Bay Maint)</t>
  </si>
  <si>
    <t xml:space="preserve">L9.DNZJ.54836</t>
  </si>
  <si>
    <t xml:space="preserve">54836</t>
  </si>
  <si>
    <t xml:space="preserve">TI-NZT-54836 - Plant</t>
  </si>
  <si>
    <t xml:space="preserve">Plant (CHCH Roadmarking)</t>
  </si>
  <si>
    <t xml:space="preserve">L9.DNZJ.55495</t>
  </si>
  <si>
    <t xml:space="preserve">55495</t>
  </si>
  <si>
    <t xml:space="preserve">Plant (Construction BOP)</t>
  </si>
  <si>
    <t xml:space="preserve">L9.DNZJ.55473</t>
  </si>
  <si>
    <t xml:space="preserve">55473</t>
  </si>
  <si>
    <t xml:space="preserve">Plant (Construction CHCH)</t>
  </si>
  <si>
    <t xml:space="preserve">L9.DNZJ.55492</t>
  </si>
  <si>
    <t xml:space="preserve">55492</t>
  </si>
  <si>
    <t xml:space="preserve">Plant (Construction CNI)</t>
  </si>
  <si>
    <t xml:space="preserve">55475</t>
  </si>
  <si>
    <t xml:space="preserve">Plant (Construction Gisborne)</t>
  </si>
  <si>
    <t xml:space="preserve">L9.DNZJ.55485</t>
  </si>
  <si>
    <t xml:space="preserve">55485</t>
  </si>
  <si>
    <t xml:space="preserve">Plant (Construction HB)</t>
  </si>
  <si>
    <t xml:space="preserve">L9.DNZJ.55486</t>
  </si>
  <si>
    <t xml:space="preserve">55486</t>
  </si>
  <si>
    <t xml:space="preserve">Plant (Construction Otago)</t>
  </si>
  <si>
    <t xml:space="preserve">L9.DNZJ.55494</t>
  </si>
  <si>
    <t xml:space="preserve">55494</t>
  </si>
  <si>
    <t xml:space="preserve">Plant (Construction Taranaki)</t>
  </si>
  <si>
    <t xml:space="preserve">L9.DNZJ.55848</t>
  </si>
  <si>
    <t xml:space="preserve">55848</t>
  </si>
  <si>
    <t xml:space="preserve">Plant (Construction Waikato)</t>
  </si>
  <si>
    <t xml:space="preserve">L9.DNZJ.55472</t>
  </si>
  <si>
    <t xml:space="preserve">55472</t>
  </si>
  <si>
    <t xml:space="preserve">Plant (Construction Wgtn)</t>
  </si>
  <si>
    <t xml:space="preserve">L9.DNZJ.55815</t>
  </si>
  <si>
    <t xml:space="preserve">55815</t>
  </si>
  <si>
    <t xml:space="preserve">Plant (Construction Whanganui)</t>
  </si>
  <si>
    <t xml:space="preserve">L9.DNZJ.55479</t>
  </si>
  <si>
    <t xml:space="preserve">55479</t>
  </si>
  <si>
    <t xml:space="preserve">Plant (Gisborne LR)</t>
  </si>
  <si>
    <t xml:space="preserve">L9.DNZJ.55483</t>
  </si>
  <si>
    <t xml:space="preserve">55483</t>
  </si>
  <si>
    <t xml:space="preserve">Plant (Gisborne NOC)</t>
  </si>
  <si>
    <t xml:space="preserve">L9.DNZJ.55484</t>
  </si>
  <si>
    <t xml:space="preserve">55484</t>
  </si>
  <si>
    <t xml:space="preserve">Plant (Gisborne Other)</t>
  </si>
  <si>
    <t xml:space="preserve">55850</t>
  </si>
  <si>
    <t xml:space="preserve">900571</t>
  </si>
  <si>
    <t xml:space="preserve">Plant (Hamilton Alliance)</t>
  </si>
  <si>
    <t xml:space="preserve">L9.DNZJ.55806</t>
  </si>
  <si>
    <t xml:space="preserve">55806</t>
  </si>
  <si>
    <t xml:space="preserve">Plant (Hastings DC Maint)</t>
  </si>
  <si>
    <t xml:space="preserve">L9.DNZJ.55481</t>
  </si>
  <si>
    <t xml:space="preserve">55481</t>
  </si>
  <si>
    <t xml:space="preserve">previously named 'Plant (Hawkes Bay Maint)'. As per INX, latest name used is TI-NZT-55481 - Plant (Hastings DC Maint) (2024.07.08)</t>
  </si>
  <si>
    <t xml:space="preserve">Plant (Hawkes Bay Other)</t>
  </si>
  <si>
    <t xml:space="preserve">L9.DNZJ.55851</t>
  </si>
  <si>
    <t xml:space="preserve">55851</t>
  </si>
  <si>
    <t xml:space="preserve">Plant (ITS)</t>
  </si>
  <si>
    <t xml:space="preserve">L9.DNZJ.54802</t>
  </si>
  <si>
    <t xml:space="preserve">54802</t>
  </si>
  <si>
    <t xml:space="preserve">Plant (Kaikoura)</t>
  </si>
  <si>
    <t xml:space="preserve">L9.DNZJ.55868</t>
  </si>
  <si>
    <t xml:space="preserve">55868</t>
  </si>
  <si>
    <t xml:space="preserve">Plant (LS Roadmarking)</t>
  </si>
  <si>
    <t xml:space="preserve">L9.DNZJ.55496</t>
  </si>
  <si>
    <t xml:space="preserve">55496</t>
  </si>
  <si>
    <t xml:space="preserve">Plant (Maintenance CHCH)</t>
  </si>
  <si>
    <t xml:space="preserve">55880</t>
  </si>
  <si>
    <t xml:space="preserve">Plant (Manawatu Construction)</t>
  </si>
  <si>
    <t xml:space="preserve">L9.DNZJ.55858</t>
  </si>
  <si>
    <t xml:space="preserve">55858</t>
  </si>
  <si>
    <t xml:space="preserve">Plant (Milford Road Alliance)</t>
  </si>
  <si>
    <t xml:space="preserve">L9.DNZJ.55893</t>
  </si>
  <si>
    <t xml:space="preserve">55893</t>
  </si>
  <si>
    <t xml:space="preserve">Plant (Napier CC Alliance)</t>
  </si>
  <si>
    <t xml:space="preserve">L9.DNZJ.54823</t>
  </si>
  <si>
    <t xml:space="preserve">54823</t>
  </si>
  <si>
    <t xml:space="preserve">Plant (NP Other)</t>
  </si>
  <si>
    <t xml:space="preserve">55846</t>
  </si>
  <si>
    <t xml:space="preserve">Plant (NPDC)</t>
  </si>
  <si>
    <t xml:space="preserve">L9.DNZJ.55478</t>
  </si>
  <si>
    <t xml:space="preserve">55478</t>
  </si>
  <si>
    <t xml:space="preserve">Plant (NZTA Taranaki NOC)</t>
  </si>
  <si>
    <t xml:space="preserve">L9.DNZJ.55477</t>
  </si>
  <si>
    <t xml:space="preserve">55477</t>
  </si>
  <si>
    <t xml:space="preserve">Plant (Otago Maintenance)</t>
  </si>
  <si>
    <t xml:space="preserve">55887</t>
  </si>
  <si>
    <t xml:space="preserve">Plant (Paeroa)</t>
  </si>
  <si>
    <t xml:space="preserve">L9.DNZJ.55813</t>
  </si>
  <si>
    <t xml:space="preserve">55813</t>
  </si>
  <si>
    <t xml:space="preserve">Plant (Pavement Services)</t>
  </si>
  <si>
    <t xml:space="preserve">L9.DNZJ.55839</t>
  </si>
  <si>
    <t xml:space="preserve">55839</t>
  </si>
  <si>
    <t xml:space="preserve">Plant (Paving - BOP)</t>
  </si>
  <si>
    <t xml:space="preserve">L9.DNZJ.54817</t>
  </si>
  <si>
    <t xml:space="preserve">54817</t>
  </si>
  <si>
    <t xml:space="preserve">Plant (Paving - CHCH)</t>
  </si>
  <si>
    <t xml:space="preserve">L9.DNZJ.55896</t>
  </si>
  <si>
    <t xml:space="preserve">55896</t>
  </si>
  <si>
    <t xml:space="preserve">Plant (Paving - Otago/Sthld)</t>
  </si>
  <si>
    <t xml:space="preserve">55892</t>
  </si>
  <si>
    <t xml:space="preserve">Plant (Paving - Waikato)</t>
  </si>
  <si>
    <t xml:space="preserve">L9.DNZJ.55838</t>
  </si>
  <si>
    <t xml:space="preserve">55838</t>
  </si>
  <si>
    <t xml:space="preserve">Plant (Paving - Wellington)</t>
  </si>
  <si>
    <t xml:space="preserve">55863</t>
  </si>
  <si>
    <t xml:space="preserve">Plant (PCC Wgtn)</t>
  </si>
  <si>
    <t xml:space="preserve">L9.DNZJ.55817</t>
  </si>
  <si>
    <t xml:space="preserve">55817</t>
  </si>
  <si>
    <t xml:space="preserve">PCC &amp; WCC</t>
  </si>
  <si>
    <t xml:space="preserve">Plant (Queenstown)</t>
  </si>
  <si>
    <t xml:space="preserve">55885</t>
  </si>
  <si>
    <t xml:space="preserve">Plant (Rangitikei)</t>
  </si>
  <si>
    <t xml:space="preserve">L9.DNZJ.54876</t>
  </si>
  <si>
    <t xml:space="preserve">54876</t>
  </si>
  <si>
    <t xml:space="preserve">Plant (RM Wgtn)</t>
  </si>
  <si>
    <t xml:space="preserve">L9.DNZJ.55819</t>
  </si>
  <si>
    <t xml:space="preserve">55819</t>
  </si>
  <si>
    <t xml:space="preserve">NZ Hutt City Council Reporting</t>
  </si>
  <si>
    <t xml:space="preserve">Plant (Roadmarking Nthland)</t>
  </si>
  <si>
    <t xml:space="preserve">L9.DNZJ.55827</t>
  </si>
  <si>
    <t xml:space="preserve">55827</t>
  </si>
  <si>
    <t xml:space="preserve">Plant (Roadmarking TKI)</t>
  </si>
  <si>
    <t xml:space="preserve">L9.DNZJ.55487</t>
  </si>
  <si>
    <t xml:space="preserve">55487</t>
  </si>
  <si>
    <t xml:space="preserve">Plant (Roadmarking)</t>
  </si>
  <si>
    <t xml:space="preserve">L9.DNZJ.55476</t>
  </si>
  <si>
    <t xml:space="preserve">55476</t>
  </si>
  <si>
    <t xml:space="preserve">Plant (Sealing - CHCH)</t>
  </si>
  <si>
    <t xml:space="preserve">L9.DNZJ.55898</t>
  </si>
  <si>
    <t xml:space="preserve">55898</t>
  </si>
  <si>
    <t xml:space="preserve">Plant (Sealing - Hawkes Bay)</t>
  </si>
  <si>
    <t xml:space="preserve">L9.DNZJ.55862</t>
  </si>
  <si>
    <t xml:space="preserve">55862</t>
  </si>
  <si>
    <t xml:space="preserve">Plant (Sealing - Otago/South)</t>
  </si>
  <si>
    <t xml:space="preserve">55895</t>
  </si>
  <si>
    <t xml:space="preserve">Plant (Sealing - Taranaki)</t>
  </si>
  <si>
    <t xml:space="preserve">L9.DNZJ.55860</t>
  </si>
  <si>
    <t xml:space="preserve">55860</t>
  </si>
  <si>
    <t xml:space="preserve">Plant (Sealing - Tasman)</t>
  </si>
  <si>
    <t xml:space="preserve">L9.DNZJ.55894</t>
  </si>
  <si>
    <t xml:space="preserve">55894</t>
  </si>
  <si>
    <t xml:space="preserve">Plant (Sealing - Waikato)</t>
  </si>
  <si>
    <t xml:space="preserve">55833</t>
  </si>
  <si>
    <t xml:space="preserve">Plant (Sealing - Whanganui)</t>
  </si>
  <si>
    <t xml:space="preserve">L9.DNZJ.55206</t>
  </si>
  <si>
    <t xml:space="preserve">55206</t>
  </si>
  <si>
    <t xml:space="preserve">Plant (Sealing Tararua)</t>
  </si>
  <si>
    <t xml:space="preserve">L9.DNZJ.55865</t>
  </si>
  <si>
    <t xml:space="preserve">55865</t>
  </si>
  <si>
    <t xml:space="preserve">Plant (Services Wgtn)</t>
  </si>
  <si>
    <t xml:space="preserve">54841</t>
  </si>
  <si>
    <t xml:space="preserve">Plant (South Canterbury)</t>
  </si>
  <si>
    <t xml:space="preserve">L9.DNZJ.55882</t>
  </si>
  <si>
    <t xml:space="preserve">55882</t>
  </si>
  <si>
    <t xml:space="preserve">Plant (South/Central Const.)</t>
  </si>
  <si>
    <t xml:space="preserve">L9.DNZJ.55889</t>
  </si>
  <si>
    <t xml:space="preserve">55889</t>
  </si>
  <si>
    <t xml:space="preserve">Plant (Taranaki Traffic Serv)</t>
  </si>
  <si>
    <t xml:space="preserve">L9.DNZJ.55499</t>
  </si>
  <si>
    <t xml:space="preserve">55499</t>
  </si>
  <si>
    <t xml:space="preserve">Plant (Tararua)</t>
  </si>
  <si>
    <t xml:space="preserve">55855</t>
  </si>
  <si>
    <t xml:space="preserve">Plant (Tasman Construction)</t>
  </si>
  <si>
    <t xml:space="preserve">55866</t>
  </si>
  <si>
    <t xml:space="preserve">Plant (Tasman Roadmarking)</t>
  </si>
  <si>
    <t xml:space="preserve">L9.DNZJ.55489</t>
  </si>
  <si>
    <t xml:space="preserve">55489</t>
  </si>
  <si>
    <t xml:space="preserve">Plant (Taumarunui)</t>
  </si>
  <si>
    <t xml:space="preserve">L9.DNZJ.55824</t>
  </si>
  <si>
    <t xml:space="preserve">55824</t>
  </si>
  <si>
    <t xml:space="preserve">Plant (Taupo)</t>
  </si>
  <si>
    <t xml:space="preserve">55823</t>
  </si>
  <si>
    <t xml:space="preserve">Plant (Tauranga)</t>
  </si>
  <si>
    <t xml:space="preserve">55812</t>
  </si>
  <si>
    <t xml:space="preserve">Plant (TC - Otago)</t>
  </si>
  <si>
    <t xml:space="preserve">54814</t>
  </si>
  <si>
    <t xml:space="preserve">Plant (TC - Tasman)</t>
  </si>
  <si>
    <t xml:space="preserve">L9.DNZJ.55490</t>
  </si>
  <si>
    <t xml:space="preserve">55490</t>
  </si>
  <si>
    <t xml:space="preserve">Previously named 'Plant (Tasman Road Services)'. As per EDW/INX, latest name is TI-NZT-55490 - Plant (TC - Tasman). (2024.07.08)</t>
  </si>
  <si>
    <t xml:space="preserve">Plant (TC CHCH)</t>
  </si>
  <si>
    <t xml:space="preserve">L9.DNZJ.55493</t>
  </si>
  <si>
    <t xml:space="preserve">55493</t>
  </si>
  <si>
    <t xml:space="preserve">Plant (TC Gisborne)</t>
  </si>
  <si>
    <t xml:space="preserve">L9.DNZJ.54820</t>
  </si>
  <si>
    <t xml:space="preserve">54820</t>
  </si>
  <si>
    <t xml:space="preserve">Plant (TC Hawkes Bay)</t>
  </si>
  <si>
    <t xml:space="preserve">L9.DNZJ.54840</t>
  </si>
  <si>
    <t xml:space="preserve">54840</t>
  </si>
  <si>
    <t xml:space="preserve">Plant (TDC Alliance)</t>
  </si>
  <si>
    <t xml:space="preserve">L9.DNZJ.55488</t>
  </si>
  <si>
    <t xml:space="preserve">55488</t>
  </si>
  <si>
    <t xml:space="preserve">Plant (Thermo National)</t>
  </si>
  <si>
    <t xml:space="preserve">L9.DNZJ.55497</t>
  </si>
  <si>
    <t xml:space="preserve">55497</t>
  </si>
  <si>
    <t xml:space="preserve">Plant (Tirau)</t>
  </si>
  <si>
    <t xml:space="preserve">L9.DNZJ.55820</t>
  </si>
  <si>
    <t xml:space="preserve">55820</t>
  </si>
  <si>
    <t xml:space="preserve">Plant (TM Wgtn)</t>
  </si>
  <si>
    <t xml:space="preserve">L9.DNZJ.55826</t>
  </si>
  <si>
    <t xml:space="preserve">55826</t>
  </si>
  <si>
    <t xml:space="preserve">Plant (TNOC Taumaranui)</t>
  </si>
  <si>
    <t xml:space="preserve">L9.DNZJ.54827</t>
  </si>
  <si>
    <t xml:space="preserve">54827</t>
  </si>
  <si>
    <t xml:space="preserve">Plant (Transport WGTN)</t>
  </si>
  <si>
    <t xml:space="preserve">L9.DNZJ.55818</t>
  </si>
  <si>
    <t xml:space="preserve">55818</t>
  </si>
  <si>
    <t xml:space="preserve">Plant (TRC Construction)</t>
  </si>
  <si>
    <t xml:space="preserve">L9.DNZJ.3122</t>
  </si>
  <si>
    <t xml:space="preserve">3122</t>
  </si>
  <si>
    <t xml:space="preserve">Plant (TRC Crushing)</t>
  </si>
  <si>
    <t xml:space="preserve">L9.DNZJ.3132</t>
  </si>
  <si>
    <t xml:space="preserve">3132</t>
  </si>
  <si>
    <t xml:space="preserve">Plant (Waikato Alliance)</t>
  </si>
  <si>
    <t xml:space="preserve">55807</t>
  </si>
  <si>
    <t xml:space="preserve">Plant (Waikato TS)</t>
  </si>
  <si>
    <t xml:space="preserve">54819</t>
  </si>
  <si>
    <t xml:space="preserve">Plant (Waipa DC)</t>
  </si>
  <si>
    <t xml:space="preserve">54839</t>
  </si>
  <si>
    <t xml:space="preserve">Plant (WCC Maintenance Wgtn)</t>
  </si>
  <si>
    <t xml:space="preserve">L9.DNZJ.55816</t>
  </si>
  <si>
    <t xml:space="preserve">55816</t>
  </si>
  <si>
    <t xml:space="preserve">Plant (Wellington Other)</t>
  </si>
  <si>
    <t xml:space="preserve">55856</t>
  </si>
  <si>
    <t xml:space="preserve">Plant (Whanganui Alliance)</t>
  </si>
  <si>
    <t xml:space="preserve">L9.DNZJ.55854</t>
  </si>
  <si>
    <t xml:space="preserve">55854</t>
  </si>
  <si>
    <t xml:space="preserve">Plant Admin</t>
  </si>
  <si>
    <t xml:space="preserve">L9.DNZJ.1920</t>
  </si>
  <si>
    <t xml:space="preserve">1920</t>
  </si>
  <si>
    <t xml:space="preserve">Plant AT Central Urban RCM</t>
  </si>
  <si>
    <t xml:space="preserve">L9.DNZJ.55840</t>
  </si>
  <si>
    <t xml:space="preserve">55840</t>
  </si>
  <si>
    <t xml:space="preserve">Plant AT North Rural RCM</t>
  </si>
  <si>
    <t xml:space="preserve">55804</t>
  </si>
  <si>
    <t xml:space="preserve">Plant AT Waiheke-Rakino RCM</t>
  </si>
  <si>
    <t xml:space="preserve">L9.DNZJ.55805</t>
  </si>
  <si>
    <t xml:space="preserve">55805</t>
  </si>
  <si>
    <t xml:space="preserve">Plant Bayswater (Child 2)</t>
  </si>
  <si>
    <t xml:space="preserve">240107</t>
  </si>
  <si>
    <t xml:space="preserve">Plant Campbellfield (Child1)</t>
  </si>
  <si>
    <t xml:space="preserve">L9.J.240106</t>
  </si>
  <si>
    <t xml:space="preserve">240106</t>
  </si>
  <si>
    <t xml:space="preserve">Plant Concrete Akld</t>
  </si>
  <si>
    <t xml:space="preserve">L9.DNZJ.55836</t>
  </si>
  <si>
    <t xml:space="preserve">55836</t>
  </si>
  <si>
    <t xml:space="preserve">Plant Construction Akld</t>
  </si>
  <si>
    <t xml:space="preserve">L9.DNZJ.55825</t>
  </si>
  <si>
    <t xml:space="preserve">55825</t>
  </si>
  <si>
    <t xml:space="preserve">Plant Construction Nthld</t>
  </si>
  <si>
    <t xml:space="preserve">L9.DNZJ.55822</t>
  </si>
  <si>
    <t xml:space="preserve">55822</t>
  </si>
  <si>
    <t xml:space="preserve">Plant Department</t>
  </si>
  <si>
    <t xml:space="preserve">L9.J.237002</t>
  </si>
  <si>
    <t xml:space="preserve">237002</t>
  </si>
  <si>
    <t xml:space="preserve">Plant Department - Renewables</t>
  </si>
  <si>
    <t xml:space="preserve">L9.J.230103</t>
  </si>
  <si>
    <t xml:space="preserve">230103</t>
  </si>
  <si>
    <t xml:space="preserve">Plant Department - Transmissio</t>
  </si>
  <si>
    <t xml:space="preserve">230102</t>
  </si>
  <si>
    <t xml:space="preserve">Plant Department ? Comms</t>
  </si>
  <si>
    <t xml:space="preserve">L9.J.234416</t>
  </si>
  <si>
    <t xml:space="preserve">234416</t>
  </si>
  <si>
    <t xml:space="preserve">Plant Disposal</t>
  </si>
  <si>
    <t xml:space="preserve">L9.DNZJ.1912</t>
  </si>
  <si>
    <t xml:space="preserve">1912</t>
  </si>
  <si>
    <t xml:space="preserve">Plant Drilling (Child 3)</t>
  </si>
  <si>
    <t xml:space="preserve">L9.J.240108</t>
  </si>
  <si>
    <t xml:space="preserve">240108</t>
  </si>
  <si>
    <t xml:space="preserve">Plant Hard Surface (Child 4)</t>
  </si>
  <si>
    <t xml:space="preserve">L9.J.240109</t>
  </si>
  <si>
    <t xml:space="preserve">240109</t>
  </si>
  <si>
    <t xml:space="preserve">Plant -New Connections Central</t>
  </si>
  <si>
    <t xml:space="preserve">L9.J.241981</t>
  </si>
  <si>
    <t xml:space="preserve">241981</t>
  </si>
  <si>
    <t xml:space="preserve">Plant NTA WDC Mtce</t>
  </si>
  <si>
    <t xml:space="preserve">L9.DNZJ.55830</t>
  </si>
  <si>
    <t xml:space="preserve">55830</t>
  </si>
  <si>
    <t xml:space="preserve">Plant Nthld</t>
  </si>
  <si>
    <t xml:space="preserve">L9.DNZJ.55801</t>
  </si>
  <si>
    <t xml:space="preserve">55801</t>
  </si>
  <si>
    <t xml:space="preserve">Plant OSM - Blenheim</t>
  </si>
  <si>
    <t xml:space="preserve">55875</t>
  </si>
  <si>
    <t xml:space="preserve">Plant Paving Akld</t>
  </si>
  <si>
    <t xml:space="preserve">55834</t>
  </si>
  <si>
    <t xml:space="preserve">Plant Penrose Akld</t>
  </si>
  <si>
    <t xml:space="preserve">L9.DNZJ.55803</t>
  </si>
  <si>
    <t xml:space="preserve">55803</t>
  </si>
  <si>
    <t xml:space="preserve">Plant Pool</t>
  </si>
  <si>
    <t xml:space="preserve">L9.J.150220</t>
  </si>
  <si>
    <t xml:space="preserve">150220</t>
  </si>
  <si>
    <t xml:space="preserve">Plant Pool - Aust East</t>
  </si>
  <si>
    <t xml:space="preserve">L9.J.170307</t>
  </si>
  <si>
    <t xml:space="preserve">170307</t>
  </si>
  <si>
    <t xml:space="preserve">Plant Sealing Akld</t>
  </si>
  <si>
    <t xml:space="preserve">55832</t>
  </si>
  <si>
    <t xml:space="preserve">Plant Sealing Nthld</t>
  </si>
  <si>
    <t xml:space="preserve">L9.DNZJ.55857</t>
  </si>
  <si>
    <t xml:space="preserve">55857</t>
  </si>
  <si>
    <t xml:space="preserve">Plant Surplus</t>
  </si>
  <si>
    <t xml:space="preserve">1911</t>
  </si>
  <si>
    <t xml:space="preserve">Plant Traffic Management Akld</t>
  </si>
  <si>
    <t xml:space="preserve">L9.DNZJ.55843</t>
  </si>
  <si>
    <t xml:space="preserve">55843</t>
  </si>
  <si>
    <t xml:space="preserve">Plant Traffic Management Nthld</t>
  </si>
  <si>
    <t xml:space="preserve">L9.DNZJ.55828</t>
  </si>
  <si>
    <t xml:space="preserve">55828</t>
  </si>
  <si>
    <t xml:space="preserve">Plant Traffic Signs &amp; Proj Akl</t>
  </si>
  <si>
    <t xml:space="preserve">L9.DNZJ.54824</t>
  </si>
  <si>
    <t xml:space="preserve">54824</t>
  </si>
  <si>
    <t xml:space="preserve">Plant West - DEP</t>
  </si>
  <si>
    <t xml:space="preserve">L9.J.372003</t>
  </si>
  <si>
    <t xml:space="preserve">372003</t>
  </si>
  <si>
    <t xml:space="preserve">Plant Workshops</t>
  </si>
  <si>
    <t xml:space="preserve">L9.DNZJ.1922</t>
  </si>
  <si>
    <t xml:space="preserve">1922</t>
  </si>
  <si>
    <t xml:space="preserve">Plant Yard</t>
  </si>
  <si>
    <t xml:space="preserve">L9.DNZJ.8818</t>
  </si>
  <si>
    <t xml:space="preserve">8818</t>
  </si>
  <si>
    <t xml:space="preserve">Plant(Manawatu Traffic Svces)</t>
  </si>
  <si>
    <t xml:space="preserve">L9.DNZJ.54813</t>
  </si>
  <si>
    <t xml:space="preserve">54825</t>
  </si>
  <si>
    <t xml:space="preserve">PLQ Dysart Substation</t>
  </si>
  <si>
    <t xml:space="preserve">L9.J.3774001601</t>
  </si>
  <si>
    <t xml:space="preserve">3774001601</t>
  </si>
  <si>
    <t xml:space="preserve">PLQ Gladstone to Boyne</t>
  </si>
  <si>
    <t xml:space="preserve">L9.J.24130054</t>
  </si>
  <si>
    <t xml:space="preserve">24130054</t>
  </si>
  <si>
    <t xml:space="preserve">PMO</t>
  </si>
  <si>
    <t xml:space="preserve">L9.DNZJ.56906</t>
  </si>
  <si>
    <t xml:space="preserve">56906</t>
  </si>
  <si>
    <t xml:space="preserve">PN PLAZA SHOPPING CENTRE</t>
  </si>
  <si>
    <t xml:space="preserve">Shopping Centre</t>
  </si>
  <si>
    <t xml:space="preserve">L9.DNZ.HW0249</t>
  </si>
  <si>
    <t xml:space="preserve">JP_HW0249</t>
  </si>
  <si>
    <t xml:space="preserve">TI-NZT.BP.HW0249 Palmerston North Plaza</t>
  </si>
  <si>
    <t xml:space="preserve">PNAL Carpark Extension</t>
  </si>
  <si>
    <t xml:space="preserve">Car Park</t>
  </si>
  <si>
    <t xml:space="preserve">L9.DNZJ.558024</t>
  </si>
  <si>
    <t xml:space="preserve">558024</t>
  </si>
  <si>
    <t xml:space="preserve">TI-NZT-558024 - PNAL (TI-NZT - Manawatu Projects)</t>
  </si>
  <si>
    <t xml:space="preserve">PNCC Ferguson Pitt St Upgrade</t>
  </si>
  <si>
    <t xml:space="preserve">L9.DNZJ.558007</t>
  </si>
  <si>
    <t xml:space="preserve">558007</t>
  </si>
  <si>
    <t xml:space="preserve">Pole foundation Mareeba</t>
  </si>
  <si>
    <t xml:space="preserve">L9.J.37240026</t>
  </si>
  <si>
    <t xml:space="preserve">37240026</t>
  </si>
  <si>
    <t xml:space="preserve">Pole Reinforcement EU Subcontractors</t>
  </si>
  <si>
    <t xml:space="preserve">L9.J.22910033</t>
  </si>
  <si>
    <t xml:space="preserve">Police Stations</t>
  </si>
  <si>
    <t xml:space="preserve">Porirua (105 John Burke Dr)</t>
  </si>
  <si>
    <t xml:space="preserve">L9.DNZJ.91289</t>
  </si>
  <si>
    <t xml:space="preserve">91289</t>
  </si>
  <si>
    <t xml:space="preserve">105 John Burke Drive</t>
  </si>
  <si>
    <t xml:space="preserve">Aotea</t>
  </si>
  <si>
    <t xml:space="preserve">-41.1339</t>
  </si>
  <si>
    <t xml:space="preserve">174.8473</t>
  </si>
  <si>
    <t xml:space="preserve">Porirua (25 Ulric Street)</t>
  </si>
  <si>
    <t xml:space="preserve">L9.DNZJ.91288</t>
  </si>
  <si>
    <t xml:space="preserve">91288</t>
  </si>
  <si>
    <t xml:space="preserve">25 Ulric Street</t>
  </si>
  <si>
    <t xml:space="preserve">Plimmerton</t>
  </si>
  <si>
    <t xml:space="preserve">-41.0789</t>
  </si>
  <si>
    <t xml:space="preserve">174.8701</t>
  </si>
  <si>
    <t xml:space="preserve">Porirua (4/55 Kenepuru Drive)</t>
  </si>
  <si>
    <t xml:space="preserve">L9.DNZJ.91845</t>
  </si>
  <si>
    <t xml:space="preserve">91845</t>
  </si>
  <si>
    <t xml:space="preserve">4/55 Kenepuru Drive</t>
  </si>
  <si>
    <t xml:space="preserve">Kenepuru</t>
  </si>
  <si>
    <t xml:space="preserve">Porirua Area Capacity Enhancem</t>
  </si>
  <si>
    <t xml:space="preserve">L9.DNZJ.DS2666</t>
  </si>
  <si>
    <t xml:space="preserve">JP_DS2666</t>
  </si>
  <si>
    <t xml:space="preserve">Port Augusta-Works</t>
  </si>
  <si>
    <t xml:space="preserve">L9.J.17021038</t>
  </si>
  <si>
    <t xml:space="preserve">230</t>
  </si>
  <si>
    <t xml:space="preserve">LOT 38C Victoria Parade</t>
  </si>
  <si>
    <t xml:space="preserve">-32.494</t>
  </si>
  <si>
    <t xml:space="preserve">137.778</t>
  </si>
  <si>
    <t xml:space="preserve">ASV-38130000</t>
  </si>
  <si>
    <t xml:space="preserve">231</t>
  </si>
  <si>
    <t xml:space="preserve">5 Munda Way</t>
  </si>
  <si>
    <t xml:space="preserve">6742</t>
  </si>
  <si>
    <t xml:space="preserve">Port Hedland EU Subcontractors</t>
  </si>
  <si>
    <t xml:space="preserve">Port Lincoln</t>
  </si>
  <si>
    <t xml:space="preserve">L9.J.17021037</t>
  </si>
  <si>
    <t xml:space="preserve">17021037</t>
  </si>
  <si>
    <t xml:space="preserve">Cnr Dublin Street &amp; Brougham Place</t>
  </si>
  <si>
    <t xml:space="preserve">5606</t>
  </si>
  <si>
    <t xml:space="preserve">-34.725</t>
  </si>
  <si>
    <t xml:space="preserve">135.867</t>
  </si>
  <si>
    <t xml:space="preserve">Port Pirie</t>
  </si>
  <si>
    <t xml:space="preserve">L9.J.17021087</t>
  </si>
  <si>
    <t xml:space="preserve">235</t>
  </si>
  <si>
    <t xml:space="preserve">5 Copinger Road</t>
  </si>
  <si>
    <t xml:space="preserve">5540</t>
  </si>
  <si>
    <t xml:space="preserve">-33.186</t>
  </si>
  <si>
    <t xml:space="preserve">138.032</t>
  </si>
  <si>
    <t xml:space="preserve">Power - Subs Support SA</t>
  </si>
  <si>
    <t xml:space="preserve">L9.J.377405</t>
  </si>
  <si>
    <t xml:space="preserve">377405</t>
  </si>
  <si>
    <t xml:space="preserve">Power - Substation &amp; BESS</t>
  </si>
  <si>
    <t xml:space="preserve">L9.J.241908</t>
  </si>
  <si>
    <t xml:space="preserve">241908</t>
  </si>
  <si>
    <t xml:space="preserve">Power &amp; Gas - Recharge</t>
  </si>
  <si>
    <t xml:space="preserve">L9.DNZJ.1501</t>
  </si>
  <si>
    <t xml:space="preserve">1994</t>
  </si>
  <si>
    <t xml:space="preserve">Power Central-Electricity Services Manager</t>
  </si>
  <si>
    <t xml:space="preserve">PG60010</t>
  </si>
  <si>
    <t xml:space="preserve">Power NSW OH</t>
  </si>
  <si>
    <t xml:space="preserve">382110</t>
  </si>
  <si>
    <t xml:space="preserve">Power Nth Operations</t>
  </si>
  <si>
    <t xml:space="preserve">1519</t>
  </si>
  <si>
    <t xml:space="preserve">Power Nth Overheads</t>
  </si>
  <si>
    <t xml:space="preserve">1501</t>
  </si>
  <si>
    <t xml:space="preserve">Power Projects Yatala Yard – Alberton</t>
  </si>
  <si>
    <t xml:space="preserve">L9.J.392122</t>
  </si>
  <si>
    <t xml:space="preserve">392122</t>
  </si>
  <si>
    <t xml:space="preserve">temporarily allocated to EU-392122 - Eng Ops Mgt and Support</t>
  </si>
  <si>
    <t xml:space="preserve">279 Stapylton-Jacobs Well Rd</t>
  </si>
  <si>
    <t xml:space="preserve">Alberton</t>
  </si>
  <si>
    <t xml:space="preserve">Power Southern - Generation &amp; Private Networks</t>
  </si>
  <si>
    <t xml:space="preserve">PG20040</t>
  </si>
  <si>
    <t xml:space="preserve">UT-NZU-20040-Generation &amp; Private Networks
Region TBC</t>
  </si>
  <si>
    <t xml:space="preserve">Power Systems</t>
  </si>
  <si>
    <t xml:space="preserve">L9.J.392125</t>
  </si>
  <si>
    <t xml:space="preserve">392125</t>
  </si>
  <si>
    <t xml:space="preserve">Power Systems East - DUA</t>
  </si>
  <si>
    <t xml:space="preserve">L9.J.377501</t>
  </si>
  <si>
    <t xml:space="preserve">377501</t>
  </si>
  <si>
    <t xml:space="preserve">Power Systems MV Leases</t>
  </si>
  <si>
    <t xml:space="preserve">L9.J.240117</t>
  </si>
  <si>
    <t xml:space="preserve">240117</t>
  </si>
  <si>
    <t xml:space="preserve">Powerco EFSA 2025</t>
  </si>
  <si>
    <t xml:space="preserve">165865</t>
  </si>
  <si>
    <t xml:space="preserve">Powercor</t>
  </si>
  <si>
    <t xml:space="preserve">L9.J.241906</t>
  </si>
  <si>
    <t xml:space="preserve">241906</t>
  </si>
  <si>
    <t xml:space="preserve">Powercor Aus - Electric Mtring Ser</t>
  </si>
  <si>
    <t xml:space="preserve">L9.S.16013433</t>
  </si>
  <si>
    <t xml:space="preserve">16013433</t>
  </si>
  <si>
    <t xml:space="preserve">Powercor Plant</t>
  </si>
  <si>
    <t xml:space="preserve">L9.J.230510</t>
  </si>
  <si>
    <t xml:space="preserve">230510</t>
  </si>
  <si>
    <t xml:space="preserve">Powercor Support</t>
  </si>
  <si>
    <t xml:space="preserve">L9.J.241905</t>
  </si>
  <si>
    <t xml:space="preserve">241905</t>
  </si>
  <si>
    <t xml:space="preserve">Powerlink EU Subcontractors</t>
  </si>
  <si>
    <t xml:space="preserve">L9.J.24130092</t>
  </si>
  <si>
    <t xml:space="preserve">PP038 T200 Mobile-Williamtown</t>
  </si>
  <si>
    <t xml:space="preserve">L9.J.170754</t>
  </si>
  <si>
    <t xml:space="preserve">170754</t>
  </si>
  <si>
    <t xml:space="preserve">PP045 Contimix Mobile-Mogo</t>
  </si>
  <si>
    <t xml:space="preserve">L9.J.170154</t>
  </si>
  <si>
    <t xml:space="preserve">170154</t>
  </si>
  <si>
    <t xml:space="preserve">PPO</t>
  </si>
  <si>
    <t xml:space="preserve">L9.DNZJ.55909</t>
  </si>
  <si>
    <t xml:space="preserve">55909</t>
  </si>
  <si>
    <t xml:space="preserve">PPP - Bendigo Health Project</t>
  </si>
  <si>
    <t xml:space="preserve">9072</t>
  </si>
  <si>
    <t xml:space="preserve">101-102 Barnard St</t>
  </si>
  <si>
    <t xml:space="preserve">3552</t>
  </si>
  <si>
    <t xml:space="preserve">-36.749548</t>
  </si>
  <si>
    <t xml:space="preserve">144.279726</t>
  </si>
  <si>
    <t xml:space="preserve">PPP - Hammond Park Secondary School</t>
  </si>
  <si>
    <t xml:space="preserve">PPP - HQJOC (ACT)</t>
  </si>
  <si>
    <t xml:space="preserve">L9.S.14000386</t>
  </si>
  <si>
    <t xml:space="preserve">9092</t>
  </si>
  <si>
    <t xml:space="preserve">Kings Hwy</t>
  </si>
  <si>
    <t xml:space="preserve">Bungendore</t>
  </si>
  <si>
    <t xml:space="preserve">2621</t>
  </si>
  <si>
    <t xml:space="preserve">-35.258164</t>
  </si>
  <si>
    <t xml:space="preserve">149.458792</t>
  </si>
  <si>
    <t xml:space="preserve">671</t>
  </si>
  <si>
    <t xml:space="preserve">PPP - New Royal Adelaide Hospital</t>
  </si>
  <si>
    <t xml:space="preserve">9073</t>
  </si>
  <si>
    <t xml:space="preserve">West Terrace</t>
  </si>
  <si>
    <t xml:space="preserve">5000</t>
  </si>
  <si>
    <t xml:space="preserve">-34.920908</t>
  </si>
  <si>
    <t xml:space="preserve">138.587332</t>
  </si>
  <si>
    <t xml:space="preserve">PPP - NSW Schools 1 (Dapto PS)</t>
  </si>
  <si>
    <t xml:space="preserve">Public School</t>
  </si>
  <si>
    <t xml:space="preserve">L9.S.14000900</t>
  </si>
  <si>
    <t xml:space="preserve">9093</t>
  </si>
  <si>
    <t xml:space="preserve">66 Sierra Drive</t>
  </si>
  <si>
    <t xml:space="preserve">Horsley</t>
  </si>
  <si>
    <t xml:space="preserve">2530</t>
  </si>
  <si>
    <t xml:space="preserve">-34.494947</t>
  </si>
  <si>
    <t xml:space="preserve">150.777772</t>
  </si>
  <si>
    <t xml:space="preserve">PPP - NSW Schools 1 (Glenwood HS)</t>
  </si>
  <si>
    <t xml:space="preserve">L9.S.14000907</t>
  </si>
  <si>
    <t xml:space="preserve">9094</t>
  </si>
  <si>
    <t xml:space="preserve">85 Forman Avenue</t>
  </si>
  <si>
    <t xml:space="preserve">Glenwood</t>
  </si>
  <si>
    <t xml:space="preserve">2768</t>
  </si>
  <si>
    <t xml:space="preserve">-33.732886</t>
  </si>
  <si>
    <t xml:space="preserve">150.935849</t>
  </si>
  <si>
    <t xml:space="preserve">PPP - NSW Schools 1 (Ironbark Ridge PS)</t>
  </si>
  <si>
    <t xml:space="preserve">L9.S.14000905</t>
  </si>
  <si>
    <t xml:space="preserve">9095</t>
  </si>
  <si>
    <t xml:space="preserve">Ironbark Ridge Road</t>
  </si>
  <si>
    <t xml:space="preserve">Rouse Hill</t>
  </si>
  <si>
    <t xml:space="preserve">2155</t>
  </si>
  <si>
    <t xml:space="preserve">-33.688024</t>
  </si>
  <si>
    <t xml:space="preserve">150.933407</t>
  </si>
  <si>
    <t xml:space="preserve">PPP - NSW Schools 1 (John Edmondson HS)</t>
  </si>
  <si>
    <t xml:space="preserve">L9.S.14000908</t>
  </si>
  <si>
    <t xml:space="preserve">9096</t>
  </si>
  <si>
    <t xml:space="preserve">64 Horningsea Park Drive</t>
  </si>
  <si>
    <t xml:space="preserve">Horningsea Park</t>
  </si>
  <si>
    <t xml:space="preserve">2171</t>
  </si>
  <si>
    <t xml:space="preserve">-33.946227</t>
  </si>
  <si>
    <t xml:space="preserve">150.843183</t>
  </si>
  <si>
    <t xml:space="preserve">PPP - NSW Schools 1 (Kellyville Ridge PS)</t>
  </si>
  <si>
    <t xml:space="preserve">L9.S.14000902</t>
  </si>
  <si>
    <t xml:space="preserve">9097</t>
  </si>
  <si>
    <t xml:space="preserve">Greenwich Street</t>
  </si>
  <si>
    <t xml:space="preserve">Kellyville Ridge</t>
  </si>
  <si>
    <t xml:space="preserve">-33.704397</t>
  </si>
  <si>
    <t xml:space="preserve">150.924384</t>
  </si>
  <si>
    <t xml:space="preserve">PPP - NSW Schools 1 (Shell Cove PS)</t>
  </si>
  <si>
    <t xml:space="preserve">9098</t>
  </si>
  <si>
    <t xml:space="preserve">Killalea Drive</t>
  </si>
  <si>
    <t xml:space="preserve">Shell Cove</t>
  </si>
  <si>
    <t xml:space="preserve">2529</t>
  </si>
  <si>
    <t xml:space="preserve">-34.595665</t>
  </si>
  <si>
    <t xml:space="preserve">150.855116</t>
  </si>
  <si>
    <t xml:space="preserve">PPP - NSW Schools 1 (Sherwood Ridge PS)</t>
  </si>
  <si>
    <t xml:space="preserve">L9.S.14000901</t>
  </si>
  <si>
    <t xml:space="preserve">9099</t>
  </si>
  <si>
    <t xml:space="preserve">34 Rosebery Rd</t>
  </si>
  <si>
    <t xml:space="preserve">Kellyville</t>
  </si>
  <si>
    <t xml:space="preserve">-33.706702</t>
  </si>
  <si>
    <t xml:space="preserve">150.975503</t>
  </si>
  <si>
    <t xml:space="preserve">PPP - NSW Schools 1 (Tallowood SSP)</t>
  </si>
  <si>
    <t xml:space="preserve">L9.S.14000903</t>
  </si>
  <si>
    <t xml:space="preserve">9100</t>
  </si>
  <si>
    <t xml:space="preserve">44 Redden Drive</t>
  </si>
  <si>
    <t xml:space="preserve">-33.706135</t>
  </si>
  <si>
    <t xml:space="preserve">150.952241</t>
  </si>
  <si>
    <t xml:space="preserve">PPP - NSW Schools 1 (Woongarrah PS)</t>
  </si>
  <si>
    <t xml:space="preserve">L9.S.14000906</t>
  </si>
  <si>
    <t xml:space="preserve">9101</t>
  </si>
  <si>
    <t xml:space="preserve">63-73 Mataram Rd</t>
  </si>
  <si>
    <t xml:space="preserve">Woongarrah</t>
  </si>
  <si>
    <t xml:space="preserve">2259</t>
  </si>
  <si>
    <t xml:space="preserve">-33.241749</t>
  </si>
  <si>
    <t xml:space="preserve">151.484568</t>
  </si>
  <si>
    <t xml:space="preserve">PPP - NSW Schools 2 (Ashtonfield PS)</t>
  </si>
  <si>
    <t xml:space="preserve">L9.S.14000918</t>
  </si>
  <si>
    <t xml:space="preserve">9008</t>
  </si>
  <si>
    <t xml:space="preserve">3 Norfolk Ave</t>
  </si>
  <si>
    <t xml:space="preserve">Ashtonfield</t>
  </si>
  <si>
    <t xml:space="preserve">2323</t>
  </si>
  <si>
    <t xml:space="preserve">-32.772403</t>
  </si>
  <si>
    <t xml:space="preserve">151.60066</t>
  </si>
  <si>
    <t xml:space="preserve">PPP - NSW Schools 2 (Elderslie PS)</t>
  </si>
  <si>
    <t xml:space="preserve">L9.S.14000914</t>
  </si>
  <si>
    <t xml:space="preserve">9009</t>
  </si>
  <si>
    <t xml:space="preserve">170 Lodges Rd</t>
  </si>
  <si>
    <t xml:space="preserve">Elderslie</t>
  </si>
  <si>
    <t xml:space="preserve">2570</t>
  </si>
  <si>
    <t xml:space="preserve">-34.055493</t>
  </si>
  <si>
    <t xml:space="preserve">150.720993</t>
  </si>
  <si>
    <t xml:space="preserve">PPP - NSW Schools 2 (Halinda SSP)</t>
  </si>
  <si>
    <t xml:space="preserve">L9.S.14000919</t>
  </si>
  <si>
    <t xml:space="preserve">Mimika Avenue</t>
  </si>
  <si>
    <t xml:space="preserve">Whalan</t>
  </si>
  <si>
    <t xml:space="preserve">2770</t>
  </si>
  <si>
    <t xml:space="preserve">-33.760499</t>
  </si>
  <si>
    <t xml:space="preserve">150.806458</t>
  </si>
  <si>
    <t xml:space="preserve">PPP - NSW Schools 2 (John Palmer PS)</t>
  </si>
  <si>
    <t xml:space="preserve">L9.S.14000912</t>
  </si>
  <si>
    <t xml:space="preserve">9011</t>
  </si>
  <si>
    <t xml:space="preserve">85 The Ponds Boulevard</t>
  </si>
  <si>
    <t xml:space="preserve">The Ponds</t>
  </si>
  <si>
    <t xml:space="preserve">2769</t>
  </si>
  <si>
    <t xml:space="preserve">-33.707388</t>
  </si>
  <si>
    <t xml:space="preserve">150.911298</t>
  </si>
  <si>
    <t xml:space="preserve">PPP - NSW Schools 2 (Kariong)</t>
  </si>
  <si>
    <t xml:space="preserve">L9.S.14000920</t>
  </si>
  <si>
    <t xml:space="preserve">9001</t>
  </si>
  <si>
    <t xml:space="preserve">10 Festival Drive</t>
  </si>
  <si>
    <t xml:space="preserve">Kariong</t>
  </si>
  <si>
    <t xml:space="preserve">-33.429946</t>
  </si>
  <si>
    <t xml:space="preserve">151.29589</t>
  </si>
  <si>
    <t xml:space="preserve">PPP - NSW Schools 2 (Kelso HS)</t>
  </si>
  <si>
    <t xml:space="preserve">L9.S.14000917</t>
  </si>
  <si>
    <t xml:space="preserve">9002</t>
  </si>
  <si>
    <t xml:space="preserve">88 Boyd St</t>
  </si>
  <si>
    <t xml:space="preserve">-33.410485</t>
  </si>
  <si>
    <t xml:space="preserve">149.614416</t>
  </si>
  <si>
    <t xml:space="preserve">PPP - NSW Schools 2 (Middleton Grange PS)</t>
  </si>
  <si>
    <t xml:space="preserve">L9.S.14000915</t>
  </si>
  <si>
    <t xml:space="preserve">9003</t>
  </si>
  <si>
    <t xml:space="preserve">50 Hall Circuit</t>
  </si>
  <si>
    <t xml:space="preserve">Middleton Grange</t>
  </si>
  <si>
    <t xml:space="preserve">-33.918426</t>
  </si>
  <si>
    <t xml:space="preserve">150.848913</t>
  </si>
  <si>
    <t xml:space="preserve">PPP - NSW Schools 2 (Ropes Crossing PS)</t>
  </si>
  <si>
    <t xml:space="preserve">L9.S.14000911</t>
  </si>
  <si>
    <t xml:space="preserve">9004</t>
  </si>
  <si>
    <t xml:space="preserve">52 Pulley Drive</t>
  </si>
  <si>
    <t xml:space="preserve">Ropes Crossing</t>
  </si>
  <si>
    <t xml:space="preserve">-33.733285</t>
  </si>
  <si>
    <t xml:space="preserve">150.783079</t>
  </si>
  <si>
    <t xml:space="preserve">PPP - NSW Schools 2 (Rouse Hill HS)</t>
  </si>
  <si>
    <t xml:space="preserve">L9.S.14000916</t>
  </si>
  <si>
    <t xml:space="preserve">9005</t>
  </si>
  <si>
    <t xml:space="preserve">240 Withers Rd</t>
  </si>
  <si>
    <t xml:space="preserve">-33.685855</t>
  </si>
  <si>
    <t xml:space="preserve">150.932331</t>
  </si>
  <si>
    <t xml:space="preserve">PPP - NSW Schools 2 (Tulimbar PS)</t>
  </si>
  <si>
    <t xml:space="preserve">L9.S.14000913</t>
  </si>
  <si>
    <t xml:space="preserve">9006</t>
  </si>
  <si>
    <t xml:space="preserve">Exeter Place</t>
  </si>
  <si>
    <t xml:space="preserve">Tullimbar</t>
  </si>
  <si>
    <t xml:space="preserve">2527</t>
  </si>
  <si>
    <t xml:space="preserve">-34.578455</t>
  </si>
  <si>
    <t xml:space="preserve">150.755338</t>
  </si>
  <si>
    <t xml:space="preserve">PPP - NSW Schools 2 (Warnervale PS)</t>
  </si>
  <si>
    <t xml:space="preserve">L9.S.14000910</t>
  </si>
  <si>
    <t xml:space="preserve">9007</t>
  </si>
  <si>
    <t xml:space="preserve">179-201 Warnervale Rd</t>
  </si>
  <si>
    <t xml:space="preserve">Hamlyn Terrace</t>
  </si>
  <si>
    <t xml:space="preserve">-33.250849</t>
  </si>
  <si>
    <t xml:space="preserve">151.468161</t>
  </si>
  <si>
    <t xml:space="preserve">PPP - Orange and Associated Health Services</t>
  </si>
  <si>
    <t xml:space="preserve">9074</t>
  </si>
  <si>
    <t xml:space="preserve">1530 Forest Road</t>
  </si>
  <si>
    <t xml:space="preserve">2800</t>
  </si>
  <si>
    <t xml:space="preserve">-33.317282</t>
  </si>
  <si>
    <t xml:space="preserve">149.093904</t>
  </si>
  <si>
    <t xml:space="preserve">PPP - QEII Carpark</t>
  </si>
  <si>
    <t xml:space="preserve">9075</t>
  </si>
  <si>
    <t xml:space="preserve">1 Winthrop Ave</t>
  </si>
  <si>
    <t xml:space="preserve">Nedlands</t>
  </si>
  <si>
    <t xml:space="preserve">6009</t>
  </si>
  <si>
    <t xml:space="preserve">-31.970989</t>
  </si>
  <si>
    <t xml:space="preserve">115.817825</t>
  </si>
  <si>
    <t xml:space="preserve">PPP - Rostrevor College</t>
  </si>
  <si>
    <t xml:space="preserve">9150</t>
  </si>
  <si>
    <t xml:space="preserve">PPP - Royal Childrens Hospital</t>
  </si>
  <si>
    <t xml:space="preserve">50 Flemington Road</t>
  </si>
  <si>
    <t xml:space="preserve">Parkville</t>
  </si>
  <si>
    <t xml:space="preserve">3052</t>
  </si>
  <si>
    <t xml:space="preserve">-37.793409</t>
  </si>
  <si>
    <t xml:space="preserve">144.949284</t>
  </si>
  <si>
    <t xml:space="preserve">PPP - SA Schools (Adelaide West Special Education</t>
  </si>
  <si>
    <t xml:space="preserve">L9.S.14000941</t>
  </si>
  <si>
    <t xml:space="preserve">9103</t>
  </si>
  <si>
    <t xml:space="preserve">12-24 Moldavia Walk</t>
  </si>
  <si>
    <t xml:space="preserve">Taperoo</t>
  </si>
  <si>
    <t xml:space="preserve">-34.801646</t>
  </si>
  <si>
    <t xml:space="preserve">138.493928</t>
  </si>
  <si>
    <t xml:space="preserve">PPP - SA Schools (Blair Athol North B-7)</t>
  </si>
  <si>
    <t xml:space="preserve">L9.S.14000943</t>
  </si>
  <si>
    <t xml:space="preserve">9104</t>
  </si>
  <si>
    <t xml:space="preserve">Marmion Avenue</t>
  </si>
  <si>
    <t xml:space="preserve">Blair Athol</t>
  </si>
  <si>
    <t xml:space="preserve">-34.852717</t>
  </si>
  <si>
    <t xml:space="preserve">138.598863</t>
  </si>
  <si>
    <t xml:space="preserve">PPP - SA Schools (John Hartley B-7)</t>
  </si>
  <si>
    <t xml:space="preserve">L9.S.14000940</t>
  </si>
  <si>
    <t xml:space="preserve">9105</t>
  </si>
  <si>
    <t xml:space="preserve">199 Peachey Road</t>
  </si>
  <si>
    <t xml:space="preserve">Smithfield Plains</t>
  </si>
  <si>
    <t xml:space="preserve">-34.680137</t>
  </si>
  <si>
    <t xml:space="preserve">138.672429</t>
  </si>
  <si>
    <t xml:space="preserve">PPP - SA Schools (Mark Oliphant College B-12)</t>
  </si>
  <si>
    <t xml:space="preserve">L9.S.14000944</t>
  </si>
  <si>
    <t xml:space="preserve">9102</t>
  </si>
  <si>
    <t xml:space="preserve">99 Douglas Drive</t>
  </si>
  <si>
    <t xml:space="preserve">Munno Para West</t>
  </si>
  <si>
    <t xml:space="preserve">-34.665222</t>
  </si>
  <si>
    <t xml:space="preserve">138.683563</t>
  </si>
  <si>
    <t xml:space="preserve">PPP - SA Schools (Roma Mitchell Secondary College)</t>
  </si>
  <si>
    <t xml:space="preserve">L9.S.14000945</t>
  </si>
  <si>
    <t xml:space="preserve">9106</t>
  </si>
  <si>
    <t xml:space="preserve">Briens Road</t>
  </si>
  <si>
    <t xml:space="preserve">-34.843352</t>
  </si>
  <si>
    <t xml:space="preserve">138.619304</t>
  </si>
  <si>
    <t xml:space="preserve">PPP - SA Schools (Woodville Gardens B-7 School)</t>
  </si>
  <si>
    <t xml:space="preserve">L9.S.14000942</t>
  </si>
  <si>
    <t xml:space="preserve">9107</t>
  </si>
  <si>
    <t xml:space="preserve">Ridley Grove</t>
  </si>
  <si>
    <t xml:space="preserve">Woodville Gardens</t>
  </si>
  <si>
    <t xml:space="preserve">-34.863206</t>
  </si>
  <si>
    <t xml:space="preserve">138.551013</t>
  </si>
  <si>
    <t xml:space="preserve">PPP - SICEEP</t>
  </si>
  <si>
    <t xml:space="preserve">9077</t>
  </si>
  <si>
    <t xml:space="preserve">New Site 1 Dec 16- Transferred to State 30 June 17</t>
  </si>
  <si>
    <t xml:space="preserve">SICEEP Bayside Building gate A, 1 Darling Drive</t>
  </si>
  <si>
    <t xml:space="preserve">Darling Harbour</t>
  </si>
  <si>
    <t xml:space="preserve">2000</t>
  </si>
  <si>
    <t xml:space="preserve">-33.871159</t>
  </si>
  <si>
    <t xml:space="preserve">151.200438</t>
  </si>
  <si>
    <t xml:space="preserve">PPP - Southbank TAFE (QLD)</t>
  </si>
  <si>
    <t xml:space="preserve">L9.S.16012212</t>
  </si>
  <si>
    <t xml:space="preserve">9108</t>
  </si>
  <si>
    <t xml:space="preserve">66 Ernest Street</t>
  </si>
  <si>
    <t xml:space="preserve">Southbank</t>
  </si>
  <si>
    <t xml:space="preserve">-27.478612</t>
  </si>
  <si>
    <t xml:space="preserve">153.020106</t>
  </si>
  <si>
    <t xml:space="preserve">PPP - Sunshine Coast University Hospital</t>
  </si>
  <si>
    <t xml:space="preserve">9078</t>
  </si>
  <si>
    <t xml:space="preserve">Sunshine Coast University Hospital Carpark 2, Bullwinkle Lane,</t>
  </si>
  <si>
    <t xml:space="preserve">Birtinya</t>
  </si>
  <si>
    <t xml:space="preserve">-26.746811</t>
  </si>
  <si>
    <t xml:space="preserve">153.113774</t>
  </si>
  <si>
    <t xml:space="preserve">PPP - Uni of Adelaide</t>
  </si>
  <si>
    <t xml:space="preserve">9151</t>
  </si>
  <si>
    <t xml:space="preserve">Roseworthy</t>
  </si>
  <si>
    <t xml:space="preserve">PPP - UWA</t>
  </si>
  <si>
    <t xml:space="preserve">9152</t>
  </si>
  <si>
    <t xml:space="preserve">Shenton Park</t>
  </si>
  <si>
    <t xml:space="preserve">PPP - VIC Schools - Armstrong Creek</t>
  </si>
  <si>
    <t xml:space="preserve">9079</t>
  </si>
  <si>
    <t xml:space="preserve">                            731</t>
  </si>
  <si>
    <t xml:space="preserve">PPP - VIC Schools - Bannockburn</t>
  </si>
  <si>
    <t xml:space="preserve">9080</t>
  </si>
  <si>
    <t xml:space="preserve">PPP - VIC Schools - Barton</t>
  </si>
  <si>
    <t xml:space="preserve">9081</t>
  </si>
  <si>
    <t xml:space="preserve">PPP - VIC Schools - Featherbrook</t>
  </si>
  <si>
    <t xml:space="preserve">9082</t>
  </si>
  <si>
    <t xml:space="preserve">PPP - VIC Schools - Harvest Home</t>
  </si>
  <si>
    <t xml:space="preserve">9083</t>
  </si>
  <si>
    <t xml:space="preserve">PPP - VIC Schools - John Henry PS</t>
  </si>
  <si>
    <t xml:space="preserve">9084</t>
  </si>
  <si>
    <t xml:space="preserve">PPP - VIC Schools - Mernda Central</t>
  </si>
  <si>
    <t xml:space="preserve">9153</t>
  </si>
  <si>
    <t xml:space="preserve">PPP - VIC Schools - Mernda South PS</t>
  </si>
  <si>
    <t xml:space="preserve">9154</t>
  </si>
  <si>
    <t xml:space="preserve">PPP - VIC Schools - North Geelong Special Dev</t>
  </si>
  <si>
    <t xml:space="preserve">9156</t>
  </si>
  <si>
    <t xml:space="preserve">PPP - VIC Schools - Torquay Coast PS</t>
  </si>
  <si>
    <t xml:space="preserve">9157</t>
  </si>
  <si>
    <t xml:space="preserve">PPP - VIC Schools - Tulliallan PS</t>
  </si>
  <si>
    <t xml:space="preserve">9158</t>
  </si>
  <si>
    <t xml:space="preserve">PPP - VIC Schools - Wilandra Rise PS</t>
  </si>
  <si>
    <t xml:space="preserve">9159</t>
  </si>
  <si>
    <t xml:space="preserve">PPP - WA Schools - Alkimos Beach PS</t>
  </si>
  <si>
    <t xml:space="preserve">9085</t>
  </si>
  <si>
    <t xml:space="preserve">Crn Leatherback Boulevard &amp; Painted Parkway</t>
  </si>
  <si>
    <t xml:space="preserve">Alkimos</t>
  </si>
  <si>
    <t xml:space="preserve">6038</t>
  </si>
  <si>
    <t xml:space="preserve">-31.625221</t>
  </si>
  <si>
    <t xml:space="preserve">115.678441</t>
  </si>
  <si>
    <t xml:space="preserve">PPP - WA Schools - Baldivis Gardens PS</t>
  </si>
  <si>
    <t xml:space="preserve">9086</t>
  </si>
  <si>
    <t xml:space="preserve">Crn Nadine Promenade &amp; Linaker Street</t>
  </si>
  <si>
    <t xml:space="preserve">Baldivis</t>
  </si>
  <si>
    <t xml:space="preserve">6172</t>
  </si>
  <si>
    <t xml:space="preserve">-32.301393</t>
  </si>
  <si>
    <t xml:space="preserve">115.810879</t>
  </si>
  <si>
    <t xml:space="preserve">PPP - WA Schools - Carnaby Rise PS</t>
  </si>
  <si>
    <t xml:space="preserve">9087</t>
  </si>
  <si>
    <t xml:space="preserve">Crn Kingsway &amp; Pomodora Avenue</t>
  </si>
  <si>
    <t xml:space="preserve">Landsdale</t>
  </si>
  <si>
    <t xml:space="preserve">-31.814628</t>
  </si>
  <si>
    <t xml:space="preserve">115.87382</t>
  </si>
  <si>
    <t xml:space="preserve">PPP - WA Schools - Harrisdale Senior High School</t>
  </si>
  <si>
    <t xml:space="preserve">9088</t>
  </si>
  <si>
    <t xml:space="preserve">Crn Laverton Crescent &amp; Keane Road</t>
  </si>
  <si>
    <t xml:space="preserve">Harrisdale</t>
  </si>
  <si>
    <t xml:space="preserve">6112</t>
  </si>
  <si>
    <t xml:space="preserve">-32.129353</t>
  </si>
  <si>
    <t xml:space="preserve">115.933484</t>
  </si>
  <si>
    <t xml:space="preserve">PPP - WA Schools - Woodland Grove PS</t>
  </si>
  <si>
    <t xml:space="preserve">9089</t>
  </si>
  <si>
    <t xml:space="preserve">Crn McMillan Road &amp; Kokoda Boulevard</t>
  </si>
  <si>
    <t xml:space="preserve">Byford</t>
  </si>
  <si>
    <t xml:space="preserve">6122</t>
  </si>
  <si>
    <t xml:space="preserve">-32.226468</t>
  </si>
  <si>
    <t xml:space="preserve">115.980899</t>
  </si>
  <si>
    <t xml:space="preserve">PPP- Australia National University</t>
  </si>
  <si>
    <t xml:space="preserve">9090</t>
  </si>
  <si>
    <t xml:space="preserve">Australian National University</t>
  </si>
  <si>
    <t xml:space="preserve">-35.277805</t>
  </si>
  <si>
    <t xml:space="preserve">149.11848</t>
  </si>
  <si>
    <t xml:space="preserve">Pre-Contracts Management</t>
  </si>
  <si>
    <t xml:space="preserve">L9.J.241308</t>
  </si>
  <si>
    <t xml:space="preserve">241308</t>
  </si>
  <si>
    <t xml:space="preserve">Process Design &amp; Proj Ctrls EU Subcontractors</t>
  </si>
  <si>
    <t xml:space="preserve">L9.J.395333</t>
  </si>
  <si>
    <t xml:space="preserve">Procurement &amp; Logisitics</t>
  </si>
  <si>
    <t xml:space="preserve">PG30520</t>
  </si>
  <si>
    <t xml:space="preserve">Products Cranes</t>
  </si>
  <si>
    <t xml:space="preserve">1925</t>
  </si>
  <si>
    <t xml:space="preserve">Programme Management</t>
  </si>
  <si>
    <t xml:space="preserve">L9.DNZ.810.10.127</t>
  </si>
  <si>
    <t xml:space="preserve">10.127</t>
  </si>
  <si>
    <t xml:space="preserve">Corrections &amp; Justice-Programme Management</t>
  </si>
  <si>
    <t xml:space="preserve">Programmes Leadership</t>
  </si>
  <si>
    <t xml:space="preserve">L9.DNZ.810.10.197</t>
  </si>
  <si>
    <t xml:space="preserve">10197</t>
  </si>
  <si>
    <t xml:space="preserve">10.197</t>
  </si>
  <si>
    <t xml:space="preserve">Project Energy Connect (SAPEC)</t>
  </si>
  <si>
    <t xml:space="preserve">L9.J.37740097</t>
  </si>
  <si>
    <t xml:space="preserve">37740097</t>
  </si>
  <si>
    <t xml:space="preserve">PROJECT HAUATA - ACC HAMILTON</t>
  </si>
  <si>
    <t xml:space="preserve">L9.DNZ.HC0346</t>
  </si>
  <si>
    <t xml:space="preserve">JP_HC0346</t>
  </si>
  <si>
    <t xml:space="preserve">Project Management Spark &amp; LBI</t>
  </si>
  <si>
    <t xml:space="preserve">L9.DNZ.810.10.063</t>
  </si>
  <si>
    <t xml:space="preserve">10063</t>
  </si>
  <si>
    <t xml:space="preserve">10.063</t>
  </si>
  <si>
    <t xml:space="preserve">Project Support - TXL</t>
  </si>
  <si>
    <t xml:space="preserve">L9.J.37740085</t>
  </si>
  <si>
    <t xml:space="preserve">37740085</t>
  </si>
  <si>
    <t xml:space="preserve">Projects Corrections &amp; Justice</t>
  </si>
  <si>
    <t xml:space="preserve">10139</t>
  </si>
  <si>
    <t xml:space="preserve">10.139</t>
  </si>
  <si>
    <t xml:space="preserve">Projects Corrections &amp; JusticeDEL</t>
  </si>
  <si>
    <t xml:space="preserve">L9.DNZJ.10139</t>
  </si>
  <si>
    <t xml:space="preserve">Projects O&amp;M</t>
  </si>
  <si>
    <t xml:space="preserve">L9.DNZJ.56128</t>
  </si>
  <si>
    <t xml:space="preserve">56128</t>
  </si>
  <si>
    <t xml:space="preserve">Projects O&amp;M EU Subcontractors</t>
  </si>
  <si>
    <t xml:space="preserve">L9.DNZJ.561299</t>
  </si>
  <si>
    <t xml:space="preserve">ProMac Harrington EU Subcontractors</t>
  </si>
  <si>
    <t xml:space="preserve">L9.J.24160212</t>
  </si>
  <si>
    <t xml:space="preserve">ProMac Prospect EU Subcontractors</t>
  </si>
  <si>
    <t xml:space="preserve">Properties Overheads</t>
  </si>
  <si>
    <t xml:space="preserve">91001</t>
  </si>
  <si>
    <t xml:space="preserve">Proserpine WWTP</t>
  </si>
  <si>
    <t xml:space="preserve">24120086</t>
  </si>
  <si>
    <t xml:space="preserve">PS EBA Clrg</t>
  </si>
  <si>
    <t xml:space="preserve">L9.J.241312</t>
  </si>
  <si>
    <t xml:space="preserve">241312</t>
  </si>
  <si>
    <t xml:space="preserve">PS Project Development</t>
  </si>
  <si>
    <t xml:space="preserve">L9.J.241305</t>
  </si>
  <si>
    <t xml:space="preserve">241305</t>
  </si>
  <si>
    <t xml:space="preserve">PS Substations Clrg</t>
  </si>
  <si>
    <t xml:space="preserve">L9.J.241316</t>
  </si>
  <si>
    <t xml:space="preserve">241316</t>
  </si>
  <si>
    <t xml:space="preserve">PS0201-Call Centres NZ</t>
  </si>
  <si>
    <t xml:space="preserve">2000004623</t>
  </si>
  <si>
    <t xml:space="preserve">PSMC Extension 1A, 2</t>
  </si>
  <si>
    <t xml:space="preserve">L9.J.17020890</t>
  </si>
  <si>
    <t xml:space="preserve">17020890</t>
  </si>
  <si>
    <t xml:space="preserve">PT Blowing &amp; Recovery</t>
  </si>
  <si>
    <t xml:space="preserve">L9.DNZJ.3036</t>
  </si>
  <si>
    <t xml:space="preserve">3036</t>
  </si>
  <si>
    <t xml:space="preserve">PTA (Train) - Joondalup Line Trains</t>
  </si>
  <si>
    <t xml:space="preserve">L9.S.16009650</t>
  </si>
  <si>
    <t xml:space="preserve">16009650</t>
  </si>
  <si>
    <t xml:space="preserve">Pukekohe Station Civil Works</t>
  </si>
  <si>
    <t xml:space="preserve">L9.DNZJ.DN1206</t>
  </si>
  <si>
    <t xml:space="preserve">JP_DN1206</t>
  </si>
  <si>
    <t xml:space="preserve">PUMICESTONE RD  CH 13.82-14.02</t>
  </si>
  <si>
    <t xml:space="preserve">L9.J.17040897</t>
  </si>
  <si>
    <t xml:space="preserve">PWCS Structural Panel</t>
  </si>
  <si>
    <t xml:space="preserve">L9.J.38225132</t>
  </si>
  <si>
    <t xml:space="preserve">38225132</t>
  </si>
  <si>
    <t xml:space="preserve">Q05707 - Werribee Hangar 1 Refurbishment</t>
  </si>
  <si>
    <t xml:space="preserve">L9.J.25830004</t>
  </si>
  <si>
    <t xml:space="preserve">QA/SA Overheads</t>
  </si>
  <si>
    <t xml:space="preserve">L9.J.241211</t>
  </si>
  <si>
    <t xml:space="preserve">241211</t>
  </si>
  <si>
    <t xml:space="preserve">QAL</t>
  </si>
  <si>
    <t xml:space="preserve">L9.S.16013903</t>
  </si>
  <si>
    <t xml:space="preserve">16013903</t>
  </si>
  <si>
    <t xml:space="preserve">Qantas Dr - Brisbane (QLD)</t>
  </si>
  <si>
    <t xml:space="preserve">L9.J.10920040</t>
  </si>
  <si>
    <t xml:space="preserve">1017</t>
  </si>
  <si>
    <t xml:space="preserve">Gradual occupation from 1st Dec 2018 to 100% occupation 8th April 2019.</t>
  </si>
  <si>
    <t xml:space="preserve">-27.414849</t>
  </si>
  <si>
    <t xml:space="preserve">153.091034</t>
  </si>
  <si>
    <t xml:space="preserve">Qenos Altona Mgmt &amp; Admin SD</t>
  </si>
  <si>
    <t xml:space="preserve">L9.S.16014078</t>
  </si>
  <si>
    <t xml:space="preserve">16014078</t>
  </si>
  <si>
    <t xml:space="preserve">Qenos Botany Cleaning SD</t>
  </si>
  <si>
    <t xml:space="preserve">L9.S.16015920</t>
  </si>
  <si>
    <t xml:space="preserve">16015920</t>
  </si>
  <si>
    <t xml:space="preserve">QLD - Overhead</t>
  </si>
  <si>
    <t xml:space="preserve">L9.S.13000874</t>
  </si>
  <si>
    <t xml:space="preserve">13000874</t>
  </si>
  <si>
    <t xml:space="preserve">QLD &amp; VIC Proc. &amp; Supply Chain</t>
  </si>
  <si>
    <t xml:space="preserve">L9.J.709502</t>
  </si>
  <si>
    <t xml:space="preserve">709502</t>
  </si>
  <si>
    <t xml:space="preserve">Qld Asphalt BD &amp; Est</t>
  </si>
  <si>
    <t xml:space="preserve">L9.J.170433</t>
  </si>
  <si>
    <t xml:space="preserve">170433</t>
  </si>
  <si>
    <t xml:space="preserve">QLD BU OHDS</t>
  </si>
  <si>
    <t xml:space="preserve">Qld Civil Works</t>
  </si>
  <si>
    <t xml:space="preserve">L9.J.170952</t>
  </si>
  <si>
    <t xml:space="preserve">170952</t>
  </si>
  <si>
    <t xml:space="preserve">Qld EMOS Mgt</t>
  </si>
  <si>
    <t xml:space="preserve">L9.S.16011434</t>
  </si>
  <si>
    <t xml:space="preserve">16011434</t>
  </si>
  <si>
    <t xml:space="preserve">Qld EMOS Mgt Overhead</t>
  </si>
  <si>
    <t xml:space="preserve">L9.S.14000503</t>
  </si>
  <si>
    <t xml:space="preserve">14000503</t>
  </si>
  <si>
    <t xml:space="preserve">QLD Emulsion</t>
  </si>
  <si>
    <t xml:space="preserve">170927</t>
  </si>
  <si>
    <t xml:space="preserve">QLD Emulsion Plant</t>
  </si>
  <si>
    <t xml:space="preserve">L9.J.17090747</t>
  </si>
  <si>
    <t xml:space="preserve">8008</t>
  </si>
  <si>
    <t xml:space="preserve">PUMA pay for utilities.</t>
  </si>
  <si>
    <t xml:space="preserve">398 Tingira Street</t>
  </si>
  <si>
    <t xml:space="preserve">Pinkenba</t>
  </si>
  <si>
    <t xml:space="preserve">-27.41599</t>
  </si>
  <si>
    <t xml:space="preserve">153.135943</t>
  </si>
  <si>
    <t xml:space="preserve">QLD EU Subcontractors</t>
  </si>
  <si>
    <t xml:space="preserve">L9.MIN.8704.PROD.WCF</t>
  </si>
  <si>
    <t xml:space="preserve">QLD Floats</t>
  </si>
  <si>
    <t xml:space="preserve">L9.J.170417</t>
  </si>
  <si>
    <t xml:space="preserve">170417</t>
  </si>
  <si>
    <t xml:space="preserve">QLD INS STH1-Asset Insp Ergon</t>
  </si>
  <si>
    <t xml:space="preserve">L9.J.22910011</t>
  </si>
  <si>
    <t xml:space="preserve">22910011</t>
  </si>
  <si>
    <t xml:space="preserve">QLD INS STH2-Asset Insp Ergon</t>
  </si>
  <si>
    <t xml:space="preserve">22910012</t>
  </si>
  <si>
    <t xml:space="preserve">QLD Laboratory</t>
  </si>
  <si>
    <t xml:space="preserve">L9.J.170403</t>
  </si>
  <si>
    <t xml:space="preserve">170403</t>
  </si>
  <si>
    <t xml:space="preserve">QLD PLR-Pole Reinforcement EQ</t>
  </si>
  <si>
    <t xml:space="preserve">22910033</t>
  </si>
  <si>
    <t xml:space="preserve">Qld Stabilisation Services</t>
  </si>
  <si>
    <t xml:space="preserve">L9.J.170954</t>
  </si>
  <si>
    <t xml:space="preserve">170954</t>
  </si>
  <si>
    <t xml:space="preserve">QLD Traffic Management</t>
  </si>
  <si>
    <t xml:space="preserve">L9.J.170407</t>
  </si>
  <si>
    <t xml:space="preserve">170407</t>
  </si>
  <si>
    <t xml:space="preserve">Qld Uni - Precinct</t>
  </si>
  <si>
    <t xml:space="preserve">L9.S.16002980</t>
  </si>
  <si>
    <t xml:space="preserve">16002980</t>
  </si>
  <si>
    <t xml:space="preserve">QLD Unify Direct OH</t>
  </si>
  <si>
    <t xml:space="preserve">L9.J.23440374</t>
  </si>
  <si>
    <t xml:space="preserve">23440374</t>
  </si>
  <si>
    <t xml:space="preserve">QLD/SA Other Customers EU Subcontractors</t>
  </si>
  <si>
    <t xml:space="preserve">L9.J.23900271</t>
  </si>
  <si>
    <t xml:space="preserve">QLD/SA Overhead EU Subcontractors</t>
  </si>
  <si>
    <t xml:space="preserve">L9.J.241673</t>
  </si>
  <si>
    <t xml:space="preserve">QTMP Main Facility Ormeau</t>
  </si>
  <si>
    <t xml:space="preserve">70700019</t>
  </si>
  <si>
    <t xml:space="preserve">QTMP MFG Facility Torbanlea</t>
  </si>
  <si>
    <t xml:space="preserve">L9.J.70700018</t>
  </si>
  <si>
    <t xml:space="preserve">70700018</t>
  </si>
  <si>
    <t xml:space="preserve">QTMP PMS Base Scope</t>
  </si>
  <si>
    <t xml:space="preserve">70700016</t>
  </si>
  <si>
    <t xml:space="preserve">Quarry - Bartletts</t>
  </si>
  <si>
    <t xml:space="preserve">55330</t>
  </si>
  <si>
    <t xml:space="preserve">272 Barlett Rd</t>
  </si>
  <si>
    <t xml:space="preserve">-41.3418</t>
  </si>
  <si>
    <t xml:space="preserve">173.1185</t>
  </si>
  <si>
    <t xml:space="preserve">Quarry - WOK</t>
  </si>
  <si>
    <t xml:space="preserve">55192</t>
  </si>
  <si>
    <t xml:space="preserve">2005 Tiniroto Road</t>
  </si>
  <si>
    <t xml:space="preserve">Waerengaokuri</t>
  </si>
  <si>
    <t xml:space="preserve">-38.6919</t>
  </si>
  <si>
    <t xml:space="preserve">177.7543</t>
  </si>
  <si>
    <t xml:space="preserve">Queensland Workshop</t>
  </si>
  <si>
    <t xml:space="preserve">L9.J.170411</t>
  </si>
  <si>
    <t xml:space="preserve">170411</t>
  </si>
  <si>
    <t xml:space="preserve">Queenstown (46 Robins Road)</t>
  </si>
  <si>
    <t xml:space="preserve">L9.DNZJ.91382</t>
  </si>
  <si>
    <t xml:space="preserve">91382</t>
  </si>
  <si>
    <t xml:space="preserve">COR-NZHO.91382-Queenstown (46 Robins Road)</t>
  </si>
  <si>
    <t xml:space="preserve">46 Robins Road</t>
  </si>
  <si>
    <t xml:space="preserve">Queenstown DC - RCM</t>
  </si>
  <si>
    <t xml:space="preserve">L9.DNZJ.55380</t>
  </si>
  <si>
    <t xml:space="preserve">55380</t>
  </si>
  <si>
    <t xml:space="preserve">Queenstown Depot</t>
  </si>
  <si>
    <t xml:space="preserve">55680</t>
  </si>
  <si>
    <t xml:space="preserve">7-11 Jock Boyd Place</t>
  </si>
  <si>
    <t xml:space="preserve">-45.006</t>
  </si>
  <si>
    <t xml:space="preserve">168.7508</t>
  </si>
  <si>
    <t xml:space="preserve">QUEENSTOWN FIRESTATION UPGRADE</t>
  </si>
  <si>
    <t xml:space="preserve">L9.DNZ.HS0142</t>
  </si>
  <si>
    <t xml:space="preserve">JP_HS0142</t>
  </si>
  <si>
    <t xml:space="preserve">Queenstown Laboratory</t>
  </si>
  <si>
    <t xml:space="preserve">L9.DNZJ.3528</t>
  </si>
  <si>
    <t xml:space="preserve">3528</t>
  </si>
  <si>
    <t xml:space="preserve">QUU (MR) - Water Metering Serv</t>
  </si>
  <si>
    <t xml:space="preserve">L9.S.16013413</t>
  </si>
  <si>
    <t xml:space="preserve">16013413</t>
  </si>
  <si>
    <t xml:space="preserve">QUU (MRP) - Water Metering Serv</t>
  </si>
  <si>
    <t xml:space="preserve">L9.S.16013415</t>
  </si>
  <si>
    <t xml:space="preserve">16013415</t>
  </si>
  <si>
    <t xml:space="preserve">QUU EU Subcontractors</t>
  </si>
  <si>
    <t xml:space="preserve">L9.J.23900117</t>
  </si>
  <si>
    <t xml:space="preserve">RAAF BASE TINDAL</t>
  </si>
  <si>
    <t xml:space="preserve">L9.J.38270078</t>
  </si>
  <si>
    <t xml:space="preserve">38270078</t>
  </si>
  <si>
    <t xml:space="preserve">RAAF BASE TINDAL Stage 2</t>
  </si>
  <si>
    <t xml:space="preserve">L9.J.38270099</t>
  </si>
  <si>
    <t xml:space="preserve">38270099</t>
  </si>
  <si>
    <t xml:space="preserve">RAAF Base Wagga Airfield Ops</t>
  </si>
  <si>
    <t xml:space="preserve">L9.S.16011507</t>
  </si>
  <si>
    <t xml:space="preserve">16011507</t>
  </si>
  <si>
    <t xml:space="preserve">RAAF Base Wagga Clean</t>
  </si>
  <si>
    <t xml:space="preserve">L9.S.16011499</t>
  </si>
  <si>
    <t xml:space="preserve">16011499</t>
  </si>
  <si>
    <t xml:space="preserve">RAAF Base Wagga Estate Upkeep</t>
  </si>
  <si>
    <t xml:space="preserve">L9.S.16011503</t>
  </si>
  <si>
    <t xml:space="preserve">16011503</t>
  </si>
  <si>
    <t xml:space="preserve">RAAF Base Wagga Land</t>
  </si>
  <si>
    <t xml:space="preserve">L9.S.16011500</t>
  </si>
  <si>
    <t xml:space="preserve">16011500</t>
  </si>
  <si>
    <t xml:space="preserve">RAAF Williamtown HV</t>
  </si>
  <si>
    <t xml:space="preserve">L9.J.37210013</t>
  </si>
  <si>
    <t xml:space="preserve">37210013</t>
  </si>
  <si>
    <t xml:space="preserve">Raetihi Depot</t>
  </si>
  <si>
    <t xml:space="preserve">55560</t>
  </si>
  <si>
    <t xml:space="preserve">-39.4322</t>
  </si>
  <si>
    <t xml:space="preserve">175.2818</t>
  </si>
  <si>
    <t xml:space="preserve">Rail Major Project HCMT OH</t>
  </si>
  <si>
    <t xml:space="preserve">L9.J.708001</t>
  </si>
  <si>
    <t xml:space="preserve">708001</t>
  </si>
  <si>
    <t xml:space="preserve">RAIL RECHARGE - TLS</t>
  </si>
  <si>
    <t xml:space="preserve">L9.J.709013</t>
  </si>
  <si>
    <t xml:space="preserve">709013</t>
  </si>
  <si>
    <t xml:space="preserve">Rangitata South Irrigation</t>
  </si>
  <si>
    <t xml:space="preserve">L9.DNZJ.561293</t>
  </si>
  <si>
    <t xml:space="preserve">561293</t>
  </si>
  <si>
    <t xml:space="preserve">RAP / Recycling Queensland</t>
  </si>
  <si>
    <t xml:space="preserve">L9.J.170420</t>
  </si>
  <si>
    <t xml:space="preserve">170420</t>
  </si>
  <si>
    <t xml:space="preserve">RAP/Recycling</t>
  </si>
  <si>
    <t xml:space="preserve">L9.J.170130</t>
  </si>
  <si>
    <t xml:space="preserve">170130</t>
  </si>
  <si>
    <t xml:space="preserve">RAP/Recycling - Melbourne</t>
  </si>
  <si>
    <t xml:space="preserve">L9.J.170306</t>
  </si>
  <si>
    <t xml:space="preserve">170306</t>
  </si>
  <si>
    <t xml:space="preserve">RAP/Recycling - Rosehill Devon</t>
  </si>
  <si>
    <t xml:space="preserve">L9.J.170164</t>
  </si>
  <si>
    <t xml:space="preserve">170164</t>
  </si>
  <si>
    <t xml:space="preserve">RAPM - Management</t>
  </si>
  <si>
    <t xml:space="preserve">L9.S.16016708</t>
  </si>
  <si>
    <t xml:space="preserve">16016708</t>
  </si>
  <si>
    <t xml:space="preserve">RCG Maintenance EU Subcontractors</t>
  </si>
  <si>
    <t xml:space="preserve">L9.DNZ.810.20859</t>
  </si>
  <si>
    <t xml:space="preserve">RE O&amp;M clrg</t>
  </si>
  <si>
    <t xml:space="preserve">L9.J.241315</t>
  </si>
  <si>
    <t xml:space="preserve">241315</t>
  </si>
  <si>
    <t xml:space="preserve">Recycling Wingfield</t>
  </si>
  <si>
    <t xml:space="preserve">L9.J.170536</t>
  </si>
  <si>
    <t xml:space="preserve">170536</t>
  </si>
  <si>
    <t xml:space="preserve">Redcliffs Terminal Station</t>
  </si>
  <si>
    <t xml:space="preserve">L9.J.37740099</t>
  </si>
  <si>
    <t xml:space="preserve">37740099</t>
  </si>
  <si>
    <t xml:space="preserve">Redland Meter Reading</t>
  </si>
  <si>
    <t xml:space="preserve">L9.S.16017440</t>
  </si>
  <si>
    <t xml:space="preserve">16017440</t>
  </si>
  <si>
    <t xml:space="preserve">Regentville SSR</t>
  </si>
  <si>
    <t xml:space="preserve">L9.J.37740147</t>
  </si>
  <si>
    <t xml:space="preserve">37740147</t>
  </si>
  <si>
    <t xml:space="preserve">Regional Mgt-Dunedin</t>
  </si>
  <si>
    <t xml:space="preserve">23000270</t>
  </si>
  <si>
    <t xml:space="preserve">Rejuvenation Contracti</t>
  </si>
  <si>
    <t xml:space="preserve">L9.J.170931</t>
  </si>
  <si>
    <t xml:space="preserve">170931</t>
  </si>
  <si>
    <t xml:space="preserve">RELOCATABLE CLASSROOMS</t>
  </si>
  <si>
    <t xml:space="preserve">L9.DNZ.HS0147</t>
  </si>
  <si>
    <t xml:space="preserve">JP_HS0147</t>
  </si>
  <si>
    <t xml:space="preserve">Remediation Site_Laundry - Abbotsford (VIC)</t>
  </si>
  <si>
    <t xml:space="preserve">Renewals - Chip Sealing</t>
  </si>
  <si>
    <t xml:space="preserve">L9.DNZJ.553303</t>
  </si>
  <si>
    <t xml:space="preserve">553303</t>
  </si>
  <si>
    <t xml:space="preserve">RepurposeIT</t>
  </si>
  <si>
    <t xml:space="preserve">L9.J.170721</t>
  </si>
  <si>
    <t xml:space="preserve">XYZ</t>
  </si>
  <si>
    <t xml:space="preserve">RSV-172 - Reconomy</t>
  </si>
  <si>
    <t xml:space="preserve">Repurpose It</t>
  </si>
  <si>
    <t xml:space="preserve">Reserved for future use EU Subcontractors</t>
  </si>
  <si>
    <t xml:space="preserve">L9.J.395208</t>
  </si>
  <si>
    <t xml:space="preserve">Residences_ACT</t>
  </si>
  <si>
    <t xml:space="preserve">L9.J.24120142</t>
  </si>
  <si>
    <t xml:space="preserve">24120142</t>
  </si>
  <si>
    <t xml:space="preserve">Based on op control form, temporarily assign to UT-24120142 - Bango Wind Farm.</t>
  </si>
  <si>
    <t xml:space="preserve">Residences_NSW</t>
  </si>
  <si>
    <t xml:space="preserve">Residences_QLD</t>
  </si>
  <si>
    <t xml:space="preserve">Residences_VIC</t>
  </si>
  <si>
    <t xml:space="preserve">Residential properties being leased by Downer in Shepparton. 
Based on op control form, temporarily assign to UT-24120142 - Bango Wind Farm.</t>
  </si>
  <si>
    <t xml:space="preserve">L9.J.17060556</t>
  </si>
  <si>
    <t xml:space="preserve">REV_ANZ Operations</t>
  </si>
  <si>
    <t xml:space="preserve">L9.J.170240</t>
  </si>
  <si>
    <t xml:space="preserve">TIANZ</t>
  </si>
  <si>
    <t xml:space="preserve">REV_Asset &amp; Development Services</t>
  </si>
  <si>
    <t xml:space="preserve">L9.S.13001513</t>
  </si>
  <si>
    <t xml:space="preserve">ADS3197S</t>
  </si>
  <si>
    <t xml:space="preserve">REV_Asset &amp; Development Services (SAP)</t>
  </si>
  <si>
    <t xml:space="preserve">REV_AU Maintenance &amp; Pavements</t>
  </si>
  <si>
    <t xml:space="preserve">TIAMP</t>
  </si>
  <si>
    <t xml:space="preserve">REV_AU National Operations</t>
  </si>
  <si>
    <t xml:space="preserve">TIANO</t>
  </si>
  <si>
    <t xml:space="preserve">REV_Base &amp; Estate Management</t>
  </si>
  <si>
    <t xml:space="preserve">SICSBEM</t>
  </si>
  <si>
    <t xml:space="preserve">REV_Corporate Australia</t>
  </si>
  <si>
    <t xml:space="preserve">L9.J.100151</t>
  </si>
  <si>
    <t xml:space="preserve">CORAU</t>
  </si>
  <si>
    <t xml:space="preserve">REV_Downer Professional Services</t>
  </si>
  <si>
    <t xml:space="preserve">L9.J.505011</t>
  </si>
  <si>
    <t xml:space="preserve">SICSDPS</t>
  </si>
  <si>
    <t xml:space="preserve">REV_E&amp;C Legacy</t>
  </si>
  <si>
    <t xml:space="preserve">REV_E&amp;U Asset Management (ANZ)</t>
  </si>
  <si>
    <t xml:space="preserve">L9.J.392150</t>
  </si>
  <si>
    <t xml:space="preserve">EUAMANZ</t>
  </si>
  <si>
    <t xml:space="preserve">L9.S.16008024</t>
  </si>
  <si>
    <t xml:space="preserve">REV_Emerging Markets</t>
  </si>
  <si>
    <t xml:space="preserve">L9.J.709010</t>
  </si>
  <si>
    <t xml:space="preserve">RTSEMKT</t>
  </si>
  <si>
    <t xml:space="preserve">REV_Energy &amp; Industrial</t>
  </si>
  <si>
    <t xml:space="preserve">REV_Energy AU</t>
  </si>
  <si>
    <t xml:space="preserve">L9.J.229500</t>
  </si>
  <si>
    <t xml:space="preserve">UTLEAU</t>
  </si>
  <si>
    <t xml:space="preserve">REV_Energy NZ</t>
  </si>
  <si>
    <t xml:space="preserve">L9.DNZJ.1500</t>
  </si>
  <si>
    <t xml:space="preserve">UTLENZ</t>
  </si>
  <si>
    <t xml:space="preserve">REV_EU Gap</t>
  </si>
  <si>
    <t xml:space="preserve">REV_EU Support</t>
  </si>
  <si>
    <t xml:space="preserve">L9.DUA.30172800</t>
  </si>
  <si>
    <t xml:space="preserve">REV_Fleet &amp; Assets</t>
  </si>
  <si>
    <t xml:space="preserve">REV_Future Energy Solutions</t>
  </si>
  <si>
    <t xml:space="preserve">IEFES</t>
  </si>
  <si>
    <t xml:space="preserve">REV_Government &amp; IFM</t>
  </si>
  <si>
    <t xml:space="preserve">L9.S.13000747</t>
  </si>
  <si>
    <t xml:space="preserve">SICSGIFM</t>
  </si>
  <si>
    <t xml:space="preserve">REV_Hawkins</t>
  </si>
  <si>
    <t xml:space="preserve">TIHA</t>
  </si>
  <si>
    <t xml:space="preserve">REV_Health &amp; Education</t>
  </si>
  <si>
    <t xml:space="preserve">L9.S.13000770</t>
  </si>
  <si>
    <t xml:space="preserve">SICSHE</t>
  </si>
  <si>
    <t xml:space="preserve">REV_Industrial &amp; Energy East</t>
  </si>
  <si>
    <t xml:space="preserve">L9.J.38215096</t>
  </si>
  <si>
    <t xml:space="preserve">IEIEE</t>
  </si>
  <si>
    <t xml:space="preserve">REV_Industrial &amp; Energy Support</t>
  </si>
  <si>
    <t xml:space="preserve">L9.J.382160</t>
  </si>
  <si>
    <t xml:space="preserve">IEIEW</t>
  </si>
  <si>
    <t xml:space="preserve">REV_Industrial &amp; Energy West</t>
  </si>
  <si>
    <t xml:space="preserve">L9.J.38230093</t>
  </si>
  <si>
    <t xml:space="preserve">REV_Industrial &amp; Power Generation</t>
  </si>
  <si>
    <t xml:space="preserve">L9.ENG.360.84.105</t>
  </si>
  <si>
    <t xml:space="preserve">REV_Infrastructure Projects</t>
  </si>
  <si>
    <t xml:space="preserve">DTIP</t>
  </si>
  <si>
    <t xml:space="preserve">REV_Integrated Gas</t>
  </si>
  <si>
    <t xml:space="preserve">IEIG</t>
  </si>
  <si>
    <t xml:space="preserve">REV_Intercompany Elimination</t>
  </si>
  <si>
    <t xml:space="preserve">L9.J.799999</t>
  </si>
  <si>
    <t xml:space="preserve">RTSICE</t>
  </si>
  <si>
    <t xml:space="preserve">REV_Intra Elim</t>
  </si>
  <si>
    <t xml:space="preserve">L9.J.100001</t>
  </si>
  <si>
    <t xml:space="preserve">CORIE</t>
  </si>
  <si>
    <t xml:space="preserve">REV_Managing Contracts</t>
  </si>
  <si>
    <t xml:space="preserve">L9.S.16016670</t>
  </si>
  <si>
    <t xml:space="preserve">REV_Mineral Technologies</t>
  </si>
  <si>
    <t xml:space="preserve">IEMT</t>
  </si>
  <si>
    <t xml:space="preserve">REV_Mining</t>
  </si>
  <si>
    <t xml:space="preserve">L9.COR.130.02151</t>
  </si>
  <si>
    <t xml:space="preserve">REV_Network Services</t>
  </si>
  <si>
    <t xml:space="preserve">L9.S.WPSTLSTH00</t>
  </si>
  <si>
    <t xml:space="preserve">REV_New Zealand Transport &amp; Infrastructure</t>
  </si>
  <si>
    <t xml:space="preserve">L9.DNZJ.8501</t>
  </si>
  <si>
    <t xml:space="preserve">TINZTI</t>
  </si>
  <si>
    <t xml:space="preserve">REV_NZ NSC IT Property WF and Elins</t>
  </si>
  <si>
    <t xml:space="preserve">L9.DNZJ.9003</t>
  </si>
  <si>
    <t xml:space="preserve">CORNZ</t>
  </si>
  <si>
    <t xml:space="preserve">REV_NZ NSC, IT, Property, WF &amp; Elins</t>
  </si>
  <si>
    <t xml:space="preserve">RNZIPWE</t>
  </si>
  <si>
    <t xml:space="preserve">REV_Passenger New Supply and Delivery</t>
  </si>
  <si>
    <t xml:space="preserve">L9.J.709250</t>
  </si>
  <si>
    <t xml:space="preserve">RTSPNSD</t>
  </si>
  <si>
    <t xml:space="preserve">REV_Passenger North</t>
  </si>
  <si>
    <t xml:space="preserve">REV_Passenger Refurbishment</t>
  </si>
  <si>
    <t xml:space="preserve">RTSPREF</t>
  </si>
  <si>
    <t xml:space="preserve">REV_Passenger South</t>
  </si>
  <si>
    <t xml:space="preserve">L9.J.709506</t>
  </si>
  <si>
    <t xml:space="preserve">REV_Passenger Through Life Support</t>
  </si>
  <si>
    <t xml:space="preserve">RTSPTLS</t>
  </si>
  <si>
    <t xml:space="preserve">REV_Power Projects</t>
  </si>
  <si>
    <t xml:space="preserve">RPP</t>
  </si>
  <si>
    <t xml:space="preserve">REV_Precinct Upgrade &amp; New Energy</t>
  </si>
  <si>
    <t xml:space="preserve">L9.J.234249</t>
  </si>
  <si>
    <t xml:space="preserve">SICSPUNE</t>
  </si>
  <si>
    <t xml:space="preserve">REV_Rail Services Victoria Pty Ltd</t>
  </si>
  <si>
    <t xml:space="preserve">L9.J.10920022</t>
  </si>
  <si>
    <t xml:space="preserve">RTSRSV</t>
  </si>
  <si>
    <t xml:space="preserve">REV_Repurpose IT</t>
  </si>
  <si>
    <t xml:space="preserve">L9.J.150505</t>
  </si>
  <si>
    <t xml:space="preserve">TIRIT</t>
  </si>
  <si>
    <t xml:space="preserve">REV_RTS Digital</t>
  </si>
  <si>
    <t xml:space="preserve">L9.J.70620001</t>
  </si>
  <si>
    <t xml:space="preserve">RTSDIG</t>
  </si>
  <si>
    <t xml:space="preserve">REV_RTS FREIGHT</t>
  </si>
  <si>
    <t xml:space="preserve">L9.J.70900047</t>
  </si>
  <si>
    <t xml:space="preserve">RTSFREI</t>
  </si>
  <si>
    <t xml:space="preserve">REV_RTS Head Office</t>
  </si>
  <si>
    <t xml:space="preserve">REV_RTS NSW</t>
  </si>
  <si>
    <t xml:space="preserve">RTSNSW</t>
  </si>
  <si>
    <t xml:space="preserve">REV_RTS Opportunities</t>
  </si>
  <si>
    <t xml:space="preserve">RTSOPPS</t>
  </si>
  <si>
    <t xml:space="preserve">REV_RTS QLD</t>
  </si>
  <si>
    <t xml:space="preserve">RTSQLD</t>
  </si>
  <si>
    <t xml:space="preserve">REV_RTS VIC</t>
  </si>
  <si>
    <t xml:space="preserve">RTSVIC</t>
  </si>
  <si>
    <t xml:space="preserve">REV_RTS WA</t>
  </si>
  <si>
    <t xml:space="preserve">REV_Social Infrastructure &amp; Citizen Services Sup</t>
  </si>
  <si>
    <t xml:space="preserve">L9.S.11001200</t>
  </si>
  <si>
    <t xml:space="preserve">SICSSICSS</t>
  </si>
  <si>
    <t xml:space="preserve">REV_Social Infrastructure &amp; Citizen Services Support</t>
  </si>
  <si>
    <t xml:space="preserve">RSICSS</t>
  </si>
  <si>
    <t xml:space="preserve">REV_T&amp;I Gap</t>
  </si>
  <si>
    <t xml:space="preserve">REV_T&amp;I Head Office</t>
  </si>
  <si>
    <t xml:space="preserve">L9.J.170833</t>
  </si>
  <si>
    <t xml:space="preserve">TITIHO</t>
  </si>
  <si>
    <t xml:space="preserve">REV_Telco AU</t>
  </si>
  <si>
    <t xml:space="preserve">L9.S.TSTELWA00</t>
  </si>
  <si>
    <t xml:space="preserve">UTLTAU</t>
  </si>
  <si>
    <t xml:space="preserve">REV_Telco NZ</t>
  </si>
  <si>
    <t xml:space="preserve">L9.DNZ.810.10.057</t>
  </si>
  <si>
    <t xml:space="preserve">UTLTNZ</t>
  </si>
  <si>
    <t xml:space="preserve">REV_Telecommunications</t>
  </si>
  <si>
    <t xml:space="preserve">L9.DNZJ.56900</t>
  </si>
  <si>
    <t xml:space="preserve">REV_Telecommunications &amp; Networks</t>
  </si>
  <si>
    <t xml:space="preserve">L9.J.234</t>
  </si>
  <si>
    <t xml:space="preserve">REV_Transport &amp; Infrastructure AU</t>
  </si>
  <si>
    <t xml:space="preserve">REV_Transport &amp; Infrastructure NZ</t>
  </si>
  <si>
    <t xml:space="preserve">L9.DNZJ.8134</t>
  </si>
  <si>
    <t xml:space="preserve">REV_Utilites Gap</t>
  </si>
  <si>
    <t xml:space="preserve">L9.J.24110010</t>
  </si>
  <si>
    <t xml:space="preserve">RUG</t>
  </si>
  <si>
    <t xml:space="preserve">REV_Utilities Gap</t>
  </si>
  <si>
    <t xml:space="preserve">UTLGAP</t>
  </si>
  <si>
    <t xml:space="preserve">REV_Utilities Legacy &amp; Other</t>
  </si>
  <si>
    <t xml:space="preserve">L9.J.241120</t>
  </si>
  <si>
    <t xml:space="preserve">UTLLEGO</t>
  </si>
  <si>
    <t xml:space="preserve">REV_Utilities Legacy &amp; Other AU</t>
  </si>
  <si>
    <t xml:space="preserve">RULO</t>
  </si>
  <si>
    <t xml:space="preserve">REV_Utilities Projects NZ</t>
  </si>
  <si>
    <t xml:space="preserve">L9.DNZJ.63920</t>
  </si>
  <si>
    <t xml:space="preserve">UTLPRONZ</t>
  </si>
  <si>
    <t xml:space="preserve">REV_Utilities Support</t>
  </si>
  <si>
    <t xml:space="preserve">UTLSUPP</t>
  </si>
  <si>
    <t xml:space="preserve">REV_VEC Contracting</t>
  </si>
  <si>
    <t xml:space="preserve">TIVEC</t>
  </si>
  <si>
    <t xml:space="preserve">REV_Water</t>
  </si>
  <si>
    <t xml:space="preserve">L9.J.39220126</t>
  </si>
  <si>
    <t xml:space="preserve">REV_Water &amp; Automation NZ</t>
  </si>
  <si>
    <t xml:space="preserve">UTLWANZ</t>
  </si>
  <si>
    <t xml:space="preserve">REV_Water Services AU</t>
  </si>
  <si>
    <t xml:space="preserve">UTLWSAU</t>
  </si>
  <si>
    <t xml:space="preserve">RFU - Power Systems - East EU Subcontractors</t>
  </si>
  <si>
    <t xml:space="preserve">L9.J.24150015</t>
  </si>
  <si>
    <t xml:space="preserve">RI Mobile Asphalt Plan</t>
  </si>
  <si>
    <t xml:space="preserve">L9.DNZJ.8116</t>
  </si>
  <si>
    <t xml:space="preserve">-384124424</t>
  </si>
  <si>
    <t xml:space="preserve">Richlands</t>
  </si>
  <si>
    <t xml:space="preserve">L9.ENG.340.14505</t>
  </si>
  <si>
    <t xml:space="preserve">2023</t>
  </si>
  <si>
    <t xml:space="preserve">247</t>
  </si>
  <si>
    <t xml:space="preserve">145 Archerfield Rd</t>
  </si>
  <si>
    <t xml:space="preserve">4077</t>
  </si>
  <si>
    <t xml:space="preserve">-27.58007</t>
  </si>
  <si>
    <t xml:space="preserve">152.956007</t>
  </si>
  <si>
    <t xml:space="preserve">243</t>
  </si>
  <si>
    <t xml:space="preserve">Richlands Facility FY19</t>
  </si>
  <si>
    <t xml:space="preserve">L9.J.38120022</t>
  </si>
  <si>
    <t xml:space="preserve">38120022</t>
  </si>
  <si>
    <t xml:space="preserve">Richlands Workshop Projects</t>
  </si>
  <si>
    <t xml:space="preserve">L9.J.38170025</t>
  </si>
  <si>
    <t xml:space="preserve">38170025</t>
  </si>
  <si>
    <t xml:space="preserve">Ringway</t>
  </si>
  <si>
    <t xml:space="preserve">L9.DNZJ.313250</t>
  </si>
  <si>
    <t xml:space="preserve">313250</t>
  </si>
  <si>
    <t xml:space="preserve">RIS Commercial Service</t>
  </si>
  <si>
    <t xml:space="preserve">L9.J.170823</t>
  </si>
  <si>
    <t xml:space="preserve">170823</t>
  </si>
  <si>
    <t xml:space="preserve">RIS Finance and Accoun</t>
  </si>
  <si>
    <t xml:space="preserve">170821</t>
  </si>
  <si>
    <t xml:space="preserve">RIS National Plant</t>
  </si>
  <si>
    <t xml:space="preserve">L9.J.170928</t>
  </si>
  <si>
    <t xml:space="preserve">170928</t>
  </si>
  <si>
    <t xml:space="preserve">RIS Zero Harm</t>
  </si>
  <si>
    <t xml:space="preserve">L9.J.170829</t>
  </si>
  <si>
    <t xml:space="preserve">170829</t>
  </si>
  <si>
    <t xml:space="preserve">Riverina Redev Pgm Serv Del</t>
  </si>
  <si>
    <t xml:space="preserve">L9.S.16016298</t>
  </si>
  <si>
    <t xml:space="preserve">16016298</t>
  </si>
  <si>
    <t xml:space="preserve">Riverina Workshop</t>
  </si>
  <si>
    <t xml:space="preserve">L9.J.170909</t>
  </si>
  <si>
    <t xml:space="preserve">170909</t>
  </si>
  <si>
    <t xml:space="preserve">Riverland Mallee Maintenance</t>
  </si>
  <si>
    <t xml:space="preserve">L9.J.170252</t>
  </si>
  <si>
    <t xml:space="preserve">170252</t>
  </si>
  <si>
    <t xml:space="preserve">Riversdale Chip Production</t>
  </si>
  <si>
    <t xml:space="preserve">L9.DNZJ.313450</t>
  </si>
  <si>
    <t xml:space="preserve">313450</t>
  </si>
  <si>
    <t xml:space="preserve">RMA Management</t>
  </si>
  <si>
    <t xml:space="preserve">L9.DNZ.810.10.128</t>
  </si>
  <si>
    <t xml:space="preserve">10128</t>
  </si>
  <si>
    <t xml:space="preserve">SI-NZF-10.128 RMA Management</t>
  </si>
  <si>
    <t xml:space="preserve">Road Surfacing Estimat</t>
  </si>
  <si>
    <t xml:space="preserve">L9.J.170624</t>
  </si>
  <si>
    <t xml:space="preserve">170624</t>
  </si>
  <si>
    <t xml:space="preserve">Roadmarking - Lower South</t>
  </si>
  <si>
    <t xml:space="preserve">L9.DNZJ.55376</t>
  </si>
  <si>
    <t xml:space="preserve">55376</t>
  </si>
  <si>
    <t xml:space="preserve">Roadmarking - Wellington</t>
  </si>
  <si>
    <t xml:space="preserve">55223</t>
  </si>
  <si>
    <t xml:space="preserve">TI-NZT-55223 - Roadmarking - Wellington</t>
  </si>
  <si>
    <t xml:space="preserve">Roads Infra Plant Pool</t>
  </si>
  <si>
    <t xml:space="preserve">L9.J.170851</t>
  </si>
  <si>
    <t xml:space="preserve">170851</t>
  </si>
  <si>
    <t xml:space="preserve">Rockhampton Clean</t>
  </si>
  <si>
    <t xml:space="preserve">L9.S.16011424</t>
  </si>
  <si>
    <t xml:space="preserve">16011424</t>
  </si>
  <si>
    <t xml:space="preserve">Rockhampton Estate Upkeep</t>
  </si>
  <si>
    <t xml:space="preserve">L9.S.16011428</t>
  </si>
  <si>
    <t xml:space="preserve">16011428</t>
  </si>
  <si>
    <t xml:space="preserve">Rockhampton Land</t>
  </si>
  <si>
    <t xml:space="preserve">L9.S.16011425</t>
  </si>
  <si>
    <t xml:space="preserve">16011425</t>
  </si>
  <si>
    <t xml:space="preserve">Rockhampton Mgt</t>
  </si>
  <si>
    <t xml:space="preserve">L9.S.16011423</t>
  </si>
  <si>
    <t xml:space="preserve">16011423</t>
  </si>
  <si>
    <t xml:space="preserve">Rockhampton Range &amp; Training</t>
  </si>
  <si>
    <t xml:space="preserve">L9.S.16011427</t>
  </si>
  <si>
    <t xml:space="preserve">16011427</t>
  </si>
  <si>
    <t xml:space="preserve">Rolleston Water Upgrade</t>
  </si>
  <si>
    <t xml:space="preserve">L9.DNZJ.UN0003</t>
  </si>
  <si>
    <t xml:space="preserve">UN0003</t>
  </si>
  <si>
    <t xml:space="preserve">Rooksby St, Gladstone</t>
  </si>
  <si>
    <t xml:space="preserve">L9.J.38215021</t>
  </si>
  <si>
    <t xml:space="preserve">ASV-363.376.302.420</t>
  </si>
  <si>
    <t xml:space="preserve">22</t>
  </si>
  <si>
    <t xml:space="preserve">Bensted St, Gladstone moved to 7 Rooksby St Gladstone</t>
  </si>
  <si>
    <t xml:space="preserve">7 Rooksby Street</t>
  </si>
  <si>
    <t xml:space="preserve">-23.858</t>
  </si>
  <si>
    <t xml:space="preserve">151.227</t>
  </si>
  <si>
    <t xml:space="preserve">Ross River SF O&amp;M</t>
  </si>
  <si>
    <t xml:space="preserve">L9.J.38600005</t>
  </si>
  <si>
    <t xml:space="preserve">38600005</t>
  </si>
  <si>
    <t xml:space="preserve">Ross River Solar Farm</t>
  </si>
  <si>
    <t xml:space="preserve">L9.J.24120104</t>
  </si>
  <si>
    <t xml:space="preserve">24120104</t>
  </si>
  <si>
    <t xml:space="preserve">Rotorua Branch Balance Sheet</t>
  </si>
  <si>
    <t xml:space="preserve">L9.DNZJ.2400</t>
  </si>
  <si>
    <t xml:space="preserve">2400</t>
  </si>
  <si>
    <t xml:space="preserve">HIST-Downer New Zealand</t>
  </si>
  <si>
    <t xml:space="preserve">Rotorua Private Hospitals - 45002537</t>
  </si>
  <si>
    <t xml:space="preserve">L9.S.24000145</t>
  </si>
  <si>
    <t xml:space="preserve">2000004533</t>
  </si>
  <si>
    <t xml:space="preserve">ROTOTUNA HIGH SCH D&amp;C</t>
  </si>
  <si>
    <t xml:space="preserve">JP_HC0350</t>
  </si>
  <si>
    <t xml:space="preserve">Royal Parade Management</t>
  </si>
  <si>
    <t xml:space="preserve">L9.S.16014524</t>
  </si>
  <si>
    <t xml:space="preserve">16014524</t>
  </si>
  <si>
    <t xml:space="preserve">Royal Rehab Hospital</t>
  </si>
  <si>
    <t xml:space="preserve">Ryde</t>
  </si>
  <si>
    <t xml:space="preserve">RPQ Fleet Pool</t>
  </si>
  <si>
    <t xml:space="preserve">L9.J.170859</t>
  </si>
  <si>
    <t xml:space="preserve">170859</t>
  </si>
  <si>
    <t xml:space="preserve">RPQ Income Statement</t>
  </si>
  <si>
    <t xml:space="preserve">L9.J.171101</t>
  </si>
  <si>
    <t xml:space="preserve">171101</t>
  </si>
  <si>
    <t xml:space="preserve">RPQ Mackay Depot</t>
  </si>
  <si>
    <t xml:space="preserve">TI-173130 - RPQ Asphalt Mackay</t>
  </si>
  <si>
    <t xml:space="preserve">RPQ NSW Chinderah</t>
  </si>
  <si>
    <t xml:space="preserve">24 Ozone St</t>
  </si>
  <si>
    <t xml:space="preserve">Chinderah</t>
  </si>
  <si>
    <t xml:space="preserve">2487</t>
  </si>
  <si>
    <t xml:space="preserve">RPQ NSW Lismore Depot</t>
  </si>
  <si>
    <t xml:space="preserve">We lease a portion of the quarry. Utilities are paid for by the quarry owner.
Note (26/11/2024): asset type is updated from asphalt plant to depot. Moved asphalt plant data to new Envizi location "Lismore Asphalt plant".
THIS SITE IS NOT THE ASPHALT PLANT SITE, BUT DEPOT FOR CREWS</t>
  </si>
  <si>
    <t xml:space="preserve">60 Lancaster Dr</t>
  </si>
  <si>
    <t xml:space="preserve">Goonellabah</t>
  </si>
  <si>
    <t xml:space="preserve">RPQ NSW Moree</t>
  </si>
  <si>
    <t xml:space="preserve">L9.J.171220</t>
  </si>
  <si>
    <t xml:space="preserve">122 Gwydir Str</t>
  </si>
  <si>
    <t xml:space="preserve">Moree</t>
  </si>
  <si>
    <t xml:space="preserve">RPQ NSW South Grafton</t>
  </si>
  <si>
    <t xml:space="preserve">L9.J.171215</t>
  </si>
  <si>
    <t xml:space="preserve">RPQ Spray Seal</t>
  </si>
  <si>
    <t xml:space="preserve">L9.J.171230</t>
  </si>
  <si>
    <t xml:space="preserve">171230</t>
  </si>
  <si>
    <t xml:space="preserve">Includes all depot and spray seal depots RPQ Queensland</t>
  </si>
  <si>
    <t xml:space="preserve">66 Hugh Street</t>
  </si>
  <si>
    <t xml:space="preserve">-27.427598</t>
  </si>
  <si>
    <t xml:space="preserve">153.111754</t>
  </si>
  <si>
    <t xml:space="preserve">RPQ Swanbank</t>
  </si>
  <si>
    <t xml:space="preserve">L9.J.171505</t>
  </si>
  <si>
    <t xml:space="preserve">171505</t>
  </si>
  <si>
    <t xml:space="preserve">206 - 258 Swanbank Road</t>
  </si>
  <si>
    <t xml:space="preserve">Swanbank</t>
  </si>
  <si>
    <t xml:space="preserve">4306</t>
  </si>
  <si>
    <t xml:space="preserve">-27.656127</t>
  </si>
  <si>
    <t xml:space="preserve">152.805873</t>
  </si>
  <si>
    <t xml:space="preserve">RPQ Townsville</t>
  </si>
  <si>
    <t xml:space="preserve">L9.J.171235</t>
  </si>
  <si>
    <t xml:space="preserve">171235</t>
  </si>
  <si>
    <t xml:space="preserve">181 Enterprise St</t>
  </si>
  <si>
    <t xml:space="preserve">Bohle</t>
  </si>
  <si>
    <t xml:space="preserve">4818</t>
  </si>
  <si>
    <t xml:space="preserve">-19.255021</t>
  </si>
  <si>
    <t xml:space="preserve">146.722741</t>
  </si>
  <si>
    <t xml:space="preserve">RPQ Workshop</t>
  </si>
  <si>
    <t xml:space="preserve">L9.J.170429</t>
  </si>
  <si>
    <t xml:space="preserve">170429</t>
  </si>
  <si>
    <t xml:space="preserve">RPS - Finance</t>
  </si>
  <si>
    <t xml:space="preserve">L9.J.241301</t>
  </si>
  <si>
    <t xml:space="preserve">241301</t>
  </si>
  <si>
    <t xml:space="preserve">RPS Zero Harm Clrg</t>
  </si>
  <si>
    <t xml:space="preserve">L9.J.241314</t>
  </si>
  <si>
    <t xml:space="preserve">241314</t>
  </si>
  <si>
    <t xml:space="preserve">Ruapehu People/Plant</t>
  </si>
  <si>
    <t xml:space="preserve">L9.DNZJ.66208</t>
  </si>
  <si>
    <t xml:space="preserve">66208</t>
  </si>
  <si>
    <t xml:space="preserve">L9.J.24120083</t>
  </si>
  <si>
    <t xml:space="preserve">24120083</t>
  </si>
  <si>
    <t xml:space="preserve">Rubyanna O&amp;M</t>
  </si>
  <si>
    <t xml:space="preserve">L9.J.24160004</t>
  </si>
  <si>
    <t xml:space="preserve">24160004</t>
  </si>
  <si>
    <t xml:space="preserve">Rural &amp; Reserve Mainte</t>
  </si>
  <si>
    <t xml:space="preserve">L9.J.170726</t>
  </si>
  <si>
    <t xml:space="preserve">170726</t>
  </si>
  <si>
    <t xml:space="preserve">Rural Connectivity Group (RCG) EU Subcontractors</t>
  </si>
  <si>
    <t xml:space="preserve">L9.DNZ.810.20793</t>
  </si>
  <si>
    <t xml:space="preserve">Russell  Clean</t>
  </si>
  <si>
    <t xml:space="preserve">L9.S.16011477</t>
  </si>
  <si>
    <t xml:space="preserve">Russell  Estate Upkeep</t>
  </si>
  <si>
    <t xml:space="preserve">L9.S.16011481</t>
  </si>
  <si>
    <t xml:space="preserve">S3_AU_COR_CONSUMABLES</t>
  </si>
  <si>
    <t xml:space="preserve">Scope 3 Category 1 TOTAL</t>
  </si>
  <si>
    <t xml:space="preserve">S3_AU_COR_EQUIPMENT</t>
  </si>
  <si>
    <t xml:space="preserve">S3_AU_COR_FACILITIES</t>
  </si>
  <si>
    <t xml:space="preserve">S3_AU_COR_FLEET &amp; FUELS</t>
  </si>
  <si>
    <t xml:space="preserve">S3_AU_COR_FOOD &amp; BEVERAGE</t>
  </si>
  <si>
    <t xml:space="preserve">S3_AU_COR_HME</t>
  </si>
  <si>
    <t xml:space="preserve">S3_AU_COR_ICT</t>
  </si>
  <si>
    <t xml:space="preserve">S3_AU_COR_LABOUR HIRE &amp; RECRUITMENT SERVICES</t>
  </si>
  <si>
    <t xml:space="preserve">S3_AU_COR_LOGISTICS</t>
  </si>
  <si>
    <t xml:space="preserve">S3_AU_COR_NOT CATEGORIZED</t>
  </si>
  <si>
    <t xml:space="preserve">S3_AU_COR_OTHER</t>
  </si>
  <si>
    <t xml:space="preserve">S3_AU_COR_PREMISES RENTING</t>
  </si>
  <si>
    <t xml:space="preserve">S3_AU_COR_PROFESSIONAL SERVICES</t>
  </si>
  <si>
    <t xml:space="preserve">S3_AU_COR_PROJECT MATERIALS</t>
  </si>
  <si>
    <t xml:space="preserve">S3_AU_COR_RAIL</t>
  </si>
  <si>
    <t xml:space="preserve">S3_AU_COR_RAW MATERIALS</t>
  </si>
  <si>
    <t xml:space="preserve">S3_AU_COR_TRAVEL</t>
  </si>
  <si>
    <t xml:space="preserve">S3_AU_E&amp;U_BUILDING PRODUCTS</t>
  </si>
  <si>
    <t xml:space="preserve">S3_AU_E&amp;U_CONSUMABLES</t>
  </si>
  <si>
    <t xml:space="preserve">S3_AU_E&amp;U_EQUIPMENT</t>
  </si>
  <si>
    <t xml:space="preserve">S3_AU_E&amp;U_FACILITIES</t>
  </si>
  <si>
    <t xml:space="preserve">S3_AU_E&amp;U_FLEET &amp; FUELS</t>
  </si>
  <si>
    <t xml:space="preserve">S3_AU_E&amp;U_FOOD &amp; BEVERAGE</t>
  </si>
  <si>
    <t xml:space="preserve">S3_AU_E&amp;U_HME</t>
  </si>
  <si>
    <t xml:space="preserve">S3_AU_E&amp;U_ICT</t>
  </si>
  <si>
    <t xml:space="preserve">S3_AU_E&amp;U_LABOUR HIRE &amp; RECRUITMENT SERVICES</t>
  </si>
  <si>
    <t xml:space="preserve">S3_AU_E&amp;U_LAUNDRY</t>
  </si>
  <si>
    <t xml:space="preserve">S3_AU_E&amp;U_LOGISTICS</t>
  </si>
  <si>
    <t xml:space="preserve">S3_AU_E&amp;U_NOT CATEGORIZED</t>
  </si>
  <si>
    <t xml:space="preserve">S3_AU_E&amp;U_OTHER</t>
  </si>
  <si>
    <t xml:space="preserve">S3_AU_E&amp;U_PREMISES RENTING</t>
  </si>
  <si>
    <t xml:space="preserve">S3_AU_E&amp;U_PROFESSIONAL SERVICES</t>
  </si>
  <si>
    <t xml:space="preserve">S3_AU_E&amp;U_PROJECT MATERIALS</t>
  </si>
  <si>
    <t xml:space="preserve">S3_AU_E&amp;U_RAIL</t>
  </si>
  <si>
    <t xml:space="preserve">S3_AU_E&amp;U_RAW MATERIALS</t>
  </si>
  <si>
    <t xml:space="preserve">S3_AU_E&amp;U_TRAVEL</t>
  </si>
  <si>
    <t xml:space="preserve">S3_AU_E&amp;U_TYRES</t>
  </si>
  <si>
    <t xml:space="preserve">S3_AU_IP_BUILDING PRODUCTS</t>
  </si>
  <si>
    <t xml:space="preserve">S3_AU_IP_CONSUMABLES</t>
  </si>
  <si>
    <t xml:space="preserve">S3_AU_IP_EQUIPMENT</t>
  </si>
  <si>
    <t xml:space="preserve">S3_AU_IP_FACILITIES</t>
  </si>
  <si>
    <t xml:space="preserve">S3_AU_IP_FLEET &amp; FUELS</t>
  </si>
  <si>
    <t xml:space="preserve">S3_AU_IP_FOOD &amp; BEVERAGE</t>
  </si>
  <si>
    <t xml:space="preserve">S3_AU_IP_HME</t>
  </si>
  <si>
    <t xml:space="preserve">S3_AU_IP_ICT</t>
  </si>
  <si>
    <t xml:space="preserve">S3_AU_IP_LABOUR HIRE &amp; RECRUITMENT SERVICES</t>
  </si>
  <si>
    <t xml:space="preserve">S3_AU_IP_LOGISTICS</t>
  </si>
  <si>
    <t xml:space="preserve">S3_AU_IP_NOT CATEGORIZED</t>
  </si>
  <si>
    <t xml:space="preserve">S3_AU_IP_OTHER</t>
  </si>
  <si>
    <t xml:space="preserve">S3_AU_IP_PREMISES RENTING</t>
  </si>
  <si>
    <t xml:space="preserve">S3_AU_IP_PROFESSIONAL SERVICES</t>
  </si>
  <si>
    <t xml:space="preserve">S3_AU_IP_PROJECT MATERIALS</t>
  </si>
  <si>
    <t xml:space="preserve">S3_AU_IP_RAIL</t>
  </si>
  <si>
    <t xml:space="preserve">S3_AU_IP_RAW MATERIALS</t>
  </si>
  <si>
    <t xml:space="preserve">S3_AU_IP_TRAVEL</t>
  </si>
  <si>
    <t xml:space="preserve">S3_AU_IP_TYRES</t>
  </si>
  <si>
    <t xml:space="preserve">S3_AU_RTS_BUILDING PRODUCTS</t>
  </si>
  <si>
    <t xml:space="preserve">S3_AU_RTS_CONSUMABLES</t>
  </si>
  <si>
    <t xml:space="preserve">S3_AU_RTS_EQUIPMENT</t>
  </si>
  <si>
    <t xml:space="preserve">S3_AU_RTS_FACILITIES</t>
  </si>
  <si>
    <t xml:space="preserve">S3_AU_RTS_FLEET &amp; FUELS</t>
  </si>
  <si>
    <t xml:space="preserve">S3_AU_RTS_FOOD &amp; BEVERAGE</t>
  </si>
  <si>
    <t xml:space="preserve">S3_AU_RTS_HME</t>
  </si>
  <si>
    <t xml:space="preserve">S3_AU_RTS_ICT</t>
  </si>
  <si>
    <t xml:space="preserve">S3_AU_RTS_LABOUR HIRE &amp; RECRUITMENT SERVICES</t>
  </si>
  <si>
    <t xml:space="preserve">S3_AU_RTS_LAUNDRY</t>
  </si>
  <si>
    <t xml:space="preserve">S3_AU_RTS_LOGISTICS</t>
  </si>
  <si>
    <t xml:space="preserve">S3_AU_RTS_NOT CATEGORIZED</t>
  </si>
  <si>
    <t xml:space="preserve">S3_AU_RTS_OTHER</t>
  </si>
  <si>
    <t xml:space="preserve">S3_AU_RTS_PREMISES RENTING</t>
  </si>
  <si>
    <t xml:space="preserve">S3_AU_RTS_PROFESSIONAL SERVICES</t>
  </si>
  <si>
    <t xml:space="preserve">S3_AU_RTS_PROJECT MATERIALS</t>
  </si>
  <si>
    <t xml:space="preserve">S3_AU_RTS_RAIL</t>
  </si>
  <si>
    <t xml:space="preserve">S3_AU_RTS_RAW MATERIALS</t>
  </si>
  <si>
    <t xml:space="preserve">S3_AU_RTS_TRAVEL</t>
  </si>
  <si>
    <t xml:space="preserve">S3_AU_RTS_TYRES</t>
  </si>
  <si>
    <t xml:space="preserve">S3_AU_SICS_BUILDING PRODUCTS</t>
  </si>
  <si>
    <t xml:space="preserve">S3_AU_SICS_CONSUMABLES</t>
  </si>
  <si>
    <t xml:space="preserve">S3_AU_SICS_EQUIPMENT</t>
  </si>
  <si>
    <t xml:space="preserve">S3_AU_SICS_FACILITIES</t>
  </si>
  <si>
    <t xml:space="preserve">S3_AU_SICS_FLEET &amp; FUELS</t>
  </si>
  <si>
    <t xml:space="preserve">S3_AU_SICS_FOOD &amp; BEVERAGE</t>
  </si>
  <si>
    <t xml:space="preserve">S3_AU_SICS_HME</t>
  </si>
  <si>
    <t xml:space="preserve">S3_AU_SICS_ICT</t>
  </si>
  <si>
    <t xml:space="preserve">S3_AU_SICS_LABOUR HIRE &amp; RECRUITMENT SERVICES</t>
  </si>
  <si>
    <t xml:space="preserve">S3_AU_SICS_LAUNDRY</t>
  </si>
  <si>
    <t xml:space="preserve">S3_AU_SICS_LOGISTICS</t>
  </si>
  <si>
    <t xml:space="preserve">S3_AU_SICS_NOT CATEGORIZED</t>
  </si>
  <si>
    <t xml:space="preserve">S3_AU_SICS_OTHER</t>
  </si>
  <si>
    <t xml:space="preserve">S3_AU_SICS_PREMISES RENTING</t>
  </si>
  <si>
    <t xml:space="preserve">S3_AU_SICS_PROFESSIONAL SERVICES</t>
  </si>
  <si>
    <t xml:space="preserve">S3_AU_SICS_PROJECT MATERIALS</t>
  </si>
  <si>
    <t xml:space="preserve">S3_AU_SICS_RAIL</t>
  </si>
  <si>
    <t xml:space="preserve">S3_AU_SICS_RAW MATERIALS</t>
  </si>
  <si>
    <t xml:space="preserve">S3_AU_SICS_TRAVEL</t>
  </si>
  <si>
    <t xml:space="preserve">S3_AU_SICS_TYRES</t>
  </si>
  <si>
    <t xml:space="preserve">S3_AU_T&amp;I_BUILDING PRODUCTS</t>
  </si>
  <si>
    <t xml:space="preserve">S3_AU_T&amp;I_CONSUMABLES</t>
  </si>
  <si>
    <t xml:space="preserve">S3_AU_T&amp;I_EQUIPMENT</t>
  </si>
  <si>
    <t xml:space="preserve">S3_AU_T&amp;I_FACILITIES</t>
  </si>
  <si>
    <t xml:space="preserve">S3_AU_T&amp;I_FLEET &amp; FUELS</t>
  </si>
  <si>
    <t xml:space="preserve">S3_AU_T&amp;I_FOOD &amp; BEVERAGE</t>
  </si>
  <si>
    <t xml:space="preserve">S3_AU_T&amp;I_HME</t>
  </si>
  <si>
    <t xml:space="preserve">S3_AU_T&amp;I_ICT</t>
  </si>
  <si>
    <t xml:space="preserve">S3_AU_T&amp;I_LABOUR HIRE &amp; RECRUITMENT SERVICES</t>
  </si>
  <si>
    <t xml:space="preserve">S3_AU_T&amp;I_LAUNDRY</t>
  </si>
  <si>
    <t xml:space="preserve">S3_AU_T&amp;I_LOGISTICS</t>
  </si>
  <si>
    <t xml:space="preserve">S3_AU_T&amp;I_NOT CATEGORIZED</t>
  </si>
  <si>
    <t xml:space="preserve">S3_AU_T&amp;I_OTHER</t>
  </si>
  <si>
    <t xml:space="preserve">S3_AU_T&amp;I_PREMISES RENTING</t>
  </si>
  <si>
    <t xml:space="preserve">S3_AU_T&amp;I_PROFESSIONAL SERVICES</t>
  </si>
  <si>
    <t xml:space="preserve">S3_AU_T&amp;I_PROJECT MATERIALS</t>
  </si>
  <si>
    <t xml:space="preserve">S3_AU_T&amp;I_RAIL</t>
  </si>
  <si>
    <t xml:space="preserve">S3_AU_T&amp;I_RAW MATERIALS</t>
  </si>
  <si>
    <t xml:space="preserve">S3_AU_T&amp;I_TRAVEL</t>
  </si>
  <si>
    <t xml:space="preserve">S3_AU_T&amp;I_TYRES</t>
  </si>
  <si>
    <t xml:space="preserve">S3_NZ_COR_CONSUMABLES</t>
  </si>
  <si>
    <t xml:space="preserve">S3_NZ_COR_EQUIPMENT</t>
  </si>
  <si>
    <t xml:space="preserve">S3_NZ_COR_FACILITIES</t>
  </si>
  <si>
    <t xml:space="preserve">S3_NZ_COR_FLEET &amp; FUELS</t>
  </si>
  <si>
    <t xml:space="preserve">S3_NZ_COR_FOOD &amp; BEVERAGE</t>
  </si>
  <si>
    <t xml:space="preserve">S3_NZ_COR_HME</t>
  </si>
  <si>
    <t xml:space="preserve">S3_NZ_COR_ICT</t>
  </si>
  <si>
    <t xml:space="preserve">S3_NZ_COR_LABOUR HIRE &amp; RECRUITMENT SERVICES</t>
  </si>
  <si>
    <t xml:space="preserve">S3_NZ_COR_LAUNDRY</t>
  </si>
  <si>
    <t xml:space="preserve">S3_NZ_COR_LOGISTICS</t>
  </si>
  <si>
    <t xml:space="preserve">S3_NZ_COR_NOT CATEGORIZED</t>
  </si>
  <si>
    <t xml:space="preserve">S3_NZ_COR_OTHER</t>
  </si>
  <si>
    <t xml:space="preserve">S3_NZ_COR_PROFESSIONAL SERVICES</t>
  </si>
  <si>
    <t xml:space="preserve">S3_NZ_COR_RAIL</t>
  </si>
  <si>
    <t xml:space="preserve">S3_NZ_COR_RAW MATERIALS</t>
  </si>
  <si>
    <t xml:space="preserve">S3_NZ_COR_TRAVEL</t>
  </si>
  <si>
    <t xml:space="preserve">S3_NZ_COR_TYRES</t>
  </si>
  <si>
    <t xml:space="preserve">S3_NZ_E&amp;U_BUILDING PRODUCTS</t>
  </si>
  <si>
    <t xml:space="preserve">S3_NZ_E&amp;U_CONSUMABLES</t>
  </si>
  <si>
    <t xml:space="preserve">S3_NZ_E&amp;U_EQUIPMENT</t>
  </si>
  <si>
    <t xml:space="preserve">S3_NZ_E&amp;U_FACILITIES</t>
  </si>
  <si>
    <t xml:space="preserve">S3_NZ_E&amp;U_FLEET &amp; FUELS</t>
  </si>
  <si>
    <t xml:space="preserve">S3_NZ_E&amp;U_FOOD &amp; BEVERAGE</t>
  </si>
  <si>
    <t xml:space="preserve">S3_NZ_E&amp;U_HME</t>
  </si>
  <si>
    <t xml:space="preserve">S3_NZ_E&amp;U_ICT</t>
  </si>
  <si>
    <t xml:space="preserve">S3_NZ_E&amp;U_LABOUR HIRE &amp; RECRUITMENT SERVICES</t>
  </si>
  <si>
    <t xml:space="preserve">S3_NZ_E&amp;U_LAUNDRY</t>
  </si>
  <si>
    <t xml:space="preserve">S3_NZ_E&amp;U_LOGISTICS</t>
  </si>
  <si>
    <t xml:space="preserve">S3_NZ_E&amp;U_NOT CATEGORIZED</t>
  </si>
  <si>
    <t xml:space="preserve">S3_NZ_E&amp;U_OTHER</t>
  </si>
  <si>
    <t xml:space="preserve">S3_NZ_E&amp;U_PROFESSIONAL SERVICES</t>
  </si>
  <si>
    <t xml:space="preserve">S3_NZ_E&amp;U_PROJECT MATERIALS</t>
  </si>
  <si>
    <t xml:space="preserve">S3_NZ_E&amp;U_RAIL</t>
  </si>
  <si>
    <t xml:space="preserve">S3_NZ_E&amp;U_RAW MATERIALS</t>
  </si>
  <si>
    <t xml:space="preserve">S3_NZ_E&amp;U_TRAVEL</t>
  </si>
  <si>
    <t xml:space="preserve">S3_NZ_E&amp;U_TYRES</t>
  </si>
  <si>
    <t xml:space="preserve">S3_NZ_IP_BUILDING PRODUCTS</t>
  </si>
  <si>
    <t xml:space="preserve">S3_NZ_IP_CONSUMABLES</t>
  </si>
  <si>
    <t xml:space="preserve">S3_NZ_IP_EQUIPMENT</t>
  </si>
  <si>
    <t xml:space="preserve">S3_NZ_IP_FACILITIES</t>
  </si>
  <si>
    <t xml:space="preserve">S3_NZ_IP_FLEET &amp; FUELS</t>
  </si>
  <si>
    <t xml:space="preserve">S3_NZ_IP_FOOD &amp; BEVERAGE</t>
  </si>
  <si>
    <t xml:space="preserve">S3_NZ_IP_HME</t>
  </si>
  <si>
    <t xml:space="preserve">S3_NZ_IP_ICT</t>
  </si>
  <si>
    <t xml:space="preserve">S3_NZ_IP_LABOUR HIRE &amp; RECRUITMENT SERVICES</t>
  </si>
  <si>
    <t xml:space="preserve">S3_NZ_IP_LAUNDRY</t>
  </si>
  <si>
    <t xml:space="preserve">S3_NZ_IP_LOGISTICS</t>
  </si>
  <si>
    <t xml:space="preserve">S3_NZ_IP_NOT CATEGORIZED</t>
  </si>
  <si>
    <t xml:space="preserve">S3_NZ_IP_PROFESSIONAL SERVICES</t>
  </si>
  <si>
    <t xml:space="preserve">S3_NZ_IP_RAIL</t>
  </si>
  <si>
    <t xml:space="preserve">S3_NZ_IP_RAW MATERIALS</t>
  </si>
  <si>
    <t xml:space="preserve">S3_NZ_IP_TRAVEL</t>
  </si>
  <si>
    <t xml:space="preserve">S3_NZ_IP_TYRES</t>
  </si>
  <si>
    <t xml:space="preserve">S3_NZ_SICS_BUILDING PRODUCTS</t>
  </si>
  <si>
    <t xml:space="preserve">S3_NZ_SICS_CONSUMABLES</t>
  </si>
  <si>
    <t xml:space="preserve">S3_NZ_SICS_EQUIPMENT</t>
  </si>
  <si>
    <t xml:space="preserve">S3_NZ_SICS_FACILITIES</t>
  </si>
  <si>
    <t xml:space="preserve">S3_NZ_SICS_FLEET &amp; FUELS</t>
  </si>
  <si>
    <t xml:space="preserve">S3_NZ_SICS_FOOD &amp; BEVERAGE</t>
  </si>
  <si>
    <t xml:space="preserve">S3_NZ_SICS_HME</t>
  </si>
  <si>
    <t xml:space="preserve">S3_NZ_SICS_ICT</t>
  </si>
  <si>
    <t xml:space="preserve">S3_NZ_SICS_LABOUR HIRE &amp; RECRUITMENT SERVICES</t>
  </si>
  <si>
    <t xml:space="preserve">S3_NZ_SICS_LAUNDRY</t>
  </si>
  <si>
    <t xml:space="preserve">S3_NZ_SICS_LOGISTICS</t>
  </si>
  <si>
    <t xml:space="preserve">S3_NZ_SICS_NOT CATEGORIZED</t>
  </si>
  <si>
    <t xml:space="preserve">S3_NZ_SICS_OTHER</t>
  </si>
  <si>
    <t xml:space="preserve">S3_NZ_SICS_PROFESSIONAL SERVICES</t>
  </si>
  <si>
    <t xml:space="preserve">S3_NZ_SICS_PROJECT MATERIALS</t>
  </si>
  <si>
    <t xml:space="preserve">S3_NZ_SICS_RAIL</t>
  </si>
  <si>
    <t xml:space="preserve">S3_NZ_SICS_RAW MATERIALS</t>
  </si>
  <si>
    <t xml:space="preserve">S3_NZ_SICS_TRAVEL</t>
  </si>
  <si>
    <t xml:space="preserve">S3_NZ_T&amp;I_BUILDING PRODUCTS</t>
  </si>
  <si>
    <t xml:space="preserve">S3_NZ_T&amp;I_CONSUMABLES</t>
  </si>
  <si>
    <t xml:space="preserve">S3_NZ_T&amp;I_EQUIPMENT</t>
  </si>
  <si>
    <t xml:space="preserve">S3_NZ_T&amp;I_FACILITIES</t>
  </si>
  <si>
    <t xml:space="preserve">S3_NZ_T&amp;I_FLEET &amp; FUELS</t>
  </si>
  <si>
    <t xml:space="preserve">S3_NZ_T&amp;I_FOOD &amp; BEVERAGE</t>
  </si>
  <si>
    <t xml:space="preserve">S3_NZ_T&amp;I_HME</t>
  </si>
  <si>
    <t xml:space="preserve">S3_NZ_T&amp;I_ICT</t>
  </si>
  <si>
    <t xml:space="preserve">S3_NZ_T&amp;I_LABOUR HIRE &amp; RECRUITMENT SERVICES</t>
  </si>
  <si>
    <t xml:space="preserve">S3_NZ_T&amp;I_LAUNDRY</t>
  </si>
  <si>
    <t xml:space="preserve">S3_NZ_T&amp;I_LOGISTICS</t>
  </si>
  <si>
    <t xml:space="preserve">S3_NZ_T&amp;I_NOT CATEGORIZED</t>
  </si>
  <si>
    <t xml:space="preserve">S3_NZ_T&amp;I_OTHER</t>
  </si>
  <si>
    <t xml:space="preserve">S3_NZ_T&amp;I_PROFESSIONAL SERVICES</t>
  </si>
  <si>
    <t xml:space="preserve">S3_NZ_T&amp;I_PROJECT MATERIALS</t>
  </si>
  <si>
    <t xml:space="preserve">S3_NZ_T&amp;I_RAIL</t>
  </si>
  <si>
    <t xml:space="preserve">S3_NZ_T&amp;I_RAW MATERIALS</t>
  </si>
  <si>
    <t xml:space="preserve">S3_NZ_T&amp;I_TRAVEL</t>
  </si>
  <si>
    <t xml:space="preserve">S3_NZ_T&amp;I_TYRES</t>
  </si>
  <si>
    <t xml:space="preserve">SA Asphalt Lay</t>
  </si>
  <si>
    <t xml:space="preserve">L9.J.170516</t>
  </si>
  <si>
    <t xml:space="preserve">170516</t>
  </si>
  <si>
    <t xml:space="preserve">SA Civil Support</t>
  </si>
  <si>
    <t xml:space="preserve">L9.J.170509</t>
  </si>
  <si>
    <t xml:space="preserve">170509</t>
  </si>
  <si>
    <t xml:space="preserve">SA Emulsion</t>
  </si>
  <si>
    <t xml:space="preserve">L9.J.170932</t>
  </si>
  <si>
    <t xml:space="preserve">170932</t>
  </si>
  <si>
    <t xml:space="preserve">SA Housing - Aust Mob</t>
  </si>
  <si>
    <t xml:space="preserve">L9.S.16016392</t>
  </si>
  <si>
    <t xml:space="preserve">16016392</t>
  </si>
  <si>
    <t xml:space="preserve">SA Housing - Inhouse Trades</t>
  </si>
  <si>
    <t xml:space="preserve">L9.S.16017382</t>
  </si>
  <si>
    <t xml:space="preserve">16017382</t>
  </si>
  <si>
    <t xml:space="preserve">SA Housing Mgt Fee Admin OH</t>
  </si>
  <si>
    <t xml:space="preserve">L9.S.14001350</t>
  </si>
  <si>
    <t xml:space="preserve">14001350</t>
  </si>
  <si>
    <t xml:space="preserve">SA Laboratory Services</t>
  </si>
  <si>
    <t xml:space="preserve">L9.J.170519</t>
  </si>
  <si>
    <t xml:space="preserve">170519</t>
  </si>
  <si>
    <t xml:space="preserve">SA Maintenance South</t>
  </si>
  <si>
    <t xml:space="preserve">L9.J.170295</t>
  </si>
  <si>
    <t xml:space="preserve">SA Maintenance Support</t>
  </si>
  <si>
    <t xml:space="preserve">L9.J.170508</t>
  </si>
  <si>
    <t xml:space="preserve">170508</t>
  </si>
  <si>
    <t xml:space="preserve">SA Metro Maintenance</t>
  </si>
  <si>
    <t xml:space="preserve">L9.J.170267</t>
  </si>
  <si>
    <t xml:space="preserve">170267</t>
  </si>
  <si>
    <t xml:space="preserve">SA North Maintenance</t>
  </si>
  <si>
    <t xml:space="preserve">L9.J.170266</t>
  </si>
  <si>
    <t xml:space="preserve">170266</t>
  </si>
  <si>
    <t xml:space="preserve">SA NT Management OH</t>
  </si>
  <si>
    <t xml:space="preserve">L9.J.23440216</t>
  </si>
  <si>
    <t xml:space="preserve">23440216</t>
  </si>
  <si>
    <t xml:space="preserve">SA NT Unify Direct OH</t>
  </si>
  <si>
    <t xml:space="preserve">L9.J.23440214</t>
  </si>
  <si>
    <t xml:space="preserve">23440214</t>
  </si>
  <si>
    <t xml:space="preserve">SA Power Networks</t>
  </si>
  <si>
    <t xml:space="preserve">L9.S.16016295</t>
  </si>
  <si>
    <t xml:space="preserve">16016295</t>
  </si>
  <si>
    <t xml:space="preserve">SA Profiling</t>
  </si>
  <si>
    <t xml:space="preserve">L9.J.170522</t>
  </si>
  <si>
    <t xml:space="preserve">170522</t>
  </si>
  <si>
    <t xml:space="preserve">SA Schools Management Serv Del</t>
  </si>
  <si>
    <t xml:space="preserve">L9.S.16012430</t>
  </si>
  <si>
    <t xml:space="preserve">16012430</t>
  </si>
  <si>
    <t xml:space="preserve">SA Schools Roma Mitchell Overhead</t>
  </si>
  <si>
    <t xml:space="preserve">14000945</t>
  </si>
  <si>
    <t xml:space="preserve">SA Spray</t>
  </si>
  <si>
    <t xml:space="preserve">170517</t>
  </si>
  <si>
    <t xml:space="preserve">SA Stabilising</t>
  </si>
  <si>
    <t xml:space="preserve">L9.J.170521</t>
  </si>
  <si>
    <t xml:space="preserve">170521</t>
  </si>
  <si>
    <t xml:space="preserve">SA Surfacing Support</t>
  </si>
  <si>
    <t xml:space="preserve">L9.J.170515</t>
  </si>
  <si>
    <t xml:space="preserve">170515</t>
  </si>
  <si>
    <t xml:space="preserve">SA Water</t>
  </si>
  <si>
    <t xml:space="preserve">L9.S.16015977</t>
  </si>
  <si>
    <t xml:space="preserve">16015977</t>
  </si>
  <si>
    <t xml:space="preserve">SA Zubri / Aftercare</t>
  </si>
  <si>
    <t xml:space="preserve">L9.J.170518</t>
  </si>
  <si>
    <t xml:space="preserve">170518</t>
  </si>
  <si>
    <t xml:space="preserve">SA/WA Asphalt BD &amp; Est</t>
  </si>
  <si>
    <t xml:space="preserve">L9.J.170962</t>
  </si>
  <si>
    <t xml:space="preserve">170962</t>
  </si>
  <si>
    <t xml:space="preserve">SA/WA Management</t>
  </si>
  <si>
    <t xml:space="preserve">L9.J.170550</t>
  </si>
  <si>
    <t xml:space="preserve">170550</t>
  </si>
  <si>
    <t xml:space="preserve">SACL Sub21 SP4</t>
  </si>
  <si>
    <t xml:space="preserve">L9.J.38270096</t>
  </si>
  <si>
    <t xml:space="preserve">38270096</t>
  </si>
  <si>
    <t xml:space="preserve">SACL-TAXILANE DOM2 &amp; 3 &amp; APRON</t>
  </si>
  <si>
    <t xml:space="preserve">17093326</t>
  </si>
  <si>
    <t xml:space="preserve">Safety Environment &amp; Q</t>
  </si>
  <si>
    <t xml:space="preserve">L9.J.170504</t>
  </si>
  <si>
    <t xml:space="preserve">170504</t>
  </si>
  <si>
    <t xml:space="preserve">Sale Support</t>
  </si>
  <si>
    <t xml:space="preserve">L9.J.241929</t>
  </si>
  <si>
    <t xml:space="preserve">241929</t>
  </si>
  <si>
    <t xml:space="preserve">Santos EU Subcontractors</t>
  </si>
  <si>
    <t xml:space="preserve">L9.J.38250025</t>
  </si>
  <si>
    <t xml:space="preserve">Santos Skids MCC PO6 Supply</t>
  </si>
  <si>
    <t xml:space="preserve">L9.J.38270109</t>
  </si>
  <si>
    <t xml:space="preserve">38270109</t>
  </si>
  <si>
    <t xml:space="preserve">Santos Surat Clearing</t>
  </si>
  <si>
    <t xml:space="preserve">L9.J.382504</t>
  </si>
  <si>
    <t xml:space="preserve">382504</t>
  </si>
  <si>
    <t xml:space="preserve">Santos Upstream Development</t>
  </si>
  <si>
    <t xml:space="preserve">L9.J.38250008</t>
  </si>
  <si>
    <t xml:space="preserve">38250008</t>
  </si>
  <si>
    <t xml:space="preserve">Santos Upstream Services</t>
  </si>
  <si>
    <t xml:space="preserve">L9.J.38250009</t>
  </si>
  <si>
    <t xml:space="preserve">38250009</t>
  </si>
  <si>
    <t xml:space="preserve">SAXTON CREEK UPGRADE STAGE 4</t>
  </si>
  <si>
    <t xml:space="preserve">L9.DNZJ.DS2667</t>
  </si>
  <si>
    <t xml:space="preserve">JP_DS2667</t>
  </si>
  <si>
    <t xml:space="preserve">6 Dorset Street</t>
  </si>
  <si>
    <t xml:space="preserve">-41.3419</t>
  </si>
  <si>
    <t xml:space="preserve">173.1836</t>
  </si>
  <si>
    <t xml:space="preserve">SC3.1 - Purchased Goods and Services</t>
  </si>
  <si>
    <t xml:space="preserve">L9.J.106</t>
  </si>
  <si>
    <t xml:space="preserve">SC3.10 - Processing of sold products</t>
  </si>
  <si>
    <t xml:space="preserve">L9.J.109206</t>
  </si>
  <si>
    <t xml:space="preserve">SC3.11 - Use of sold products</t>
  </si>
  <si>
    <t xml:space="preserve">L9.J.105</t>
  </si>
  <si>
    <t xml:space="preserve">SC3.12 - End of life treatment of sold products</t>
  </si>
  <si>
    <t xml:space="preserve">L9.J.112</t>
  </si>
  <si>
    <t xml:space="preserve">SC3.13 - Downstream leased assets</t>
  </si>
  <si>
    <t xml:space="preserve">L9.J.113</t>
  </si>
  <si>
    <t xml:space="preserve">SC3.14 - Franchises</t>
  </si>
  <si>
    <t xml:space="preserve">L9.J.100052</t>
  </si>
  <si>
    <t xml:space="preserve">SC3.15 - Investments</t>
  </si>
  <si>
    <t xml:space="preserve">L9.J.100096</t>
  </si>
  <si>
    <t xml:space="preserve">SC3.16 - Water</t>
  </si>
  <si>
    <t xml:space="preserve">L9.J.100097</t>
  </si>
  <si>
    <t xml:space="preserve">SC3.2 - Capital Goods</t>
  </si>
  <si>
    <t xml:space="preserve">L9.J.100098</t>
  </si>
  <si>
    <t xml:space="preserve">SC3.3 - Fuel and energy related activities</t>
  </si>
  <si>
    <t xml:space="preserve">L9.J.100099</t>
  </si>
  <si>
    <t xml:space="preserve">SC3.4 - Upstream transportation and distribution</t>
  </si>
  <si>
    <t xml:space="preserve">L9.J.100101</t>
  </si>
  <si>
    <t xml:space="preserve">SC3.5 - Waste generated in operations</t>
  </si>
  <si>
    <t xml:space="preserve">L9.J.100102</t>
  </si>
  <si>
    <t xml:space="preserve">SC3.6 - Business Travel</t>
  </si>
  <si>
    <t xml:space="preserve">L9.J.100149</t>
  </si>
  <si>
    <t xml:space="preserve">SC3.7 - Employee Commuting</t>
  </si>
  <si>
    <t xml:space="preserve">L9.J.10015001</t>
  </si>
  <si>
    <t xml:space="preserve">SC3.8 - Upstream leased assets</t>
  </si>
  <si>
    <t xml:space="preserve">L9.J.100152</t>
  </si>
  <si>
    <t xml:space="preserve">SC3.9 - Downstream transportation and distribution</t>
  </si>
  <si>
    <t xml:space="preserve">L9.J.100156</t>
  </si>
  <si>
    <t xml:space="preserve">Scaffolding</t>
  </si>
  <si>
    <t xml:space="preserve">L9.J.38275005</t>
  </si>
  <si>
    <t xml:space="preserve">38275005</t>
  </si>
  <si>
    <t xml:space="preserve">SCIS Overheads</t>
  </si>
  <si>
    <t xml:space="preserve">L9.DNZJ.69901</t>
  </si>
  <si>
    <t xml:space="preserve">69901</t>
  </si>
  <si>
    <t xml:space="preserve">SCNOC - AWT - Half Chain Road</t>
  </si>
  <si>
    <t xml:space="preserve">L9.DNZJ.554166</t>
  </si>
  <si>
    <t xml:space="preserve">554166</t>
  </si>
  <si>
    <t xml:space="preserve">TI-NZT-554166 - SCNOC - AWT - Half Chain Road</t>
  </si>
  <si>
    <t xml:space="preserve">SCNOC - AWT - Kitchener Park</t>
  </si>
  <si>
    <t xml:space="preserve">L9.DNZJ.554168</t>
  </si>
  <si>
    <t xml:space="preserve">554168</t>
  </si>
  <si>
    <t xml:space="preserve">TI-NZT-554168 - SCNOC - AWT - Kitchener Park</t>
  </si>
  <si>
    <t xml:space="preserve">Scope 3 Accounts</t>
  </si>
  <si>
    <t xml:space="preserve">Scope 3 Category 15</t>
  </si>
  <si>
    <t xml:space="preserve">Scope 3 Category 15 Interim</t>
  </si>
  <si>
    <t xml:space="preserve">Scott Point Primary School</t>
  </si>
  <si>
    <t xml:space="preserve">L9.DNZ.HA0398</t>
  </si>
  <si>
    <t xml:space="preserve">JP_HA0398</t>
  </si>
  <si>
    <t xml:space="preserve">11 Scott Road</t>
  </si>
  <si>
    <t xml:space="preserve">Hobsonville</t>
  </si>
  <si>
    <t xml:space="preserve">618</t>
  </si>
  <si>
    <t xml:space="preserve">-36.8029</t>
  </si>
  <si>
    <t xml:space="preserve">174.6589</t>
  </si>
  <si>
    <t xml:space="preserve">SCUH Management &amp; Admin SD</t>
  </si>
  <si>
    <t xml:space="preserve">L9.S.16013861</t>
  </si>
  <si>
    <t xml:space="preserve">16013861</t>
  </si>
  <si>
    <t xml:space="preserve">SD2 EU Subcontractors</t>
  </si>
  <si>
    <t xml:space="preserve">SDC Footpaths 2021</t>
  </si>
  <si>
    <t xml:space="preserve">L9.DNZJ.556612</t>
  </si>
  <si>
    <t xml:space="preserve">556612</t>
  </si>
  <si>
    <t xml:space="preserve">SDC Otautau Nightcaps Rd Rehab</t>
  </si>
  <si>
    <t xml:space="preserve">L9.DNZJ.312032</t>
  </si>
  <si>
    <t xml:space="preserve">312032</t>
  </si>
  <si>
    <t xml:space="preserve">SE Water Transition</t>
  </si>
  <si>
    <t xml:space="preserve">L9.J.24160252</t>
  </si>
  <si>
    <t xml:space="preserve">24160252</t>
  </si>
  <si>
    <t xml:space="preserve">Sealing Stock (South Island)</t>
  </si>
  <si>
    <t xml:space="preserve">L9.DNZJ.55392</t>
  </si>
  <si>
    <t xml:space="preserve">55392</t>
  </si>
  <si>
    <t xml:space="preserve">SEQ General Indirects Serv Del</t>
  </si>
  <si>
    <t xml:space="preserve">L9.S.16016281</t>
  </si>
  <si>
    <t xml:space="preserve">16016281</t>
  </si>
  <si>
    <t xml:space="preserve">Services - Metallurgical</t>
  </si>
  <si>
    <t xml:space="preserve">L9.J.395301</t>
  </si>
  <si>
    <t xml:space="preserve">395301</t>
  </si>
  <si>
    <t xml:space="preserve">SEW Plant clearing</t>
  </si>
  <si>
    <t xml:space="preserve">L9.J.241614</t>
  </si>
  <si>
    <t xml:space="preserve">241614</t>
  </si>
  <si>
    <t xml:space="preserve">Seymour - Support</t>
  </si>
  <si>
    <t xml:space="preserve">L9.J.241939</t>
  </si>
  <si>
    <t xml:space="preserve">241939</t>
  </si>
  <si>
    <t xml:space="preserve">SF - Clare</t>
  </si>
  <si>
    <t xml:space="preserve">L9.J.3775000901</t>
  </si>
  <si>
    <t xml:space="preserve">IP-360.369.889.354</t>
  </si>
  <si>
    <t xml:space="preserve">73</t>
  </si>
  <si>
    <t xml:space="preserve">Shadforth Road</t>
  </si>
  <si>
    <t xml:space="preserve">Clare</t>
  </si>
  <si>
    <t xml:space="preserve">4807</t>
  </si>
  <si>
    <t xml:space="preserve">-19.834681</t>
  </si>
  <si>
    <t xml:space="preserve">147.210086</t>
  </si>
  <si>
    <t xml:space="preserve">SF - Ross River</t>
  </si>
  <si>
    <t xml:space="preserve">Offsite Power</t>
  </si>
  <si>
    <t xml:space="preserve">L9.J.381159</t>
  </si>
  <si>
    <t xml:space="preserve">72</t>
  </si>
  <si>
    <t xml:space="preserve">Kelso Drive</t>
  </si>
  <si>
    <t xml:space="preserve">4815</t>
  </si>
  <si>
    <t xml:space="preserve">-19.418246</t>
  </si>
  <si>
    <t xml:space="preserve">146.725434</t>
  </si>
  <si>
    <t xml:space="preserve">SH1/29 SAFETY IMPROVEMENTS</t>
  </si>
  <si>
    <t xml:space="preserve">L9.DNZJ.DN1208</t>
  </si>
  <si>
    <t xml:space="preserve">JP_DN1208</t>
  </si>
  <si>
    <t xml:space="preserve">TI-NZT-DN1208 -SH1/29 Safety Improvements
1833B State Highway 1  Tirau 3484
State Highway 29  Karapiro  Cambridge 3484</t>
  </si>
  <si>
    <t xml:space="preserve">SH1C Cobham Cambridge Upgrade</t>
  </si>
  <si>
    <t xml:space="preserve">L9.DNZJ.559620</t>
  </si>
  <si>
    <t xml:space="preserve">559620</t>
  </si>
  <si>
    <t xml:space="preserve">TI-NZT-559620 -  SH1C Cobham Cambridge Upgrade
208 Cambridge Road, Hillcrest, Hamilton 3216</t>
  </si>
  <si>
    <t xml:space="preserve">SH2 / SH58 Interchange</t>
  </si>
  <si>
    <t xml:space="preserve">MN4153</t>
  </si>
  <si>
    <t xml:space="preserve">Temporarily created a new Envizi location under T&amp;I for: 
TI-NZT-MN4153 - SH2/SH58 Haywards Interchange
UT also seems to have an active INX project: 
UT-NZU-159727-SH2 / SH58 Interchange</t>
  </si>
  <si>
    <t xml:space="preserve">SH25a Roading Redev RFT</t>
  </si>
  <si>
    <t xml:space="preserve">L9.DNZJ.559321</t>
  </si>
  <si>
    <t xml:space="preserve">559321</t>
  </si>
  <si>
    <t xml:space="preserve">TI-NZT-559321 - SH25a Roading Redev RFT
From Waitomo delpoint: DOWNER UTILITIES ALLIANCE (Address: 25A KOPU HIKUAI HIGHWAY)</t>
  </si>
  <si>
    <t xml:space="preserve">SH4 Te Oreore Slip Replacement</t>
  </si>
  <si>
    <t xml:space="preserve">L9.DNZJ.552410</t>
  </si>
  <si>
    <t xml:space="preserve">552410</t>
  </si>
  <si>
    <t xml:space="preserve">SH58 SAFETY IMPROVEMENT STG 2A</t>
  </si>
  <si>
    <t xml:space="preserve">L9.DNZJ.DN1193</t>
  </si>
  <si>
    <t xml:space="preserve">JP_DN1193</t>
  </si>
  <si>
    <t xml:space="preserve">JP_DN1193, JP_DN1177,</t>
  </si>
  <si>
    <t xml:space="preserve">SH58 SAFETY IMPROVEMENT STG 2B</t>
  </si>
  <si>
    <t xml:space="preserve">L9.DNZJ.DS2673</t>
  </si>
  <si>
    <t xml:space="preserve">JP_DS2673</t>
  </si>
  <si>
    <t xml:space="preserve">TI-NZT-DS2673 - SH58 SAFETY IMPROVEMENT ST</t>
  </si>
  <si>
    <t xml:space="preserve">SH88 PORT CHALMERS SAFETY IMPR</t>
  </si>
  <si>
    <t xml:space="preserve">L9.DNZJ.DS2652</t>
  </si>
  <si>
    <t xml:space="preserve">JP_DS2652</t>
  </si>
  <si>
    <t xml:space="preserve">Sir John Thorn Drive</t>
  </si>
  <si>
    <t xml:space="preserve">Roseneath</t>
  </si>
  <si>
    <t xml:space="preserve">Waitati</t>
  </si>
  <si>
    <t xml:space="preserve">-45.8234</t>
  </si>
  <si>
    <t xml:space="preserve">170.6022</t>
  </si>
  <si>
    <t xml:space="preserve">Shands Rd Occupancy Site Dept</t>
  </si>
  <si>
    <t xml:space="preserve">L9.DNZ.810.10.150</t>
  </si>
  <si>
    <t xml:space="preserve">10150</t>
  </si>
  <si>
    <t xml:space="preserve">10.15</t>
  </si>
  <si>
    <t xml:space="preserve">55 Shands Road</t>
  </si>
  <si>
    <t xml:space="preserve">Hornby</t>
  </si>
  <si>
    <t xml:space="preserve">-43.5478</t>
  </si>
  <si>
    <t xml:space="preserve">172.521</t>
  </si>
  <si>
    <t xml:space="preserve">SHCF UNIT 14C PROJECT</t>
  </si>
  <si>
    <t xml:space="preserve">L9.DNZ.HC0354</t>
  </si>
  <si>
    <t xml:space="preserve">JP_HC0354</t>
  </si>
  <si>
    <t xml:space="preserve">Shed - 125 Hayward Avenue, Torrensville</t>
  </si>
  <si>
    <t xml:space="preserve">L9.J.10920030</t>
  </si>
  <si>
    <t xml:space="preserve">10920030</t>
  </si>
  <si>
    <t xml:space="preserve">Only captured 50% electricity usage.</t>
  </si>
  <si>
    <t xml:space="preserve">Unit 1,125 Hayward Avenue</t>
  </si>
  <si>
    <t xml:space="preserve">Shepparton Contracting</t>
  </si>
  <si>
    <t xml:space="preserve">L9.J.170309</t>
  </si>
  <si>
    <t xml:space="preserve">170309</t>
  </si>
  <si>
    <t xml:space="preserve">Shepparton Support</t>
  </si>
  <si>
    <t xml:space="preserve">L9.J.170310</t>
  </si>
  <si>
    <t xml:space="preserve">170310</t>
  </si>
  <si>
    <t xml:space="preserve">Shepperton Site Management</t>
  </si>
  <si>
    <t xml:space="preserve">L9.J.170363</t>
  </si>
  <si>
    <t xml:space="preserve">170363</t>
  </si>
  <si>
    <t xml:space="preserve">SHMPAC</t>
  </si>
  <si>
    <t xml:space="preserve">L9.DNZ.HC0343</t>
  </si>
  <si>
    <t xml:space="preserve">JP_HC0343</t>
  </si>
  <si>
    <t xml:space="preserve">Shoalhaven  Airfield Ops</t>
  </si>
  <si>
    <t xml:space="preserve">L9.S.16011496</t>
  </si>
  <si>
    <t xml:space="preserve">16011496</t>
  </si>
  <si>
    <t xml:space="preserve">Shoalhaven  Clean</t>
  </si>
  <si>
    <t xml:space="preserve">L9.S.16011488</t>
  </si>
  <si>
    <t xml:space="preserve">Shoalhaven  Estate Upkeep</t>
  </si>
  <si>
    <t xml:space="preserve">L9.S.16011492</t>
  </si>
  <si>
    <t xml:space="preserve">16011492</t>
  </si>
  <si>
    <t xml:space="preserve">Shoalhaven  Land</t>
  </si>
  <si>
    <t xml:space="preserve">L9.S.16011489</t>
  </si>
  <si>
    <t xml:space="preserve">16011489</t>
  </si>
  <si>
    <t xml:space="preserve">Shoalhaven  Range &amp; Training</t>
  </si>
  <si>
    <t xml:space="preserve">L9.S.16011491</t>
  </si>
  <si>
    <t xml:space="preserve">16011491</t>
  </si>
  <si>
    <t xml:space="preserve">Shoalhaven  Transport</t>
  </si>
  <si>
    <t xml:space="preserve">L9.S.16011495</t>
  </si>
  <si>
    <t xml:space="preserve">16011495</t>
  </si>
  <si>
    <t xml:space="preserve">Shoalhaven Overhead</t>
  </si>
  <si>
    <t xml:space="preserve">14000514</t>
  </si>
  <si>
    <t xml:space="preserve">SI&amp;CS FY20 and FY23 Subcontractors</t>
  </si>
  <si>
    <t xml:space="preserve">L9.S.26020558</t>
  </si>
  <si>
    <t xml:space="preserve">Siemens</t>
  </si>
  <si>
    <t xml:space="preserve">National contract with multiple service sites including as of Apr 2023:
- Port Melbourne, VIC
- Bayswater, VIC
- Belmont, WA
- Osborne Park, WA
- Yatala, QLD
- Bowen Hills, QLD
- Tonsley, SA
- Macquarie Park, NSW (Historic)</t>
  </si>
  <si>
    <t xml:space="preserve">Site 1</t>
  </si>
  <si>
    <t xml:space="preserve">SITE 6 WYNYARD QUARTER</t>
  </si>
  <si>
    <t xml:space="preserve">L9.DNZ.HA0403</t>
  </si>
  <si>
    <t xml:space="preserve">JP_HA0403</t>
  </si>
  <si>
    <t xml:space="preserve">Skilltech - Barwon Water</t>
  </si>
  <si>
    <t xml:space="preserve">Skilltech - Mitchell</t>
  </si>
  <si>
    <t xml:space="preserve">L9.S.13000908</t>
  </si>
  <si>
    <t xml:space="preserve">69/71 Darling Street</t>
  </si>
  <si>
    <t xml:space="preserve">Mitchell</t>
  </si>
  <si>
    <t xml:space="preserve">Skilltech - Port Macquarie</t>
  </si>
  <si>
    <t xml:space="preserve">L9.S.13000907</t>
  </si>
  <si>
    <t xml:space="preserve">1A/19 Short St,</t>
  </si>
  <si>
    <t xml:space="preserve">Skilltech - Rydalmere</t>
  </si>
  <si>
    <t xml:space="preserve">Unit S 10-16 South Street</t>
  </si>
  <si>
    <t xml:space="preserve">Rydalmere</t>
  </si>
  <si>
    <t xml:space="preserve">2116</t>
  </si>
  <si>
    <t xml:space="preserve">Skilltech - Stuart Park</t>
  </si>
  <si>
    <t xml:space="preserve">Lot 6866
23 A/90 Frances Bay Drive</t>
  </si>
  <si>
    <t xml:space="preserve">Skilltech Management</t>
  </si>
  <si>
    <t xml:space="preserve">13000907</t>
  </si>
  <si>
    <t xml:space="preserve">SKT National Projects</t>
  </si>
  <si>
    <t xml:space="preserve">L9.S.16013628</t>
  </si>
  <si>
    <t xml:space="preserve">-48008462</t>
  </si>
  <si>
    <t xml:space="preserve">SkyTV Res - Auckland EU Subcontractors</t>
  </si>
  <si>
    <t xml:space="preserve">L9.DNZ.810.21030</t>
  </si>
  <si>
    <t xml:space="preserve">SkyTV Res - Canterbury EU Subcontractors</t>
  </si>
  <si>
    <t xml:space="preserve">L9.DNZ.810.21028</t>
  </si>
  <si>
    <t xml:space="preserve">SkyTV Res - Central Otago EU Subcontractors</t>
  </si>
  <si>
    <t xml:space="preserve">L9.DNZ.810.21045</t>
  </si>
  <si>
    <t xml:space="preserve">SkyTV Res - Gisborne EU Subcontractors</t>
  </si>
  <si>
    <t xml:space="preserve">L9.DNZ.810.21032</t>
  </si>
  <si>
    <t xml:space="preserve">SkyTV Res - Hawkes Bay EU Subcontractors</t>
  </si>
  <si>
    <t xml:space="preserve">SkyTV Res - Manawatu EU Subcontractors</t>
  </si>
  <si>
    <t xml:space="preserve">SkyTV Res - New Plymouth EU Subcontractors</t>
  </si>
  <si>
    <t xml:space="preserve">SkyTV Res - Northland EU Subcontractors</t>
  </si>
  <si>
    <t xml:space="preserve">L9.DNZ.810.21027</t>
  </si>
  <si>
    <t xml:space="preserve">SkyTV Res - Otago EU Subcontractors</t>
  </si>
  <si>
    <t xml:space="preserve">SkyTV Res - Rotorua EU Subcontractors</t>
  </si>
  <si>
    <t xml:space="preserve">SkyTV Res - South Canterbury EU Subcontractors</t>
  </si>
  <si>
    <t xml:space="preserve">SkyTV Res - Southland EU Subcontractors</t>
  </si>
  <si>
    <t xml:space="preserve">SkyTV Res - Taupo EU Subcontractors</t>
  </si>
  <si>
    <t xml:space="preserve">SkyTV Res - Tauranga EU Subcontractors</t>
  </si>
  <si>
    <t xml:space="preserve">L9.DNZ.810.21031</t>
  </si>
  <si>
    <t xml:space="preserve">SkyTV Res - Waikato EU Subcontractors</t>
  </si>
  <si>
    <t xml:space="preserve">SkyTV Res - Wellington EU Subcontractors</t>
  </si>
  <si>
    <t xml:space="preserve">L9.DNZ.810.21046</t>
  </si>
  <si>
    <t xml:space="preserve">SkyTV Res - Whanganui EU Subcontractors</t>
  </si>
  <si>
    <t xml:space="preserve">SL Auckland Area Manager</t>
  </si>
  <si>
    <t xml:space="preserve">PG70110</t>
  </si>
  <si>
    <t xml:space="preserve">SL Auckland Operations</t>
  </si>
  <si>
    <t xml:space="preserve">PG70111</t>
  </si>
  <si>
    <t xml:space="preserve">SMC Plant</t>
  </si>
  <si>
    <t xml:space="preserve">L9.S.16013639</t>
  </si>
  <si>
    <t xml:space="preserve">-400129946</t>
  </si>
  <si>
    <t xml:space="preserve">SNSW Estate Development</t>
  </si>
  <si>
    <t xml:space="preserve">16013945</t>
  </si>
  <si>
    <t xml:space="preserve">SOHO APARTMENTS REMEDIAL WORKS</t>
  </si>
  <si>
    <t xml:space="preserve">L9.DNZ.HW0192</t>
  </si>
  <si>
    <t xml:space="preserve">JP_HW0192</t>
  </si>
  <si>
    <t xml:space="preserve">Somerton Emulsion Plant</t>
  </si>
  <si>
    <t xml:space="preserve">L9.J.17030134</t>
  </si>
  <si>
    <t xml:space="preserve">8001</t>
  </si>
  <si>
    <t xml:space="preserve">Pakenham emusltion plant relocated to Somerton</t>
  </si>
  <si>
    <t xml:space="preserve">Somerton Rail Depot</t>
  </si>
  <si>
    <t xml:space="preserve">L9.J.17032664</t>
  </si>
  <si>
    <t xml:space="preserve">Somme Pde Water &amp; Gas Renewal</t>
  </si>
  <si>
    <t xml:space="preserve">L9.DNZJ.552416</t>
  </si>
  <si>
    <t xml:space="preserve">552416</t>
  </si>
  <si>
    <t xml:space="preserve">TI-NZT-552416 - Somme Pde Water &amp; Gas Renewal</t>
  </si>
  <si>
    <t xml:space="preserve">South Admin Team</t>
  </si>
  <si>
    <t xml:space="preserve">L9.DNZJ.54946</t>
  </si>
  <si>
    <t xml:space="preserve">54946</t>
  </si>
  <si>
    <t xml:space="preserve">TI-NZT-54946 - South Admin Team</t>
  </si>
  <si>
    <t xml:space="preserve">South Bank Contract Mgmt Serv Del</t>
  </si>
  <si>
    <t xml:space="preserve">L9.S.16012211</t>
  </si>
  <si>
    <t xml:space="preserve">16012211</t>
  </si>
  <si>
    <t xml:space="preserve">South Business Development</t>
  </si>
  <si>
    <t xml:space="preserve">L9.DNZJ.54951</t>
  </si>
  <si>
    <t xml:space="preserve">54951</t>
  </si>
  <si>
    <t xml:space="preserve">TI-NZT-54951 - South</t>
  </si>
  <si>
    <t xml:space="preserve">South Canterbury Telco Ops</t>
  </si>
  <si>
    <t xml:space="preserve">L9.DNZ.810.10.187</t>
  </si>
  <si>
    <t xml:space="preserve">10187</t>
  </si>
  <si>
    <t xml:space="preserve">10.187</t>
  </si>
  <si>
    <t xml:space="preserve">South East Region OH</t>
  </si>
  <si>
    <t xml:space="preserve">L9.J.200401</t>
  </si>
  <si>
    <t xml:space="preserve">200401</t>
  </si>
  <si>
    <t xml:space="preserve">South East Water EU Subcontractors</t>
  </si>
  <si>
    <t xml:space="preserve">L9.ENG.340.15550</t>
  </si>
  <si>
    <t xml:space="preserve">South Gippsland Water - WMS</t>
  </si>
  <si>
    <t xml:space="preserve">L9.S.16013987</t>
  </si>
  <si>
    <t xml:space="preserve">16013987</t>
  </si>
  <si>
    <t xml:space="preserve">South Island - 45002377</t>
  </si>
  <si>
    <t xml:space="preserve">L9.S.26016608</t>
  </si>
  <si>
    <t xml:space="preserve">2000004488</t>
  </si>
  <si>
    <t xml:space="preserve">South Island CJESP</t>
  </si>
  <si>
    <t xml:space="preserve">L9.DNZ.810.10.140</t>
  </si>
  <si>
    <t xml:space="preserve">10140</t>
  </si>
  <si>
    <t xml:space="preserve">10.14</t>
  </si>
  <si>
    <t xml:space="preserve">South Island Corrections</t>
  </si>
  <si>
    <t xml:space="preserve">L9.DNZ.810.10.137</t>
  </si>
  <si>
    <t xml:space="preserve">10137</t>
  </si>
  <si>
    <t xml:space="preserve">10.137</t>
  </si>
  <si>
    <t xml:space="preserve">South Island CorrectionsDEL</t>
  </si>
  <si>
    <t xml:space="preserve">L9.DNZJ.10137</t>
  </si>
  <si>
    <t xml:space="preserve">South Island Management</t>
  </si>
  <si>
    <t xml:space="preserve">L9.DNZJ.8101</t>
  </si>
  <si>
    <t xml:space="preserve">8101</t>
  </si>
  <si>
    <t xml:space="preserve">South Island Regional</t>
  </si>
  <si>
    <t xml:space="preserve">L9.DNZ.810.10.138</t>
  </si>
  <si>
    <t xml:space="preserve">10138</t>
  </si>
  <si>
    <t xml:space="preserve">10.138</t>
  </si>
  <si>
    <t xml:space="preserve">South Pine BESS Connection</t>
  </si>
  <si>
    <t xml:space="preserve">L9.J.37130008</t>
  </si>
  <si>
    <t xml:space="preserve">37130008</t>
  </si>
  <si>
    <t xml:space="preserve">South Pines BESS Connection</t>
  </si>
  <si>
    <t xml:space="preserve">South Projects 45003019</t>
  </si>
  <si>
    <t xml:space="preserve">L9.S.26017811</t>
  </si>
  <si>
    <t xml:space="preserve">2000004655</t>
  </si>
  <si>
    <t xml:space="preserve">South Taranaki People/Plant</t>
  </si>
  <si>
    <t xml:space="preserve">L9.DNZJ.66211</t>
  </si>
  <si>
    <t xml:space="preserve">66211</t>
  </si>
  <si>
    <t xml:space="preserve">South Taranaki Plant</t>
  </si>
  <si>
    <t xml:space="preserve">L9.DNZJ.66221</t>
  </si>
  <si>
    <t xml:space="preserve">66221</t>
  </si>
  <si>
    <t xml:space="preserve">Southbank Grounds Serv Del</t>
  </si>
  <si>
    <t xml:space="preserve">L9.S.16012225</t>
  </si>
  <si>
    <t xml:space="preserve">16012225</t>
  </si>
  <si>
    <t xml:space="preserve">Southern BPL's</t>
  </si>
  <si>
    <t xml:space="preserve">L9.DNZ.810.10.260</t>
  </si>
  <si>
    <t xml:space="preserve">10260</t>
  </si>
  <si>
    <t xml:space="preserve">10.26</t>
  </si>
  <si>
    <t xml:space="preserve">Southern Cross Food Serv. Del.</t>
  </si>
  <si>
    <t xml:space="preserve">L9.S.26017064</t>
  </si>
  <si>
    <t xml:space="preserve">26017064</t>
  </si>
  <si>
    <t xml:space="preserve">Southern Design</t>
  </si>
  <si>
    <t xml:space="preserve">L9.DNZ.810.10.264</t>
  </si>
  <si>
    <t xml:space="preserve">10264</t>
  </si>
  <si>
    <t xml:space="preserve">10.264</t>
  </si>
  <si>
    <t xml:space="preserve">Southern Management &amp; Admin</t>
  </si>
  <si>
    <t xml:space="preserve">L9.S.26016947</t>
  </si>
  <si>
    <t xml:space="preserve">26016947</t>
  </si>
  <si>
    <t xml:space="preserve">Southern Management 45003019</t>
  </si>
  <si>
    <t xml:space="preserve">L9.S.24000082</t>
  </si>
  <si>
    <t xml:space="preserve">2000004649</t>
  </si>
  <si>
    <t xml:space="preserve">Southern Regions EU Subcontractors</t>
  </si>
  <si>
    <t xml:space="preserve">L9.J.38239034</t>
  </si>
  <si>
    <t xml:space="preserve">Southland DC 3 Waters O&amp;M</t>
  </si>
  <si>
    <t xml:space="preserve">L9.DNZJ.561400</t>
  </si>
  <si>
    <t xml:space="preserve">561400</t>
  </si>
  <si>
    <t xml:space="preserve">EU-NZU-561400-Southland DC 3 Waters O&amp;M</t>
  </si>
  <si>
    <t xml:space="preserve">Southland DC EU Subcontractors</t>
  </si>
  <si>
    <t xml:space="preserve">Southland NOC-Asset Mgmt</t>
  </si>
  <si>
    <t xml:space="preserve">L9.DNZJ.556374</t>
  </si>
  <si>
    <t xml:space="preserve">556374</t>
  </si>
  <si>
    <t xml:space="preserve">TI-NZT-556374 - Southland NOC-Asset Mgmt (TI-NZT - Central Otago Southland Chip Sealing)</t>
  </si>
  <si>
    <t xml:space="preserve">Southland Telco Ops</t>
  </si>
  <si>
    <t xml:space="preserve">L9.DNZ.810.10.191</t>
  </si>
  <si>
    <t xml:space="preserve">10191</t>
  </si>
  <si>
    <t xml:space="preserve">10.191</t>
  </si>
  <si>
    <t xml:space="preserve">Spark BOLTE EU Subcontractors</t>
  </si>
  <si>
    <t xml:space="preserve">L9.DNZ.810.20694</t>
  </si>
  <si>
    <t xml:space="preserve">Spark COWs/Events EU Subcontractors</t>
  </si>
  <si>
    <t xml:space="preserve">L9.DNZ.810.20728</t>
  </si>
  <si>
    <t xml:space="preserve">Spark Fixed Fibre EU Subcontractors</t>
  </si>
  <si>
    <t xml:space="preserve">L9.DNZ.810.20687</t>
  </si>
  <si>
    <t xml:space="preserve">Spark Mob Mtc &amp; Reactive Centr EU Subcontractors</t>
  </si>
  <si>
    <t xml:space="preserve">L9.DNZ.810.20983</t>
  </si>
  <si>
    <t xml:space="preserve">Spark Mob Mtc &amp; Reactive Sth I EU Subcontractors</t>
  </si>
  <si>
    <t xml:space="preserve">L9.DNZ.810.20184</t>
  </si>
  <si>
    <t xml:space="preserve">Spark Mob Mtc &amp; Reactive Wtgn EU Subcontractors</t>
  </si>
  <si>
    <t xml:space="preserve">L9.DNZ.810.20187</t>
  </si>
  <si>
    <t xml:space="preserve">Spark Mob Reactive Mtce North EU Subcontractors</t>
  </si>
  <si>
    <t xml:space="preserve">Spark Mobile - Routine Centr EU Subcontractors</t>
  </si>
  <si>
    <t xml:space="preserve">L9.DNZ.810.20886</t>
  </si>
  <si>
    <t xml:space="preserve">Spark Mobile - Routine North EU Subcontractors</t>
  </si>
  <si>
    <t xml:space="preserve">L9.DNZ.810.20887</t>
  </si>
  <si>
    <t xml:space="preserve">Spark Mobile Network National</t>
  </si>
  <si>
    <t xml:space="preserve">L9.DNZ.810.10.220</t>
  </si>
  <si>
    <t xml:space="preserve">10.22</t>
  </si>
  <si>
    <t xml:space="preserve">Spark Property</t>
  </si>
  <si>
    <t xml:space="preserve">L9.DNZ.810.10.196</t>
  </si>
  <si>
    <t xml:space="preserve">10196</t>
  </si>
  <si>
    <t xml:space="preserve">10.196</t>
  </si>
  <si>
    <t xml:space="preserve">Spark Wireless Build-National EU Subcontractors</t>
  </si>
  <si>
    <t xml:space="preserve">Special Frces Training Fac-Holswrthy</t>
  </si>
  <si>
    <t xml:space="preserve">L9.S.16018034</t>
  </si>
  <si>
    <t xml:space="preserve">16018034</t>
  </si>
  <si>
    <t xml:space="preserve">Specialist Civil Construction</t>
  </si>
  <si>
    <t xml:space="preserve">L9.DNZJ.56134</t>
  </si>
  <si>
    <t xml:space="preserve">56134</t>
  </si>
  <si>
    <t xml:space="preserve">SPO Defence</t>
  </si>
  <si>
    <t xml:space="preserve">L9.J.150501</t>
  </si>
  <si>
    <t xml:space="preserve">150501</t>
  </si>
  <si>
    <t xml:space="preserve">SPO Facilities &amp; Asset Service</t>
  </si>
  <si>
    <t xml:space="preserve">L9.J.150503</t>
  </si>
  <si>
    <t xml:space="preserve">150503</t>
  </si>
  <si>
    <t xml:space="preserve">SPO-Asset Development Service</t>
  </si>
  <si>
    <t xml:space="preserve">L9.J.170806</t>
  </si>
  <si>
    <t xml:space="preserve">170806</t>
  </si>
  <si>
    <t xml:space="preserve">SPO-SI&amp;CS</t>
  </si>
  <si>
    <t xml:space="preserve">L9.J.170803</t>
  </si>
  <si>
    <t xml:space="preserve">170803</t>
  </si>
  <si>
    <t xml:space="preserve">Spotless - Recharge</t>
  </si>
  <si>
    <t xml:space="preserve">L9.DNZJ.1998</t>
  </si>
  <si>
    <t xml:space="preserve">1998</t>
  </si>
  <si>
    <t xml:space="preserve">Original location ref &amp; ref no.: L9.S.11001217</t>
  </si>
  <si>
    <t xml:space="preserve">Spotless Australia Defence OH</t>
  </si>
  <si>
    <t xml:space="preserve">L9.J.307001</t>
  </si>
  <si>
    <t xml:space="preserve">307001</t>
  </si>
  <si>
    <t xml:space="preserve">Spotless Australia Overhead</t>
  </si>
  <si>
    <t xml:space="preserve">L9.J.302001</t>
  </si>
  <si>
    <t xml:space="preserve">302001</t>
  </si>
  <si>
    <t xml:space="preserve">Spotless FM - Riverwood office</t>
  </si>
  <si>
    <t xml:space="preserve">Whole of Government -Riverwood</t>
  </si>
  <si>
    <t xml:space="preserve">5-7 Littleton St</t>
  </si>
  <si>
    <t xml:space="preserve">Riverwood</t>
  </si>
  <si>
    <t xml:space="preserve">2190</t>
  </si>
  <si>
    <t xml:space="preserve">Spotless SA Housing contract</t>
  </si>
  <si>
    <t xml:space="preserve">L9.S.3174.45004989</t>
  </si>
  <si>
    <t xml:space="preserve">45004989</t>
  </si>
  <si>
    <t xml:space="preserve">Spotless
Temporarily use code: L9.S.3174.45004989</t>
  </si>
  <si>
    <t xml:space="preserve">301/ 300 Wakefield Street</t>
  </si>
  <si>
    <t xml:space="preserve">Spotless Utilities</t>
  </si>
  <si>
    <t xml:space="preserve">L9.J.150502</t>
  </si>
  <si>
    <t xml:space="preserve">150502</t>
  </si>
  <si>
    <t xml:space="preserve">Spotless-Utilities</t>
  </si>
  <si>
    <t xml:space="preserve">SPP Milling</t>
  </si>
  <si>
    <t xml:space="preserve">TI-NZT.I18 - Specialised Pvmt Preservation
TI-NZT.I18.T38 - SPP Milling
TI-NZT-55163 - Milling</t>
  </si>
  <si>
    <t xml:space="preserve">Sprayseal Aust East</t>
  </si>
  <si>
    <t xml:space="preserve">L9.J.170362</t>
  </si>
  <si>
    <t xml:space="preserve">170362</t>
  </si>
  <si>
    <t xml:space="preserve">Sprayseal Contracting</t>
  </si>
  <si>
    <t xml:space="preserve">L9.J.170404</t>
  </si>
  <si>
    <t xml:space="preserve">170404</t>
  </si>
  <si>
    <t xml:space="preserve">Springhill Minor Works</t>
  </si>
  <si>
    <t xml:space="preserve">L9.J.38225138</t>
  </si>
  <si>
    <t xml:space="preserve">38225138</t>
  </si>
  <si>
    <t xml:space="preserve">SPS L-O Blade &amp; HIT Skid</t>
  </si>
  <si>
    <t xml:space="preserve">L9.J.38300020</t>
  </si>
  <si>
    <t xml:space="preserve">38300020</t>
  </si>
  <si>
    <t xml:space="preserve">SPS U3 LP Re-Blade</t>
  </si>
  <si>
    <t xml:space="preserve">L9.J.38300022</t>
  </si>
  <si>
    <t xml:space="preserve">38300022</t>
  </si>
  <si>
    <t xml:space="preserve">SPT - Train Stations WA</t>
  </si>
  <si>
    <t xml:space="preserve">SQ&amp;E</t>
  </si>
  <si>
    <t xml:space="preserve">L9.DUN.20060</t>
  </si>
  <si>
    <t xml:space="preserve">20060</t>
  </si>
  <si>
    <t xml:space="preserve">SSL NZ Def Kensington Army Hall</t>
  </si>
  <si>
    <t xml:space="preserve">L9.S.26017832</t>
  </si>
  <si>
    <t xml:space="preserve">26017832</t>
  </si>
  <si>
    <t xml:space="preserve">SSL NZ Defence Dunedin 45003386</t>
  </si>
  <si>
    <t xml:space="preserve">L9.S.26017831</t>
  </si>
  <si>
    <t xml:space="preserve">2000004664</t>
  </si>
  <si>
    <t xml:space="preserve">SSL Staffing Svcs -VIC</t>
  </si>
  <si>
    <t xml:space="preserve">L9.S.0260</t>
  </si>
  <si>
    <t xml:space="preserve">Spotless Group</t>
  </si>
  <si>
    <t xml:space="preserve">SSV General</t>
  </si>
  <si>
    <t xml:space="preserve">L9.J.8000050</t>
  </si>
  <si>
    <t xml:space="preserve">8000050</t>
  </si>
  <si>
    <t xml:space="preserve">Stabilisation Civil Wo</t>
  </si>
  <si>
    <t xml:space="preserve">L9.J.170114</t>
  </si>
  <si>
    <t xml:space="preserve">170114</t>
  </si>
  <si>
    <t xml:space="preserve">Stadiums - Cbus Super Stadium</t>
  </si>
  <si>
    <t xml:space="preserve">Robina</t>
  </si>
  <si>
    <t xml:space="preserve">Stadiums - NIB</t>
  </si>
  <si>
    <t xml:space="preserve">9161</t>
  </si>
  <si>
    <t xml:space="preserve">Stadiums - Sydney Olympic Park</t>
  </si>
  <si>
    <t xml:space="preserve">9162</t>
  </si>
  <si>
    <t xml:space="preserve">Homebush</t>
  </si>
  <si>
    <t xml:space="preserve">Stadiums - Townsville</t>
  </si>
  <si>
    <t xml:space="preserve">9163</t>
  </si>
  <si>
    <t xml:space="preserve">Townsville</t>
  </si>
  <si>
    <t xml:space="preserve">Standby Gen Res OHDS</t>
  </si>
  <si>
    <t xml:space="preserve">L9.J.23420018</t>
  </si>
  <si>
    <t xml:space="preserve">23420018</t>
  </si>
  <si>
    <t xml:space="preserve">Stanwell Unit 1 Major Overhaul</t>
  </si>
  <si>
    <t xml:space="preserve">L9.J.38210070</t>
  </si>
  <si>
    <t xml:space="preserve">38210070</t>
  </si>
  <si>
    <t xml:space="preserve">Sth Canterbury Mob/Maint/Build</t>
  </si>
  <si>
    <t xml:space="preserve">L9.DNZ.810.10.254</t>
  </si>
  <si>
    <t xml:space="preserve">10254</t>
  </si>
  <si>
    <t xml:space="preserve">10.254</t>
  </si>
  <si>
    <t xml:space="preserve">Stoney Creek</t>
  </si>
  <si>
    <t xml:space="preserve">L9.DNZJ.313200</t>
  </si>
  <si>
    <t xml:space="preserve">313200</t>
  </si>
  <si>
    <t xml:space="preserve">Strategic Programs</t>
  </si>
  <si>
    <t xml:space="preserve">L9.DNZJ.9043</t>
  </si>
  <si>
    <t xml:space="preserve">9043</t>
  </si>
  <si>
    <t xml:space="preserve">Strategic Projects/Surfacing</t>
  </si>
  <si>
    <t xml:space="preserve">L9.DNZJ.55978</t>
  </si>
  <si>
    <t xml:space="preserve">55978</t>
  </si>
  <si>
    <t xml:space="preserve">Strategy &amp; Growth EU Subcontractors</t>
  </si>
  <si>
    <t xml:space="preserve">L9.J.377314</t>
  </si>
  <si>
    <t xml:space="preserve">Stratford Depot</t>
  </si>
  <si>
    <t xml:space="preserve">55574</t>
  </si>
  <si>
    <t xml:space="preserve">-39.3493</t>
  </si>
  <si>
    <t xml:space="preserve">174.2918</t>
  </si>
  <si>
    <t xml:space="preserve">Stratford People/Plant</t>
  </si>
  <si>
    <t xml:space="preserve">L9.DNZJ.66203</t>
  </si>
  <si>
    <t xml:space="preserve">66203</t>
  </si>
  <si>
    <t xml:space="preserve">Stratford Plant</t>
  </si>
  <si>
    <t xml:space="preserve">L9.DNZJ.66215</t>
  </si>
  <si>
    <t xml:space="preserve">66215</t>
  </si>
  <si>
    <t xml:space="preserve">Street Light Hamilton/Waikato</t>
  </si>
  <si>
    <t xml:space="preserve">L9.DNZJ.1516</t>
  </si>
  <si>
    <t xml:space="preserve">1516</t>
  </si>
  <si>
    <t xml:space="preserve">Streets for People-TDC</t>
  </si>
  <si>
    <t xml:space="preserve">L9.DNZJ.553712</t>
  </si>
  <si>
    <t xml:space="preserve">553712</t>
  </si>
  <si>
    <t xml:space="preserve">Sturt</t>
  </si>
  <si>
    <t xml:space="preserve">L9.J.17021267</t>
  </si>
  <si>
    <t xml:space="preserve">17021267</t>
  </si>
  <si>
    <t xml:space="preserve">331 Sturt Road</t>
  </si>
  <si>
    <t xml:space="preserve">Bedford Park</t>
  </si>
  <si>
    <t xml:space="preserve">SA Road Maintenance Contract</t>
  </si>
  <si>
    <t xml:space="preserve">Subiaco Station</t>
  </si>
  <si>
    <t xml:space="preserve">Subiaco</t>
  </si>
  <si>
    <t xml:space="preserve">Substations - DUA</t>
  </si>
  <si>
    <t xml:space="preserve">L9.J.377401</t>
  </si>
  <si>
    <t xml:space="preserve">377401</t>
  </si>
  <si>
    <t xml:space="preserve">Substations East EU Subcontractors</t>
  </si>
  <si>
    <t xml:space="preserve">Sunbury O&amp;M</t>
  </si>
  <si>
    <t xml:space="preserve">24150013</t>
  </si>
  <si>
    <t xml:space="preserve">Sunbury WWTP D&amp;C</t>
  </si>
  <si>
    <t xml:space="preserve">L9.J.24120084</t>
  </si>
  <si>
    <t xml:space="preserve">24120084</t>
  </si>
  <si>
    <t xml:space="preserve">Suncontractors - NZ - Energy Networks</t>
  </si>
  <si>
    <t xml:space="preserve">Sundry Mech Projects - S/East</t>
  </si>
  <si>
    <t xml:space="preserve">L9.J.38220064</t>
  </si>
  <si>
    <t xml:space="preserve">38220064</t>
  </si>
  <si>
    <t xml:space="preserve">Sunshine Coast Spray</t>
  </si>
  <si>
    <t xml:space="preserve">L9.J.170779</t>
  </si>
  <si>
    <t xml:space="preserve">170779</t>
  </si>
  <si>
    <t xml:space="preserve">Support - Manufacturing</t>
  </si>
  <si>
    <t xml:space="preserve">L9.J.395103</t>
  </si>
  <si>
    <t xml:space="preserve">395103</t>
  </si>
  <si>
    <t xml:space="preserve">SW Branch Operations FY21</t>
  </si>
  <si>
    <t xml:space="preserve">L9.J.38270058</t>
  </si>
  <si>
    <t xml:space="preserve">38270058</t>
  </si>
  <si>
    <t xml:space="preserve">Swanbank 275KV BESS Connection</t>
  </si>
  <si>
    <t xml:space="preserve">L9.J.37130006</t>
  </si>
  <si>
    <t xml:space="preserve">37130006</t>
  </si>
  <si>
    <t xml:space="preserve">SWDC - Tirau 45004733</t>
  </si>
  <si>
    <t xml:space="preserve">L9.S.26019877</t>
  </si>
  <si>
    <t xml:space="preserve">2000005158</t>
  </si>
  <si>
    <t xml:space="preserve">SWDC - Tokoroa 45004733</t>
  </si>
  <si>
    <t xml:space="preserve">L9.S.26019854</t>
  </si>
  <si>
    <t xml:space="preserve">2000005156</t>
  </si>
  <si>
    <t xml:space="preserve">SWDC 640/637 Unsealed Rds</t>
  </si>
  <si>
    <t xml:space="preserve">L9.DNZJ.559614</t>
  </si>
  <si>
    <t xml:space="preserve">559614</t>
  </si>
  <si>
    <t xml:space="preserve">SYD AZS Substation Main Works</t>
  </si>
  <si>
    <t xml:space="preserve">L9.J.38270084</t>
  </si>
  <si>
    <t xml:space="preserve">38270084</t>
  </si>
  <si>
    <t xml:space="preserve">Syd Water Operational Support</t>
  </si>
  <si>
    <t xml:space="preserve">L9.J.23020001</t>
  </si>
  <si>
    <t xml:space="preserve">23020001</t>
  </si>
  <si>
    <t xml:space="preserve">Sydney Detritus</t>
  </si>
  <si>
    <t xml:space="preserve">L9.J.170147</t>
  </si>
  <si>
    <t xml:space="preserve">170147</t>
  </si>
  <si>
    <t xml:space="preserve">Sydney East Secondary Systems</t>
  </si>
  <si>
    <t xml:space="preserve">L9.J.37740138</t>
  </si>
  <si>
    <t xml:space="preserve">37740138</t>
  </si>
  <si>
    <t xml:space="preserve">Sydney RU Management</t>
  </si>
  <si>
    <t xml:space="preserve">L9.J.170124</t>
  </si>
  <si>
    <t xml:space="preserve">170124</t>
  </si>
  <si>
    <t xml:space="preserve">Sydney Water (ME) 48 Hour Notice</t>
  </si>
  <si>
    <t xml:space="preserve">L9.S.16016239</t>
  </si>
  <si>
    <t xml:space="preserve">16016239</t>
  </si>
  <si>
    <t xml:space="preserve">Sydney Water (MRP) - Water MtrServ</t>
  </si>
  <si>
    <t xml:space="preserve">L9.S.16013402</t>
  </si>
  <si>
    <t xml:space="preserve">16013402</t>
  </si>
  <si>
    <t xml:space="preserve">Sydney Water EU Subcontractors</t>
  </si>
  <si>
    <t xml:space="preserve">L9.J.23900262</t>
  </si>
  <si>
    <t xml:space="preserve">Sydney Water NFRP EU Subcontractors</t>
  </si>
  <si>
    <t xml:space="preserve">L9.J.23900053</t>
  </si>
  <si>
    <t xml:space="preserve">Sydney Water P4s Clearing</t>
  </si>
  <si>
    <t xml:space="preserve">L9.J.241604</t>
  </si>
  <si>
    <t xml:space="preserve">241604</t>
  </si>
  <si>
    <t xml:space="preserve">Sydney Workshop</t>
  </si>
  <si>
    <t xml:space="preserve">170145</t>
  </si>
  <si>
    <t xml:space="preserve">T&amp;Cs - Other EU Subcontractors</t>
  </si>
  <si>
    <t xml:space="preserve">L9.J.23440142</t>
  </si>
  <si>
    <t xml:space="preserve">T&amp;CS National OH</t>
  </si>
  <si>
    <t xml:space="preserve">L9.J.23440009</t>
  </si>
  <si>
    <t xml:space="preserve">23440009</t>
  </si>
  <si>
    <t xml:space="preserve">T&amp;I AU Cartage - TI-171 - TI-HO Office</t>
  </si>
  <si>
    <t xml:space="preserve">T&amp;I AU Cartage - TI-187 - Asphalt &amp; Products</t>
  </si>
  <si>
    <t xml:space="preserve">L9.J.17040439</t>
  </si>
  <si>
    <t xml:space="preserve">T&amp;I AU Cartage - TI-189 - Specialised Pavements &amp; Projec</t>
  </si>
  <si>
    <t xml:space="preserve">L9.J.17093209</t>
  </si>
  <si>
    <t xml:space="preserve">T&amp;I AU Cartage - TI-190 - Thin Surfacing</t>
  </si>
  <si>
    <t xml:space="preserve">L9.J.17098065</t>
  </si>
  <si>
    <t xml:space="preserve">T&amp;I AU Cartage - TI-192 - AU Fleet &amp; TI</t>
  </si>
  <si>
    <t xml:space="preserve">T&amp;I Capability Strategy</t>
  </si>
  <si>
    <t xml:space="preserve">L9.DNZJ.57972</t>
  </si>
  <si>
    <t xml:space="preserve">57972</t>
  </si>
  <si>
    <t xml:space="preserve">T&amp;I Cartage Subcontractors AU</t>
  </si>
  <si>
    <t xml:space="preserve">L9.J.170712</t>
  </si>
  <si>
    <t xml:space="preserve">170712</t>
  </si>
  <si>
    <t xml:space="preserve">T&amp;I Commercial &amp; Risk</t>
  </si>
  <si>
    <t xml:space="preserve">L9.DNZJ.57965</t>
  </si>
  <si>
    <t xml:space="preserve">57965</t>
  </si>
  <si>
    <t xml:space="preserve">T&amp;I COO</t>
  </si>
  <si>
    <t xml:space="preserve">L9.DNZJ.57950</t>
  </si>
  <si>
    <t xml:space="preserve">57950</t>
  </si>
  <si>
    <t xml:space="preserve">T&amp;I Country Costs</t>
  </si>
  <si>
    <t xml:space="preserve">57989</t>
  </si>
  <si>
    <t xml:space="preserve">T&amp;I Environment &amp; Sustain</t>
  </si>
  <si>
    <t xml:space="preserve">L9.DNZJ.57976</t>
  </si>
  <si>
    <t xml:space="preserve">57976</t>
  </si>
  <si>
    <t xml:space="preserve">T&amp;I Environment &amp; Sustainabili</t>
  </si>
  <si>
    <t xml:space="preserve">L9.J.170838</t>
  </si>
  <si>
    <t xml:space="preserve">170838</t>
  </si>
  <si>
    <t xml:space="preserve">T&amp;I Finance &amp; Performance</t>
  </si>
  <si>
    <t xml:space="preserve">L9.DNZJ.57960</t>
  </si>
  <si>
    <t xml:space="preserve">57960</t>
  </si>
  <si>
    <t xml:space="preserve">T&amp;I People &amp; Culture</t>
  </si>
  <si>
    <t xml:space="preserve">L9.DNZJ.57970</t>
  </si>
  <si>
    <t xml:space="preserve">57970</t>
  </si>
  <si>
    <t xml:space="preserve">T&amp;I Zero Harm</t>
  </si>
  <si>
    <t xml:space="preserve">L9.DNZJ.57975</t>
  </si>
  <si>
    <t xml:space="preserve">57975</t>
  </si>
  <si>
    <t xml:space="preserve">T_North_Americas Cup WEA-JV</t>
  </si>
  <si>
    <t xml:space="preserve">5299</t>
  </si>
  <si>
    <t xml:space="preserve">T_SubContractors</t>
  </si>
  <si>
    <t xml:space="preserve">5323</t>
  </si>
  <si>
    <t xml:space="preserve">TAFE Qld Loganlea</t>
  </si>
  <si>
    <t xml:space="preserve">L9.S.16002974</t>
  </si>
  <si>
    <t xml:space="preserve">16002974</t>
  </si>
  <si>
    <t xml:space="preserve">Taihape/Raetihi - Depot</t>
  </si>
  <si>
    <t xml:space="preserve">PG60224</t>
  </si>
  <si>
    <t xml:space="preserve">-39.6595</t>
  </si>
  <si>
    <t xml:space="preserve">175.7838</t>
  </si>
  <si>
    <t xml:space="preserve">Taihape/Raetihi - WM 223</t>
  </si>
  <si>
    <t xml:space="preserve">L9.DUN.60223</t>
  </si>
  <si>
    <t xml:space="preserve">PG60223</t>
  </si>
  <si>
    <t xml:space="preserve">TAKAKA HILL 5 SITES REMEDIATIO</t>
  </si>
  <si>
    <t xml:space="preserve">L9.DNZJ.DS2653</t>
  </si>
  <si>
    <t xml:space="preserve">JP_DS2653</t>
  </si>
  <si>
    <t xml:space="preserve">Talison Site Services CGP3</t>
  </si>
  <si>
    <t xml:space="preserve">38239034</t>
  </si>
  <si>
    <t xml:space="preserve">Tamworth</t>
  </si>
  <si>
    <t xml:space="preserve">L9.J.170937</t>
  </si>
  <si>
    <t xml:space="preserve">170937</t>
  </si>
  <si>
    <t xml:space="preserve">15 - 27 Armstrong Street</t>
  </si>
  <si>
    <t xml:space="preserve">2340</t>
  </si>
  <si>
    <t xml:space="preserve">-31.078</t>
  </si>
  <si>
    <t xml:space="preserve">150.851</t>
  </si>
  <si>
    <t xml:space="preserve">Tamworth/Moree Spray</t>
  </si>
  <si>
    <t xml:space="preserve">L9.J.170783</t>
  </si>
  <si>
    <t xml:space="preserve">170783</t>
  </si>
  <si>
    <t xml:space="preserve">Taranaki Overhead</t>
  </si>
  <si>
    <t xml:space="preserve">TI-NZT-54936 - Manuwatu Overhead (INX name). Envizi location is named after edw dashboard, which is directly linked to JDE.</t>
  </si>
  <si>
    <t xml:space="preserve">TAREWA ITC - NRHLD DLVR FMWK 1</t>
  </si>
  <si>
    <t xml:space="preserve">JP_DN1157</t>
  </si>
  <si>
    <t xml:space="preserve">Otaika Road</t>
  </si>
  <si>
    <t xml:space="preserve">Raumanga</t>
  </si>
  <si>
    <t xml:space="preserve">-35.7489</t>
  </si>
  <si>
    <t xml:space="preserve">174.3079</t>
  </si>
  <si>
    <t xml:space="preserve">Tarmac Line Marking, Bairnsdale Depot</t>
  </si>
  <si>
    <t xml:space="preserve">Park up depot - a shed with electricity. All other fuel sources are captured within Fowlers Asphalting.</t>
  </si>
  <si>
    <t xml:space="preserve">15B Rovan Place</t>
  </si>
  <si>
    <t xml:space="preserve">Bairnsdale</t>
  </si>
  <si>
    <t xml:space="preserve">Tarong BESS Connection</t>
  </si>
  <si>
    <t xml:space="preserve">L9.J.37130004</t>
  </si>
  <si>
    <t xml:space="preserve">37130004</t>
  </si>
  <si>
    <t xml:space="preserve">Tarong U1 Turbine Outage 2025</t>
  </si>
  <si>
    <t xml:space="preserve">Tasman DC Alliance</t>
  </si>
  <si>
    <t xml:space="preserve">L9.DNZJ.55308</t>
  </si>
  <si>
    <t xml:space="preserve">55308</t>
  </si>
  <si>
    <t xml:space="preserve">Tasman DC Alliance Emergency</t>
  </si>
  <si>
    <t xml:space="preserve">L9.DNZJ.553704</t>
  </si>
  <si>
    <t xml:space="preserve">553704</t>
  </si>
  <si>
    <t xml:space="preserve">Tasman DC Alliance Maintenance</t>
  </si>
  <si>
    <t xml:space="preserve">L9.DNZJ.553701</t>
  </si>
  <si>
    <t xml:space="preserve">553701</t>
  </si>
  <si>
    <t xml:space="preserve">TI-NZT-553701 - Tasman DC Alliance Maintenance (TI-NZT - Tasman Nelson)</t>
  </si>
  <si>
    <t xml:space="preserve">Tasman DC Alliance UniqueCodes</t>
  </si>
  <si>
    <t xml:space="preserve">L9.DNZJ.553707</t>
  </si>
  <si>
    <t xml:space="preserve">553707</t>
  </si>
  <si>
    <t xml:space="preserve">Tasman DC Alliance Unscheduled</t>
  </si>
  <si>
    <t xml:space="preserve">L9.DNZJ.553703</t>
  </si>
  <si>
    <t xml:space="preserve">553703</t>
  </si>
  <si>
    <t xml:space="preserve">Tasman DC EU Subcontractors</t>
  </si>
  <si>
    <t xml:space="preserve">Tasmania Operations BU Mgmt</t>
  </si>
  <si>
    <t xml:space="preserve">L9.J.170380</t>
  </si>
  <si>
    <t xml:space="preserve">170380</t>
  </si>
  <si>
    <t xml:space="preserve">Tasmania RUM</t>
  </si>
  <si>
    <t xml:space="preserve">L9.J.170320</t>
  </si>
  <si>
    <t xml:space="preserve">170320</t>
  </si>
  <si>
    <t xml:space="preserve">Tasmania Workshop</t>
  </si>
  <si>
    <t xml:space="preserve">L9.J.170908</t>
  </si>
  <si>
    <t xml:space="preserve">170908</t>
  </si>
  <si>
    <t xml:space="preserve">Taumarunui Depot</t>
  </si>
  <si>
    <t xml:space="preserve">55563</t>
  </si>
  <si>
    <t xml:space="preserve">-38.8919</t>
  </si>
  <si>
    <t xml:space="preserve">175.2297</t>
  </si>
  <si>
    <t xml:space="preserve">Taupo - Mechanical</t>
  </si>
  <si>
    <t xml:space="preserve">L9.DNZJ.561344</t>
  </si>
  <si>
    <t xml:space="preserve">561344</t>
  </si>
  <si>
    <t xml:space="preserve">Taupo - Stormwater</t>
  </si>
  <si>
    <t xml:space="preserve">L9.DNZJ.561343</t>
  </si>
  <si>
    <t xml:space="preserve">561343</t>
  </si>
  <si>
    <t xml:space="preserve">Taupo - Third Party Jobs</t>
  </si>
  <si>
    <t xml:space="preserve">L9.DNZJ.561346</t>
  </si>
  <si>
    <t xml:space="preserve">561346</t>
  </si>
  <si>
    <t xml:space="preserve">UT-NZU-561346-Taupo (UT-NZU-Water Northern)</t>
  </si>
  <si>
    <t xml:space="preserve">Taupo - Wastewater</t>
  </si>
  <si>
    <t xml:space="preserve">L9.DNZJ.561342</t>
  </si>
  <si>
    <t xml:space="preserve">561342</t>
  </si>
  <si>
    <t xml:space="preserve">Taupo - Water</t>
  </si>
  <si>
    <t xml:space="preserve">L9.DNZJ.561341</t>
  </si>
  <si>
    <t xml:space="preserve">561341</t>
  </si>
  <si>
    <t xml:space="preserve">Taupo (36-39 Matai St)</t>
  </si>
  <si>
    <t xml:space="preserve">L9.DNZJ.91648</t>
  </si>
  <si>
    <t xml:space="preserve">91648</t>
  </si>
  <si>
    <t xml:space="preserve">35 Mataī Street</t>
  </si>
  <si>
    <t xml:space="preserve">Tauhara</t>
  </si>
  <si>
    <t xml:space="preserve">Taupō</t>
  </si>
  <si>
    <t xml:space="preserve">3378</t>
  </si>
  <si>
    <t xml:space="preserve">Taupo (66 Paro Hapi Street)</t>
  </si>
  <si>
    <t xml:space="preserve">L9.DNZJ.91237</t>
  </si>
  <si>
    <t xml:space="preserve">91237</t>
  </si>
  <si>
    <t xml:space="preserve">66 Pāora Hapi Street</t>
  </si>
  <si>
    <t xml:space="preserve">-38.6856</t>
  </si>
  <si>
    <t xml:space="preserve">176.0769</t>
  </si>
  <si>
    <t xml:space="preserve">Taupo (Mahoe St) Depot</t>
  </si>
  <si>
    <t xml:space="preserve">55615</t>
  </si>
  <si>
    <t xml:space="preserve">9 Mahoe Street</t>
  </si>
  <si>
    <t xml:space="preserve">-38.6923</t>
  </si>
  <si>
    <t xml:space="preserve">176.1061</t>
  </si>
  <si>
    <t xml:space="preserve">Taupo DC - 3 Waters EU Subcontractors</t>
  </si>
  <si>
    <t xml:space="preserve">L9.DNZJ.56130</t>
  </si>
  <si>
    <t xml:space="preserve">Taupo Depot</t>
  </si>
  <si>
    <t xml:space="preserve">55564</t>
  </si>
  <si>
    <t xml:space="preserve">11 Ashwood Avenue</t>
  </si>
  <si>
    <t xml:space="preserve">-38.695</t>
  </si>
  <si>
    <t xml:space="preserve">176.1094</t>
  </si>
  <si>
    <t xml:space="preserve">Taupo Minor Construction Jobs</t>
  </si>
  <si>
    <t xml:space="preserve">L9.DNZJ.550692</t>
  </si>
  <si>
    <t xml:space="preserve">550692</t>
  </si>
  <si>
    <t xml:space="preserve">Taupo RT Repeaters &amp; Network</t>
  </si>
  <si>
    <t xml:space="preserve">L9.DNZJ.550774</t>
  </si>
  <si>
    <t xml:space="preserve">550774</t>
  </si>
  <si>
    <t xml:space="preserve">Pohokura Road</t>
  </si>
  <si>
    <t xml:space="preserve">Tutira</t>
  </si>
  <si>
    <t xml:space="preserve">4181</t>
  </si>
  <si>
    <t xml:space="preserve">-39.1655</t>
  </si>
  <si>
    <t xml:space="preserve">176.7817</t>
  </si>
  <si>
    <t xml:space="preserve">Taupo Teleco Ops</t>
  </si>
  <si>
    <t xml:space="preserve">L9.DNZ.810.10.194</t>
  </si>
  <si>
    <t xml:space="preserve">10194</t>
  </si>
  <si>
    <t xml:space="preserve">10.194</t>
  </si>
  <si>
    <t xml:space="preserve">Tauranga - WM 111</t>
  </si>
  <si>
    <t xml:space="preserve">L9.DUN.60111</t>
  </si>
  <si>
    <t xml:space="preserve">PG60111</t>
  </si>
  <si>
    <t xml:space="preserve">Tauranga - WM 112</t>
  </si>
  <si>
    <t xml:space="preserve">PG60112</t>
  </si>
  <si>
    <t xml:space="preserve">Tauranga - WM 113</t>
  </si>
  <si>
    <t xml:space="preserve">L9.DUN.60113</t>
  </si>
  <si>
    <t xml:space="preserve">PG60113</t>
  </si>
  <si>
    <t xml:space="preserve">Tauranga (1 Blenheim Pl)</t>
  </si>
  <si>
    <t xml:space="preserve">L9.DNZJ.91418</t>
  </si>
  <si>
    <t xml:space="preserve">91418</t>
  </si>
  <si>
    <t xml:space="preserve">COR-NZHO-91418 - Tauranga (1 Blenheim Pl)</t>
  </si>
  <si>
    <t xml:space="preserve">Tauranga (23 Cessna Place)</t>
  </si>
  <si>
    <t xml:space="preserve">L9.DNZJ.91622</t>
  </si>
  <si>
    <t xml:space="preserve">91622</t>
  </si>
  <si>
    <t xml:space="preserve">23 Cessna Place</t>
  </si>
  <si>
    <t xml:space="preserve">-37.6705</t>
  </si>
  <si>
    <t xml:space="preserve">176.2065</t>
  </si>
  <si>
    <t xml:space="preserve">Tauranga (29a Pillans Rd)</t>
  </si>
  <si>
    <t xml:space="preserve">L9.DNZJ.91417</t>
  </si>
  <si>
    <t xml:space="preserve">91417</t>
  </si>
  <si>
    <t xml:space="preserve">Tauranga (33b Domain Rd)</t>
  </si>
  <si>
    <t xml:space="preserve">L9.DNZJ.91415</t>
  </si>
  <si>
    <t xml:space="preserve">91415</t>
  </si>
  <si>
    <t xml:space="preserve">COR-NZHO-91415 - Tauranga (33b Domain Rd)</t>
  </si>
  <si>
    <t xml:space="preserve">Tauranga (345 Matakoakiri Drive</t>
  </si>
  <si>
    <t xml:space="preserve">L9.DNZJ.91255</t>
  </si>
  <si>
    <t xml:space="preserve">91255</t>
  </si>
  <si>
    <t xml:space="preserve">COR-NZHO.91255-Tauranga (345 Matakokiri Drive
345 Matakokiri Drive, Tauranga</t>
  </si>
  <si>
    <t xml:space="preserve">Tauranga (6 Aneta Way)</t>
  </si>
  <si>
    <t xml:space="preserve">L9.DNZJ.91430</t>
  </si>
  <si>
    <t xml:space="preserve">91430</t>
  </si>
  <si>
    <t xml:space="preserve">COR-NZHO.91430 - Tauranga (6 Aneta Way)</t>
  </si>
  <si>
    <t xml:space="preserve">Tauranga (9-10 Te Ara Pipopiko</t>
  </si>
  <si>
    <t xml:space="preserve">L9.DNZJ.91431</t>
  </si>
  <si>
    <t xml:space="preserve">91431</t>
  </si>
  <si>
    <t xml:space="preserve">COR-NZHO.91431 - Tauranga (9-10 Te Ara Pipopiko</t>
  </si>
  <si>
    <t xml:space="preserve">Tauranga Area Manager</t>
  </si>
  <si>
    <t xml:space="preserve">PG60110</t>
  </si>
  <si>
    <t xml:space="preserve">126 Aerodrome Road</t>
  </si>
  <si>
    <t xml:space="preserve">-37.6702</t>
  </si>
  <si>
    <t xml:space="preserve">176.2021</t>
  </si>
  <si>
    <t xml:space="preserve">Tauranga CC EU Subcontractors</t>
  </si>
  <si>
    <t xml:space="preserve">L9.DNZJ.56122</t>
  </si>
  <si>
    <t xml:space="preserve">TAURANGA MOANA COURTHOUSE ECI</t>
  </si>
  <si>
    <t xml:space="preserve">L9.DNZ.HC0357</t>
  </si>
  <si>
    <t xml:space="preserve">HC0357</t>
  </si>
  <si>
    <t xml:space="preserve">TI-NZT.BP.HC0357 - Tauranga Moana Courthouse</t>
  </si>
  <si>
    <t xml:space="preserve">Tauranga Telco Ops</t>
  </si>
  <si>
    <t xml:space="preserve">L9.DNZ.810.10.175</t>
  </si>
  <si>
    <t xml:space="preserve">10175</t>
  </si>
  <si>
    <t xml:space="preserve">10.175</t>
  </si>
  <si>
    <t xml:space="preserve">Tauriko (763 SH29)</t>
  </si>
  <si>
    <t xml:space="preserve">L9.DNZJ.91426</t>
  </si>
  <si>
    <t xml:space="preserve">91426</t>
  </si>
  <si>
    <t xml:space="preserve">Tauriko (Taurikura Dr)</t>
  </si>
  <si>
    <t xml:space="preserve">L9.DNZJ.91220</t>
  </si>
  <si>
    <t xml:space="preserve">91220</t>
  </si>
  <si>
    <t xml:space="preserve">58 Taurikura Drive</t>
  </si>
  <si>
    <t xml:space="preserve">-37.7422</t>
  </si>
  <si>
    <t xml:space="preserve">176.1017</t>
  </si>
  <si>
    <t xml:space="preserve">TAURIKO WEST ENABLING WORKS</t>
  </si>
  <si>
    <t xml:space="preserve">L9.DNZJ.DN1210</t>
  </si>
  <si>
    <t xml:space="preserve">JP_DN1210</t>
  </si>
  <si>
    <t xml:space="preserve">TI-NZT-DN1210 - Tauriko West Enabling Works</t>
  </si>
  <si>
    <t xml:space="preserve">TBA</t>
  </si>
  <si>
    <t xml:space="preserve">32020</t>
  </si>
  <si>
    <t xml:space="preserve">TDC Minor Works</t>
  </si>
  <si>
    <t xml:space="preserve">L9.DNZJ.553679</t>
  </si>
  <si>
    <t xml:space="preserve">553679</t>
  </si>
  <si>
    <t xml:space="preserve">TI-NZT-553679 -  TDC Minor Works (TI-NZT - Tasman Nelson Road Corridor Maintenance)</t>
  </si>
  <si>
    <t xml:space="preserve">TDC WWPS/SS Elect. Upgrades</t>
  </si>
  <si>
    <t xml:space="preserve">L9.DNZJ.561369</t>
  </si>
  <si>
    <t xml:space="preserve">561369</t>
  </si>
  <si>
    <t xml:space="preserve">TDCAlliance Emergency Works</t>
  </si>
  <si>
    <t xml:space="preserve">L9.DNZJ.552207</t>
  </si>
  <si>
    <t xml:space="preserve">552207</t>
  </si>
  <si>
    <t xml:space="preserve">Te Anau (103 Howden St)</t>
  </si>
  <si>
    <t xml:space="preserve">L9.DNZJ.91336</t>
  </si>
  <si>
    <t xml:space="preserve">91336</t>
  </si>
  <si>
    <t xml:space="preserve">103 Howden Street</t>
  </si>
  <si>
    <t xml:space="preserve">-45.4035</t>
  </si>
  <si>
    <t xml:space="preserve">167.7167</t>
  </si>
  <si>
    <t xml:space="preserve">Te Anau Depot</t>
  </si>
  <si>
    <t xml:space="preserve">55682</t>
  </si>
  <si>
    <t xml:space="preserve">29 Caswell Road</t>
  </si>
  <si>
    <t xml:space="preserve">-45.4124</t>
  </si>
  <si>
    <t xml:space="preserve">167.7315</t>
  </si>
  <si>
    <t xml:space="preserve">Te Ara Tupua Alliance</t>
  </si>
  <si>
    <t xml:space="preserve">L9.DNZJ.PN4211</t>
  </si>
  <si>
    <t xml:space="preserve">PN4211</t>
  </si>
  <si>
    <t xml:space="preserve">1091810</t>
  </si>
  <si>
    <t xml:space="preserve">As per email provided by Nathan, Downer does not have the greatest authority to influence and does not have operational control. This is a JV</t>
  </si>
  <si>
    <t xml:space="preserve">Te Pa Tahuna (Ngai Tahu)</t>
  </si>
  <si>
    <t xml:space="preserve">L9.DNZJ.556598</t>
  </si>
  <si>
    <t xml:space="preserve">556598</t>
  </si>
  <si>
    <t xml:space="preserve">68 Fryer Street</t>
  </si>
  <si>
    <t xml:space="preserve">-45.0227</t>
  </si>
  <si>
    <t xml:space="preserve">168.6589</t>
  </si>
  <si>
    <t xml:space="preserve">Te Puia (Gisborne) Depot</t>
  </si>
  <si>
    <t xml:space="preserve">55581</t>
  </si>
  <si>
    <t xml:space="preserve">6 Waipiro Road</t>
  </si>
  <si>
    <t xml:space="preserve">Te Puia Springs</t>
  </si>
  <si>
    <t xml:space="preserve">4079</t>
  </si>
  <si>
    <t xml:space="preserve">Tokomaru</t>
  </si>
  <si>
    <t xml:space="preserve">-38.0533</t>
  </si>
  <si>
    <t xml:space="preserve">178.309</t>
  </si>
  <si>
    <t xml:space="preserve">Te Puke ( 19 Station Road)</t>
  </si>
  <si>
    <t xml:space="preserve">L9.DNZJ.91217</t>
  </si>
  <si>
    <t xml:space="preserve">91217</t>
  </si>
  <si>
    <t xml:space="preserve">19 Station Road</t>
  </si>
  <si>
    <t xml:space="preserve">Te Puke</t>
  </si>
  <si>
    <t xml:space="preserve">3119</t>
  </si>
  <si>
    <t xml:space="preserve">-37.7812</t>
  </si>
  <si>
    <t xml:space="preserve">176.3267</t>
  </si>
  <si>
    <t xml:space="preserve">Te Pukenga - Otago Poly 45005021</t>
  </si>
  <si>
    <t xml:space="preserve">Services</t>
  </si>
  <si>
    <t xml:space="preserve">L9.S.26020505</t>
  </si>
  <si>
    <t xml:space="preserve">2000005220</t>
  </si>
  <si>
    <t xml:space="preserve">SI-NZG-26020505 - Te Pukenga Otago Poly 45005021</t>
  </si>
  <si>
    <t xml:space="preserve">Te Pukenga Witt Facilities Main</t>
  </si>
  <si>
    <t xml:space="preserve">L9.S.26020493</t>
  </si>
  <si>
    <t xml:space="preserve">26020493</t>
  </si>
  <si>
    <t xml:space="preserve">Te Pukenga Witt Facilities Main 45005001</t>
  </si>
  <si>
    <t xml:space="preserve">2000005214</t>
  </si>
  <si>
    <t xml:space="preserve">TE WHARE TOROA</t>
  </si>
  <si>
    <t xml:space="preserve">L9.DNZ.HW0209</t>
  </si>
  <si>
    <t xml:space="preserve">JP_HW0209</t>
  </si>
  <si>
    <t xml:space="preserve">Teamtalk Build EU Subcontractors</t>
  </si>
  <si>
    <t xml:space="preserve">L9.DNZ.810.20205</t>
  </si>
  <si>
    <t xml:space="preserve">Tech Cap &amp; Supply Chain</t>
  </si>
  <si>
    <t xml:space="preserve">L9.DNZJ.63980</t>
  </si>
  <si>
    <t xml:space="preserve">63980</t>
  </si>
  <si>
    <t xml:space="preserve">Technical Dept</t>
  </si>
  <si>
    <t xml:space="preserve">3005</t>
  </si>
  <si>
    <t xml:space="preserve">Technology</t>
  </si>
  <si>
    <t xml:space="preserve">L9.DNZJ.3007</t>
  </si>
  <si>
    <t xml:space="preserve">3007</t>
  </si>
  <si>
    <t xml:space="preserve">Telco - Recharge</t>
  </si>
  <si>
    <t xml:space="preserve">Telco Co-Ordinators</t>
  </si>
  <si>
    <t xml:space="preserve">10200</t>
  </si>
  <si>
    <t xml:space="preserve">10.2</t>
  </si>
  <si>
    <t xml:space="preserve">Telco Leadership</t>
  </si>
  <si>
    <t xml:space="preserve">10030</t>
  </si>
  <si>
    <t xml:space="preserve">June 23 - Aug 24 data previously assigned to this location. No longer available on EDW dashboard (checked in Oct 24). Checked asset codes - 140530 &amp; 144416. Close this Envizi location.</t>
  </si>
  <si>
    <t xml:space="preserve">Telco NZ EU Subcontractors</t>
  </si>
  <si>
    <t xml:space="preserve">Telco Ops Central NI</t>
  </si>
  <si>
    <t xml:space="preserve">L9.J.560315</t>
  </si>
  <si>
    <t xml:space="preserve">560315</t>
  </si>
  <si>
    <t xml:space="preserve">Telco Ops Eastern NI</t>
  </si>
  <si>
    <t xml:space="preserve">L9.J.560316</t>
  </si>
  <si>
    <t xml:space="preserve">560316</t>
  </si>
  <si>
    <t xml:space="preserve">Telco Ops Lower NI</t>
  </si>
  <si>
    <t xml:space="preserve">L9.J.560313</t>
  </si>
  <si>
    <t xml:space="preserve">560313</t>
  </si>
  <si>
    <t xml:space="preserve">Telco Ops Lower SI</t>
  </si>
  <si>
    <t xml:space="preserve">L9.J.560311</t>
  </si>
  <si>
    <t xml:space="preserve">560311</t>
  </si>
  <si>
    <t xml:space="preserve">Telco Ops Taranaki</t>
  </si>
  <si>
    <t xml:space="preserve">L9.J.560314</t>
  </si>
  <si>
    <t xml:space="preserve">560314</t>
  </si>
  <si>
    <t xml:space="preserve">Telco Ops Upper NI</t>
  </si>
  <si>
    <t xml:space="preserve">L9.J.560317</t>
  </si>
  <si>
    <t xml:space="preserve">560317</t>
  </si>
  <si>
    <t xml:space="preserve">Telco Ops Upper SI</t>
  </si>
  <si>
    <t xml:space="preserve">L9.J.560312</t>
  </si>
  <si>
    <t xml:space="preserve">560312</t>
  </si>
  <si>
    <t xml:space="preserve">Telco Support Costs EU Subcontractors</t>
  </si>
  <si>
    <t xml:space="preserve">TELOPS DESIGN - NORTH EU Subcontractors</t>
  </si>
  <si>
    <t xml:space="preserve">Telstra Blackspot EU Subcontractors</t>
  </si>
  <si>
    <t xml:space="preserve">L9.J.23440150</t>
  </si>
  <si>
    <t xml:space="preserve">Telstra Clear &amp; LBI EU Subcontractors</t>
  </si>
  <si>
    <t xml:space="preserve">L9.DNZ.810.20710</t>
  </si>
  <si>
    <t xml:space="preserve">Telstra Fixed Connections EU Subcontractors</t>
  </si>
  <si>
    <t xml:space="preserve">L9.J.234876</t>
  </si>
  <si>
    <t xml:space="preserve">Telstra RW EU Subcontractors</t>
  </si>
  <si>
    <t xml:space="preserve">L9.J.23420004</t>
  </si>
  <si>
    <t xml:space="preserve">Telstra Wideband VIC OH</t>
  </si>
  <si>
    <t xml:space="preserve">23440042</t>
  </si>
  <si>
    <t xml:space="preserve">Telstra Wireless E2E NSW</t>
  </si>
  <si>
    <t xml:space="preserve">L9.J.234426</t>
  </si>
  <si>
    <t xml:space="preserve">234426</t>
  </si>
  <si>
    <t xml:space="preserve">Telstra Wireless Trial NO</t>
  </si>
  <si>
    <t xml:space="preserve">L9.J.23440098</t>
  </si>
  <si>
    <t xml:space="preserve">23440098</t>
  </si>
  <si>
    <t xml:space="preserve">Tendering (Nth Island)</t>
  </si>
  <si>
    <t xml:space="preserve">L9.DNZJ.8802</t>
  </si>
  <si>
    <t xml:space="preserve">8802</t>
  </si>
  <si>
    <t xml:space="preserve">16 Willis Street</t>
  </si>
  <si>
    <t xml:space="preserve">Wellington Central</t>
  </si>
  <si>
    <t xml:space="preserve">-41.2867</t>
  </si>
  <si>
    <t xml:space="preserve">174.7759</t>
  </si>
  <si>
    <t xml:space="preserve">Teneriffe - Brisbane (QLD)</t>
  </si>
  <si>
    <t xml:space="preserve">L9.J.10920048</t>
  </si>
  <si>
    <t xml:space="preserve">1020</t>
  </si>
  <si>
    <t xml:space="preserve">Opened 05/04/2019</t>
  </si>
  <si>
    <t xml:space="preserve">49 Doggett Street</t>
  </si>
  <si>
    <t xml:space="preserve">Teneriffe</t>
  </si>
  <si>
    <t xml:space="preserve">Tenix Alliance New Zealand Ltd EU Subcontractors</t>
  </si>
  <si>
    <t xml:space="preserve">L9.DUN.160</t>
  </si>
  <si>
    <t xml:space="preserve">Tennant Creek</t>
  </si>
  <si>
    <t xml:space="preserve">L9.J.170528</t>
  </si>
  <si>
    <t xml:space="preserve">289</t>
  </si>
  <si>
    <t xml:space="preserve">44 Maloney Street</t>
  </si>
  <si>
    <t xml:space="preserve">861</t>
  </si>
  <si>
    <t xml:space="preserve">-19.648</t>
  </si>
  <si>
    <t xml:space="preserve">134.184</t>
  </si>
  <si>
    <t xml:space="preserve">Teralba - P&amp;E</t>
  </si>
  <si>
    <t xml:space="preserve">L9.J.170146</t>
  </si>
  <si>
    <t xml:space="preserve">TERP&amp;E</t>
  </si>
  <si>
    <t xml:space="preserve">Teralba Production</t>
  </si>
  <si>
    <t xml:space="preserve">L9.J.170152</t>
  </si>
  <si>
    <t xml:space="preserve">170152</t>
  </si>
  <si>
    <t xml:space="preserve">Teralba Workshop</t>
  </si>
  <si>
    <t xml:space="preserve">170146</t>
  </si>
  <si>
    <t xml:space="preserve">Test &amp; Tag Services FY21</t>
  </si>
  <si>
    <t xml:space="preserve">L9.J.38210108</t>
  </si>
  <si>
    <t xml:space="preserve">38210108</t>
  </si>
  <si>
    <t xml:space="preserve">TEST FOR EMAIL</t>
  </si>
  <si>
    <t xml:space="preserve">TEST</t>
  </si>
  <si>
    <t xml:space="preserve">1 Test Road</t>
  </si>
  <si>
    <t xml:space="preserve">TEST FOR FTC</t>
  </si>
  <si>
    <t xml:space="preserve">Aerobic Treatment - Unmanaged</t>
  </si>
  <si>
    <t xml:space="preserve">AAAAA</t>
  </si>
  <si>
    <t xml:space="preserve">Test New Zealand</t>
  </si>
  <si>
    <t xml:space="preserve">TfNSW - MIG - Minto Ingleburn</t>
  </si>
  <si>
    <t xml:space="preserve">L9.J.24130030</t>
  </si>
  <si>
    <t xml:space="preserve">24130030</t>
  </si>
  <si>
    <t xml:space="preserve">TFO ARCW NSW OH Direct</t>
  </si>
  <si>
    <t xml:space="preserve">L9.J.23440257</t>
  </si>
  <si>
    <t xml:space="preserve">23440257</t>
  </si>
  <si>
    <t xml:space="preserve">TFO ARCW SA OH Direct</t>
  </si>
  <si>
    <t xml:space="preserve">L9.J.23440261</t>
  </si>
  <si>
    <t xml:space="preserve">23440261</t>
  </si>
  <si>
    <t xml:space="preserve">TFO ARCW VIC OH Direct</t>
  </si>
  <si>
    <t xml:space="preserve">L9.J.23440260</t>
  </si>
  <si>
    <t xml:space="preserve">23440260</t>
  </si>
  <si>
    <t xml:space="preserve">TFO ARCW WA OH Direct</t>
  </si>
  <si>
    <t xml:space="preserve">L9.J.23440263</t>
  </si>
  <si>
    <t xml:space="preserve">23440263</t>
  </si>
  <si>
    <t xml:space="preserve">TFO Facilities D&amp;C - Spotless EU Subcontractors</t>
  </si>
  <si>
    <t xml:space="preserve">L9.J.23440287</t>
  </si>
  <si>
    <t xml:space="preserve">TFO Recoverable Works EU Subcontractors</t>
  </si>
  <si>
    <t xml:space="preserve">TFO Wideband EU Subcontractors</t>
  </si>
  <si>
    <t xml:space="preserve">L9.J.23440248</t>
  </si>
  <si>
    <t xml:space="preserve">TFO Wideband NOH Direct</t>
  </si>
  <si>
    <t xml:space="preserve">L9.J.23440242</t>
  </si>
  <si>
    <t xml:space="preserve">23440242</t>
  </si>
  <si>
    <t xml:space="preserve">TFO Wideband NOH Indirect</t>
  </si>
  <si>
    <t xml:space="preserve">L9.J.23440241</t>
  </si>
  <si>
    <t xml:space="preserve">23440241</t>
  </si>
  <si>
    <t xml:space="preserve">TFO Wireless SMR QLD</t>
  </si>
  <si>
    <t xml:space="preserve">L9.J.23440275</t>
  </si>
  <si>
    <t xml:space="preserve">23440275</t>
  </si>
  <si>
    <t xml:space="preserve">TG PEC Scope 2</t>
  </si>
  <si>
    <t xml:space="preserve">TGPEC Scope 1</t>
  </si>
  <si>
    <t xml:space="preserve">L9.J.37740120</t>
  </si>
  <si>
    <t xml:space="preserve">37740120</t>
  </si>
  <si>
    <t xml:space="preserve">TGPEC Scope 2b</t>
  </si>
  <si>
    <t xml:space="preserve">L9.J.37740123</t>
  </si>
  <si>
    <t xml:space="preserve">37740123</t>
  </si>
  <si>
    <t xml:space="preserve">Thames/Coromandel Telco Ops</t>
  </si>
  <si>
    <t xml:space="preserve">L9.DNZ.810.10.174</t>
  </si>
  <si>
    <t xml:space="preserve">10174</t>
  </si>
  <si>
    <t xml:space="preserve">10.174</t>
  </si>
  <si>
    <t xml:space="preserve">THE PROJECT (MAIN WORKS)</t>
  </si>
  <si>
    <t xml:space="preserve">L9.DNZ.HA0405</t>
  </si>
  <si>
    <t xml:space="preserve">JP_HA0411</t>
  </si>
  <si>
    <t xml:space="preserve">The Roading Company</t>
  </si>
  <si>
    <t xml:space="preserve">1935</t>
  </si>
  <si>
    <t xml:space="preserve">Thin Surfacing BU Mgt</t>
  </si>
  <si>
    <t xml:space="preserve">L9.J.170967</t>
  </si>
  <si>
    <t xml:space="preserve">170967</t>
  </si>
  <si>
    <t xml:space="preserve">Thin Surfacing Worksho</t>
  </si>
  <si>
    <t xml:space="preserve">L9.J.170948</t>
  </si>
  <si>
    <t xml:space="preserve">170948</t>
  </si>
  <si>
    <t xml:space="preserve">Thomastown Support</t>
  </si>
  <si>
    <t xml:space="preserve">L9.J.241922</t>
  </si>
  <si>
    <t xml:space="preserve">241922</t>
  </si>
  <si>
    <t xml:space="preserve">TI-187 - Asphalt &amp; Products 02</t>
  </si>
  <si>
    <t xml:space="preserve">Previously named: Fuel Cards - TI-175 - Maint &amp; Pave AU</t>
  </si>
  <si>
    <t xml:space="preserve">Timaru (100 Pages Road)</t>
  </si>
  <si>
    <t xml:space="preserve">L9.DNZJ.91287</t>
  </si>
  <si>
    <t xml:space="preserve">91287</t>
  </si>
  <si>
    <t xml:space="preserve">100 Pages Road</t>
  </si>
  <si>
    <t xml:space="preserve">Marchwiel</t>
  </si>
  <si>
    <t xml:space="preserve">-44.3773</t>
  </si>
  <si>
    <t xml:space="preserve">171.2183</t>
  </si>
  <si>
    <t xml:space="preserve">Timaru (40 Barnes Street)</t>
  </si>
  <si>
    <t xml:space="preserve">55368</t>
  </si>
  <si>
    <t xml:space="preserve">T&amp;I residential - NZ property listing
Not on INX temporarily</t>
  </si>
  <si>
    <t xml:space="preserve">Timaru Depot</t>
  </si>
  <si>
    <t xml:space="preserve">55652</t>
  </si>
  <si>
    <t xml:space="preserve">86 Meadows Road</t>
  </si>
  <si>
    <t xml:space="preserve">Washdyke</t>
  </si>
  <si>
    <t xml:space="preserve">-44.3544</t>
  </si>
  <si>
    <t xml:space="preserve">171.2482</t>
  </si>
  <si>
    <t xml:space="preserve">Tirau Depot</t>
  </si>
  <si>
    <t xml:space="preserve">55568</t>
  </si>
  <si>
    <t xml:space="preserve">-37.9742</t>
  </si>
  <si>
    <t xml:space="preserve">175.7588</t>
  </si>
  <si>
    <t xml:space="preserve">TL - Wandoan</t>
  </si>
  <si>
    <t xml:space="preserve">0020</t>
  </si>
  <si>
    <t xml:space="preserve">Taroom Road (1.7kms north of Cattle Creek Road )intersection)</t>
  </si>
  <si>
    <t xml:space="preserve">Yuleba</t>
  </si>
  <si>
    <t xml:space="preserve">4427</t>
  </si>
  <si>
    <t xml:space="preserve">-26.599443</t>
  </si>
  <si>
    <t xml:space="preserve">149.394271</t>
  </si>
  <si>
    <t xml:space="preserve">TLER Replacement</t>
  </si>
  <si>
    <t xml:space="preserve">L9.J.37740142</t>
  </si>
  <si>
    <t xml:space="preserve">37740142</t>
  </si>
  <si>
    <t xml:space="preserve">TLS - Newcastle Light Rail</t>
  </si>
  <si>
    <t xml:space="preserve">70960002</t>
  </si>
  <si>
    <t xml:space="preserve">TM Training</t>
  </si>
  <si>
    <t xml:space="preserve">L9.DNZJ.556241</t>
  </si>
  <si>
    <t xml:space="preserve">556241</t>
  </si>
  <si>
    <t xml:space="preserve">TMP Management OH</t>
  </si>
  <si>
    <t xml:space="preserve">L9.J.170284</t>
  </si>
  <si>
    <t xml:space="preserve">170284</t>
  </si>
  <si>
    <t xml:space="preserve">TMP/Reinstatement Direct OH</t>
  </si>
  <si>
    <t xml:space="preserve">L9.DUN.50311</t>
  </si>
  <si>
    <t xml:space="preserve">PG50311</t>
  </si>
  <si>
    <t xml:space="preserve">Tomago Maintenance Services</t>
  </si>
  <si>
    <t xml:space="preserve">L9.J.38220091</t>
  </si>
  <si>
    <t xml:space="preserve">38220091</t>
  </si>
  <si>
    <t xml:space="preserve">Torbenlea - QTMP</t>
  </si>
  <si>
    <t xml:space="preserve">2023/12/01</t>
  </si>
  <si>
    <t xml:space="preserve">2026/06/30</t>
  </si>
  <si>
    <t xml:space="preserve">TOTARA HAUMARU (WDHB)</t>
  </si>
  <si>
    <t xml:space="preserve">L9.DNZ.HA0395</t>
  </si>
  <si>
    <t xml:space="preserve">JP_HA0395</t>
  </si>
  <si>
    <t xml:space="preserve">Townsville North Clean</t>
  </si>
  <si>
    <t xml:space="preserve">L9.S.16011404</t>
  </si>
  <si>
    <t xml:space="preserve">16011404</t>
  </si>
  <si>
    <t xml:space="preserve">Townsville North Estate Upkeep</t>
  </si>
  <si>
    <t xml:space="preserve">L9.S.16011408</t>
  </si>
  <si>
    <t xml:space="preserve">16011408</t>
  </si>
  <si>
    <t xml:space="preserve">Townsville North Land</t>
  </si>
  <si>
    <t xml:space="preserve">L9.S.16011405</t>
  </si>
  <si>
    <t xml:space="preserve">16011405</t>
  </si>
  <si>
    <t xml:space="preserve">Townsville North Overhead</t>
  </si>
  <si>
    <t xml:space="preserve">L9.S.14000499</t>
  </si>
  <si>
    <t xml:space="preserve">14000499</t>
  </si>
  <si>
    <t xml:space="preserve">Townsville South Clean</t>
  </si>
  <si>
    <t xml:space="preserve">L9.S.16011414</t>
  </si>
  <si>
    <t xml:space="preserve">16011414</t>
  </si>
  <si>
    <t xml:space="preserve">Townsville South Estate Upkeep</t>
  </si>
  <si>
    <t xml:space="preserve">L9.S.16011418</t>
  </si>
  <si>
    <t xml:space="preserve">16011418</t>
  </si>
  <si>
    <t xml:space="preserve">Townsville South Land</t>
  </si>
  <si>
    <t xml:space="preserve">L9.S.16011415</t>
  </si>
  <si>
    <t xml:space="preserve">16011415</t>
  </si>
  <si>
    <t xml:space="preserve">Townsville South Range &amp; Training</t>
  </si>
  <si>
    <t xml:space="preserve">L9.S.16011417</t>
  </si>
  <si>
    <t xml:space="preserve">16011417</t>
  </si>
  <si>
    <t xml:space="preserve">Townsville South Transport</t>
  </si>
  <si>
    <t xml:space="preserve">L9.S.16011421</t>
  </si>
  <si>
    <t xml:space="preserve">16011421</t>
  </si>
  <si>
    <t xml:space="preserve">Townsville Spray Services</t>
  </si>
  <si>
    <t xml:space="preserve">L9.J.170770</t>
  </si>
  <si>
    <t xml:space="preserve">170770</t>
  </si>
  <si>
    <t xml:space="preserve">Traffic Control - Canterbury</t>
  </si>
  <si>
    <t xml:space="preserve">L9.DNZJ.55366</t>
  </si>
  <si>
    <t xml:space="preserve">55366</t>
  </si>
  <si>
    <t xml:space="preserve">Traffic Control - Hawkes Bay</t>
  </si>
  <si>
    <t xml:space="preserve">L9.DNZJ.55209</t>
  </si>
  <si>
    <t xml:space="preserve">55209</t>
  </si>
  <si>
    <t xml:space="preserve">Training Initiatives</t>
  </si>
  <si>
    <t xml:space="preserve">L9.DNZJ.55942</t>
  </si>
  <si>
    <t xml:space="preserve">55942</t>
  </si>
  <si>
    <t xml:space="preserve">Transformation Bus Resources</t>
  </si>
  <si>
    <t xml:space="preserve">L9.DNZJ.63994</t>
  </si>
  <si>
    <t xml:space="preserve">63994</t>
  </si>
  <si>
    <t xml:space="preserve">Transgrid - Line 10 &amp; Line 11</t>
  </si>
  <si>
    <t xml:space="preserve">L9.J.24130041</t>
  </si>
  <si>
    <t xml:space="preserve">24130041</t>
  </si>
  <si>
    <t xml:space="preserve">Transgrid - Lines 94T_945</t>
  </si>
  <si>
    <t xml:space="preserve">L9.J.24130061</t>
  </si>
  <si>
    <t xml:space="preserve">24130061</t>
  </si>
  <si>
    <t xml:space="preserve">Transgrid ? Line 99F</t>
  </si>
  <si>
    <t xml:space="preserve">L9.J.24130052</t>
  </si>
  <si>
    <t xml:space="preserve">24130052</t>
  </si>
  <si>
    <t xml:space="preserve">Transgrid ? Line 99F Refurbish</t>
  </si>
  <si>
    <t xml:space="preserve">L9.J.24130040</t>
  </si>
  <si>
    <t xml:space="preserve">24130040</t>
  </si>
  <si>
    <t xml:space="preserve">Transgrid ? Lines 998/94U</t>
  </si>
  <si>
    <t xml:space="preserve">L9.J.24130053</t>
  </si>
  <si>
    <t xml:space="preserve">24130053</t>
  </si>
  <si>
    <t xml:space="preserve">Transgrid EU Subcontractors</t>
  </si>
  <si>
    <t xml:space="preserve">L9.J.37740021</t>
  </si>
  <si>
    <t xml:space="preserve">Transmission - DUA</t>
  </si>
  <si>
    <t xml:space="preserve">L9.J.377403</t>
  </si>
  <si>
    <t xml:space="preserve">377403</t>
  </si>
  <si>
    <t xml:space="preserve">Transmission EU Subcontractors</t>
  </si>
  <si>
    <t xml:space="preserve">L9.J.37740096</t>
  </si>
  <si>
    <t xml:space="preserve">Transmission Grid Services Mgr</t>
  </si>
  <si>
    <t xml:space="preserve">L9.DUN.80010</t>
  </si>
  <si>
    <t xml:space="preserve">PG80010</t>
  </si>
  <si>
    <t xml:space="preserve">Transmission Lines EU Subcontractors</t>
  </si>
  <si>
    <t xml:space="preserve">Transport LT</t>
  </si>
  <si>
    <t xml:space="preserve">55927</t>
  </si>
  <si>
    <t xml:space="preserve">Transport Projects Plant</t>
  </si>
  <si>
    <t xml:space="preserve">L9.DNZJ.8819</t>
  </si>
  <si>
    <t xml:space="preserve">8819</t>
  </si>
  <si>
    <t xml:space="preserve">Transport Sydney</t>
  </si>
  <si>
    <t xml:space="preserve">L9.J.170132</t>
  </si>
  <si>
    <t xml:space="preserve">170132</t>
  </si>
  <si>
    <t xml:space="preserve">Transportation Dept</t>
  </si>
  <si>
    <t xml:space="preserve">Transpower FM LNI</t>
  </si>
  <si>
    <t xml:space="preserve">L9.DNZJ.7510</t>
  </si>
  <si>
    <t xml:space="preserve">7510</t>
  </si>
  <si>
    <t xml:space="preserve">Transpower FM Overheads</t>
  </si>
  <si>
    <t xml:space="preserve">L9.DNZJ.7501</t>
  </si>
  <si>
    <t xml:space="preserve">7501</t>
  </si>
  <si>
    <t xml:space="preserve">Transpower FM SI</t>
  </si>
  <si>
    <t xml:space="preserve">L9.DNZJ.7511</t>
  </si>
  <si>
    <t xml:space="preserve">7511</t>
  </si>
  <si>
    <t xml:space="preserve">Transpower Ltd</t>
  </si>
  <si>
    <t xml:space="preserve">L9.DNZJ.10207</t>
  </si>
  <si>
    <t xml:space="preserve">10207</t>
  </si>
  <si>
    <t xml:space="preserve">EU-NZU-10207 - Transpower Ltd</t>
  </si>
  <si>
    <t xml:space="preserve">Transpower Projects</t>
  </si>
  <si>
    <t xml:space="preserve">L9.DNZJ.7520</t>
  </si>
  <si>
    <t xml:space="preserve">7520</t>
  </si>
  <si>
    <t xml:space="preserve">Traralgon Support</t>
  </si>
  <si>
    <t xml:space="preserve">L9.J.241928</t>
  </si>
  <si>
    <t xml:space="preserve">241928</t>
  </si>
  <si>
    <t xml:space="preserve">TRC - Admin</t>
  </si>
  <si>
    <t xml:space="preserve">L9.DNZJ.3101</t>
  </si>
  <si>
    <t xml:space="preserve">3101</t>
  </si>
  <si>
    <t xml:space="preserve">18 Gordon Road</t>
  </si>
  <si>
    <t xml:space="preserve">Wanaka</t>
  </si>
  <si>
    <t xml:space="preserve">Wānaka</t>
  </si>
  <si>
    <t xml:space="preserve">9305</t>
  </si>
  <si>
    <t xml:space="preserve">-44.7038</t>
  </si>
  <si>
    <t xml:space="preserve">169.1442</t>
  </si>
  <si>
    <t xml:space="preserve">TS UFB</t>
  </si>
  <si>
    <t xml:space="preserve">1924</t>
  </si>
  <si>
    <t xml:space="preserve">TSP FM EU Subcontractors</t>
  </si>
  <si>
    <t xml:space="preserve">L9.DUN.89330</t>
  </si>
  <si>
    <t xml:space="preserve">TSP FM NI - Direct</t>
  </si>
  <si>
    <t xml:space="preserve">PG80311</t>
  </si>
  <si>
    <t xml:space="preserve">TSP FM Projects - Indirect</t>
  </si>
  <si>
    <t xml:space="preserve">L9.DUN.80330</t>
  </si>
  <si>
    <t xml:space="preserve">PG80330</t>
  </si>
  <si>
    <t xml:space="preserve">TSP FM Service Delivery</t>
  </si>
  <si>
    <t xml:space="preserve">L9.DUN.89320</t>
  </si>
  <si>
    <t xml:space="preserve">PG80300</t>
  </si>
  <si>
    <t xml:space="preserve">As per INX:
UT-NZU-89320-TSP FM SI Jobs
L9.DUN.89320
Region TBC</t>
  </si>
  <si>
    <t xml:space="preserve">TSP FM SI - Direct</t>
  </si>
  <si>
    <t xml:space="preserve">L9.DUN.80321</t>
  </si>
  <si>
    <t xml:space="preserve">PG80321</t>
  </si>
  <si>
    <t xml:space="preserve">TSP Lines EU Subcontractors</t>
  </si>
  <si>
    <t xml:space="preserve">L9.DUN.89120</t>
  </si>
  <si>
    <t xml:space="preserve">TSP Subs - Direct</t>
  </si>
  <si>
    <t xml:space="preserve">L9.DUN.80221</t>
  </si>
  <si>
    <t xml:space="preserve">PG80221</t>
  </si>
  <si>
    <t xml:space="preserve">TSP Subs - Indirect</t>
  </si>
  <si>
    <t xml:space="preserve">PG80220</t>
  </si>
  <si>
    <t xml:space="preserve">TSP Substations EU Subcontractors</t>
  </si>
  <si>
    <t xml:space="preserve">L9.DUN.89210</t>
  </si>
  <si>
    <t xml:space="preserve">TVM Rail Maint - PTA</t>
  </si>
  <si>
    <t xml:space="preserve">L9.J.38210122</t>
  </si>
  <si>
    <t xml:space="preserve">38210122</t>
  </si>
  <si>
    <t xml:space="preserve">TWB Panel NOH</t>
  </si>
  <si>
    <t xml:space="preserve">L9.J.23440104</t>
  </si>
  <si>
    <t xml:space="preserve">23440104</t>
  </si>
  <si>
    <t xml:space="preserve">TWB Panel NSW OH</t>
  </si>
  <si>
    <t xml:space="preserve">L9.J.23440105</t>
  </si>
  <si>
    <t xml:space="preserve">23440105</t>
  </si>
  <si>
    <t xml:space="preserve">Twizel Depot</t>
  </si>
  <si>
    <t xml:space="preserve">55654</t>
  </si>
  <si>
    <t xml:space="preserve">-44.266</t>
  </si>
  <si>
    <t xml:space="preserve">170.0894</t>
  </si>
  <si>
    <t xml:space="preserve">UAM - Bentleigh East</t>
  </si>
  <si>
    <t xml:space="preserve">L9.J.23500001</t>
  </si>
  <si>
    <t xml:space="preserve">9117</t>
  </si>
  <si>
    <t xml:space="preserve">2-4 Murra Street</t>
  </si>
  <si>
    <t xml:space="preserve">Bentleigh East</t>
  </si>
  <si>
    <t xml:space="preserve">3165</t>
  </si>
  <si>
    <t xml:space="preserve">-37.907316</t>
  </si>
  <si>
    <t xml:space="preserve">145.063436</t>
  </si>
  <si>
    <t xml:space="preserve">UAM - Kirrawee</t>
  </si>
  <si>
    <t xml:space="preserve">L9.J.229150</t>
  </si>
  <si>
    <t xml:space="preserve">7041</t>
  </si>
  <si>
    <t xml:space="preserve">31 Marshall Road</t>
  </si>
  <si>
    <t xml:space="preserve">Kirrawee</t>
  </si>
  <si>
    <t xml:space="preserve">2232</t>
  </si>
  <si>
    <t xml:space="preserve">UAM - Maryborough</t>
  </si>
  <si>
    <t xml:space="preserve">L9.S.13001212</t>
  </si>
  <si>
    <t xml:space="preserve">13001212</t>
  </si>
  <si>
    <t xml:space="preserve">EU-13001212 - UAM National # Overhead</t>
  </si>
  <si>
    <t xml:space="preserve">UAM - Oakleigh</t>
  </si>
  <si>
    <t xml:space="preserve">L9.J.24170130</t>
  </si>
  <si>
    <t xml:space="preserve">9119</t>
  </si>
  <si>
    <t xml:space="preserve">2-16 Edward Street</t>
  </si>
  <si>
    <t xml:space="preserve">Oakleigh</t>
  </si>
  <si>
    <t xml:space="preserve">3166</t>
  </si>
  <si>
    <t xml:space="preserve">-37.905166</t>
  </si>
  <si>
    <t xml:space="preserve">145.096346</t>
  </si>
  <si>
    <t xml:space="preserve">UAM East EU Subcontractors</t>
  </si>
  <si>
    <t xml:space="preserve">L9.J.24180048</t>
  </si>
  <si>
    <t xml:space="preserve">UAM Holistics 382 Recovery</t>
  </si>
  <si>
    <t xml:space="preserve">L9.J.38203502</t>
  </si>
  <si>
    <t xml:space="preserve">38203502</t>
  </si>
  <si>
    <t xml:space="preserve">UAM NSW Plant</t>
  </si>
  <si>
    <t xml:space="preserve">229150</t>
  </si>
  <si>
    <t xml:space="preserve">UAM QLD Plant</t>
  </si>
  <si>
    <t xml:space="preserve">229250</t>
  </si>
  <si>
    <t xml:space="preserve">UAM Recoverable</t>
  </si>
  <si>
    <t xml:space="preserve">L9.J.24170162</t>
  </si>
  <si>
    <t xml:space="preserve">24170162</t>
  </si>
  <si>
    <t xml:space="preserve">UAM VIC Plant</t>
  </si>
  <si>
    <t xml:space="preserve">L9.J.229350</t>
  </si>
  <si>
    <t xml:space="preserve">229350</t>
  </si>
  <si>
    <t xml:space="preserve">UAM WA Labour - Pay Default</t>
  </si>
  <si>
    <t xml:space="preserve">L9.J.229401</t>
  </si>
  <si>
    <t xml:space="preserve">229401</t>
  </si>
  <si>
    <t xml:space="preserve">UAM WA Overhead</t>
  </si>
  <si>
    <t xml:space="preserve">L9.J.229400</t>
  </si>
  <si>
    <t xml:space="preserve">229400</t>
  </si>
  <si>
    <t xml:space="preserve">UAM WA Plant</t>
  </si>
  <si>
    <t xml:space="preserve">L9.J.229450</t>
  </si>
  <si>
    <t xml:space="preserve">229450</t>
  </si>
  <si>
    <t xml:space="preserve">UAM West EU Subcontractors</t>
  </si>
  <si>
    <t xml:space="preserve">UAR - Isolator and CVT Scope</t>
  </si>
  <si>
    <t xml:space="preserve">L9.J.37740111</t>
  </si>
  <si>
    <t xml:space="preserve">37740111</t>
  </si>
  <si>
    <t xml:space="preserve">UASG - Australia EU Subcontractors</t>
  </si>
  <si>
    <t xml:space="preserve">UASG Bal Sheet</t>
  </si>
  <si>
    <t xml:space="preserve">L9.J.305001</t>
  </si>
  <si>
    <t xml:space="preserve">305001</t>
  </si>
  <si>
    <t xml:space="preserve">UE External Works Overhead</t>
  </si>
  <si>
    <t xml:space="preserve">UE Fleet &amp; Assets</t>
  </si>
  <si>
    <t xml:space="preserve">L9.J.242117</t>
  </si>
  <si>
    <t xml:space="preserve">242117</t>
  </si>
  <si>
    <t xml:space="preserve">UFB Remediation EU Subcontractors</t>
  </si>
  <si>
    <t xml:space="preserve">L9.DNZ.810.20129</t>
  </si>
  <si>
    <t xml:space="preserve">UFB Services Hub</t>
  </si>
  <si>
    <t xml:space="preserve">L9.DNZ.810.10.032</t>
  </si>
  <si>
    <t xml:space="preserve">10032</t>
  </si>
  <si>
    <t xml:space="preserve">10.032</t>
  </si>
  <si>
    <t xml:space="preserve">15 John Seddon Drive</t>
  </si>
  <si>
    <t xml:space="preserve">Elsdon</t>
  </si>
  <si>
    <t xml:space="preserve">-41.1364</t>
  </si>
  <si>
    <t xml:space="preserve">174.8342</t>
  </si>
  <si>
    <t xml:space="preserve">UFB Wellington Traffic</t>
  </si>
  <si>
    <t xml:space="preserve">L9.DNZ.810.10.218</t>
  </si>
  <si>
    <t xml:space="preserve">10218</t>
  </si>
  <si>
    <t xml:space="preserve">10.218</t>
  </si>
  <si>
    <t xml:space="preserve">UFB-C Leadership</t>
  </si>
  <si>
    <t xml:space="preserve">L9.DNZ.810.10.080</t>
  </si>
  <si>
    <t xml:space="preserve">10080</t>
  </si>
  <si>
    <t xml:space="preserve">10.08</t>
  </si>
  <si>
    <t xml:space="preserve">Ultimate Load</t>
  </si>
  <si>
    <t xml:space="preserve">L9.J.24135003</t>
  </si>
  <si>
    <t xml:space="preserve">24135003</t>
  </si>
  <si>
    <t xml:space="preserve">Unallocated Accounts</t>
  </si>
  <si>
    <t xml:space="preserve">Unallocated Cleanaway</t>
  </si>
  <si>
    <t xml:space="preserve">Unallocated Plant OSM</t>
  </si>
  <si>
    <t xml:space="preserve">L9.DNZJ.66210</t>
  </si>
  <si>
    <t xml:space="preserve">66210</t>
  </si>
  <si>
    <t xml:space="preserve">L9.ENG.360.14899</t>
  </si>
  <si>
    <t xml:space="preserve">COR-10920015</t>
  </si>
  <si>
    <t xml:space="preserve">Unit 3A, 3 Investigator Drive</t>
  </si>
  <si>
    <t xml:space="preserve">-34.458</t>
  </si>
  <si>
    <t xml:space="preserve">150.848</t>
  </si>
  <si>
    <t xml:space="preserve">L9.J.17051326</t>
  </si>
  <si>
    <t xml:space="preserve">17051326</t>
  </si>
  <si>
    <t xml:space="preserve">Underdale - Adelaide (SA)</t>
  </si>
  <si>
    <t xml:space="preserve">L9.J.10920029</t>
  </si>
  <si>
    <t xml:space="preserve">Head office SA.  Spotless and Downer.</t>
  </si>
  <si>
    <t xml:space="preserve">Underground Locators</t>
  </si>
  <si>
    <t xml:space="preserve">L9.DNZJ.80102</t>
  </si>
  <si>
    <t xml:space="preserve">80102</t>
  </si>
  <si>
    <t xml:space="preserve">EU-NZU-80102-Underground Locators</t>
  </si>
  <si>
    <t xml:space="preserve">Uni of Newcastle - Main Campus SD</t>
  </si>
  <si>
    <t xml:space="preserve">L9.S.16014976</t>
  </si>
  <si>
    <t xml:space="preserve">16014976</t>
  </si>
  <si>
    <t xml:space="preserve">UniAdl Carpentry Serv Del</t>
  </si>
  <si>
    <t xml:space="preserve">L9.S.16012446</t>
  </si>
  <si>
    <t xml:space="preserve">16012446</t>
  </si>
  <si>
    <t xml:space="preserve">UniAdl Electrical Serv Del</t>
  </si>
  <si>
    <t xml:space="preserve">L9.S.16012445</t>
  </si>
  <si>
    <t xml:space="preserve">16012445</t>
  </si>
  <si>
    <t xml:space="preserve">UniAdl Plumbing Serv Del</t>
  </si>
  <si>
    <t xml:space="preserve">L9.S.16012444</t>
  </si>
  <si>
    <t xml:space="preserve">16012444</t>
  </si>
  <si>
    <t xml:space="preserve">United Energy - Electric Mtring SD</t>
  </si>
  <si>
    <t xml:space="preserve">L9.S.16013442</t>
  </si>
  <si>
    <t xml:space="preserve">16013442</t>
  </si>
  <si>
    <t xml:space="preserve">Unity Water Program</t>
  </si>
  <si>
    <t xml:space="preserve">L9.J.24160362</t>
  </si>
  <si>
    <t xml:space="preserve">24160362</t>
  </si>
  <si>
    <t xml:space="preserve">Unitywater - Brendale STP Clarifiers 2 &amp; 3</t>
  </si>
  <si>
    <t xml:space="preserve">L9.J.24160445</t>
  </si>
  <si>
    <t xml:space="preserve">2025/04/01</t>
  </si>
  <si>
    <t xml:space="preserve">Unitywater - Brendale STP Upgrade</t>
  </si>
  <si>
    <t xml:space="preserve">L9.J.24160413</t>
  </si>
  <si>
    <t xml:space="preserve">Unitywater - Coach and Grogan</t>
  </si>
  <si>
    <t xml:space="preserve">L9.J.24160443</t>
  </si>
  <si>
    <t xml:space="preserve">2025/03/01</t>
  </si>
  <si>
    <t xml:space="preserve">Unitywater - Kawana Pig Launch and Retrieval</t>
  </si>
  <si>
    <t xml:space="preserve">L9.J.24160522</t>
  </si>
  <si>
    <t xml:space="preserve">Unitywater - Landsborough STP</t>
  </si>
  <si>
    <t xml:space="preserve">L9.J.24160444</t>
  </si>
  <si>
    <t xml:space="preserve">Unitywater - Maleny STP Membrane Replacement</t>
  </si>
  <si>
    <t xml:space="preserve">L9.J.24160446</t>
  </si>
  <si>
    <t xml:space="preserve">Unitywater - Murrumba Downs STP</t>
  </si>
  <si>
    <t xml:space="preserve">L9.J.24160556</t>
  </si>
  <si>
    <t xml:space="preserve">Unitywater - Network South Construct Only (Bribie, Beaufort, Rickman, North Quay)</t>
  </si>
  <si>
    <t xml:space="preserve">L9.J.24160480</t>
  </si>
  <si>
    <t xml:space="preserve">Unitywater - Noosa STP</t>
  </si>
  <si>
    <t xml:space="preserve">L9.J.24160411</t>
  </si>
  <si>
    <t xml:space="preserve">Unitywater - Pine Valley WSP</t>
  </si>
  <si>
    <t xml:space="preserve">L9.J.24160404</t>
  </si>
  <si>
    <t xml:space="preserve">Unitywater - Sewer Maintenance Renewal</t>
  </si>
  <si>
    <t xml:space="preserve">L9.J.24160569</t>
  </si>
  <si>
    <t xml:space="preserve">Unitywater Payroll Clearing</t>
  </si>
  <si>
    <t xml:space="preserve">L9.J.241617</t>
  </si>
  <si>
    <t xml:space="preserve">241617</t>
  </si>
  <si>
    <t xml:space="preserve">Unitywater Plant Clearing</t>
  </si>
  <si>
    <t xml:space="preserve">L9.J.241618</t>
  </si>
  <si>
    <t xml:space="preserve">241618</t>
  </si>
  <si>
    <t xml:space="preserve">Univ of Melb - Management &amp; Admin</t>
  </si>
  <si>
    <t xml:space="preserve">L9.S.16014523</t>
  </si>
  <si>
    <t xml:space="preserve">16014523</t>
  </si>
  <si>
    <t xml:space="preserve">University of Melbourne</t>
  </si>
  <si>
    <t xml:space="preserve">L9.S.3175.45003819</t>
  </si>
  <si>
    <t xml:space="preserve">Unmapped AU Fuel Cards</t>
  </si>
  <si>
    <t xml:space="preserve">Unmapped BOC</t>
  </si>
  <si>
    <t xml:space="preserve">L9.J.150305</t>
  </si>
  <si>
    <t xml:space="preserve">Unmapped EU Subcontractors Q1FY26</t>
  </si>
  <si>
    <t xml:space="preserve">L9.S.16014560</t>
  </si>
  <si>
    <t xml:space="preserve">Unmapped JobPac</t>
  </si>
  <si>
    <t xml:space="preserve">FY24</t>
  </si>
  <si>
    <t xml:space="preserve">Unmapped NZ Corporate</t>
  </si>
  <si>
    <t xml:space="preserve">Unmapped NZ Fuel Cards</t>
  </si>
  <si>
    <t xml:space="preserve">Unmapped Roads Subcontractor Data</t>
  </si>
  <si>
    <t xml:space="preserve">L9.J.17012559</t>
  </si>
  <si>
    <t xml:space="preserve">not found</t>
  </si>
  <si>
    <t xml:space="preserve">Unmapped_Bulk</t>
  </si>
  <si>
    <t xml:space="preserve">L9.DNZJ.9001</t>
  </si>
  <si>
    <t xml:space="preserve">Unmapped_General</t>
  </si>
  <si>
    <t xml:space="preserve">Unmapped_Minitanker</t>
  </si>
  <si>
    <t xml:space="preserve">UOA RWC B310</t>
  </si>
  <si>
    <t xml:space="preserve">JP_HA0392</t>
  </si>
  <si>
    <t xml:space="preserve">UoN Substations Upgrade 5,6&amp;8</t>
  </si>
  <si>
    <t xml:space="preserve">L9.J.38270098</t>
  </si>
  <si>
    <t xml:space="preserve">38270098</t>
  </si>
  <si>
    <t xml:space="preserve">UOW - THE PA</t>
  </si>
  <si>
    <t xml:space="preserve">L9.DNZ.HC0344</t>
  </si>
  <si>
    <t xml:space="preserve">JP_HC0344</t>
  </si>
  <si>
    <t xml:space="preserve">Upper North Design</t>
  </si>
  <si>
    <t xml:space="preserve">L9.DNZ.810.10.085</t>
  </si>
  <si>
    <t xml:space="preserve">10085</t>
  </si>
  <si>
    <t xml:space="preserve">USL Direct Cost</t>
  </si>
  <si>
    <t xml:space="preserve">L9.DNZ.USL</t>
  </si>
  <si>
    <t xml:space="preserve">PG90100</t>
  </si>
  <si>
    <t xml:space="preserve">USL EU Subcontractors</t>
  </si>
  <si>
    <t xml:space="preserve">L9.DUN.90100</t>
  </si>
  <si>
    <t xml:space="preserve">Util Prj North Ops Team</t>
  </si>
  <si>
    <t xml:space="preserve">L9.DNZJ.64200</t>
  </si>
  <si>
    <t xml:space="preserve">64200</t>
  </si>
  <si>
    <t xml:space="preserve">Util Prj South Ops Team</t>
  </si>
  <si>
    <t xml:space="preserve">L9.DNZJ.64250</t>
  </si>
  <si>
    <t xml:space="preserve">64250</t>
  </si>
  <si>
    <t xml:space="preserve">Utilita - Archerfield</t>
  </si>
  <si>
    <t xml:space="preserve">L9.J.24160001</t>
  </si>
  <si>
    <t xml:space="preserve">7051</t>
  </si>
  <si>
    <t xml:space="preserve">31 Brecknock Street</t>
  </si>
  <si>
    <t xml:space="preserve">Utilita - Eagle Farm</t>
  </si>
  <si>
    <t xml:space="preserve">901 Kingsford Smith Drive</t>
  </si>
  <si>
    <t xml:space="preserve">-27.431378</t>
  </si>
  <si>
    <t xml:space="preserve">153.090273</t>
  </si>
  <si>
    <t xml:space="preserve">Utilita - Payroll Clearing</t>
  </si>
  <si>
    <t xml:space="preserve">L9.J.241602</t>
  </si>
  <si>
    <t xml:space="preserve">241602</t>
  </si>
  <si>
    <t xml:space="preserve">Utilita Plant Clearing</t>
  </si>
  <si>
    <t xml:space="preserve">L9.J.241610</t>
  </si>
  <si>
    <t xml:space="preserve">241610</t>
  </si>
  <si>
    <t xml:space="preserve">Utilities - Finance</t>
  </si>
  <si>
    <t xml:space="preserve">L9.J.241115</t>
  </si>
  <si>
    <t xml:space="preserve">241115</t>
  </si>
  <si>
    <t xml:space="preserve">Utilities - Legacy 370</t>
  </si>
  <si>
    <t xml:space="preserve">L9.J.241601</t>
  </si>
  <si>
    <t xml:space="preserve">241601</t>
  </si>
  <si>
    <t xml:space="preserve">Utilities - Milton (NBN Office)</t>
  </si>
  <si>
    <t xml:space="preserve">L9.DUA.30161304</t>
  </si>
  <si>
    <t xml:space="preserve">Utilities Asset Management</t>
  </si>
  <si>
    <t xml:space="preserve">Utilities Business Application</t>
  </si>
  <si>
    <t xml:space="preserve">L9.J.241102</t>
  </si>
  <si>
    <t xml:space="preserve">241102</t>
  </si>
  <si>
    <t xml:space="preserve">Utilities Communications EU Subcontractors</t>
  </si>
  <si>
    <t xml:space="preserve">Utilities Derrimut Office</t>
  </si>
  <si>
    <t xml:space="preserve">L9.J.24170110</t>
  </si>
  <si>
    <t xml:space="preserve">7010</t>
  </si>
  <si>
    <t xml:space="preserve">Electricity onlyFuel associated with contracts (Ausnet, UE)</t>
  </si>
  <si>
    <t xml:space="preserve">-37.811062</t>
  </si>
  <si>
    <t xml:space="preserve">144.765567</t>
  </si>
  <si>
    <t xml:space="preserve">Utilities Facility Nth Syd</t>
  </si>
  <si>
    <t xml:space="preserve">L9.J.241104</t>
  </si>
  <si>
    <t xml:space="preserve">241104</t>
  </si>
  <si>
    <t xml:space="preserve">Utilities HO Procurement</t>
  </si>
  <si>
    <t xml:space="preserve">L9.J.241156</t>
  </si>
  <si>
    <t xml:space="preserve">241156</t>
  </si>
  <si>
    <t xml:space="preserve">Utilities Legacy 580</t>
  </si>
  <si>
    <t xml:space="preserve">Utilities Management EU Subcontractors</t>
  </si>
  <si>
    <t xml:space="preserve">L9.J.241899</t>
  </si>
  <si>
    <t xml:space="preserve">Utilities Plant and Equipment</t>
  </si>
  <si>
    <t xml:space="preserve">L9.DUA.12050</t>
  </si>
  <si>
    <t xml:space="preserve">28</t>
  </si>
  <si>
    <t xml:space="preserve">Moved from 17 Langton St Garbutt to 15-19 Dalyrmple Rd Garbutt from 1/7/19.  Electricity account comes under Spotless.</t>
  </si>
  <si>
    <t xml:space="preserve">15-19 Dalrymple Street</t>
  </si>
  <si>
    <t xml:space="preserve">-19.267721</t>
  </si>
  <si>
    <t xml:space="preserve">146.771974</t>
  </si>
  <si>
    <t xml:space="preserve">Utilities Projects GM</t>
  </si>
  <si>
    <t xml:space="preserve">L9.DNZJ.64901</t>
  </si>
  <si>
    <t xml:space="preserve">64901</t>
  </si>
  <si>
    <t xml:space="preserve">Utilities Projects North Mgmt</t>
  </si>
  <si>
    <t xml:space="preserve">64920</t>
  </si>
  <si>
    <t xml:space="preserve">Utilities Projects South Mgmt</t>
  </si>
  <si>
    <t xml:space="preserve">L9.DNZJ.64960</t>
  </si>
  <si>
    <t xml:space="preserve">64960</t>
  </si>
  <si>
    <t xml:space="preserve">Utilities Reinstatement</t>
  </si>
  <si>
    <t xml:space="preserve">L9.DNZ.810.10.217</t>
  </si>
  <si>
    <t xml:space="preserve">10217</t>
  </si>
  <si>
    <t xml:space="preserve">10.217</t>
  </si>
  <si>
    <t xml:space="preserve">Utilities Support Misc Rechges</t>
  </si>
  <si>
    <t xml:space="preserve">63990</t>
  </si>
  <si>
    <t xml:space="preserve">UU - Plant Clearing</t>
  </si>
  <si>
    <t xml:space="preserve">L9.J.241600</t>
  </si>
  <si>
    <t xml:space="preserve">241600</t>
  </si>
  <si>
    <t xml:space="preserve">UU - Wastewater Regional Program</t>
  </si>
  <si>
    <t xml:space="preserve">L9.J.24160099</t>
  </si>
  <si>
    <t xml:space="preserve">24160099</t>
  </si>
  <si>
    <t xml:space="preserve">Uungula Wind Farm Connection</t>
  </si>
  <si>
    <t xml:space="preserve">L9.J.37740122</t>
  </si>
  <si>
    <t xml:space="preserve">Dubbo</t>
  </si>
  <si>
    <t xml:space="preserve">UU-WW-NonRecoverable</t>
  </si>
  <si>
    <t xml:space="preserve">L9.J.24160169</t>
  </si>
  <si>
    <t xml:space="preserve">24160169</t>
  </si>
  <si>
    <t xml:space="preserve">UW340098 Network Rehab</t>
  </si>
  <si>
    <t xml:space="preserve">23900271</t>
  </si>
  <si>
    <t xml:space="preserve">UWS Recoverable</t>
  </si>
  <si>
    <t xml:space="preserve">L9.J.2416000202</t>
  </si>
  <si>
    <t xml:space="preserve">2416000202</t>
  </si>
  <si>
    <t xml:space="preserve">UWS Transition</t>
  </si>
  <si>
    <t xml:space="preserve">L9.J.2416000201</t>
  </si>
  <si>
    <t xml:space="preserve">2416000201</t>
  </si>
  <si>
    <t xml:space="preserve">Vales Point Maintenance Works</t>
  </si>
  <si>
    <t xml:space="preserve">L9.J.38220071</t>
  </si>
  <si>
    <t xml:space="preserve">38220071</t>
  </si>
  <si>
    <t xml:space="preserve">Vales Point Power Station Work</t>
  </si>
  <si>
    <t xml:space="preserve">L9.J.38220015</t>
  </si>
  <si>
    <t xml:space="preserve">38220015</t>
  </si>
  <si>
    <t xml:space="preserve">Vales Pt Elec Contract 2026</t>
  </si>
  <si>
    <t xml:space="preserve">L9.J.38225143</t>
  </si>
  <si>
    <t xml:space="preserve">38225143</t>
  </si>
  <si>
    <t xml:space="preserve">Valley Area Manager</t>
  </si>
  <si>
    <t xml:space="preserve">L9.DUN.60120</t>
  </si>
  <si>
    <t xml:space="preserve">PG60120</t>
  </si>
  <si>
    <t xml:space="preserve">5 Coronation Street</t>
  </si>
  <si>
    <t xml:space="preserve">-37.3694</t>
  </si>
  <si>
    <t xml:space="preserve">175.666</t>
  </si>
  <si>
    <t xml:space="preserve">VEC Civil Engineering (TAS)</t>
  </si>
  <si>
    <t xml:space="preserve">L9.J.17500008</t>
  </si>
  <si>
    <t xml:space="preserve">IP-207.210.162.234</t>
  </si>
  <si>
    <t xml:space="preserve">-41.167</t>
  </si>
  <si>
    <t xml:space="preserve">146.167</t>
  </si>
  <si>
    <t xml:space="preserve">VEC Plant &amp; Equipment</t>
  </si>
  <si>
    <t xml:space="preserve">L9.J.210213</t>
  </si>
  <si>
    <t xml:space="preserve">210213</t>
  </si>
  <si>
    <t xml:space="preserve">Vector Auckland Manager</t>
  </si>
  <si>
    <t xml:space="preserve">L9.DUN.70120</t>
  </si>
  <si>
    <t xml:space="preserve">PG70120</t>
  </si>
  <si>
    <t xml:space="preserve">Vector Auckland Operations</t>
  </si>
  <si>
    <t xml:space="preserve">L9.DUN.70121</t>
  </si>
  <si>
    <t xml:space="preserve">PG70121</t>
  </si>
  <si>
    <t xml:space="preserve">Venues Wellington 45003864</t>
  </si>
  <si>
    <t xml:space="preserve">L9.S.26019669</t>
  </si>
  <si>
    <t xml:space="preserve">2000005097</t>
  </si>
  <si>
    <t xml:space="preserve">Veolia Reinstatements</t>
  </si>
  <si>
    <t xml:space="preserve">L9.DNZJ.558027</t>
  </si>
  <si>
    <t xml:space="preserve">558027</t>
  </si>
  <si>
    <t xml:space="preserve">TI-NZT-558027 - Veolia Reinstatements</t>
  </si>
  <si>
    <t xml:space="preserve">Manukau City</t>
  </si>
  <si>
    <t xml:space="preserve">VF Fixed Central Maintenance EU Subcontractors</t>
  </si>
  <si>
    <t xml:space="preserve">L9.DNZ.810.20199</t>
  </si>
  <si>
    <t xml:space="preserve">VF Fixed Central Provisioning EU Subcontractors</t>
  </si>
  <si>
    <t xml:space="preserve">L9.DNZ.810.20197</t>
  </si>
  <si>
    <t xml:space="preserve">VF Fixed Southern Provisioning EU Subcontractors</t>
  </si>
  <si>
    <t xml:space="preserve">L9.DNZ.810.20196</t>
  </si>
  <si>
    <t xml:space="preserve">VF Wireless Build - National EU Subcontractors</t>
  </si>
  <si>
    <t xml:space="preserve">L9.DNZ.810.20967</t>
  </si>
  <si>
    <t xml:space="preserve">VIC / SA / TAS OH</t>
  </si>
  <si>
    <t xml:space="preserve">200421</t>
  </si>
  <si>
    <t xml:space="preserve">Vic Civil Works</t>
  </si>
  <si>
    <t xml:space="preserve">L9.J.170353</t>
  </si>
  <si>
    <t xml:space="preserve">170353</t>
  </si>
  <si>
    <t xml:space="preserve">VIC DES-Design General</t>
  </si>
  <si>
    <t xml:space="preserve">L9.J.22910022</t>
  </si>
  <si>
    <t xml:space="preserve">22910022</t>
  </si>
  <si>
    <t xml:space="preserve">VIC Emulsion</t>
  </si>
  <si>
    <t xml:space="preserve">L9.J.170925</t>
  </si>
  <si>
    <t xml:space="preserve">170925</t>
  </si>
  <si>
    <t xml:space="preserve">VIC Operations EU Subcontractors</t>
  </si>
  <si>
    <t xml:space="preserve">L9.S.GNOHDVOP00</t>
  </si>
  <si>
    <t xml:space="preserve">VIC Pavement Rehab RUM</t>
  </si>
  <si>
    <t xml:space="preserve">L9.J.170352</t>
  </si>
  <si>
    <t xml:space="preserve">170352</t>
  </si>
  <si>
    <t xml:space="preserve">VIC Sch Armstrong Ck EDUPrecGrounds</t>
  </si>
  <si>
    <t xml:space="preserve">L9.S.16013568</t>
  </si>
  <si>
    <t xml:space="preserve">16013568</t>
  </si>
  <si>
    <t xml:space="preserve">Vic Sch Bayside CSM1 Overhead</t>
  </si>
  <si>
    <t xml:space="preserve">L9.S.14001323</t>
  </si>
  <si>
    <t xml:space="preserve">14001323</t>
  </si>
  <si>
    <t xml:space="preserve">Vic Sch Bayside CSM2 Overhead</t>
  </si>
  <si>
    <t xml:space="preserve">L9.S.14001324</t>
  </si>
  <si>
    <t xml:space="preserve">14001324</t>
  </si>
  <si>
    <t xml:space="preserve">Vic Sch Inner CSM1 Overhead</t>
  </si>
  <si>
    <t xml:space="preserve">L9.S.14001328</t>
  </si>
  <si>
    <t xml:space="preserve">14001328</t>
  </si>
  <si>
    <t xml:space="preserve">Vic Sch Inner CSM4 Overhead</t>
  </si>
  <si>
    <t xml:space="preserve">L9.S.14001331</t>
  </si>
  <si>
    <t xml:space="preserve">14001331</t>
  </si>
  <si>
    <t xml:space="preserve">VIC Sch Management</t>
  </si>
  <si>
    <t xml:space="preserve">L9.S.16013484</t>
  </si>
  <si>
    <t xml:space="preserve">16013484</t>
  </si>
  <si>
    <t xml:space="preserve">VIC Sch Mernda Central P-6 Grounds</t>
  </si>
  <si>
    <t xml:space="preserve">L9.S.16013532</t>
  </si>
  <si>
    <t xml:space="preserve">16013532</t>
  </si>
  <si>
    <t xml:space="preserve">VIC Sch Mernda Sth PS Grounds</t>
  </si>
  <si>
    <t xml:space="preserve">L9.S.16013541</t>
  </si>
  <si>
    <t xml:space="preserve">16013541</t>
  </si>
  <si>
    <t xml:space="preserve">VIC Schools Bayside CSM5 Overhead</t>
  </si>
  <si>
    <t xml:space="preserve">L9.S.14001327</t>
  </si>
  <si>
    <t xml:space="preserve">14001327</t>
  </si>
  <si>
    <t xml:space="preserve">Vic Schools Cleaning Mgt Serv Del</t>
  </si>
  <si>
    <t xml:space="preserve">L9.S.16014361</t>
  </si>
  <si>
    <t xml:space="preserve">16014361</t>
  </si>
  <si>
    <t xml:space="preserve">Vic Stabilisation Services</t>
  </si>
  <si>
    <t xml:space="preserve">L9.J.170354</t>
  </si>
  <si>
    <t xml:space="preserve">170354</t>
  </si>
  <si>
    <t xml:space="preserve">Vic Uni Victoria House - 45002999</t>
  </si>
  <si>
    <t xml:space="preserve">L9.S.24000308</t>
  </si>
  <si>
    <t xml:space="preserve">2000004857</t>
  </si>
  <si>
    <t xml:space="preserve">VIC Unify Direct OH</t>
  </si>
  <si>
    <t xml:space="preserve">L9.J.23440376</t>
  </si>
  <si>
    <t xml:space="preserve">23440376</t>
  </si>
  <si>
    <t xml:space="preserve">VIC, Broadford (10 Cameron Parade)</t>
  </si>
  <si>
    <t xml:space="preserve">L9.J.17032245</t>
  </si>
  <si>
    <t xml:space="preserve">DOWN0738</t>
  </si>
  <si>
    <t xml:space="preserve">VIC, Keysborough (7 Naxos Way)</t>
  </si>
  <si>
    <t xml:space="preserve">DOWN0767</t>
  </si>
  <si>
    <t xml:space="preserve">Victoria Production Su</t>
  </si>
  <si>
    <t xml:space="preserve">L9.J.170327</t>
  </si>
  <si>
    <t xml:space="preserve">170327</t>
  </si>
  <si>
    <t xml:space="preserve">VILLAGE SECURITY - PARENT JOB</t>
  </si>
  <si>
    <t xml:space="preserve">L9.J.38280117</t>
  </si>
  <si>
    <t xml:space="preserve">38280117</t>
  </si>
  <si>
    <t xml:space="preserve">Vodafone Build Northern EU Subcontractors</t>
  </si>
  <si>
    <t xml:space="preserve">L9.DNZ.810.20871</t>
  </si>
  <si>
    <t xml:space="preserve">Vodafone Build Southern EU Subcontractors</t>
  </si>
  <si>
    <t xml:space="preserve">L9.DNZ.810.20870</t>
  </si>
  <si>
    <t xml:space="preserve">Vodafone Build Wellington EU Subcontractors</t>
  </si>
  <si>
    <t xml:space="preserve">L9.DNZ.810.20857</t>
  </si>
  <si>
    <t xml:space="preserve">Vodafone Configure National</t>
  </si>
  <si>
    <t xml:space="preserve">L9.DNZ.810.10.256</t>
  </si>
  <si>
    <t xml:space="preserve">10256</t>
  </si>
  <si>
    <t xml:space="preserve">10.256</t>
  </si>
  <si>
    <t xml:space="preserve">Vodafone COWS Mini repeaters EU Subcontractors</t>
  </si>
  <si>
    <t xml:space="preserve">L9.DNZ.810.20210</t>
  </si>
  <si>
    <t xml:space="preserve">Vodafone DriveTesting National</t>
  </si>
  <si>
    <t xml:space="preserve">L9.DNZ.810.10.255</t>
  </si>
  <si>
    <t xml:space="preserve">10255</t>
  </si>
  <si>
    <t xml:space="preserve">10.255</t>
  </si>
  <si>
    <t xml:space="preserve">Vodafone Facilities Compliance EU Subcontractors</t>
  </si>
  <si>
    <t xml:space="preserve">L9.DNZ.810.20212</t>
  </si>
  <si>
    <t xml:space="preserve">Vodafone Maintenance Central EU Subcontractors</t>
  </si>
  <si>
    <t xml:space="preserve">L9.DNZ.810.20716</t>
  </si>
  <si>
    <t xml:space="preserve">Vodafone Maintenance North EU Subcontractors</t>
  </si>
  <si>
    <t xml:space="preserve">L9.DNZ.810.20777</t>
  </si>
  <si>
    <t xml:space="preserve">Vodafone Maintenance South EU Subcontractors</t>
  </si>
  <si>
    <t xml:space="preserve">L9.DNZ.810.20721</t>
  </si>
  <si>
    <t xml:space="preserve">Vodafone Project Managers</t>
  </si>
  <si>
    <t xml:space="preserve">L9.DNZ.810.10.258</t>
  </si>
  <si>
    <t xml:space="preserve">10258</t>
  </si>
  <si>
    <t xml:space="preserve">10.258</t>
  </si>
  <si>
    <t xml:space="preserve">Vodafone RBI Provisioning EU Subcontractors</t>
  </si>
  <si>
    <t xml:space="preserve">L9.DNZ.810.20774</t>
  </si>
  <si>
    <t xml:space="preserve">Vodaphone Designers (One NZ)</t>
  </si>
  <si>
    <t xml:space="preserve">10083</t>
  </si>
  <si>
    <t xml:space="preserve">W2QP - WORKS PACKAGE 2</t>
  </si>
  <si>
    <t xml:space="preserve">L9.DNZJ.DN1201</t>
  </si>
  <si>
    <t xml:space="preserve">JP_DN1201</t>
  </si>
  <si>
    <t xml:space="preserve">W2QP - WORKS PACKAGE 3</t>
  </si>
  <si>
    <t xml:space="preserve">L9.DNZJ.DN1209</t>
  </si>
  <si>
    <t xml:space="preserve">JP_DN1209</t>
  </si>
  <si>
    <t xml:space="preserve">TI-NZT-DN1209 - W2QP - WORKS PACKAGE 3</t>
  </si>
  <si>
    <t xml:space="preserve">W2QP - Works Package 4</t>
  </si>
  <si>
    <t xml:space="preserve">L9.DNZJ.DN1204</t>
  </si>
  <si>
    <t xml:space="preserve">JP_DN1204</t>
  </si>
  <si>
    <t xml:space="preserve">WA Bitumen Transport</t>
  </si>
  <si>
    <t xml:space="preserve">L9.J.170936</t>
  </si>
  <si>
    <t xml:space="preserve">170936</t>
  </si>
  <si>
    <t xml:space="preserve">WA BU Management</t>
  </si>
  <si>
    <t xml:space="preserve">L9.J.170618</t>
  </si>
  <si>
    <t xml:space="preserve">170618</t>
  </si>
  <si>
    <t xml:space="preserve">WA Civil Works</t>
  </si>
  <si>
    <t xml:space="preserve">L9.J.170956</t>
  </si>
  <si>
    <t xml:space="preserve">170956</t>
  </si>
  <si>
    <t xml:space="preserve">WA Gov Housing - West Perth</t>
  </si>
  <si>
    <t xml:space="preserve">L9.S.16013284</t>
  </si>
  <si>
    <t xml:space="preserve">16013284</t>
  </si>
  <si>
    <t xml:space="preserve">SI-16013284 - Govt Asset Services WA Housing</t>
  </si>
  <si>
    <t xml:space="preserve">L1, 1238 HAY ST</t>
  </si>
  <si>
    <t xml:space="preserve">WEST PERTH</t>
  </si>
  <si>
    <t xml:space="preserve">6005</t>
  </si>
  <si>
    <t xml:space="preserve">West Perth</t>
  </si>
  <si>
    <t xml:space="preserve">WA INS-Asset Insp Western Pwr</t>
  </si>
  <si>
    <t xml:space="preserve">L9.J.22910027</t>
  </si>
  <si>
    <t xml:space="preserve">22910027</t>
  </si>
  <si>
    <t xml:space="preserve">WA Maintenance</t>
  </si>
  <si>
    <t xml:space="preserve">L9.J.170959</t>
  </si>
  <si>
    <t xml:space="preserve">170959</t>
  </si>
  <si>
    <t xml:space="preserve">WA Management OH</t>
  </si>
  <si>
    <t xml:space="preserve">L9.J.23440215</t>
  </si>
  <si>
    <t xml:space="preserve">23440215</t>
  </si>
  <si>
    <t xml:space="preserve">WA Metro Laying Servic</t>
  </si>
  <si>
    <t xml:space="preserve">L9.J.170616</t>
  </si>
  <si>
    <t xml:space="preserve">170616</t>
  </si>
  <si>
    <t xml:space="preserve">WA Power Generation EU Subcontractors</t>
  </si>
  <si>
    <t xml:space="preserve">L9.J.38270056</t>
  </si>
  <si>
    <t xml:space="preserve">WA Regional Laying Ser</t>
  </si>
  <si>
    <t xml:space="preserve">L9.J.170620</t>
  </si>
  <si>
    <t xml:space="preserve">170620</t>
  </si>
  <si>
    <t xml:space="preserve">WA Sch - Baldivis PS Grounds</t>
  </si>
  <si>
    <t xml:space="preserve">L9.S.16013718</t>
  </si>
  <si>
    <t xml:space="preserve">16013718</t>
  </si>
  <si>
    <t xml:space="preserve">WA Sch - Harrisdale SS Grounds</t>
  </si>
  <si>
    <t xml:space="preserve">L9.S.16013754</t>
  </si>
  <si>
    <t xml:space="preserve">16013754</t>
  </si>
  <si>
    <t xml:space="preserve">WA Sch - Landsdale East PS Grounds</t>
  </si>
  <si>
    <t xml:space="preserve">L9.S.16013709</t>
  </si>
  <si>
    <t xml:space="preserve">16013709</t>
  </si>
  <si>
    <t xml:space="preserve">WA Sprayseal</t>
  </si>
  <si>
    <t xml:space="preserve">170617</t>
  </si>
  <si>
    <t xml:space="preserve">WA Stabilising</t>
  </si>
  <si>
    <t xml:space="preserve">L9.J.170606</t>
  </si>
  <si>
    <t xml:space="preserve">170606</t>
  </si>
  <si>
    <t xml:space="preserve">WA Traffic Services</t>
  </si>
  <si>
    <t xml:space="preserve">L9.J.170629</t>
  </si>
  <si>
    <t xml:space="preserve">170629</t>
  </si>
  <si>
    <t xml:space="preserve">WA Unify Direct OH</t>
  </si>
  <si>
    <t xml:space="preserve">L9.J.23440213</t>
  </si>
  <si>
    <t xml:space="preserve">23440213</t>
  </si>
  <si>
    <t xml:space="preserve">WA Workshop</t>
  </si>
  <si>
    <t xml:space="preserve">170691</t>
  </si>
  <si>
    <t xml:space="preserve">WAI ARIKI SPA</t>
  </si>
  <si>
    <t xml:space="preserve">L9.DNZ.HC0348</t>
  </si>
  <si>
    <t xml:space="preserve">JP_HC0348</t>
  </si>
  <si>
    <t xml:space="preserve">Waikato - Overhead</t>
  </si>
  <si>
    <t xml:space="preserve">55932</t>
  </si>
  <si>
    <t xml:space="preserve">Waikato People/Plant</t>
  </si>
  <si>
    <t xml:space="preserve">L9.DNZJ.66209</t>
  </si>
  <si>
    <t xml:space="preserve">66209</t>
  </si>
  <si>
    <t xml:space="preserve">Waikato Traffic Services</t>
  </si>
  <si>
    <t xml:space="preserve">L9.DNZJ.54103</t>
  </si>
  <si>
    <t xml:space="preserve">54103</t>
  </si>
  <si>
    <t xml:space="preserve">Waikato/Bay of Plenty ISP</t>
  </si>
  <si>
    <t xml:space="preserve">L9.DNZ.810.10.171</t>
  </si>
  <si>
    <t xml:space="preserve">10171</t>
  </si>
  <si>
    <t xml:space="preserve">10.171</t>
  </si>
  <si>
    <t xml:space="preserve">Waikeria Prison Dev</t>
  </si>
  <si>
    <t xml:space="preserve">2000008022</t>
  </si>
  <si>
    <t xml:space="preserve">Waimumu Stopbank</t>
  </si>
  <si>
    <t xml:space="preserve">L9.DNZJ.556630</t>
  </si>
  <si>
    <t xml:space="preserve">556630</t>
  </si>
  <si>
    <t xml:space="preserve">Waiouru Admin Serv Del.</t>
  </si>
  <si>
    <t xml:space="preserve">L9.S.26016614</t>
  </si>
  <si>
    <t xml:space="preserve">26016614</t>
  </si>
  <si>
    <t xml:space="preserve">Waiouru Cleaning Serv. Del</t>
  </si>
  <si>
    <t xml:space="preserve">L9.S.26016625</t>
  </si>
  <si>
    <t xml:space="preserve">26016625</t>
  </si>
  <si>
    <t xml:space="preserve">Waiouru Grounds Serv Del</t>
  </si>
  <si>
    <t xml:space="preserve">L9.S.26016639</t>
  </si>
  <si>
    <t xml:space="preserve">26016639</t>
  </si>
  <si>
    <t xml:space="preserve">Waiouru Maintenance Overhead</t>
  </si>
  <si>
    <t xml:space="preserve">L9.S.24000042</t>
  </si>
  <si>
    <t xml:space="preserve">24000042</t>
  </si>
  <si>
    <t xml:space="preserve">Waiouru Maintenance Serv Del.</t>
  </si>
  <si>
    <t xml:space="preserve">L9.S.26016623</t>
  </si>
  <si>
    <t xml:space="preserve">26016623</t>
  </si>
  <si>
    <t xml:space="preserve">Waiouru Operations - 45002412</t>
  </si>
  <si>
    <t xml:space="preserve">L9.S.24000041</t>
  </si>
  <si>
    <t xml:space="preserve">2000004493</t>
  </si>
  <si>
    <t xml:space="preserve">Building C185 (Waiouru Military Camp),
Ruapehu Rd</t>
  </si>
  <si>
    <t xml:space="preserve">4826</t>
  </si>
  <si>
    <t xml:space="preserve">Waiouru Projects Overhead</t>
  </si>
  <si>
    <t xml:space="preserve">L9.S.24000043</t>
  </si>
  <si>
    <t xml:space="preserve">24000043</t>
  </si>
  <si>
    <t xml:space="preserve">Waipa DC Maintenance</t>
  </si>
  <si>
    <t xml:space="preserve">L9.DNZJ.54214</t>
  </si>
  <si>
    <t xml:space="preserve">54214</t>
  </si>
  <si>
    <t xml:space="preserve">Waitaki 1 - SW Management</t>
  </si>
  <si>
    <t xml:space="preserve">L9.DNZJ.561760</t>
  </si>
  <si>
    <t xml:space="preserve">561760</t>
  </si>
  <si>
    <t xml:space="preserve">82 Bexley Road</t>
  </si>
  <si>
    <t xml:space="preserve">Bexley</t>
  </si>
  <si>
    <t xml:space="preserve">8061</t>
  </si>
  <si>
    <t xml:space="preserve">-43.5076</t>
  </si>
  <si>
    <t xml:space="preserve">172.7146</t>
  </si>
  <si>
    <t xml:space="preserve">Waitaki OSM</t>
  </si>
  <si>
    <t xml:space="preserve">66106</t>
  </si>
  <si>
    <t xml:space="preserve">Waitaki People/Plant</t>
  </si>
  <si>
    <t xml:space="preserve">L9.DNZJ.66206</t>
  </si>
  <si>
    <t xml:space="preserve">66206</t>
  </si>
  <si>
    <t xml:space="preserve">Waitoki Depot</t>
  </si>
  <si>
    <t xml:space="preserve">55524</t>
  </si>
  <si>
    <t xml:space="preserve">543 Waitoki Road</t>
  </si>
  <si>
    <t xml:space="preserve">Wainui</t>
  </si>
  <si>
    <t xml:space="preserve">-36.6022</t>
  </si>
  <si>
    <t xml:space="preserve">174.5921</t>
  </si>
  <si>
    <t xml:space="preserve">WAKEFIELD HOSPITAL RDVLPMNT S2</t>
  </si>
  <si>
    <t xml:space="preserve">L9.DNZ.HW0221</t>
  </si>
  <si>
    <t xml:space="preserve">JP_HW0221</t>
  </si>
  <si>
    <t xml:space="preserve">30 Florence Street</t>
  </si>
  <si>
    <t xml:space="preserve">Newtown</t>
  </si>
  <si>
    <t xml:space="preserve">-41.3167</t>
  </si>
  <si>
    <t xml:space="preserve">174.7791</t>
  </si>
  <si>
    <t xml:space="preserve">Walkley Heights</t>
  </si>
  <si>
    <t xml:space="preserve">L9.J.17021044</t>
  </si>
  <si>
    <t xml:space="preserve">8025</t>
  </si>
  <si>
    <t xml:space="preserve">Wambo Subs Stage 2</t>
  </si>
  <si>
    <t xml:space="preserve">L9.J.37740126</t>
  </si>
  <si>
    <t xml:space="preserve">37740126</t>
  </si>
  <si>
    <t xml:space="preserve">Wambo TXL</t>
  </si>
  <si>
    <t xml:space="preserve">37740109</t>
  </si>
  <si>
    <t xml:space="preserve">Wambo WF Connection Substation</t>
  </si>
  <si>
    <t xml:space="preserve">Wanaka (38 Stackbrae Ave)</t>
  </si>
  <si>
    <t xml:space="preserve">L9.DNZJ.91304</t>
  </si>
  <si>
    <t xml:space="preserve">91304</t>
  </si>
  <si>
    <t xml:space="preserve">Wanganui - SP 221</t>
  </si>
  <si>
    <t xml:space="preserve">L9.DUN.60221</t>
  </si>
  <si>
    <t xml:space="preserve">PG60221</t>
  </si>
  <si>
    <t xml:space="preserve">Wanganui - WM 222</t>
  </si>
  <si>
    <t xml:space="preserve">PG60222</t>
  </si>
  <si>
    <t xml:space="preserve">Wanganui Area Manager</t>
  </si>
  <si>
    <t xml:space="preserve">PG60220</t>
  </si>
  <si>
    <t xml:space="preserve">Wanganui Depot</t>
  </si>
  <si>
    <t xml:space="preserve">55596</t>
  </si>
  <si>
    <t xml:space="preserve">501 Heads Road</t>
  </si>
  <si>
    <t xml:space="preserve">Castlecliff</t>
  </si>
  <si>
    <t xml:space="preserve">Whanganui</t>
  </si>
  <si>
    <t xml:space="preserve">-39.9437</t>
  </si>
  <si>
    <t xml:space="preserve">174.9953</t>
  </si>
  <si>
    <t xml:space="preserve">Wanganui Telco Ops</t>
  </si>
  <si>
    <t xml:space="preserve">L9.DNZ.810.10.178</t>
  </si>
  <si>
    <t xml:space="preserve">10178</t>
  </si>
  <si>
    <t xml:space="preserve">10.178</t>
  </si>
  <si>
    <t xml:space="preserve">L9.J.17081070</t>
  </si>
  <si>
    <t xml:space="preserve">17081070</t>
  </si>
  <si>
    <t xml:space="preserve">Reported under Benalla.Closed for a short period from 30/06/2013, then re-opened</t>
  </si>
  <si>
    <t xml:space="preserve">51 Buckler Road</t>
  </si>
  <si>
    <t xml:space="preserve">3677</t>
  </si>
  <si>
    <t xml:space="preserve">-36.332</t>
  </si>
  <si>
    <t xml:space="preserve">146.368</t>
  </si>
  <si>
    <t xml:space="preserve">Water - LWIA</t>
  </si>
  <si>
    <t xml:space="preserve">L9.J.2412000502</t>
  </si>
  <si>
    <t xml:space="preserve">LWIA office within Logan council offices and electricity is covered by Client</t>
  </si>
  <si>
    <t xml:space="preserve">106 City Road</t>
  </si>
  <si>
    <t xml:space="preserve">-27.715437</t>
  </si>
  <si>
    <t xml:space="preserve">153.202827</t>
  </si>
  <si>
    <t xml:space="preserve">Water &amp; Wind</t>
  </si>
  <si>
    <t xml:space="preserve">Water &amp; Wind EU Subcontractors</t>
  </si>
  <si>
    <t xml:space="preserve">Water Construction Nth Is. EU Subcontractors</t>
  </si>
  <si>
    <t xml:space="preserve">L9.DNZJ.56136</t>
  </si>
  <si>
    <t xml:space="preserve">Water EU Subcontractors</t>
  </si>
  <si>
    <t xml:space="preserve">L9.J.23710057</t>
  </si>
  <si>
    <t xml:space="preserve">Water Ops - Sunbury EU Subcontractors</t>
  </si>
  <si>
    <t xml:space="preserve">Water Ops Direct OH</t>
  </si>
  <si>
    <t xml:space="preserve">L9.J.241502</t>
  </si>
  <si>
    <t xml:space="preserve">241502</t>
  </si>
  <si>
    <t xml:space="preserve">Water Process EU Subcontractors</t>
  </si>
  <si>
    <t xml:space="preserve">L9.DNZJ.64990</t>
  </si>
  <si>
    <t xml:space="preserve">Water QLD Regional OHD</t>
  </si>
  <si>
    <t xml:space="preserve">L9.J.241619</t>
  </si>
  <si>
    <t xml:space="preserve">241619</t>
  </si>
  <si>
    <t xml:space="preserve">Water Services - NSW EU Subcontractors</t>
  </si>
  <si>
    <t xml:space="preserve">L9.J.237107</t>
  </si>
  <si>
    <t xml:space="preserve">Water Services - QLD EU Subcontractors</t>
  </si>
  <si>
    <t xml:space="preserve">L9.J.23710058</t>
  </si>
  <si>
    <t xml:space="preserve">Water Services - VIC EU Subcontractors</t>
  </si>
  <si>
    <t xml:space="preserve">Water Services NI DOH</t>
  </si>
  <si>
    <t xml:space="preserve">L9.DNZJ.56795</t>
  </si>
  <si>
    <t xml:space="preserve">56795</t>
  </si>
  <si>
    <t xml:space="preserve">Water Services NI DOH EU Subcontractors</t>
  </si>
  <si>
    <t xml:space="preserve">Water Services NSW/ACT/VIC EU Subcontractors</t>
  </si>
  <si>
    <t xml:space="preserve">L9.J.377311</t>
  </si>
  <si>
    <t xml:space="preserve">Water Services Programs EU Subcontractors</t>
  </si>
  <si>
    <t xml:space="preserve">L9.DUA.30169105</t>
  </si>
  <si>
    <t xml:space="preserve">Water Services Qld/Sa Pay Clearing</t>
  </si>
  <si>
    <t xml:space="preserve">L9.J.241603</t>
  </si>
  <si>
    <t xml:space="preserve">241603</t>
  </si>
  <si>
    <t xml:space="preserve">Water Southern DOH</t>
  </si>
  <si>
    <t xml:space="preserve">L9.DNZJ.56792</t>
  </si>
  <si>
    <t xml:space="preserve">56792</t>
  </si>
  <si>
    <t xml:space="preserve">1088880</t>
  </si>
  <si>
    <t xml:space="preserve">Water Support Services</t>
  </si>
  <si>
    <t xml:space="preserve">L9.DNZJ.56902</t>
  </si>
  <si>
    <t xml:space="preserve">56902</t>
  </si>
  <si>
    <t xml:space="preserve">Water Support Services EU Subcontractors</t>
  </si>
  <si>
    <t xml:space="preserve">Water Zero Harm</t>
  </si>
  <si>
    <t xml:space="preserve">L9.DNZJ.56907</t>
  </si>
  <si>
    <t xml:space="preserve">Watercare North West EU Subcontractors</t>
  </si>
  <si>
    <t xml:space="preserve">L9.DNZJ.56121</t>
  </si>
  <si>
    <t xml:space="preserve">Waurn Ponds Duplication</t>
  </si>
  <si>
    <t xml:space="preserve">L9.J.20020045</t>
  </si>
  <si>
    <t xml:space="preserve">WCC 45000643 W</t>
  </si>
  <si>
    <t xml:space="preserve">L9.S.26015590</t>
  </si>
  <si>
    <t xml:space="preserve">2000004354</t>
  </si>
  <si>
    <t xml:space="preserve">WCC Tahiwi</t>
  </si>
  <si>
    <t xml:space="preserve">L9.S.26019459</t>
  </si>
  <si>
    <t xml:space="preserve">26019459</t>
  </si>
  <si>
    <t xml:space="preserve">WCC-Civic Centre</t>
  </si>
  <si>
    <t xml:space="preserve">L9.S.26016230</t>
  </si>
  <si>
    <t xml:space="preserve">26016230</t>
  </si>
  <si>
    <t xml:space="preserve">WDA Construction Costs</t>
  </si>
  <si>
    <t xml:space="preserve">L9.DNZJ.550707</t>
  </si>
  <si>
    <t xml:space="preserve">550707</t>
  </si>
  <si>
    <t xml:space="preserve">WDA Maintenance Costs</t>
  </si>
  <si>
    <t xml:space="preserve">L9.DNZJ.550593</t>
  </si>
  <si>
    <t xml:space="preserve">550593</t>
  </si>
  <si>
    <t xml:space="preserve">WDC Alliance Asphalt</t>
  </si>
  <si>
    <t xml:space="preserve">L9.DNZJ.552188</t>
  </si>
  <si>
    <t xml:space="preserve">552188</t>
  </si>
  <si>
    <t xml:space="preserve">WDC Alliance Base 1</t>
  </si>
  <si>
    <t xml:space="preserve">L9.DNZJ.552177</t>
  </si>
  <si>
    <t xml:space="preserve">552177</t>
  </si>
  <si>
    <t xml:space="preserve">WDC Alliance Base 2</t>
  </si>
  <si>
    <t xml:space="preserve">L9.DNZJ.552178</t>
  </si>
  <si>
    <t xml:space="preserve">552178</t>
  </si>
  <si>
    <t xml:space="preserve">WDC Alliance Dayworks</t>
  </si>
  <si>
    <t xml:space="preserve">L9.DNZJ.552179</t>
  </si>
  <si>
    <t xml:space="preserve">552179</t>
  </si>
  <si>
    <t xml:space="preserve">WDC Alliance Emergency Works</t>
  </si>
  <si>
    <t xml:space="preserve">L9.DNZJ.552180</t>
  </si>
  <si>
    <t xml:space="preserve">552180</t>
  </si>
  <si>
    <t xml:space="preserve">TI-NZT-552180 - WDC Alliance Emergency Works (TI-NZT - Taranaki Whanganui Road Corridor Maint)</t>
  </si>
  <si>
    <t xml:space="preserve">WDC Alliance Low Cost/Low Risk</t>
  </si>
  <si>
    <t xml:space="preserve">L9.DNZJ.552181</t>
  </si>
  <si>
    <t xml:space="preserve">552181</t>
  </si>
  <si>
    <t xml:space="preserve">WDC Alliance Minor Events</t>
  </si>
  <si>
    <t xml:space="preserve">L9.DNZJ.552182</t>
  </si>
  <si>
    <t xml:space="preserve">552182</t>
  </si>
  <si>
    <t xml:space="preserve">WDC Alliance Parks &amp; Reserves</t>
  </si>
  <si>
    <t xml:space="preserve">L9.DNZJ.552184</t>
  </si>
  <si>
    <t xml:space="preserve">552184</t>
  </si>
  <si>
    <t xml:space="preserve">WDC Alliance Pavement Rehab</t>
  </si>
  <si>
    <t xml:space="preserve">L9.DNZJ.552183</t>
  </si>
  <si>
    <t xml:space="preserve">552183</t>
  </si>
  <si>
    <t xml:space="preserve">WDC Alliance Reseals</t>
  </si>
  <si>
    <t xml:space="preserve">L9.DNZJ.552176</t>
  </si>
  <si>
    <t xml:space="preserve">552176</t>
  </si>
  <si>
    <t xml:space="preserve">TI-NZT-552176 - WDC Alliance Reseals (TI-NZT - Taranaki Whanganui)</t>
  </si>
  <si>
    <t xml:space="preserve">WE - DESIGN</t>
  </si>
  <si>
    <t xml:space="preserve">L9.DUN.60259</t>
  </si>
  <si>
    <t xml:space="preserve">60259</t>
  </si>
  <si>
    <t xml:space="preserve">WEL Networks - Direct Costs</t>
  </si>
  <si>
    <t xml:space="preserve">L9.DUN.60711</t>
  </si>
  <si>
    <t xml:space="preserve">PG60711</t>
  </si>
  <si>
    <t xml:space="preserve">WEL Networks - Indirect Costs</t>
  </si>
  <si>
    <t xml:space="preserve">L9.DUN.60710</t>
  </si>
  <si>
    <t xml:space="preserve">60710</t>
  </si>
  <si>
    <t xml:space="preserve">WEL Underground Services</t>
  </si>
  <si>
    <t xml:space="preserve">L9.DUN.60712</t>
  </si>
  <si>
    <t xml:space="preserve">60712</t>
  </si>
  <si>
    <t xml:space="preserve">Welding Specialist</t>
  </si>
  <si>
    <t xml:space="preserve">L9.J.382164</t>
  </si>
  <si>
    <t xml:space="preserve">382164</t>
  </si>
  <si>
    <t xml:space="preserve">WELLESLEY ST BUS IMPROVEMENTS</t>
  </si>
  <si>
    <t xml:space="preserve">L9.DNZJ.DN1211</t>
  </si>
  <si>
    <t xml:space="preserve">JP_DN1211</t>
  </si>
  <si>
    <t xml:space="preserve">TI-NZT-DN1211 - Wellesley St Bus Interchange</t>
  </si>
  <si>
    <t xml:space="preserve">Wellington - WM 251</t>
  </si>
  <si>
    <t xml:space="preserve">L9.DUN.60251</t>
  </si>
  <si>
    <t xml:space="preserve">60251</t>
  </si>
  <si>
    <t xml:space="preserve">Wellington (160 Victoria St)</t>
  </si>
  <si>
    <t xml:space="preserve">No INX BU code temporaily
Apartment 1410/161 Victoria Street  Te Aro  Wellington 6011  Wellington Region
Apartment W702/160 Victoria Street  Te Aro  Wellington 6011  Wellington Region</t>
  </si>
  <si>
    <t xml:space="preserve">Wellington (1-69 Hutt Rd)</t>
  </si>
  <si>
    <t xml:space="preserve">55602</t>
  </si>
  <si>
    <t xml:space="preserve">Flat 1/69 Hutt Road  Petone  Lower Hutt 5012  Wellington Region</t>
  </si>
  <si>
    <t xml:space="preserve">1/69 Hutt Road</t>
  </si>
  <si>
    <t xml:space="preserve">Wellington (18 Willis St)</t>
  </si>
  <si>
    <t xml:space="preserve">L9.DNZJ.91727</t>
  </si>
  <si>
    <t xml:space="preserve">91727</t>
  </si>
  <si>
    <t xml:space="preserve">COR-NZHO.91727-Wellington (265 Wakefield St)
Level 11/18 Willis Street  Wellington Central  Wellington 6011</t>
  </si>
  <si>
    <t xml:space="preserve">Level 11, 18 Willis Street,
Wellington Central</t>
  </si>
  <si>
    <t xml:space="preserve">Wellington (3 Ayton Drive)</t>
  </si>
  <si>
    <t xml:space="preserve">L9.DNZJ.91286</t>
  </si>
  <si>
    <t xml:space="preserve">91286</t>
  </si>
  <si>
    <t xml:space="preserve">used for Wellgton (54 Martingale Drive) and Wellington (3 Ayton Drive)</t>
  </si>
  <si>
    <t xml:space="preserve">3 Ayton Drive</t>
  </si>
  <si>
    <t xml:space="preserve">Whitby</t>
  </si>
  <si>
    <t xml:space="preserve">-41.1087</t>
  </si>
  <si>
    <t xml:space="preserve">174.8907</t>
  </si>
  <si>
    <t xml:space="preserve">Wellington (95 Customhouse)</t>
  </si>
  <si>
    <t xml:space="preserve">L9.DNZJ.91403</t>
  </si>
  <si>
    <t xml:space="preserve">91403</t>
  </si>
  <si>
    <t xml:space="preserve">COR-NZHO.91403 - Wellington (95 Customhouse)
2/95 Customhouse Quay  Wellington Central  Wellington 6011</t>
  </si>
  <si>
    <t xml:space="preserve">95 Customhouse Quay
Wellington Central</t>
  </si>
  <si>
    <t xml:space="preserve">Wellington Area Manager</t>
  </si>
  <si>
    <t xml:space="preserve">PG60250</t>
  </si>
  <si>
    <t xml:space="preserve">Wellington Build</t>
  </si>
  <si>
    <t xml:space="preserve">L9.DNZ.810.10.143</t>
  </si>
  <si>
    <t xml:space="preserve">10143</t>
  </si>
  <si>
    <t xml:space="preserve">10.143</t>
  </si>
  <si>
    <t xml:space="preserve">Wellington Civil Deploy</t>
  </si>
  <si>
    <t xml:space="preserve">L9.DNZ.810.10.240</t>
  </si>
  <si>
    <t xml:space="preserve">10240</t>
  </si>
  <si>
    <t xml:space="preserve">10.24</t>
  </si>
  <si>
    <t xml:space="preserve">Wellington Depot</t>
  </si>
  <si>
    <t xml:space="preserve">-41.1387</t>
  </si>
  <si>
    <t xml:space="preserve">174.8327</t>
  </si>
  <si>
    <t xml:space="preserve">WELLINGTON GIRLS COLLEGE</t>
  </si>
  <si>
    <t xml:space="preserve">L9.DNZ.HW0223</t>
  </si>
  <si>
    <t xml:space="preserve">JP_HW0223</t>
  </si>
  <si>
    <t xml:space="preserve">Wellington Laboratory</t>
  </si>
  <si>
    <t xml:space="preserve">3522</t>
  </si>
  <si>
    <t xml:space="preserve">Wellington Metro Upgrade 6A</t>
  </si>
  <si>
    <t xml:space="preserve">JP_DS2675</t>
  </si>
  <si>
    <t xml:space="preserve">Wellington Mobile/ISP</t>
  </si>
  <si>
    <t xml:space="preserve">L9.DNZ.810.10.241</t>
  </si>
  <si>
    <t xml:space="preserve">10241</t>
  </si>
  <si>
    <t xml:space="preserve">10.241</t>
  </si>
  <si>
    <t xml:space="preserve">Wellington Mobile/ISP EU Subcontractors</t>
  </si>
  <si>
    <t xml:space="preserve">L9.DNZJ.10241</t>
  </si>
  <si>
    <t xml:space="preserve">Wellington People/Plant</t>
  </si>
  <si>
    <t xml:space="preserve">L9.DNZJ.66204</t>
  </si>
  <si>
    <t xml:space="preserve">66204</t>
  </si>
  <si>
    <t xml:space="preserve">Wellington Plant</t>
  </si>
  <si>
    <t xml:space="preserve">L9.DNZJ.66216</t>
  </si>
  <si>
    <t xml:space="preserve">66216</t>
  </si>
  <si>
    <t xml:space="preserve">Wellington Telco Ops</t>
  </si>
  <si>
    <t xml:space="preserve">L9.DNZ.810.10.141</t>
  </si>
  <si>
    <t xml:space="preserve">10141</t>
  </si>
  <si>
    <t xml:space="preserve">10.141</t>
  </si>
  <si>
    <t xml:space="preserve">Wellington Vodafone Build</t>
  </si>
  <si>
    <t xml:space="preserve">L9.DNZ.810.10.235</t>
  </si>
  <si>
    <t xml:space="preserve">10235</t>
  </si>
  <si>
    <t xml:space="preserve">10.235</t>
  </si>
  <si>
    <t xml:space="preserve">Wellington Vodafone M&amp;P</t>
  </si>
  <si>
    <t xml:space="preserve">L9.DNZ.810.10.233</t>
  </si>
  <si>
    <t xml:space="preserve">10233</t>
  </si>
  <si>
    <t xml:space="preserve">10.233</t>
  </si>
  <si>
    <t xml:space="preserve">WesCEF Access Works</t>
  </si>
  <si>
    <t xml:space="preserve">L9.J.38130006</t>
  </si>
  <si>
    <t xml:space="preserve">38130006</t>
  </si>
  <si>
    <t xml:space="preserve">WesCEF Electrical</t>
  </si>
  <si>
    <t xml:space="preserve">L9.J.38130008</t>
  </si>
  <si>
    <t xml:space="preserve">38130008</t>
  </si>
  <si>
    <t xml:space="preserve">WesCEF Insulation &amp; Paint</t>
  </si>
  <si>
    <t xml:space="preserve">L9.J.38130007</t>
  </si>
  <si>
    <t xml:space="preserve">38130007</t>
  </si>
  <si>
    <t xml:space="preserve">WesCEF Mechanical Works</t>
  </si>
  <si>
    <t xml:space="preserve">38130005</t>
  </si>
  <si>
    <t xml:space="preserve">Wesfarmers MSA DEL</t>
  </si>
  <si>
    <t xml:space="preserve">L9.J.38130001</t>
  </si>
  <si>
    <t xml:space="preserve">38130001</t>
  </si>
  <si>
    <t xml:space="preserve">West Camden JV Non Recoverable</t>
  </si>
  <si>
    <t xml:space="preserve">L9.J.241505</t>
  </si>
  <si>
    <t xml:space="preserve">241505</t>
  </si>
  <si>
    <t xml:space="preserve">West Camden WRP EU Subcontractors</t>
  </si>
  <si>
    <t xml:space="preserve">L9.J.264005</t>
  </si>
  <si>
    <t xml:space="preserve">West Coast Telco Ops</t>
  </si>
  <si>
    <t xml:space="preserve">L9.DNZ.810.10.183</t>
  </si>
  <si>
    <t xml:space="preserve">10183</t>
  </si>
  <si>
    <t xml:space="preserve">904385</t>
  </si>
  <si>
    <t xml:space="preserve">10.183</t>
  </si>
  <si>
    <t xml:space="preserve">212 Main South Road</t>
  </si>
  <si>
    <t xml:space="preserve">South Beach</t>
  </si>
  <si>
    <t xml:space="preserve">Greymouth</t>
  </si>
  <si>
    <t xml:space="preserve">7805</t>
  </si>
  <si>
    <t xml:space="preserve">-42.5005</t>
  </si>
  <si>
    <t xml:space="preserve">171.173</t>
  </si>
  <si>
    <t xml:space="preserve">West Design Estimating</t>
  </si>
  <si>
    <t xml:space="preserve">L9.DUN.60312</t>
  </si>
  <si>
    <t xml:space="preserve">PG60312</t>
  </si>
  <si>
    <t xml:space="preserve">West Major Projects EU Subcontractors</t>
  </si>
  <si>
    <t xml:space="preserve">L9.J.382855</t>
  </si>
  <si>
    <t xml:space="preserve">West of Porters Pass FBS</t>
  </si>
  <si>
    <t xml:space="preserve">L9.DNZJ.555312</t>
  </si>
  <si>
    <t xml:space="preserve">555312</t>
  </si>
  <si>
    <t xml:space="preserve">TI-NZT-555312 - West of Porters Pass FBS</t>
  </si>
  <si>
    <t xml:space="preserve">Western Inst of Technology-Fac 45003441</t>
  </si>
  <si>
    <t xml:space="preserve">L9.S.24000321</t>
  </si>
  <si>
    <t xml:space="preserve">2000004914</t>
  </si>
  <si>
    <t xml:space="preserve">Western Power Meter Reading Service</t>
  </si>
  <si>
    <t xml:space="preserve">L9.S.16016729</t>
  </si>
  <si>
    <t xml:space="preserve">16016729</t>
  </si>
  <si>
    <t xml:space="preserve">Western Power Metering Field Service</t>
  </si>
  <si>
    <t xml:space="preserve">L9.S.16016100</t>
  </si>
  <si>
    <t xml:space="preserve">16016100</t>
  </si>
  <si>
    <t xml:space="preserve">Wgtn Const - Minor Works</t>
  </si>
  <si>
    <t xml:space="preserve">L9.DNZJ.552604</t>
  </si>
  <si>
    <t xml:space="preserve">552604</t>
  </si>
  <si>
    <t xml:space="preserve">Wgtn Overhead</t>
  </si>
  <si>
    <t xml:space="preserve">L9.DNZJ.54940</t>
  </si>
  <si>
    <t xml:space="preserve">54940</t>
  </si>
  <si>
    <t xml:space="preserve">TI-NZT-54940 - Wgtn Overhead</t>
  </si>
  <si>
    <t xml:space="preserve">Whakatane (2 Canning Pl)</t>
  </si>
  <si>
    <t xml:space="preserve">L9.DNZJ.91413</t>
  </si>
  <si>
    <t xml:space="preserve">91413</t>
  </si>
  <si>
    <t xml:space="preserve">COR-NZHO-91413 - Whakatane (2 Canning Pl).  Kate Whiteman: This property is shared between EU-NZU-10.169 Gisborne Telco Ops and EU-NZU-10.171 Waikato/Bay of Plenty ISP</t>
  </si>
  <si>
    <t xml:space="preserve">2 Canning Place</t>
  </si>
  <si>
    <t xml:space="preserve">Whakatāne</t>
  </si>
  <si>
    <t xml:space="preserve">3120</t>
  </si>
  <si>
    <t xml:space="preserve">Whakatane</t>
  </si>
  <si>
    <t xml:space="preserve">WHAKATANE MENTAL HEALTH</t>
  </si>
  <si>
    <t xml:space="preserve">L9.DNZ.HC0360</t>
  </si>
  <si>
    <t xml:space="preserve">HC0360</t>
  </si>
  <si>
    <t xml:space="preserve">TI-NZT-BP.HC0360-Whakatane Hospital MHU Upgrade</t>
  </si>
  <si>
    <t xml:space="preserve">Whangarei DC EU Subcontractors</t>
  </si>
  <si>
    <t xml:space="preserve">L9.DNZJ.56110</t>
  </si>
  <si>
    <t xml:space="preserve">Whangarei Depot</t>
  </si>
  <si>
    <t xml:space="preserve">55510</t>
  </si>
  <si>
    <t xml:space="preserve">124-130 Port Road</t>
  </si>
  <si>
    <t xml:space="preserve">-35.7431</t>
  </si>
  <si>
    <t xml:space="preserve">174.3393</t>
  </si>
  <si>
    <t xml:space="preserve">Wharf Road, Coromandel</t>
  </si>
  <si>
    <t xml:space="preserve">Supports the Powerco EFSA 2025 contract</t>
  </si>
  <si>
    <t xml:space="preserve">Wheatstone</t>
  </si>
  <si>
    <t xml:space="preserve">ASV-38247007</t>
  </si>
  <si>
    <t xml:space="preserve">-21.697911</t>
  </si>
  <si>
    <t xml:space="preserve">115.002</t>
  </si>
  <si>
    <t xml:space="preserve">Wheatstone - Work Orders</t>
  </si>
  <si>
    <t xml:space="preserve">L9.J.38290002</t>
  </si>
  <si>
    <t xml:space="preserve">38290002</t>
  </si>
  <si>
    <t xml:space="preserve">Whenuapai Northern Access</t>
  </si>
  <si>
    <t xml:space="preserve">L9.DNZJ.553184</t>
  </si>
  <si>
    <t xml:space="preserve">553184</t>
  </si>
  <si>
    <t xml:space="preserve">Whitfords Station, Kingsley</t>
  </si>
  <si>
    <t xml:space="preserve">L9.ENG.360.11935</t>
  </si>
  <si>
    <t xml:space="preserve">WIAL RUNWAY EMAS - ECI</t>
  </si>
  <si>
    <t xml:space="preserve">L9.DNZJ.DS2679</t>
  </si>
  <si>
    <t xml:space="preserve">JP_DS2679</t>
  </si>
  <si>
    <t xml:space="preserve">TI-NZT-DS2679 - WIAL EMAS</t>
  </si>
  <si>
    <t xml:space="preserve">WIAL Runway EMAS Main Works</t>
  </si>
  <si>
    <t xml:space="preserve">L9.DNZJ.DS2680</t>
  </si>
  <si>
    <t xml:space="preserve">JP_DS2680</t>
  </si>
  <si>
    <t xml:space="preserve">Wigram Operations 45003019</t>
  </si>
  <si>
    <t xml:space="preserve">L9.S.26016952</t>
  </si>
  <si>
    <t xml:space="preserve">2000004651</t>
  </si>
  <si>
    <t xml:space="preserve">Wingfield - double counted usage</t>
  </si>
  <si>
    <t xml:space="preserve">WDCU</t>
  </si>
  <si>
    <t xml:space="preserve">Winton (15 Russell St)</t>
  </si>
  <si>
    <t xml:space="preserve">L9.DNZJ.91378</t>
  </si>
  <si>
    <t xml:space="preserve">91378</t>
  </si>
  <si>
    <t xml:space="preserve">Wireless - Other EU Subcontractors</t>
  </si>
  <si>
    <t xml:space="preserve">L9.J.23440132</t>
  </si>
  <si>
    <t xml:space="preserve">Wireless - Telstra EU Subcontractors</t>
  </si>
  <si>
    <t xml:space="preserve">L9.J.234869</t>
  </si>
  <si>
    <t xml:space="preserve">Wireless Southland Maint</t>
  </si>
  <si>
    <t xml:space="preserve">L9.DNZ.810.10.251</t>
  </si>
  <si>
    <t xml:space="preserve">10.251</t>
  </si>
  <si>
    <t xml:space="preserve">Wiri (130 Kerrs Rd)</t>
  </si>
  <si>
    <t xml:space="preserve">91145</t>
  </si>
  <si>
    <t xml:space="preserve">Wiri PPP - 45002375</t>
  </si>
  <si>
    <t xml:space="preserve">L9.S.24000002</t>
  </si>
  <si>
    <t xml:space="preserve">2000004481</t>
  </si>
  <si>
    <t xml:space="preserve">Wiri PPP Overhead</t>
  </si>
  <si>
    <t xml:space="preserve">24000002</t>
  </si>
  <si>
    <t xml:space="preserve">WK Otaki to Levin</t>
  </si>
  <si>
    <t xml:space="preserve">L9.DNZJ.558010</t>
  </si>
  <si>
    <t xml:space="preserve">558010</t>
  </si>
  <si>
    <t xml:space="preserve">WN - Hutt City Council Horticulture Reporting</t>
  </si>
  <si>
    <t xml:space="preserve">L9.DNZJ.663221</t>
  </si>
  <si>
    <t xml:space="preserve">663221</t>
  </si>
  <si>
    <t xml:space="preserve">TI-NZT-663221-WN - HCC Horticulture</t>
  </si>
  <si>
    <t xml:space="preserve">WN - Hutt City Council Reserves Reporting</t>
  </si>
  <si>
    <t xml:space="preserve">L9.DNZJ.663230</t>
  </si>
  <si>
    <t xml:space="preserve">663230</t>
  </si>
  <si>
    <t xml:space="preserve">TI-NZT-663230-WN - HCC Reserves</t>
  </si>
  <si>
    <t xml:space="preserve">WN - Hutt City Playgrounds Reporting</t>
  </si>
  <si>
    <t xml:space="preserve">L9.DNZJ.663228</t>
  </si>
  <si>
    <t xml:space="preserve">663228</t>
  </si>
  <si>
    <t xml:space="preserve">TI-NZT-663228-WN - Hutt City Playgrounds</t>
  </si>
  <si>
    <t xml:space="preserve">Wodonga - P&amp;E</t>
  </si>
  <si>
    <t xml:space="preserve">Wodonga - Support</t>
  </si>
  <si>
    <t xml:space="preserve">L9.J.241934</t>
  </si>
  <si>
    <t xml:space="preserve">241934</t>
  </si>
  <si>
    <t xml:space="preserve">Wodonga Laying Service</t>
  </si>
  <si>
    <t xml:space="preserve">L9.J.170311</t>
  </si>
  <si>
    <t xml:space="preserve">170311</t>
  </si>
  <si>
    <t xml:space="preserve">Wodonga Sprayseal Serv</t>
  </si>
  <si>
    <t xml:space="preserve">L9.J.170312</t>
  </si>
  <si>
    <t xml:space="preserve">170312</t>
  </si>
  <si>
    <t xml:space="preserve">WPA Non Recoverable</t>
  </si>
  <si>
    <t xml:space="preserve">L9.J.24160110</t>
  </si>
  <si>
    <t xml:space="preserve">24160110</t>
  </si>
  <si>
    <t xml:space="preserve">WPA PM00 Recurring Recharges</t>
  </si>
  <si>
    <t xml:space="preserve">L9.J.24160226</t>
  </si>
  <si>
    <t xml:space="preserve">24160226</t>
  </si>
  <si>
    <t xml:space="preserve">WTP / RSM</t>
  </si>
  <si>
    <t xml:space="preserve">L9.RAL.024</t>
  </si>
  <si>
    <t xml:space="preserve">24</t>
  </si>
  <si>
    <t xml:space="preserve">WTP Mobile Tech Campbelltown</t>
  </si>
  <si>
    <t xml:space="preserve">L9.J.70930032</t>
  </si>
  <si>
    <t xml:space="preserve">3024</t>
  </si>
  <si>
    <t xml:space="preserve">Unit I2
5-7 Hepher Road</t>
  </si>
  <si>
    <t xml:space="preserve">Campbelltown</t>
  </si>
  <si>
    <t xml:space="preserve">2560</t>
  </si>
  <si>
    <t xml:space="preserve">-34.055034</t>
  </si>
  <si>
    <t xml:space="preserve">150.807827</t>
  </si>
  <si>
    <t xml:space="preserve">WTP Mobile Tech Hornsby</t>
  </si>
  <si>
    <t xml:space="preserve">3025</t>
  </si>
  <si>
    <t xml:space="preserve">2 &amp; 2a 29 Leighton Place</t>
  </si>
  <si>
    <t xml:space="preserve">Hornsby</t>
  </si>
  <si>
    <t xml:space="preserve">2077</t>
  </si>
  <si>
    <t xml:space="preserve">-33.695284</t>
  </si>
  <si>
    <t xml:space="preserve">151.113702</t>
  </si>
  <si>
    <t xml:space="preserve">WTP Waratah Head Contract</t>
  </si>
  <si>
    <t xml:space="preserve">L9.J.71000001</t>
  </si>
  <si>
    <t xml:space="preserve">71000001</t>
  </si>
  <si>
    <t xml:space="preserve">WTPA</t>
  </si>
  <si>
    <t xml:space="preserve">L9.DNZJ.PS2639</t>
  </si>
  <si>
    <t xml:space="preserve">PS2639</t>
  </si>
  <si>
    <t xml:space="preserve">53 Ballarat Street</t>
  </si>
  <si>
    <t xml:space="preserve">-45.0311</t>
  </si>
  <si>
    <t xml:space="preserve">168.663</t>
  </si>
  <si>
    <t xml:space="preserve">WWTP - Wagga Operation</t>
  </si>
  <si>
    <t xml:space="preserve">34</t>
  </si>
  <si>
    <t xml:space="preserve">WW_Narung St (Wagga Wagga), WW_Kooringal (Wagga Wagga), WW_Bomen (Wagga Wagga). Includes all Wagga Wagga WTP sites.</t>
  </si>
  <si>
    <t xml:space="preserve">-35.154232</t>
  </si>
  <si>
    <t xml:space="preserve">147.39038</t>
  </si>
  <si>
    <t xml:space="preserve">Y10209 - Tarago Fluoride Plant Upgrade</t>
  </si>
  <si>
    <t xml:space="preserve">Yarra Maintenance Supp</t>
  </si>
  <si>
    <t xml:space="preserve">L9.J.170233</t>
  </si>
  <si>
    <t xml:space="preserve">170233</t>
  </si>
  <si>
    <t xml:space="preserve">Yarra Ranges CT1960</t>
  </si>
  <si>
    <t xml:space="preserve">L9.J.17020795</t>
  </si>
  <si>
    <t xml:space="preserve">17020795</t>
  </si>
  <si>
    <t xml:space="preserve">Yarra Trams cln Admin mgmt Overhead</t>
  </si>
  <si>
    <t xml:space="preserve">L9.S.16016344</t>
  </si>
  <si>
    <t xml:space="preserve">16016344</t>
  </si>
  <si>
    <t xml:space="preserve">Yarra Trams clning Network cleaners</t>
  </si>
  <si>
    <t xml:space="preserve">L9.S.16016356</t>
  </si>
  <si>
    <t xml:space="preserve">16016356</t>
  </si>
  <si>
    <t xml:space="preserve">Yarra Trams-Australia based travel</t>
  </si>
  <si>
    <t xml:space="preserve">1018</t>
  </si>
  <si>
    <t xml:space="preserve">Yr 9 16/17 PSMC - NE</t>
  </si>
  <si>
    <t xml:space="preserve">L9.J.17020676</t>
  </si>
  <si>
    <t xml:space="preserve">17020676</t>
  </si>
  <si>
    <t xml:space="preserve">YVW Depot - Bayswater North</t>
  </si>
  <si>
    <t xml:space="preserve">L9.DUA.105482</t>
  </si>
  <si>
    <t xml:space="preserve">Bayswater Depot</t>
  </si>
  <si>
    <t xml:space="preserve">Bayswater North</t>
  </si>
  <si>
    <t xml:space="preserve">Zero Harm</t>
  </si>
  <si>
    <t xml:space="preserve">L9.DNZJ.55914</t>
  </si>
  <si>
    <t xml:space="preserve">55914</t>
  </si>
  <si>
    <t xml:space="preserve">Zero Harm &amp; Quality</t>
  </si>
  <si>
    <t xml:space="preserve">L9.J.23440140</t>
  </si>
  <si>
    <t xml:space="preserve">23440140</t>
  </si>
  <si>
    <t xml:space="preserve">Zero Harm EU</t>
  </si>
  <si>
    <t xml:space="preserve">L9.DNZJ.10014</t>
  </si>
  <si>
    <t xml:space="preserve">10014</t>
  </si>
  <si>
    <t xml:space="preserve">EU-NZU-10014 - Zero Harm</t>
  </si>
  <si>
    <t xml:space="preserve">Zinfra GMDRS</t>
  </si>
  <si>
    <t xml:space="preserve">L9.S.16015646</t>
  </si>
  <si>
    <t xml:space="preserve">16015646</t>
  </si>
  <si>
    <t xml:space="preserve">Zubri Contracting Serv</t>
  </si>
  <si>
    <t xml:space="preserve">L9.J.170416</t>
  </si>
  <si>
    <t xml:space="preserve">170416</t>
  </si>
  <si>
    <t xml:space="preserve">FY27 JV Revenue Exclusion — Monthly Totals: JV revenue (negated) vs Account Setup</t>
  </si>
  <si>
    <t xml:space="preserve">Each Account Setup monthly total must equal minus the JV revenue for that month. Extends by one row per month as FY27 fills out.</t>
  </si>
  <si>
    <t xml:space="preserve">Month</t>
  </si>
  <si>
    <t xml:space="preserve">JV Revenue (negated)</t>
  </si>
  <si>
    <t xml:space="preserve">Account Setup Total</t>
  </si>
  <si>
    <t xml:space="preserve">Difference</t>
  </si>
  <si>
    <t xml:space="preserve">Row Count (Setup)</t>
  </si>
  <si>
    <t xml:space="preserve">Status</t>
  </si>
  <si>
    <t xml:space="preserve">FY27</t>
  </si>
  <si>
    <t xml:space="preserve">Line-item check: Account Setup upload + source JV revenue = 0 for every JV and every month</t>
  </si>
  <si>
    <t xml:space="preserve">Joint Venture</t>
  </si>
  <si>
    <t xml:space="preserve">Overall</t>
  </si>
</sst>
</file>

<file path=xl/styles.xml><?xml version="1.0" encoding="utf-8"?>
<styleSheet xmlns="http://schemas.openxmlformats.org/spreadsheetml/2006/main">
  <numFmts count="3">
    <numFmt numFmtId="164" formatCode="General"/>
    <numFmt numFmtId="165" formatCode="yyyy\-mm\-dd"/>
    <numFmt numFmtId="166" formatCode="#,##0.0;\-#,##0.0;\-"/>
  </numFmts>
  <fonts count="10">
    <font>
      <sz val="11"/>
      <color theme="1"/>
      <name val="Calibri"/>
      <family val="2"/>
      <charset val="1"/>
    </font>
    <font>
      <sz val="10"/>
      <name val="Arial"/>
      <family val="0"/>
    </font>
    <font>
      <sz val="10"/>
      <name val="Arial"/>
      <family val="0"/>
    </font>
    <font>
      <sz val="10"/>
      <name val="Arial"/>
      <family val="0"/>
    </font>
    <font>
      <sz val="11"/>
      <name val="Aptos Narrow"/>
      <family val="0"/>
      <charset val="1"/>
    </font>
    <font>
      <b val="true"/>
      <sz val="11"/>
      <name val="Calibri"/>
      <family val="0"/>
      <charset val="1"/>
    </font>
    <font>
      <sz val="11"/>
      <name val="Calibri"/>
      <family val="0"/>
      <charset val="1"/>
    </font>
    <font>
      <b val="true"/>
      <sz val="12"/>
      <name val="Arial"/>
      <family val="0"/>
      <charset val="1"/>
    </font>
    <font>
      <sz val="10"/>
      <name val="Arial"/>
      <family val="0"/>
      <charset val="1"/>
    </font>
    <font>
      <b val="true"/>
      <sz val="10"/>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3" min="3" style="0" width="37.4"/>
    <col collapsed="false" customWidth="true" hidden="false" outlineLevel="0" max="4" min="4" style="0" width="16.6"/>
    <col collapsed="false" customWidth="true" hidden="false" outlineLevel="0" max="6" min="6" style="0" width="21.3"/>
    <col collapsed="false" customWidth="true" hidden="false" outlineLevel="0" max="7" min="7" style="0" width="25.6"/>
    <col collapsed="false" customWidth="true" hidden="false" outlineLevel="0" max="8" min="8" style="0" width="39"/>
    <col collapsed="false" customWidth="true" hidden="false" outlineLevel="0" max="9" min="9" style="0" width="51.3"/>
    <col collapsed="false" customWidth="true" hidden="false" outlineLevel="0" max="12" min="12" style="0" width="13.1"/>
    <col collapsed="false" customWidth="true" hidden="false" outlineLevel="0" max="13" min="13" style="0" width="12.9"/>
    <col collapsed="false" customWidth="true" hidden="false" outlineLevel="0" max="17" min="17" style="0" width="21.4"/>
    <col collapsed="false" customWidth="true" hidden="false" outlineLevel="0" max="18" min="18" style="0" width="64.9"/>
    <col collapsed="false" customWidth="true" hidden="false" outlineLevel="0" max="19" min="19" style="0" width="24.1"/>
    <col collapsed="false" customWidth="true" hidden="false" outlineLevel="0" max="20" min="20" style="0" width="9.1"/>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ustomFormat="false" ht="15" hidden="false" customHeight="false" outlineLevel="0" collapsed="false">
      <c r="A2" s="1" t="n">
        <v>37395</v>
      </c>
      <c r="B2" s="1" t="s">
        <v>21</v>
      </c>
      <c r="C2" s="1" t="s">
        <v>22</v>
      </c>
      <c r="D2" s="1" t="s">
        <v>23</v>
      </c>
      <c r="E2" s="1" t="n">
        <v>7868</v>
      </c>
      <c r="F2" s="1" t="s">
        <v>24</v>
      </c>
      <c r="G2" s="1"/>
      <c r="H2" s="1" t="s">
        <v>25</v>
      </c>
      <c r="I2" s="1" t="s">
        <v>25</v>
      </c>
      <c r="J2" s="1" t="s">
        <v>21</v>
      </c>
      <c r="K2" s="1" t="s">
        <v>26</v>
      </c>
      <c r="L2" s="2" t="s">
        <v>27</v>
      </c>
      <c r="M2" s="2" t="s">
        <v>28</v>
      </c>
      <c r="N2" s="1" t="s">
        <v>29</v>
      </c>
      <c r="O2" s="1" t="s">
        <v>30</v>
      </c>
      <c r="P2" s="1"/>
      <c r="Q2" s="1" t="s">
        <v>31</v>
      </c>
      <c r="R2" s="1" t="s">
        <v>32</v>
      </c>
      <c r="S2" s="1" t="s">
        <v>32</v>
      </c>
      <c r="T2" s="3" t="n">
        <v>0</v>
      </c>
      <c r="U2" s="1"/>
    </row>
    <row r="3" customFormat="false" ht="15" hidden="false" customHeight="false" outlineLevel="0" collapsed="false">
      <c r="A3" s="1" t="n">
        <v>37395</v>
      </c>
      <c r="B3" s="1" t="s">
        <v>21</v>
      </c>
      <c r="C3" s="1" t="s">
        <v>33</v>
      </c>
      <c r="D3" s="1" t="s">
        <v>34</v>
      </c>
      <c r="E3" s="1" t="n">
        <v>7868</v>
      </c>
      <c r="F3" s="1" t="s">
        <v>24</v>
      </c>
      <c r="G3" s="1"/>
      <c r="H3" s="1" t="s">
        <v>35</v>
      </c>
      <c r="I3" s="1" t="s">
        <v>35</v>
      </c>
      <c r="J3" s="1" t="s">
        <v>21</v>
      </c>
      <c r="K3" s="1" t="s">
        <v>26</v>
      </c>
      <c r="L3" s="2" t="s">
        <v>27</v>
      </c>
      <c r="M3" s="2" t="s">
        <v>28</v>
      </c>
      <c r="N3" s="1" t="s">
        <v>29</v>
      </c>
      <c r="O3" s="1" t="s">
        <v>30</v>
      </c>
      <c r="P3" s="1"/>
      <c r="Q3" s="1" t="s">
        <v>31</v>
      </c>
      <c r="R3" s="1" t="s">
        <v>36</v>
      </c>
      <c r="S3" s="1" t="s">
        <v>36</v>
      </c>
      <c r="T3" s="3" t="n">
        <v>-3.8</v>
      </c>
      <c r="U3" s="1"/>
    </row>
    <row r="4" customFormat="false" ht="15" hidden="false" customHeight="false" outlineLevel="0" collapsed="false">
      <c r="A4" s="1" t="n">
        <v>37395</v>
      </c>
      <c r="B4" s="1" t="s">
        <v>21</v>
      </c>
      <c r="C4" s="1" t="s">
        <v>37</v>
      </c>
      <c r="D4" s="1" t="s">
        <v>38</v>
      </c>
      <c r="E4" s="1" t="n">
        <v>7868</v>
      </c>
      <c r="F4" s="1" t="s">
        <v>24</v>
      </c>
      <c r="G4" s="1"/>
      <c r="H4" s="1" t="s">
        <v>39</v>
      </c>
      <c r="I4" s="1" t="s">
        <v>39</v>
      </c>
      <c r="J4" s="1" t="s">
        <v>21</v>
      </c>
      <c r="K4" s="1" t="s">
        <v>26</v>
      </c>
      <c r="L4" s="2" t="s">
        <v>27</v>
      </c>
      <c r="M4" s="2" t="s">
        <v>28</v>
      </c>
      <c r="N4" s="1" t="s">
        <v>29</v>
      </c>
      <c r="O4" s="1" t="s">
        <v>30</v>
      </c>
      <c r="P4" s="1"/>
      <c r="Q4" s="1" t="s">
        <v>31</v>
      </c>
      <c r="R4" s="1" t="s">
        <v>40</v>
      </c>
      <c r="S4" s="1" t="s">
        <v>40</v>
      </c>
      <c r="T4" s="3" t="n">
        <v>-3.4</v>
      </c>
      <c r="U4" s="1"/>
    </row>
    <row r="5" customFormat="false" ht="15" hidden="false" customHeight="false" outlineLevel="0" collapsed="false">
      <c r="A5" s="1" t="n">
        <v>37395</v>
      </c>
      <c r="B5" s="1" t="s">
        <v>21</v>
      </c>
      <c r="C5" s="1" t="s">
        <v>41</v>
      </c>
      <c r="D5" s="1" t="s">
        <v>42</v>
      </c>
      <c r="E5" s="1" t="n">
        <v>7868</v>
      </c>
      <c r="F5" s="1" t="s">
        <v>24</v>
      </c>
      <c r="G5" s="1"/>
      <c r="H5" s="1" t="s">
        <v>43</v>
      </c>
      <c r="I5" s="1" t="s">
        <v>43</v>
      </c>
      <c r="J5" s="1" t="s">
        <v>21</v>
      </c>
      <c r="K5" s="1" t="s">
        <v>26</v>
      </c>
      <c r="L5" s="2" t="s">
        <v>27</v>
      </c>
      <c r="M5" s="2" t="s">
        <v>28</v>
      </c>
      <c r="N5" s="1" t="s">
        <v>29</v>
      </c>
      <c r="O5" s="1" t="s">
        <v>30</v>
      </c>
      <c r="P5" s="1"/>
      <c r="Q5" s="1" t="s">
        <v>31</v>
      </c>
      <c r="R5" s="1" t="s">
        <v>44</v>
      </c>
      <c r="S5" s="1" t="s">
        <v>44</v>
      </c>
      <c r="T5" s="3" t="n">
        <v>0</v>
      </c>
      <c r="U5" s="1"/>
    </row>
    <row r="6" customFormat="false" ht="15" hidden="false" customHeight="false" outlineLevel="0" collapsed="false">
      <c r="A6" s="1" t="n">
        <v>37395</v>
      </c>
      <c r="B6" s="1" t="s">
        <v>21</v>
      </c>
      <c r="C6" s="1" t="s">
        <v>45</v>
      </c>
      <c r="D6" s="1" t="s">
        <v>46</v>
      </c>
      <c r="E6" s="1" t="n">
        <v>7868</v>
      </c>
      <c r="F6" s="1" t="s">
        <v>24</v>
      </c>
      <c r="G6" s="1"/>
      <c r="H6" s="1" t="s">
        <v>47</v>
      </c>
      <c r="I6" s="1" t="s">
        <v>47</v>
      </c>
      <c r="J6" s="1" t="s">
        <v>21</v>
      </c>
      <c r="K6" s="1" t="s">
        <v>26</v>
      </c>
      <c r="L6" s="2" t="s">
        <v>27</v>
      </c>
      <c r="M6" s="2" t="s">
        <v>28</v>
      </c>
      <c r="N6" s="1" t="s">
        <v>29</v>
      </c>
      <c r="O6" s="1" t="s">
        <v>30</v>
      </c>
      <c r="P6" s="1"/>
      <c r="Q6" s="1" t="s">
        <v>31</v>
      </c>
      <c r="R6" s="1" t="s">
        <v>48</v>
      </c>
      <c r="S6" s="1" t="s">
        <v>48</v>
      </c>
      <c r="T6" s="3" t="n">
        <v>0</v>
      </c>
      <c r="U6"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3" min="3" style="0" width="37.4"/>
    <col collapsed="false" customWidth="true" hidden="false" outlineLevel="0" max="4" min="4" style="0" width="16.6"/>
    <col collapsed="false" customWidth="true" hidden="false" outlineLevel="0" max="6" min="6" style="0" width="21.3"/>
    <col collapsed="false" customWidth="true" hidden="false" outlineLevel="0" max="7" min="7" style="0" width="25.6"/>
    <col collapsed="false" customWidth="true" hidden="false" outlineLevel="0" max="8" min="8" style="0" width="39"/>
    <col collapsed="false" customWidth="true" hidden="false" outlineLevel="0" max="9" min="9" style="0" width="51.3"/>
    <col collapsed="false" customWidth="true" hidden="false" outlineLevel="0" max="12" min="12" style="0" width="13.1"/>
    <col collapsed="false" customWidth="true" hidden="false" outlineLevel="0" max="13" min="13" style="0" width="12.9"/>
    <col collapsed="false" customWidth="true" hidden="false" outlineLevel="0" max="17" min="17" style="0" width="21.4"/>
    <col collapsed="false" customWidth="true" hidden="false" outlineLevel="0" max="18" min="18" style="0" width="64.9"/>
    <col collapsed="false" customWidth="true" hidden="false" outlineLevel="0" max="19" min="19" style="0" width="24.1"/>
    <col collapsed="false" customWidth="true" hidden="false" outlineLevel="0" max="20" min="20" style="0" width="9.1"/>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ustomFormat="false" ht="15" hidden="false" customHeight="false" outlineLevel="0" collapsed="false">
      <c r="A2" s="1" t="n">
        <v>37395</v>
      </c>
      <c r="B2" s="1" t="s">
        <v>21</v>
      </c>
      <c r="C2" s="1" t="str">
        <f aca="false">CONCATENATE("REV_",'FY27 JV Rev'!$A2)</f>
        <v>REV_Allied Asphalt</v>
      </c>
      <c r="D2" s="1" t="str">
        <f aca="false">IFERROR(INDEX('Extract_for_Locations 26 Aug 26'!$E:$E,MATCH(C2,'Extract_for_Locations 26 Aug 26'!$B:$B,0)),IFERROR(INDEX('Extract_for_Locations 26 Aug 26'!$E:$E,MATCH("_CLOSED_"&amp;C2,'Extract_for_Locations 26 Aug 26'!$B:$B,0)),""))</f>
        <v>AASPHT</v>
      </c>
      <c r="E2" s="1" t="n">
        <v>7868</v>
      </c>
      <c r="F2" s="1" t="s">
        <v>24</v>
      </c>
      <c r="G2" s="1"/>
      <c r="H2" s="1" t="str">
        <f aca="false">CONCATENATE("FY27REV_",'FY27 JV Rev'!$A2)</f>
        <v>FY27REV_Allied Asphalt</v>
      </c>
      <c r="I2" s="1" t="str">
        <f aca="false">CONCATENATE("FY27REV_",'FY27 JV Rev'!$A2)</f>
        <v>FY27REV_Allied Asphalt</v>
      </c>
      <c r="J2" s="1" t="s">
        <v>21</v>
      </c>
      <c r="K2" s="1" t="s">
        <v>26</v>
      </c>
      <c r="L2" s="2" t="s">
        <v>27</v>
      </c>
      <c r="M2" s="2" t="s">
        <v>28</v>
      </c>
      <c r="N2" s="1" t="s">
        <v>29</v>
      </c>
      <c r="O2" s="1" t="s">
        <v>30</v>
      </c>
      <c r="P2" s="1"/>
      <c r="Q2" s="1" t="s">
        <v>31</v>
      </c>
      <c r="R2" s="1" t="str">
        <f aca="false">'FY27 JV Rev'!$A2</f>
        <v>Allied Asphalt</v>
      </c>
      <c r="S2" s="1" t="str">
        <f aca="false">'FY27 JV Rev'!$A2</f>
        <v>Allied Asphalt</v>
      </c>
      <c r="T2" s="3" t="n">
        <f aca="false">-'FY27 JV Rev'!B2</f>
        <v>-0</v>
      </c>
    </row>
    <row r="3" customFormat="false" ht="15" hidden="false" customHeight="false" outlineLevel="0" collapsed="false">
      <c r="A3" s="1" t="n">
        <v>37395</v>
      </c>
      <c r="B3" s="1" t="s">
        <v>21</v>
      </c>
      <c r="C3" s="1" t="str">
        <f aca="false">CONCATENATE("REV_",'FY27 JV Rev'!$A3)</f>
        <v>REV_BIA</v>
      </c>
      <c r="D3" s="1" t="str">
        <f aca="false">IFERROR(INDEX('Extract_for_Locations 26 Aug 26'!$E:$E,MATCH(C3,'Extract_for_Locations 26 Aug 26'!$B:$B,0)),IFERROR(INDEX('Extract_for_Locations 26 Aug 26'!$E:$E,MATCH("_CLOSED_"&amp;C3,'Extract_for_Locations 26 Aug 26'!$B:$B,0)),""))</f>
        <v>RSV175-1</v>
      </c>
      <c r="E3" s="1" t="n">
        <v>7868</v>
      </c>
      <c r="F3" s="1" t="s">
        <v>24</v>
      </c>
      <c r="G3" s="1"/>
      <c r="H3" s="1" t="str">
        <f aca="false">CONCATENATE("FY27REV_",'FY27 JV Rev'!$A3)</f>
        <v>FY27REV_BIA</v>
      </c>
      <c r="I3" s="1" t="str">
        <f aca="false">CONCATENATE("FY27REV_",'FY27 JV Rev'!$A3)</f>
        <v>FY27REV_BIA</v>
      </c>
      <c r="J3" s="1" t="s">
        <v>21</v>
      </c>
      <c r="K3" s="1" t="s">
        <v>26</v>
      </c>
      <c r="L3" s="2" t="s">
        <v>27</v>
      </c>
      <c r="M3" s="2" t="s">
        <v>28</v>
      </c>
      <c r="N3" s="1" t="s">
        <v>29</v>
      </c>
      <c r="O3" s="1" t="s">
        <v>30</v>
      </c>
      <c r="P3" s="1"/>
      <c r="Q3" s="1" t="s">
        <v>31</v>
      </c>
      <c r="R3" s="1" t="str">
        <f aca="false">'FY27 JV Rev'!$A3</f>
        <v>BIA</v>
      </c>
      <c r="S3" s="1" t="str">
        <f aca="false">'FY27 JV Rev'!$A3</f>
        <v>BIA</v>
      </c>
      <c r="T3" s="3" t="n">
        <f aca="false">-'FY27 JV Rev'!B3</f>
        <v>-3.8</v>
      </c>
    </row>
    <row r="4" customFormat="false" ht="15" hidden="false" customHeight="false" outlineLevel="0" collapsed="false">
      <c r="A4" s="1" t="n">
        <v>37395</v>
      </c>
      <c r="B4" s="1" t="s">
        <v>21</v>
      </c>
      <c r="C4" s="1" t="str">
        <f aca="false">CONCATENATE("REV_",'FY27 JV Rev'!$A4)</f>
        <v>REV_EDI Rail- Bombardier Transportation</v>
      </c>
      <c r="D4" s="1" t="str">
        <f aca="false">IFERROR(INDEX('Extract_for_Locations 26 Aug 26'!$E:$E,MATCH(C4,'Extract_for_Locations 26 Aug 26'!$B:$B,0)),IFERROR(INDEX('Extract_for_Locations 26 Aug 26'!$E:$E,MATCH("_CLOSED_"&amp;C4,'Extract_for_Locations 26 Aug 26'!$B:$B,0)),""))</f>
        <v>ERBT</v>
      </c>
      <c r="E4" s="1" t="n">
        <v>7868</v>
      </c>
      <c r="F4" s="1" t="s">
        <v>24</v>
      </c>
      <c r="G4" s="1"/>
      <c r="H4" s="1" t="str">
        <f aca="false">CONCATENATE("FY27REV_",'FY27 JV Rev'!$A4)</f>
        <v>FY27REV_EDI Rail- Bombardier Transportation</v>
      </c>
      <c r="I4" s="1" t="str">
        <f aca="false">CONCATENATE("FY27REV_",'FY27 JV Rev'!$A4)</f>
        <v>FY27REV_EDI Rail- Bombardier Transportation</v>
      </c>
      <c r="J4" s="1" t="s">
        <v>21</v>
      </c>
      <c r="K4" s="1" t="s">
        <v>26</v>
      </c>
      <c r="L4" s="2" t="s">
        <v>27</v>
      </c>
      <c r="M4" s="2" t="s">
        <v>28</v>
      </c>
      <c r="N4" s="1" t="s">
        <v>29</v>
      </c>
      <c r="O4" s="1" t="s">
        <v>30</v>
      </c>
      <c r="P4" s="1"/>
      <c r="Q4" s="1" t="s">
        <v>31</v>
      </c>
      <c r="R4" s="1" t="str">
        <f aca="false">'FY27 JV Rev'!$A4</f>
        <v>EDI Rail- Bombardier Transportation</v>
      </c>
      <c r="S4" s="1" t="str">
        <f aca="false">'FY27 JV Rev'!$A4</f>
        <v>EDI Rail- Bombardier Transportation</v>
      </c>
      <c r="T4" s="3" t="n">
        <f aca="false">-'FY27 JV Rev'!B4</f>
        <v>-3.4</v>
      </c>
    </row>
    <row r="5" customFormat="false" ht="15" hidden="false" customHeight="false" outlineLevel="0" collapsed="false">
      <c r="A5" s="1" t="n">
        <v>37395</v>
      </c>
      <c r="B5" s="1" t="s">
        <v>21</v>
      </c>
      <c r="C5" s="1" t="str">
        <f aca="false">CONCATENATE("REV_",'FY27 JV Rev'!$A5)</f>
        <v>REV_Emulco</v>
      </c>
      <c r="D5" s="1" t="str">
        <f aca="false">IFERROR(INDEX('Extract_for_Locations 26 Aug 26'!$E:$E,MATCH(C5,'Extract_for_Locations 26 Aug 26'!$B:$B,0)),IFERROR(INDEX('Extract_for_Locations 26 Aug 26'!$E:$E,MATCH("_CLOSED_"&amp;C5,'Extract_for_Locations 26 Aug 26'!$B:$B,0)),""))</f>
        <v>EMU</v>
      </c>
      <c r="E5" s="1" t="n">
        <v>7868</v>
      </c>
      <c r="F5" s="1" t="s">
        <v>24</v>
      </c>
      <c r="G5" s="1"/>
      <c r="H5" s="1" t="str">
        <f aca="false">CONCATENATE("FY27REV_",'FY27 JV Rev'!$A5)</f>
        <v>FY27REV_Emulco</v>
      </c>
      <c r="I5" s="1" t="str">
        <f aca="false">CONCATENATE("FY27REV_",'FY27 JV Rev'!$A5)</f>
        <v>FY27REV_Emulco</v>
      </c>
      <c r="J5" s="1" t="s">
        <v>21</v>
      </c>
      <c r="K5" s="1" t="s">
        <v>26</v>
      </c>
      <c r="L5" s="2" t="s">
        <v>27</v>
      </c>
      <c r="M5" s="2" t="s">
        <v>28</v>
      </c>
      <c r="N5" s="1" t="s">
        <v>29</v>
      </c>
      <c r="O5" s="1" t="s">
        <v>30</v>
      </c>
      <c r="P5" s="1"/>
      <c r="Q5" s="1" t="s">
        <v>31</v>
      </c>
      <c r="R5" s="1" t="str">
        <f aca="false">'FY27 JV Rev'!$A5</f>
        <v>Emulco</v>
      </c>
      <c r="S5" s="1" t="str">
        <f aca="false">'FY27 JV Rev'!$A5</f>
        <v>Emulco</v>
      </c>
      <c r="T5" s="3" t="n">
        <f aca="false">-'FY27 JV Rev'!B5</f>
        <v>-0</v>
      </c>
    </row>
    <row r="6" customFormat="false" ht="15" hidden="false" customHeight="false" outlineLevel="0" collapsed="false">
      <c r="A6" s="1" t="n">
        <v>37395</v>
      </c>
      <c r="B6" s="1" t="s">
        <v>21</v>
      </c>
      <c r="C6" s="1" t="str">
        <f aca="false">CONCATENATE("REV_",'FY27 JV Rev'!$A6)</f>
        <v>REV_Isaac Asphalt</v>
      </c>
      <c r="D6" s="1" t="str">
        <f aca="false">IFERROR(INDEX('Extract_for_Locations 26 Aug 26'!$E:$E,MATCH(C6,'Extract_for_Locations 26 Aug 26'!$B:$B,0)),IFERROR(INDEX('Extract_for_Locations 26 Aug 26'!$E:$E,MATCH("_CLOSED_"&amp;C6,'Extract_for_Locations 26 Aug 26'!$B:$B,0)),""))</f>
        <v>ISAAT</v>
      </c>
      <c r="E6" s="1" t="n">
        <v>7868</v>
      </c>
      <c r="F6" s="1" t="s">
        <v>24</v>
      </c>
      <c r="G6" s="1"/>
      <c r="H6" s="1" t="str">
        <f aca="false">CONCATENATE("FY27REV_",'FY27 JV Rev'!$A6)</f>
        <v>FY27REV_Isaac Asphalt</v>
      </c>
      <c r="I6" s="1" t="str">
        <f aca="false">CONCATENATE("FY27REV_",'FY27 JV Rev'!$A6)</f>
        <v>FY27REV_Isaac Asphalt</v>
      </c>
      <c r="J6" s="1" t="s">
        <v>21</v>
      </c>
      <c r="K6" s="1" t="s">
        <v>26</v>
      </c>
      <c r="L6" s="2" t="s">
        <v>27</v>
      </c>
      <c r="M6" s="2" t="s">
        <v>28</v>
      </c>
      <c r="N6" s="1" t="s">
        <v>29</v>
      </c>
      <c r="O6" s="1" t="s">
        <v>30</v>
      </c>
      <c r="P6" s="1"/>
      <c r="Q6" s="1" t="s">
        <v>31</v>
      </c>
      <c r="R6" s="1" t="str">
        <f aca="false">'FY27 JV Rev'!$A6</f>
        <v>Isaac Asphalt</v>
      </c>
      <c r="S6" s="1" t="str">
        <f aca="false">'FY27 JV Rev'!$A6</f>
        <v>Isaac Asphalt</v>
      </c>
      <c r="T6" s="3" t="n">
        <f aca="false">-'FY27 JV Rev'!B6</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3.3"/>
  </cols>
  <sheetData>
    <row r="1" customFormat="false" ht="15" hidden="false" customHeight="false" outlineLevel="0" collapsed="false">
      <c r="A1" s="4" t="s">
        <v>49</v>
      </c>
      <c r="B1" s="4" t="s">
        <v>50</v>
      </c>
    </row>
    <row r="2" customFormat="false" ht="15" hidden="false" customHeight="false" outlineLevel="0" collapsed="false">
      <c r="A2" s="5" t="s">
        <v>32</v>
      </c>
      <c r="B2" s="5" t="n">
        <v>0</v>
      </c>
    </row>
    <row r="3" customFormat="false" ht="15" hidden="false" customHeight="false" outlineLevel="0" collapsed="false">
      <c r="A3" s="5" t="s">
        <v>36</v>
      </c>
      <c r="B3" s="5" t="n">
        <v>3.8</v>
      </c>
    </row>
    <row r="4" customFormat="false" ht="15" hidden="false" customHeight="false" outlineLevel="0" collapsed="false">
      <c r="A4" s="5" t="s">
        <v>40</v>
      </c>
      <c r="B4" s="5" t="n">
        <v>3.4</v>
      </c>
    </row>
    <row r="5" customFormat="false" ht="15" hidden="false" customHeight="false" outlineLevel="0" collapsed="false">
      <c r="A5" s="5" t="s">
        <v>44</v>
      </c>
      <c r="B5" s="5" t="n">
        <v>0</v>
      </c>
    </row>
    <row r="6" customFormat="false" ht="15" hidden="false" customHeight="false" outlineLevel="0" collapsed="false">
      <c r="A6" s="5" t="s">
        <v>48</v>
      </c>
      <c r="B6" s="5" t="n">
        <v>0</v>
      </c>
    </row>
    <row r="7" customFormat="false" ht="15" hidden="false" customHeight="false" outlineLevel="0" collapsed="false">
      <c r="A7" s="5"/>
      <c r="B7" s="5"/>
    </row>
    <row r="8" customFormat="false" ht="15" hidden="false" customHeight="false" outlineLevel="0" collapsed="false">
      <c r="A8" s="5" t="s">
        <v>51</v>
      </c>
      <c r="B8" s="5" t="n">
        <v>7.2</v>
      </c>
    </row>
    <row r="9" customFormat="false" ht="15" hidden="false" customHeight="false" outlineLevel="0" collapsed="false">
      <c r="A9" s="5" t="s">
        <v>52</v>
      </c>
      <c r="B9" s="5" t="n">
        <f aca="false">B8-SUM(B2:B6)</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8"/>
    <col collapsed="false" customWidth="true" hidden="false" outlineLevel="0" max="2" min="2" style="0" width="9.5"/>
    <col collapsed="false" customWidth="true" hidden="false" outlineLevel="0" max="3" min="3" style="0" width="10.5"/>
    <col collapsed="false" customWidth="true" hidden="false" outlineLevel="0" max="4" min="4" style="0" width="13"/>
    <col collapsed="false" customWidth="true" hidden="false" outlineLevel="0" max="5" min="5" style="0" width="55"/>
  </cols>
  <sheetData>
    <row r="1" customFormat="false" ht="15" hidden="false" customHeight="false" outlineLevel="0" collapsed="false">
      <c r="A1" s="6" t="s">
        <v>53</v>
      </c>
      <c r="B1" s="6"/>
      <c r="C1" s="6"/>
      <c r="D1" s="6"/>
      <c r="E1" s="6"/>
    </row>
    <row r="2" customFormat="false" ht="15" hidden="false" customHeight="false" outlineLevel="0" collapsed="false">
      <c r="A2" s="7" t="s">
        <v>54</v>
      </c>
      <c r="B2" s="7"/>
      <c r="C2" s="7"/>
      <c r="D2" s="7"/>
      <c r="E2" s="7"/>
    </row>
    <row r="3" customFormat="false" ht="15" hidden="false" customHeight="false" outlineLevel="0" collapsed="false">
      <c r="A3" s="7"/>
      <c r="B3" s="7"/>
      <c r="C3" s="7"/>
      <c r="D3" s="7"/>
      <c r="E3" s="7"/>
    </row>
    <row r="4" customFormat="false" ht="15" hidden="false" customHeight="false" outlineLevel="0" collapsed="false">
      <c r="A4" s="6" t="s">
        <v>49</v>
      </c>
      <c r="B4" s="6" t="s">
        <v>55</v>
      </c>
      <c r="C4" s="6" t="s">
        <v>56</v>
      </c>
      <c r="D4" s="6" t="s">
        <v>3</v>
      </c>
      <c r="E4" s="6" t="s">
        <v>57</v>
      </c>
    </row>
    <row r="5" customFormat="false" ht="15" hidden="false" customHeight="false" outlineLevel="0" collapsed="false">
      <c r="A5" s="7" t="s">
        <v>32</v>
      </c>
      <c r="B5" s="8" t="n">
        <f aca="false">'FY27 JV Rev'!B2</f>
        <v>0</v>
      </c>
      <c r="C5" s="8" t="n">
        <f aca="false">SUM(B5:B5)</f>
        <v>0</v>
      </c>
      <c r="D5" s="7" t="str">
        <f aca="false">IFERROR(INDEX('Extract_for_Locations 26 Aug 26'!$E:$E,MATCH("REV_"&amp;$A5,'Extract_for_Locations 26 Aug 26'!$B:$B,0)),IFERROR(INDEX('Extract_for_Locations 26 Aug 26'!$E:$E,MATCH("_CLOSED_"&amp;"REV_"&amp;$A5,'Extract_for_Locations 26 Aug 26'!$B:$B,0)),""))</f>
        <v>AASPHT</v>
      </c>
      <c r="E5" s="7" t="s">
        <v>58</v>
      </c>
    </row>
    <row r="6" customFormat="false" ht="15" hidden="false" customHeight="false" outlineLevel="0" collapsed="false">
      <c r="A6" s="7" t="s">
        <v>36</v>
      </c>
      <c r="B6" s="8" t="n">
        <f aca="false">'FY27 JV Rev'!B3</f>
        <v>3.8</v>
      </c>
      <c r="C6" s="8" t="n">
        <f aca="false">SUM(B6:B6)</f>
        <v>3.8</v>
      </c>
      <c r="D6" s="7" t="str">
        <f aca="false">IFERROR(INDEX('Extract_for_Locations 26 Aug 26'!$E:$E,MATCH("REV_"&amp;$A6,'Extract_for_Locations 26 Aug 26'!$B:$B,0)),IFERROR(INDEX('Extract_for_Locations 26 Aug 26'!$E:$E,MATCH("_CLOSED_"&amp;"REV_"&amp;$A6,'Extract_for_Locations 26 Aug 26'!$B:$B,0)),""))</f>
        <v>RSV175-1</v>
      </c>
      <c r="E6" s="7" t="s">
        <v>59</v>
      </c>
    </row>
    <row r="7" customFormat="false" ht="15" hidden="false" customHeight="false" outlineLevel="0" collapsed="false">
      <c r="A7" s="7" t="s">
        <v>40</v>
      </c>
      <c r="B7" s="8" t="n">
        <f aca="false">'FY27 JV Rev'!B4</f>
        <v>3.4</v>
      </c>
      <c r="C7" s="8" t="n">
        <f aca="false">SUM(B7:B7)</f>
        <v>3.4</v>
      </c>
      <c r="D7" s="7" t="str">
        <f aca="false">IFERROR(INDEX('Extract_for_Locations 26 Aug 26'!$E:$E,MATCH("REV_"&amp;$A7,'Extract_for_Locations 26 Aug 26'!$B:$B,0)),IFERROR(INDEX('Extract_for_Locations 26 Aug 26'!$E:$E,MATCH("_CLOSED_"&amp;"REV_"&amp;$A7,'Extract_for_Locations 26 Aug 26'!$B:$B,0)),""))</f>
        <v>ERBT</v>
      </c>
      <c r="E7" s="7" t="s">
        <v>60</v>
      </c>
    </row>
    <row r="8" customFormat="false" ht="15" hidden="false" customHeight="false" outlineLevel="0" collapsed="false">
      <c r="A8" s="7" t="s">
        <v>44</v>
      </c>
      <c r="B8" s="8" t="n">
        <f aca="false">'FY27 JV Rev'!B5</f>
        <v>0</v>
      </c>
      <c r="C8" s="8" t="n">
        <f aca="false">SUM(B8:B8)</f>
        <v>0</v>
      </c>
      <c r="D8" s="7" t="str">
        <f aca="false">IFERROR(INDEX('Extract_for_Locations 26 Aug 26'!$E:$E,MATCH("REV_"&amp;$A8,'Extract_for_Locations 26 Aug 26'!$B:$B,0)),IFERROR(INDEX('Extract_for_Locations 26 Aug 26'!$E:$E,MATCH("_CLOSED_"&amp;"REV_"&amp;$A8,'Extract_for_Locations 26 Aug 26'!$B:$B,0)),""))</f>
        <v>EMU</v>
      </c>
      <c r="E8" s="7" t="s">
        <v>58</v>
      </c>
    </row>
    <row r="9" customFormat="false" ht="15" hidden="false" customHeight="false" outlineLevel="0" collapsed="false">
      <c r="A9" s="7" t="s">
        <v>48</v>
      </c>
      <c r="B9" s="8" t="n">
        <f aca="false">'FY27 JV Rev'!B6</f>
        <v>0</v>
      </c>
      <c r="C9" s="8" t="n">
        <f aca="false">SUM(B9:B9)</f>
        <v>0</v>
      </c>
      <c r="D9" s="7" t="str">
        <f aca="false">IFERROR(INDEX('Extract_for_Locations 26 Aug 26'!$E:$E,MATCH("REV_"&amp;$A9,'Extract_for_Locations 26 Aug 26'!$B:$B,0)),IFERROR(INDEX('Extract_for_Locations 26 Aug 26'!$E:$E,MATCH("_CLOSED_"&amp;"REV_"&amp;$A9,'Extract_for_Locations 26 Aug 26'!$B:$B,0)),""))</f>
        <v>ISAAT</v>
      </c>
      <c r="E9" s="7" t="s">
        <v>58</v>
      </c>
    </row>
    <row r="10" customFormat="false" ht="15" hidden="false" customHeight="false" outlineLevel="0" collapsed="false">
      <c r="A10" s="7" t="s">
        <v>51</v>
      </c>
      <c r="B10" s="8" t="n">
        <f aca="false">SUM(B5:B9)</f>
        <v>7.2</v>
      </c>
      <c r="C10" s="8" t="n">
        <f aca="false">SUM(C5:C9)</f>
        <v>7.2</v>
      </c>
      <c r="D10" s="7"/>
      <c r="E10" s="7"/>
    </row>
    <row r="11" customFormat="false" ht="15" hidden="false" customHeight="false" outlineLevel="0" collapsed="false">
      <c r="A11" s="7"/>
      <c r="B11" s="7"/>
      <c r="C11" s="7"/>
      <c r="D11" s="7"/>
      <c r="E11" s="7"/>
    </row>
    <row r="12" customFormat="false" ht="15" hidden="false" customHeight="false" outlineLevel="0" collapsed="false">
      <c r="A12" s="6" t="s">
        <v>61</v>
      </c>
      <c r="B12" s="7"/>
      <c r="C12" s="7"/>
      <c r="D12" s="7"/>
      <c r="E12" s="7"/>
    </row>
    <row r="13" customFormat="false" ht="15" hidden="false" customHeight="false" outlineLevel="0" collapsed="false">
      <c r="A13" s="7" t="s">
        <v>62</v>
      </c>
      <c r="B13" s="7"/>
      <c r="C13" s="7"/>
      <c r="D13" s="7"/>
      <c r="E13" s="7"/>
    </row>
    <row r="14" customFormat="false" ht="15" hidden="false" customHeight="false" outlineLevel="0" collapsed="false">
      <c r="A14" s="7" t="s">
        <v>63</v>
      </c>
      <c r="B14" s="7"/>
      <c r="C14" s="7"/>
      <c r="D14" s="7"/>
      <c r="E14" s="7"/>
    </row>
    <row r="15" customFormat="false" ht="15" hidden="false" customHeight="false" outlineLevel="0" collapsed="false">
      <c r="A15" s="7" t="s">
        <v>64</v>
      </c>
      <c r="B15" s="7"/>
      <c r="C15" s="7"/>
      <c r="D15" s="7"/>
      <c r="E15" s="7"/>
    </row>
    <row r="16" customFormat="false" ht="15" hidden="false" customHeight="false" outlineLevel="0" collapsed="false">
      <c r="A16" s="7" t="s">
        <v>65</v>
      </c>
      <c r="B16" s="7"/>
      <c r="C16" s="7"/>
      <c r="D16" s="7"/>
      <c r="E16" s="7"/>
    </row>
    <row r="17" customFormat="false" ht="15" hidden="false" customHeight="false" outlineLevel="0" collapsed="false">
      <c r="A17" s="7" t="s">
        <v>66</v>
      </c>
      <c r="B17" s="7"/>
      <c r="C17" s="7"/>
      <c r="D17" s="7"/>
      <c r="E17" s="7"/>
    </row>
    <row r="18" customFormat="false" ht="15" hidden="false" customHeight="false" outlineLevel="0" collapsed="false">
      <c r="A18" s="7" t="s">
        <v>67</v>
      </c>
      <c r="B18" s="7"/>
      <c r="C18" s="7"/>
      <c r="D18" s="7"/>
      <c r="E18" s="7"/>
    </row>
    <row r="19" customFormat="false" ht="15" hidden="false" customHeight="false" outlineLevel="0" collapsed="false">
      <c r="A19" s="7" t="s">
        <v>68</v>
      </c>
      <c r="B19" s="7"/>
      <c r="C19" s="7"/>
      <c r="D19" s="7"/>
      <c r="E19" s="7"/>
    </row>
    <row r="20" customFormat="false" ht="15" hidden="false" customHeight="false" outlineLevel="0" collapsed="false">
      <c r="A20" s="7" t="s">
        <v>69</v>
      </c>
      <c r="B20" s="7"/>
      <c r="C20" s="7"/>
      <c r="D20" s="7"/>
      <c r="E20"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6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2" style="0" width="108.7"/>
    <col collapsed="false" customWidth="true" hidden="false" outlineLevel="0" max="3" min="3" style="0" width="26"/>
    <col collapsed="false" customWidth="true" hidden="false" outlineLevel="0" max="4" min="4" style="0" width="23.6"/>
    <col collapsed="false" customWidth="true" hidden="false" outlineLevel="0" max="5" min="5" style="0" width="33.9"/>
  </cols>
  <sheetData>
    <row r="1" customFormat="false" ht="15" hidden="false" customHeight="false" outlineLevel="0" collapsed="false">
      <c r="A1" s="4" t="s">
        <v>70</v>
      </c>
      <c r="B1" s="4" t="s">
        <v>71</v>
      </c>
      <c r="C1" s="4" t="s">
        <v>72</v>
      </c>
      <c r="D1" s="4" t="s">
        <v>73</v>
      </c>
      <c r="E1" s="4" t="s">
        <v>3</v>
      </c>
      <c r="F1" s="4" t="s">
        <v>74</v>
      </c>
      <c r="G1" s="4" t="s">
        <v>61</v>
      </c>
      <c r="H1" s="4" t="s">
        <v>75</v>
      </c>
      <c r="I1" s="4" t="s">
        <v>76</v>
      </c>
      <c r="J1" s="4" t="s">
        <v>77</v>
      </c>
      <c r="K1" s="4" t="s">
        <v>78</v>
      </c>
      <c r="L1" s="4" t="s">
        <v>79</v>
      </c>
      <c r="M1" s="4" t="s">
        <v>80</v>
      </c>
      <c r="N1" s="4" t="s">
        <v>81</v>
      </c>
      <c r="O1" s="4" t="s">
        <v>82</v>
      </c>
      <c r="P1" s="4" t="s">
        <v>83</v>
      </c>
      <c r="Q1" s="4" t="s">
        <v>84</v>
      </c>
      <c r="R1" s="4" t="s">
        <v>85</v>
      </c>
      <c r="S1" s="4" t="s">
        <v>86</v>
      </c>
      <c r="T1" s="4" t="s">
        <v>87</v>
      </c>
      <c r="U1" s="4" t="s">
        <v>88</v>
      </c>
      <c r="V1" s="4" t="s">
        <v>89</v>
      </c>
      <c r="W1" s="4" t="s">
        <v>90</v>
      </c>
      <c r="X1" s="4" t="s">
        <v>91</v>
      </c>
      <c r="Y1" s="4" t="s">
        <v>92</v>
      </c>
      <c r="Z1" s="4" t="s">
        <v>93</v>
      </c>
      <c r="AA1" s="4" t="s">
        <v>94</v>
      </c>
      <c r="AB1" s="4" t="s">
        <v>95</v>
      </c>
    </row>
    <row r="2" customFormat="false" ht="15" hidden="false" customHeight="false" outlineLevel="0" collapsed="false">
      <c r="A2" s="0" t="s">
        <v>21</v>
      </c>
      <c r="B2" s="0" t="s">
        <v>96</v>
      </c>
      <c r="C2" s="0" t="s">
        <v>97</v>
      </c>
      <c r="D2" s="0" t="s">
        <v>98</v>
      </c>
      <c r="E2" s="0" t="s">
        <v>99</v>
      </c>
      <c r="M2" s="0" t="s">
        <v>100</v>
      </c>
      <c r="N2" s="0" t="s">
        <v>101</v>
      </c>
      <c r="P2" s="0" t="s">
        <v>102</v>
      </c>
      <c r="Q2" s="0" t="s">
        <v>102</v>
      </c>
      <c r="R2" s="0" t="s">
        <v>103</v>
      </c>
      <c r="S2" s="0" t="s">
        <v>21</v>
      </c>
      <c r="T2" s="0" t="s">
        <v>104</v>
      </c>
      <c r="W2" s="0" t="s">
        <v>105</v>
      </c>
    </row>
    <row r="3" customFormat="false" ht="15" hidden="false" customHeight="false" outlineLevel="0" collapsed="false">
      <c r="A3" s="0" t="s">
        <v>21</v>
      </c>
      <c r="B3" s="0" t="s">
        <v>106</v>
      </c>
      <c r="C3" s="0" t="s">
        <v>97</v>
      </c>
      <c r="D3" s="0" t="s">
        <v>107</v>
      </c>
      <c r="E3" s="0" t="s">
        <v>108</v>
      </c>
      <c r="M3" s="0" t="s">
        <v>100</v>
      </c>
      <c r="N3" s="0" t="s">
        <v>101</v>
      </c>
      <c r="P3" s="0" t="s">
        <v>102</v>
      </c>
      <c r="Q3" s="0" t="s">
        <v>102</v>
      </c>
      <c r="R3" s="0" t="s">
        <v>103</v>
      </c>
      <c r="S3" s="0" t="s">
        <v>21</v>
      </c>
      <c r="T3" s="0" t="s">
        <v>104</v>
      </c>
      <c r="W3" s="0" t="s">
        <v>105</v>
      </c>
    </row>
    <row r="4" customFormat="false" ht="15" hidden="false" customHeight="false" outlineLevel="0" collapsed="false">
      <c r="A4" s="0" t="s">
        <v>21</v>
      </c>
      <c r="B4" s="0" t="s">
        <v>109</v>
      </c>
      <c r="C4" s="0" t="s">
        <v>110</v>
      </c>
      <c r="D4" s="0" t="s">
        <v>111</v>
      </c>
      <c r="E4" s="0" t="s">
        <v>111</v>
      </c>
      <c r="M4" s="0" t="s">
        <v>112</v>
      </c>
      <c r="N4" s="0" t="s">
        <v>101</v>
      </c>
      <c r="P4" s="0" t="s">
        <v>102</v>
      </c>
      <c r="Q4" s="0" t="s">
        <v>102</v>
      </c>
      <c r="R4" s="0" t="s">
        <v>113</v>
      </c>
      <c r="S4" s="0" t="s">
        <v>21</v>
      </c>
      <c r="T4" s="0" t="s">
        <v>104</v>
      </c>
      <c r="W4" s="0" t="s">
        <v>105</v>
      </c>
      <c r="AB4" s="0" t="s">
        <v>114</v>
      </c>
    </row>
    <row r="5" customFormat="false" ht="15" hidden="false" customHeight="false" outlineLevel="0" collapsed="false">
      <c r="A5" s="0" t="s">
        <v>21</v>
      </c>
      <c r="B5" s="0" t="s">
        <v>115</v>
      </c>
      <c r="C5" s="0" t="s">
        <v>116</v>
      </c>
      <c r="D5" s="0" t="s">
        <v>117</v>
      </c>
      <c r="E5" s="0" t="s">
        <v>118</v>
      </c>
      <c r="G5" s="0" t="s">
        <v>119</v>
      </c>
      <c r="H5" s="0" t="s">
        <v>120</v>
      </c>
      <c r="I5" s="0" t="s">
        <v>121</v>
      </c>
      <c r="J5" s="0" t="s">
        <v>122</v>
      </c>
      <c r="K5" s="0" t="s">
        <v>123</v>
      </c>
      <c r="M5" s="0" t="s">
        <v>121</v>
      </c>
      <c r="N5" s="0" t="s">
        <v>124</v>
      </c>
      <c r="P5" s="0" t="s">
        <v>102</v>
      </c>
      <c r="Q5" s="0" t="s">
        <v>102</v>
      </c>
      <c r="R5" s="0" t="s">
        <v>113</v>
      </c>
      <c r="S5" s="0" t="s">
        <v>21</v>
      </c>
      <c r="T5" s="0" t="s">
        <v>104</v>
      </c>
      <c r="W5" s="0" t="s">
        <v>105</v>
      </c>
      <c r="AB5" s="0" t="s">
        <v>125</v>
      </c>
    </row>
    <row r="6" customFormat="false" ht="15" hidden="false" customHeight="false" outlineLevel="0" collapsed="false">
      <c r="A6" s="0" t="s">
        <v>21</v>
      </c>
      <c r="B6" s="0" t="s">
        <v>126</v>
      </c>
      <c r="C6" s="0" t="s">
        <v>97</v>
      </c>
      <c r="D6" s="0" t="s">
        <v>127</v>
      </c>
      <c r="E6" s="0" t="s">
        <v>128</v>
      </c>
      <c r="M6" s="0" t="s">
        <v>129</v>
      </c>
      <c r="N6" s="0" t="s">
        <v>124</v>
      </c>
      <c r="P6" s="0" t="s">
        <v>130</v>
      </c>
      <c r="Q6" s="0" t="s">
        <v>130</v>
      </c>
      <c r="R6" s="0" t="s">
        <v>131</v>
      </c>
      <c r="S6" s="0" t="s">
        <v>21</v>
      </c>
      <c r="T6" s="0" t="s">
        <v>104</v>
      </c>
      <c r="W6" s="0" t="s">
        <v>105</v>
      </c>
      <c r="X6" s="0" t="s">
        <v>132</v>
      </c>
      <c r="Y6" s="0" t="s">
        <v>133</v>
      </c>
      <c r="Z6" s="0" t="s">
        <v>134</v>
      </c>
    </row>
    <row r="7" customFormat="false" ht="15" hidden="false" customHeight="false" outlineLevel="0" collapsed="false">
      <c r="A7" s="0" t="s">
        <v>21</v>
      </c>
      <c r="B7" s="0" t="s">
        <v>135</v>
      </c>
      <c r="C7" s="0" t="s">
        <v>97</v>
      </c>
      <c r="M7" s="0" t="s">
        <v>136</v>
      </c>
      <c r="N7" s="0" t="s">
        <v>124</v>
      </c>
      <c r="P7" s="0" t="s">
        <v>130</v>
      </c>
      <c r="Q7" s="0" t="s">
        <v>130</v>
      </c>
      <c r="R7" s="0" t="s">
        <v>137</v>
      </c>
      <c r="S7" s="0" t="s">
        <v>21</v>
      </c>
      <c r="T7" s="0" t="s">
        <v>104</v>
      </c>
      <c r="W7" s="0" t="s">
        <v>105</v>
      </c>
    </row>
    <row r="8" customFormat="false" ht="15" hidden="false" customHeight="false" outlineLevel="0" collapsed="false">
      <c r="A8" s="0" t="s">
        <v>21</v>
      </c>
      <c r="B8" s="0" t="s">
        <v>138</v>
      </c>
      <c r="C8" s="0" t="s">
        <v>139</v>
      </c>
      <c r="D8" s="0" t="s">
        <v>140</v>
      </c>
      <c r="E8" s="0" t="s">
        <v>141</v>
      </c>
      <c r="F8" s="0" t="s">
        <v>141</v>
      </c>
      <c r="G8" s="0" t="s">
        <v>142</v>
      </c>
      <c r="M8" s="0" t="s">
        <v>143</v>
      </c>
      <c r="N8" s="0" t="s">
        <v>124</v>
      </c>
      <c r="P8" s="0" t="s">
        <v>102</v>
      </c>
      <c r="Q8" s="0" t="s">
        <v>102</v>
      </c>
      <c r="R8" s="0" t="s">
        <v>144</v>
      </c>
      <c r="S8" s="0" t="s">
        <v>21</v>
      </c>
      <c r="T8" s="0" t="s">
        <v>104</v>
      </c>
      <c r="U8" s="0" t="s">
        <v>145</v>
      </c>
      <c r="V8" s="0" t="s">
        <v>146</v>
      </c>
      <c r="W8" s="0" t="s">
        <v>105</v>
      </c>
      <c r="X8" s="0" t="s">
        <v>147</v>
      </c>
      <c r="Y8" s="0" t="s">
        <v>148</v>
      </c>
      <c r="Z8" s="0" t="s">
        <v>149</v>
      </c>
      <c r="AA8" s="0" t="s">
        <v>150</v>
      </c>
      <c r="AB8" s="0" t="s">
        <v>151</v>
      </c>
    </row>
    <row r="9" customFormat="false" ht="15" hidden="false" customHeight="false" outlineLevel="0" collapsed="false">
      <c r="A9" s="0" t="s">
        <v>21</v>
      </c>
      <c r="B9" s="0" t="s">
        <v>152</v>
      </c>
      <c r="C9" s="0" t="s">
        <v>139</v>
      </c>
      <c r="D9" s="0" t="s">
        <v>153</v>
      </c>
      <c r="E9" s="0" t="s">
        <v>154</v>
      </c>
      <c r="H9" s="0" t="s">
        <v>155</v>
      </c>
      <c r="I9" s="0" t="s">
        <v>156</v>
      </c>
      <c r="J9" s="0" t="s">
        <v>157</v>
      </c>
      <c r="K9" s="0" t="s">
        <v>158</v>
      </c>
      <c r="M9" s="0" t="s">
        <v>136</v>
      </c>
      <c r="N9" s="0" t="s">
        <v>124</v>
      </c>
      <c r="P9" s="0" t="s">
        <v>102</v>
      </c>
      <c r="Q9" s="0" t="s">
        <v>102</v>
      </c>
      <c r="R9" s="0" t="s">
        <v>137</v>
      </c>
      <c r="S9" s="0" t="s">
        <v>21</v>
      </c>
      <c r="T9" s="0" t="s">
        <v>104</v>
      </c>
      <c r="W9" s="0" t="s">
        <v>105</v>
      </c>
      <c r="Z9" s="0" t="s">
        <v>159</v>
      </c>
      <c r="AB9" s="0" t="s">
        <v>160</v>
      </c>
    </row>
    <row r="10" customFormat="false" ht="15" hidden="false" customHeight="false" outlineLevel="0" collapsed="false">
      <c r="A10" s="0" t="s">
        <v>21</v>
      </c>
      <c r="B10" s="0" t="s">
        <v>161</v>
      </c>
      <c r="C10" s="0" t="s">
        <v>97</v>
      </c>
      <c r="D10" s="0" t="s">
        <v>162</v>
      </c>
      <c r="E10" s="0" t="s">
        <v>163</v>
      </c>
      <c r="G10" s="0" t="s">
        <v>164</v>
      </c>
      <c r="H10" s="0" t="s">
        <v>165</v>
      </c>
      <c r="I10" s="0" t="s">
        <v>166</v>
      </c>
      <c r="J10" s="0" t="s">
        <v>167</v>
      </c>
      <c r="K10" s="0" t="s">
        <v>168</v>
      </c>
      <c r="L10" s="0" t="s">
        <v>101</v>
      </c>
      <c r="M10" s="0" t="s">
        <v>166</v>
      </c>
      <c r="N10" s="0" t="s">
        <v>101</v>
      </c>
      <c r="P10" s="0" t="s">
        <v>102</v>
      </c>
      <c r="Q10" s="0" t="s">
        <v>102</v>
      </c>
      <c r="R10" s="0" t="s">
        <v>113</v>
      </c>
      <c r="S10" s="0" t="s">
        <v>21</v>
      </c>
      <c r="T10" s="0" t="s">
        <v>104</v>
      </c>
      <c r="W10" s="0" t="s">
        <v>105</v>
      </c>
      <c r="X10" s="0" t="s">
        <v>169</v>
      </c>
      <c r="Y10" s="0" t="s">
        <v>170</v>
      </c>
      <c r="Z10" s="0" t="s">
        <v>171</v>
      </c>
      <c r="AA10" s="0" t="s">
        <v>172</v>
      </c>
    </row>
    <row r="11" customFormat="false" ht="15" hidden="false" customHeight="false" outlineLevel="0" collapsed="false">
      <c r="A11" s="0" t="s">
        <v>21</v>
      </c>
      <c r="B11" s="0" t="s">
        <v>173</v>
      </c>
      <c r="C11" s="0" t="s">
        <v>174</v>
      </c>
      <c r="D11" s="0" t="s">
        <v>175</v>
      </c>
      <c r="E11" s="0" t="s">
        <v>176</v>
      </c>
      <c r="G11" s="0" t="s">
        <v>177</v>
      </c>
      <c r="M11" s="0" t="s">
        <v>178</v>
      </c>
      <c r="N11" s="0" t="s">
        <v>124</v>
      </c>
      <c r="P11" s="0" t="s">
        <v>102</v>
      </c>
      <c r="Q11" s="0" t="s">
        <v>102</v>
      </c>
      <c r="R11" s="0" t="s">
        <v>131</v>
      </c>
      <c r="S11" s="0" t="s">
        <v>21</v>
      </c>
      <c r="T11" s="0" t="s">
        <v>104</v>
      </c>
      <c r="W11" s="0" t="s">
        <v>105</v>
      </c>
      <c r="AB11" s="0" t="s">
        <v>179</v>
      </c>
    </row>
    <row r="12" customFormat="false" ht="15" hidden="false" customHeight="false" outlineLevel="0" collapsed="false">
      <c r="A12" s="0" t="s">
        <v>21</v>
      </c>
      <c r="B12" s="0" t="s">
        <v>173</v>
      </c>
      <c r="C12" s="0" t="s">
        <v>174</v>
      </c>
      <c r="D12" s="0" t="s">
        <v>175</v>
      </c>
      <c r="E12" s="0" t="s">
        <v>176</v>
      </c>
      <c r="G12" s="0" t="s">
        <v>177</v>
      </c>
      <c r="M12" s="0" t="s">
        <v>178</v>
      </c>
      <c r="N12" s="0" t="s">
        <v>124</v>
      </c>
      <c r="P12" s="0" t="s">
        <v>180</v>
      </c>
      <c r="Q12" s="0" t="s">
        <v>181</v>
      </c>
      <c r="R12" s="0" t="s">
        <v>182</v>
      </c>
      <c r="S12" s="0" t="s">
        <v>21</v>
      </c>
      <c r="T12" s="0" t="s">
        <v>104</v>
      </c>
      <c r="W12" s="0" t="s">
        <v>183</v>
      </c>
      <c r="AB12" s="0" t="s">
        <v>179</v>
      </c>
    </row>
    <row r="13" customFormat="false" ht="15" hidden="false" customHeight="false" outlineLevel="0" collapsed="false">
      <c r="A13" s="0" t="s">
        <v>21</v>
      </c>
      <c r="B13" s="0" t="s">
        <v>184</v>
      </c>
      <c r="C13" s="0" t="s">
        <v>174</v>
      </c>
      <c r="D13" s="0" t="s">
        <v>185</v>
      </c>
      <c r="E13" s="0" t="s">
        <v>186</v>
      </c>
      <c r="G13" s="0" t="s">
        <v>187</v>
      </c>
      <c r="M13" s="0" t="s">
        <v>178</v>
      </c>
      <c r="N13" s="0" t="s">
        <v>124</v>
      </c>
      <c r="P13" s="0" t="s">
        <v>102</v>
      </c>
      <c r="Q13" s="0" t="s">
        <v>102</v>
      </c>
      <c r="R13" s="0" t="s">
        <v>131</v>
      </c>
      <c r="S13" s="0" t="s">
        <v>21</v>
      </c>
      <c r="T13" s="0" t="s">
        <v>104</v>
      </c>
      <c r="W13" s="0" t="s">
        <v>105</v>
      </c>
      <c r="AB13" s="0" t="s">
        <v>188</v>
      </c>
    </row>
    <row r="14" customFormat="false" ht="15" hidden="false" customHeight="false" outlineLevel="0" collapsed="false">
      <c r="A14" s="0" t="s">
        <v>21</v>
      </c>
      <c r="B14" s="0" t="s">
        <v>184</v>
      </c>
      <c r="C14" s="0" t="s">
        <v>174</v>
      </c>
      <c r="D14" s="0" t="s">
        <v>185</v>
      </c>
      <c r="E14" s="0" t="s">
        <v>186</v>
      </c>
      <c r="G14" s="0" t="s">
        <v>187</v>
      </c>
      <c r="M14" s="0" t="s">
        <v>178</v>
      </c>
      <c r="N14" s="0" t="s">
        <v>124</v>
      </c>
      <c r="P14" s="0" t="s">
        <v>180</v>
      </c>
      <c r="Q14" s="0" t="s">
        <v>181</v>
      </c>
      <c r="R14" s="0" t="s">
        <v>182</v>
      </c>
      <c r="S14" s="0" t="s">
        <v>21</v>
      </c>
      <c r="T14" s="0" t="s">
        <v>104</v>
      </c>
      <c r="W14" s="0" t="s">
        <v>183</v>
      </c>
      <c r="AB14" s="0" t="s">
        <v>188</v>
      </c>
    </row>
    <row r="15" customFormat="false" ht="28.35" hidden="false" customHeight="false" outlineLevel="0" collapsed="false">
      <c r="A15" s="0" t="s">
        <v>21</v>
      </c>
      <c r="B15" s="0" t="s">
        <v>189</v>
      </c>
      <c r="C15" s="0" t="s">
        <v>190</v>
      </c>
      <c r="D15" s="0" t="s">
        <v>191</v>
      </c>
      <c r="E15" s="0" t="s">
        <v>192</v>
      </c>
      <c r="G15" s="9" t="s">
        <v>193</v>
      </c>
      <c r="M15" s="0" t="s">
        <v>194</v>
      </c>
      <c r="N15" s="0" t="s">
        <v>124</v>
      </c>
      <c r="P15" s="0" t="s">
        <v>102</v>
      </c>
      <c r="Q15" s="0" t="s">
        <v>102</v>
      </c>
      <c r="R15" s="0" t="s">
        <v>137</v>
      </c>
      <c r="S15" s="0" t="s">
        <v>21</v>
      </c>
      <c r="T15" s="0" t="s">
        <v>104</v>
      </c>
      <c r="W15" s="0" t="s">
        <v>105</v>
      </c>
      <c r="Z15" s="0" t="s">
        <v>195</v>
      </c>
    </row>
    <row r="16" customFormat="false" ht="15" hidden="false" customHeight="false" outlineLevel="0" collapsed="false">
      <c r="A16" s="0" t="s">
        <v>21</v>
      </c>
      <c r="B16" s="0" t="s">
        <v>196</v>
      </c>
      <c r="C16" s="0" t="s">
        <v>197</v>
      </c>
      <c r="D16" s="0" t="s">
        <v>198</v>
      </c>
      <c r="E16" s="0" t="s">
        <v>198</v>
      </c>
      <c r="M16" s="0" t="s">
        <v>100</v>
      </c>
      <c r="N16" s="0" t="s">
        <v>101</v>
      </c>
      <c r="P16" s="0" t="s">
        <v>102</v>
      </c>
      <c r="Q16" s="0" t="s">
        <v>102</v>
      </c>
      <c r="R16" s="0" t="s">
        <v>137</v>
      </c>
      <c r="S16" s="0" t="s">
        <v>21</v>
      </c>
      <c r="T16" s="0" t="s">
        <v>104</v>
      </c>
      <c r="W16" s="0" t="s">
        <v>105</v>
      </c>
    </row>
    <row r="17" customFormat="false" ht="15" hidden="false" customHeight="false" outlineLevel="0" collapsed="false">
      <c r="A17" s="0" t="s">
        <v>21</v>
      </c>
      <c r="B17" s="0" t="s">
        <v>199</v>
      </c>
      <c r="C17" s="0" t="s">
        <v>200</v>
      </c>
      <c r="E17" s="0" t="s">
        <v>201</v>
      </c>
      <c r="G17" s="0" t="s">
        <v>202</v>
      </c>
      <c r="M17" s="0" t="s">
        <v>203</v>
      </c>
      <c r="N17" s="0" t="s">
        <v>124</v>
      </c>
      <c r="P17" s="0" t="s">
        <v>204</v>
      </c>
      <c r="Q17" s="0" t="s">
        <v>204</v>
      </c>
      <c r="R17" s="0" t="s">
        <v>137</v>
      </c>
      <c r="S17" s="0" t="s">
        <v>21</v>
      </c>
      <c r="T17" s="0" t="s">
        <v>104</v>
      </c>
      <c r="W17" s="0" t="s">
        <v>105</v>
      </c>
    </row>
    <row r="18" customFormat="false" ht="15" hidden="false" customHeight="false" outlineLevel="0" collapsed="false">
      <c r="A18" s="0" t="s">
        <v>21</v>
      </c>
      <c r="B18" s="0" t="s">
        <v>205</v>
      </c>
      <c r="C18" s="0" t="s">
        <v>110</v>
      </c>
      <c r="D18" s="0" t="s">
        <v>206</v>
      </c>
      <c r="E18" s="0" t="s">
        <v>206</v>
      </c>
      <c r="G18" s="0" t="s">
        <v>207</v>
      </c>
      <c r="M18" s="0" t="s">
        <v>208</v>
      </c>
      <c r="N18" s="0" t="s">
        <v>124</v>
      </c>
      <c r="P18" s="0" t="s">
        <v>102</v>
      </c>
      <c r="Q18" s="0" t="s">
        <v>102</v>
      </c>
      <c r="R18" s="0" t="s">
        <v>131</v>
      </c>
      <c r="S18" s="0" t="s">
        <v>21</v>
      </c>
      <c r="T18" s="0" t="s">
        <v>104</v>
      </c>
      <c r="W18" s="0" t="s">
        <v>105</v>
      </c>
      <c r="AB18" s="0" t="s">
        <v>209</v>
      </c>
    </row>
    <row r="19" customFormat="false" ht="15" hidden="false" customHeight="false" outlineLevel="0" collapsed="false">
      <c r="A19" s="0" t="s">
        <v>21</v>
      </c>
      <c r="B19" s="0" t="s">
        <v>210</v>
      </c>
      <c r="C19" s="0" t="s">
        <v>211</v>
      </c>
      <c r="D19" s="0" t="s">
        <v>212</v>
      </c>
      <c r="E19" s="0" t="s">
        <v>212</v>
      </c>
      <c r="G19" s="0" t="s">
        <v>213</v>
      </c>
      <c r="H19" s="0" t="s">
        <v>214</v>
      </c>
      <c r="I19" s="0" t="s">
        <v>214</v>
      </c>
      <c r="J19" s="0" t="s">
        <v>214</v>
      </c>
      <c r="M19" s="0" t="s">
        <v>143</v>
      </c>
      <c r="N19" s="0" t="s">
        <v>124</v>
      </c>
      <c r="P19" s="0" t="s">
        <v>204</v>
      </c>
      <c r="Q19" s="0" t="s">
        <v>204</v>
      </c>
      <c r="R19" s="0" t="s">
        <v>137</v>
      </c>
      <c r="S19" s="0" t="s">
        <v>21</v>
      </c>
      <c r="T19" s="0" t="s">
        <v>104</v>
      </c>
      <c r="W19" s="0" t="s">
        <v>105</v>
      </c>
      <c r="Z19" s="0" t="s">
        <v>215</v>
      </c>
    </row>
    <row r="20" customFormat="false" ht="15" hidden="false" customHeight="false" outlineLevel="0" collapsed="false">
      <c r="A20" s="0" t="s">
        <v>21</v>
      </c>
      <c r="B20" s="0" t="s">
        <v>216</v>
      </c>
      <c r="C20" s="0" t="s">
        <v>97</v>
      </c>
      <c r="D20" s="0" t="s">
        <v>217</v>
      </c>
      <c r="E20" s="0" t="s">
        <v>217</v>
      </c>
      <c r="H20" s="0" t="s">
        <v>218</v>
      </c>
      <c r="I20" s="0" t="s">
        <v>219</v>
      </c>
      <c r="J20" s="0" t="s">
        <v>218</v>
      </c>
      <c r="M20" s="0" t="s">
        <v>220</v>
      </c>
      <c r="N20" s="0" t="s">
        <v>124</v>
      </c>
      <c r="P20" s="0" t="s">
        <v>221</v>
      </c>
      <c r="Q20" s="0" t="s">
        <v>221</v>
      </c>
      <c r="R20" s="0" t="s">
        <v>221</v>
      </c>
      <c r="S20" s="0" t="s">
        <v>21</v>
      </c>
      <c r="T20" s="0" t="s">
        <v>104</v>
      </c>
      <c r="W20" s="0" t="s">
        <v>183</v>
      </c>
      <c r="X20" s="0" t="s">
        <v>222</v>
      </c>
      <c r="Y20" s="0" t="s">
        <v>223</v>
      </c>
      <c r="Z20" s="0" t="s">
        <v>134</v>
      </c>
    </row>
    <row r="21" customFormat="false" ht="15" hidden="false" customHeight="false" outlineLevel="0" collapsed="false">
      <c r="A21" s="0" t="s">
        <v>21</v>
      </c>
      <c r="B21" s="0" t="s">
        <v>216</v>
      </c>
      <c r="C21" s="0" t="s">
        <v>97</v>
      </c>
      <c r="D21" s="0" t="s">
        <v>217</v>
      </c>
      <c r="E21" s="0" t="s">
        <v>217</v>
      </c>
      <c r="H21" s="0" t="s">
        <v>218</v>
      </c>
      <c r="I21" s="0" t="s">
        <v>219</v>
      </c>
      <c r="J21" s="0" t="s">
        <v>218</v>
      </c>
      <c r="M21" s="0" t="s">
        <v>220</v>
      </c>
      <c r="N21" s="0" t="s">
        <v>124</v>
      </c>
      <c r="P21" s="0" t="s">
        <v>102</v>
      </c>
      <c r="Q21" s="0" t="s">
        <v>102</v>
      </c>
      <c r="R21" s="0" t="s">
        <v>224</v>
      </c>
      <c r="S21" s="0" t="s">
        <v>21</v>
      </c>
      <c r="T21" s="0" t="s">
        <v>104</v>
      </c>
      <c r="V21" s="0" t="s">
        <v>225</v>
      </c>
      <c r="W21" s="0" t="s">
        <v>105</v>
      </c>
      <c r="X21" s="0" t="s">
        <v>222</v>
      </c>
      <c r="Y21" s="0" t="s">
        <v>223</v>
      </c>
      <c r="Z21" s="0" t="s">
        <v>134</v>
      </c>
    </row>
    <row r="22" customFormat="false" ht="15" hidden="false" customHeight="false" outlineLevel="0" collapsed="false">
      <c r="A22" s="0" t="s">
        <v>21</v>
      </c>
      <c r="B22" s="0" t="s">
        <v>216</v>
      </c>
      <c r="C22" s="0" t="s">
        <v>97</v>
      </c>
      <c r="D22" s="0" t="s">
        <v>217</v>
      </c>
      <c r="E22" s="0" t="s">
        <v>217</v>
      </c>
      <c r="H22" s="0" t="s">
        <v>218</v>
      </c>
      <c r="I22" s="0" t="s">
        <v>219</v>
      </c>
      <c r="J22" s="0" t="s">
        <v>218</v>
      </c>
      <c r="M22" s="0" t="s">
        <v>220</v>
      </c>
      <c r="N22" s="0" t="s">
        <v>124</v>
      </c>
      <c r="P22" s="0" t="s">
        <v>130</v>
      </c>
      <c r="Q22" s="0" t="s">
        <v>130</v>
      </c>
      <c r="R22" s="0" t="s">
        <v>226</v>
      </c>
      <c r="S22" s="0" t="s">
        <v>21</v>
      </c>
      <c r="T22" s="0" t="s">
        <v>104</v>
      </c>
      <c r="U22" s="0" t="s">
        <v>227</v>
      </c>
      <c r="W22" s="0" t="s">
        <v>105</v>
      </c>
      <c r="X22" s="0" t="s">
        <v>222</v>
      </c>
      <c r="Y22" s="0" t="s">
        <v>223</v>
      </c>
      <c r="Z22" s="0" t="s">
        <v>134</v>
      </c>
    </row>
    <row r="23" customFormat="false" ht="28.35" hidden="false" customHeight="false" outlineLevel="0" collapsed="false">
      <c r="A23" s="0" t="s">
        <v>21</v>
      </c>
      <c r="B23" s="0" t="s">
        <v>228</v>
      </c>
      <c r="C23" s="0" t="s">
        <v>190</v>
      </c>
      <c r="D23" s="0" t="s">
        <v>229</v>
      </c>
      <c r="E23" s="0" t="s">
        <v>230</v>
      </c>
      <c r="G23" s="9" t="s">
        <v>231</v>
      </c>
      <c r="M23" s="0" t="s">
        <v>232</v>
      </c>
      <c r="N23" s="0" t="s">
        <v>124</v>
      </c>
      <c r="P23" s="0" t="s">
        <v>233</v>
      </c>
      <c r="Q23" s="0" t="s">
        <v>233</v>
      </c>
      <c r="R23" s="0" t="s">
        <v>233</v>
      </c>
      <c r="S23" s="0" t="s">
        <v>21</v>
      </c>
      <c r="T23" s="0" t="s">
        <v>104</v>
      </c>
      <c r="W23" s="0" t="s">
        <v>183</v>
      </c>
      <c r="Z23" s="0" t="s">
        <v>195</v>
      </c>
    </row>
    <row r="24" customFormat="false" ht="28.35" hidden="false" customHeight="false" outlineLevel="0" collapsed="false">
      <c r="A24" s="0" t="s">
        <v>21</v>
      </c>
      <c r="B24" s="0" t="s">
        <v>228</v>
      </c>
      <c r="C24" s="0" t="s">
        <v>190</v>
      </c>
      <c r="D24" s="0" t="s">
        <v>229</v>
      </c>
      <c r="E24" s="0" t="s">
        <v>230</v>
      </c>
      <c r="G24" s="9" t="s">
        <v>231</v>
      </c>
      <c r="M24" s="0" t="s">
        <v>232</v>
      </c>
      <c r="N24" s="0" t="s">
        <v>124</v>
      </c>
      <c r="P24" s="0" t="s">
        <v>102</v>
      </c>
      <c r="Q24" s="0" t="s">
        <v>102</v>
      </c>
      <c r="R24" s="0" t="s">
        <v>234</v>
      </c>
      <c r="S24" s="0" t="s">
        <v>21</v>
      </c>
      <c r="T24" s="0" t="s">
        <v>104</v>
      </c>
      <c r="V24" s="0" t="s">
        <v>235</v>
      </c>
      <c r="W24" s="0" t="s">
        <v>105</v>
      </c>
      <c r="Z24" s="0" t="s">
        <v>195</v>
      </c>
    </row>
    <row r="25" customFormat="false" ht="28.35" hidden="false" customHeight="false" outlineLevel="0" collapsed="false">
      <c r="A25" s="0" t="s">
        <v>21</v>
      </c>
      <c r="B25" s="0" t="s">
        <v>228</v>
      </c>
      <c r="C25" s="0" t="s">
        <v>190</v>
      </c>
      <c r="D25" s="0" t="s">
        <v>229</v>
      </c>
      <c r="E25" s="0" t="s">
        <v>230</v>
      </c>
      <c r="G25" s="9" t="s">
        <v>231</v>
      </c>
      <c r="M25" s="0" t="s">
        <v>232</v>
      </c>
      <c r="N25" s="0" t="s">
        <v>124</v>
      </c>
      <c r="P25" s="0" t="s">
        <v>236</v>
      </c>
      <c r="Q25" s="0" t="s">
        <v>236</v>
      </c>
      <c r="R25" s="0" t="s">
        <v>237</v>
      </c>
      <c r="S25" s="0" t="s">
        <v>21</v>
      </c>
      <c r="T25" s="0" t="s">
        <v>104</v>
      </c>
      <c r="U25" s="0" t="s">
        <v>238</v>
      </c>
      <c r="W25" s="0" t="s">
        <v>105</v>
      </c>
      <c r="Z25" s="0" t="s">
        <v>195</v>
      </c>
    </row>
    <row r="26" customFormat="false" ht="15" hidden="false" customHeight="false" outlineLevel="0" collapsed="false">
      <c r="A26" s="0" t="s">
        <v>21</v>
      </c>
      <c r="B26" s="0" t="s">
        <v>239</v>
      </c>
      <c r="C26" s="0" t="s">
        <v>240</v>
      </c>
      <c r="D26" s="0" t="s">
        <v>241</v>
      </c>
      <c r="E26" s="0" t="s">
        <v>242</v>
      </c>
      <c r="H26" s="0" t="s">
        <v>243</v>
      </c>
      <c r="I26" s="0" t="s">
        <v>244</v>
      </c>
      <c r="J26" s="0" t="s">
        <v>245</v>
      </c>
      <c r="K26" s="0" t="s">
        <v>246</v>
      </c>
      <c r="L26" s="0" t="s">
        <v>124</v>
      </c>
      <c r="M26" s="0" t="s">
        <v>247</v>
      </c>
      <c r="N26" s="0" t="s">
        <v>124</v>
      </c>
      <c r="P26" s="0" t="s">
        <v>204</v>
      </c>
      <c r="Q26" s="0" t="s">
        <v>204</v>
      </c>
      <c r="R26" s="0" t="s">
        <v>248</v>
      </c>
      <c r="S26" s="0" t="s">
        <v>21</v>
      </c>
      <c r="T26" s="0" t="s">
        <v>104</v>
      </c>
      <c r="W26" s="0" t="s">
        <v>105</v>
      </c>
    </row>
    <row r="27" customFormat="false" ht="15" hidden="false" customHeight="false" outlineLevel="0" collapsed="false">
      <c r="A27" s="0" t="s">
        <v>21</v>
      </c>
      <c r="B27" s="0" t="s">
        <v>249</v>
      </c>
      <c r="C27" s="0" t="s">
        <v>190</v>
      </c>
      <c r="D27" s="0" t="s">
        <v>250</v>
      </c>
      <c r="E27" s="0" t="s">
        <v>251</v>
      </c>
      <c r="H27" s="0" t="s">
        <v>252</v>
      </c>
      <c r="I27" s="0" t="s">
        <v>253</v>
      </c>
      <c r="J27" s="0" t="s">
        <v>254</v>
      </c>
      <c r="K27" s="0" t="s">
        <v>255</v>
      </c>
      <c r="M27" s="0" t="s">
        <v>208</v>
      </c>
      <c r="N27" s="0" t="s">
        <v>124</v>
      </c>
      <c r="P27" s="0" t="s">
        <v>233</v>
      </c>
      <c r="Q27" s="0" t="s">
        <v>233</v>
      </c>
      <c r="R27" s="0" t="s">
        <v>233</v>
      </c>
      <c r="S27" s="0" t="s">
        <v>21</v>
      </c>
      <c r="T27" s="0" t="s">
        <v>104</v>
      </c>
      <c r="W27" s="0" t="s">
        <v>183</v>
      </c>
      <c r="X27" s="0" t="s">
        <v>256</v>
      </c>
      <c r="Y27" s="0" t="s">
        <v>257</v>
      </c>
      <c r="Z27" s="0" t="s">
        <v>195</v>
      </c>
    </row>
    <row r="28" customFormat="false" ht="15" hidden="false" customHeight="false" outlineLevel="0" collapsed="false">
      <c r="A28" s="0" t="s">
        <v>21</v>
      </c>
      <c r="B28" s="0" t="s">
        <v>249</v>
      </c>
      <c r="C28" s="0" t="s">
        <v>190</v>
      </c>
      <c r="D28" s="0" t="s">
        <v>250</v>
      </c>
      <c r="E28" s="0" t="s">
        <v>251</v>
      </c>
      <c r="H28" s="0" t="s">
        <v>252</v>
      </c>
      <c r="I28" s="0" t="s">
        <v>253</v>
      </c>
      <c r="J28" s="0" t="s">
        <v>254</v>
      </c>
      <c r="K28" s="0" t="s">
        <v>255</v>
      </c>
      <c r="M28" s="0" t="s">
        <v>208</v>
      </c>
      <c r="N28" s="0" t="s">
        <v>124</v>
      </c>
      <c r="P28" s="0" t="s">
        <v>102</v>
      </c>
      <c r="Q28" s="0" t="s">
        <v>102</v>
      </c>
      <c r="R28" s="0" t="s">
        <v>234</v>
      </c>
      <c r="S28" s="0" t="s">
        <v>21</v>
      </c>
      <c r="T28" s="0" t="s">
        <v>104</v>
      </c>
      <c r="V28" s="0" t="s">
        <v>235</v>
      </c>
      <c r="W28" s="0" t="s">
        <v>105</v>
      </c>
      <c r="X28" s="0" t="s">
        <v>256</v>
      </c>
      <c r="Y28" s="0" t="s">
        <v>257</v>
      </c>
      <c r="Z28" s="0" t="s">
        <v>195</v>
      </c>
    </row>
    <row r="29" customFormat="false" ht="15" hidden="false" customHeight="false" outlineLevel="0" collapsed="false">
      <c r="A29" s="0" t="s">
        <v>21</v>
      </c>
      <c r="B29" s="0" t="s">
        <v>249</v>
      </c>
      <c r="C29" s="0" t="s">
        <v>190</v>
      </c>
      <c r="D29" s="0" t="s">
        <v>250</v>
      </c>
      <c r="E29" s="0" t="s">
        <v>251</v>
      </c>
      <c r="H29" s="0" t="s">
        <v>252</v>
      </c>
      <c r="I29" s="0" t="s">
        <v>253</v>
      </c>
      <c r="J29" s="0" t="s">
        <v>254</v>
      </c>
      <c r="K29" s="0" t="s">
        <v>255</v>
      </c>
      <c r="M29" s="0" t="s">
        <v>208</v>
      </c>
      <c r="N29" s="0" t="s">
        <v>124</v>
      </c>
      <c r="P29" s="0" t="s">
        <v>236</v>
      </c>
      <c r="Q29" s="0" t="s">
        <v>236</v>
      </c>
      <c r="R29" s="0" t="s">
        <v>237</v>
      </c>
      <c r="S29" s="0" t="s">
        <v>21</v>
      </c>
      <c r="T29" s="0" t="s">
        <v>104</v>
      </c>
      <c r="U29" s="0" t="s">
        <v>238</v>
      </c>
      <c r="W29" s="0" t="s">
        <v>105</v>
      </c>
      <c r="X29" s="0" t="s">
        <v>256</v>
      </c>
      <c r="Y29" s="0" t="s">
        <v>257</v>
      </c>
      <c r="Z29" s="0" t="s">
        <v>195</v>
      </c>
    </row>
    <row r="30" customFormat="false" ht="15" hidden="false" customHeight="false" outlineLevel="0" collapsed="false">
      <c r="A30" s="0" t="s">
        <v>21</v>
      </c>
      <c r="B30" s="0" t="s">
        <v>258</v>
      </c>
      <c r="C30" s="0" t="s">
        <v>139</v>
      </c>
      <c r="D30" s="0" t="s">
        <v>259</v>
      </c>
      <c r="E30" s="0" t="s">
        <v>260</v>
      </c>
      <c r="H30" s="0" t="s">
        <v>261</v>
      </c>
      <c r="I30" s="0" t="s">
        <v>253</v>
      </c>
      <c r="J30" s="0" t="s">
        <v>254</v>
      </c>
      <c r="K30" s="0" t="s">
        <v>255</v>
      </c>
      <c r="M30" s="0" t="s">
        <v>262</v>
      </c>
      <c r="N30" s="0" t="s">
        <v>124</v>
      </c>
      <c r="P30" s="0" t="s">
        <v>233</v>
      </c>
      <c r="Q30" s="0" t="s">
        <v>233</v>
      </c>
      <c r="R30" s="0" t="s">
        <v>233</v>
      </c>
      <c r="S30" s="0" t="s">
        <v>21</v>
      </c>
      <c r="T30" s="0" t="s">
        <v>104</v>
      </c>
      <c r="W30" s="0" t="s">
        <v>183</v>
      </c>
      <c r="X30" s="0" t="s">
        <v>263</v>
      </c>
      <c r="Y30" s="0" t="s">
        <v>264</v>
      </c>
      <c r="Z30" s="0" t="s">
        <v>195</v>
      </c>
    </row>
    <row r="31" customFormat="false" ht="15" hidden="false" customHeight="false" outlineLevel="0" collapsed="false">
      <c r="A31" s="0" t="s">
        <v>21</v>
      </c>
      <c r="B31" s="0" t="s">
        <v>258</v>
      </c>
      <c r="C31" s="0" t="s">
        <v>139</v>
      </c>
      <c r="D31" s="0" t="s">
        <v>259</v>
      </c>
      <c r="E31" s="0" t="s">
        <v>260</v>
      </c>
      <c r="H31" s="0" t="s">
        <v>261</v>
      </c>
      <c r="I31" s="0" t="s">
        <v>253</v>
      </c>
      <c r="J31" s="0" t="s">
        <v>254</v>
      </c>
      <c r="K31" s="0" t="s">
        <v>255</v>
      </c>
      <c r="M31" s="0" t="s">
        <v>262</v>
      </c>
      <c r="N31" s="0" t="s">
        <v>124</v>
      </c>
      <c r="P31" s="0" t="s">
        <v>102</v>
      </c>
      <c r="Q31" s="0" t="s">
        <v>102</v>
      </c>
      <c r="R31" s="0" t="s">
        <v>234</v>
      </c>
      <c r="S31" s="0" t="s">
        <v>21</v>
      </c>
      <c r="T31" s="0" t="s">
        <v>104</v>
      </c>
      <c r="V31" s="0" t="s">
        <v>235</v>
      </c>
      <c r="W31" s="0" t="s">
        <v>105</v>
      </c>
      <c r="X31" s="0" t="s">
        <v>263</v>
      </c>
      <c r="Y31" s="0" t="s">
        <v>264</v>
      </c>
      <c r="Z31" s="0" t="s">
        <v>195</v>
      </c>
    </row>
    <row r="32" customFormat="false" ht="15" hidden="false" customHeight="false" outlineLevel="0" collapsed="false">
      <c r="A32" s="0" t="s">
        <v>21</v>
      </c>
      <c r="B32" s="0" t="s">
        <v>258</v>
      </c>
      <c r="C32" s="0" t="s">
        <v>139</v>
      </c>
      <c r="D32" s="0" t="s">
        <v>259</v>
      </c>
      <c r="E32" s="0" t="s">
        <v>260</v>
      </c>
      <c r="H32" s="0" t="s">
        <v>261</v>
      </c>
      <c r="I32" s="0" t="s">
        <v>253</v>
      </c>
      <c r="J32" s="0" t="s">
        <v>254</v>
      </c>
      <c r="K32" s="0" t="s">
        <v>255</v>
      </c>
      <c r="M32" s="0" t="s">
        <v>262</v>
      </c>
      <c r="N32" s="0" t="s">
        <v>124</v>
      </c>
      <c r="P32" s="0" t="s">
        <v>236</v>
      </c>
      <c r="Q32" s="0" t="s">
        <v>236</v>
      </c>
      <c r="R32" s="0" t="s">
        <v>237</v>
      </c>
      <c r="S32" s="0" t="s">
        <v>21</v>
      </c>
      <c r="T32" s="0" t="s">
        <v>104</v>
      </c>
      <c r="U32" s="0" t="s">
        <v>238</v>
      </c>
      <c r="W32" s="0" t="s">
        <v>105</v>
      </c>
      <c r="X32" s="0" t="s">
        <v>263</v>
      </c>
      <c r="Y32" s="0" t="s">
        <v>264</v>
      </c>
      <c r="Z32" s="0" t="s">
        <v>195</v>
      </c>
    </row>
    <row r="33" customFormat="false" ht="15" hidden="false" customHeight="false" outlineLevel="0" collapsed="false">
      <c r="A33" s="0" t="s">
        <v>21</v>
      </c>
      <c r="B33" s="0" t="s">
        <v>265</v>
      </c>
      <c r="C33" s="0" t="s">
        <v>190</v>
      </c>
      <c r="D33" s="0" t="s">
        <v>266</v>
      </c>
      <c r="E33" s="0" t="s">
        <v>267</v>
      </c>
      <c r="H33" s="0" t="s">
        <v>268</v>
      </c>
      <c r="I33" s="0" t="s">
        <v>253</v>
      </c>
      <c r="J33" s="0" t="s">
        <v>254</v>
      </c>
      <c r="K33" s="0" t="s">
        <v>255</v>
      </c>
      <c r="L33" s="0" t="s">
        <v>124</v>
      </c>
      <c r="M33" s="0" t="s">
        <v>262</v>
      </c>
      <c r="N33" s="0" t="s">
        <v>124</v>
      </c>
      <c r="P33" s="0" t="s">
        <v>233</v>
      </c>
      <c r="Q33" s="0" t="s">
        <v>233</v>
      </c>
      <c r="R33" s="0" t="s">
        <v>233</v>
      </c>
      <c r="S33" s="0" t="s">
        <v>21</v>
      </c>
      <c r="T33" s="0" t="s">
        <v>104</v>
      </c>
      <c r="W33" s="0" t="s">
        <v>183</v>
      </c>
      <c r="X33" s="0" t="s">
        <v>269</v>
      </c>
      <c r="Y33" s="0" t="s">
        <v>270</v>
      </c>
      <c r="Z33" s="0" t="s">
        <v>195</v>
      </c>
    </row>
    <row r="34" customFormat="false" ht="15" hidden="false" customHeight="false" outlineLevel="0" collapsed="false">
      <c r="A34" s="0" t="s">
        <v>21</v>
      </c>
      <c r="B34" s="0" t="s">
        <v>265</v>
      </c>
      <c r="C34" s="0" t="s">
        <v>190</v>
      </c>
      <c r="D34" s="0" t="s">
        <v>266</v>
      </c>
      <c r="E34" s="0" t="s">
        <v>267</v>
      </c>
      <c r="H34" s="0" t="s">
        <v>268</v>
      </c>
      <c r="I34" s="0" t="s">
        <v>253</v>
      </c>
      <c r="J34" s="0" t="s">
        <v>254</v>
      </c>
      <c r="K34" s="0" t="s">
        <v>255</v>
      </c>
      <c r="L34" s="0" t="s">
        <v>124</v>
      </c>
      <c r="M34" s="0" t="s">
        <v>262</v>
      </c>
      <c r="N34" s="0" t="s">
        <v>124</v>
      </c>
      <c r="P34" s="0" t="s">
        <v>102</v>
      </c>
      <c r="Q34" s="0" t="s">
        <v>102</v>
      </c>
      <c r="R34" s="0" t="s">
        <v>234</v>
      </c>
      <c r="S34" s="0" t="s">
        <v>21</v>
      </c>
      <c r="T34" s="0" t="s">
        <v>104</v>
      </c>
      <c r="V34" s="0" t="s">
        <v>235</v>
      </c>
      <c r="W34" s="0" t="s">
        <v>105</v>
      </c>
      <c r="X34" s="0" t="s">
        <v>269</v>
      </c>
      <c r="Y34" s="0" t="s">
        <v>270</v>
      </c>
      <c r="Z34" s="0" t="s">
        <v>195</v>
      </c>
    </row>
    <row r="35" customFormat="false" ht="15" hidden="false" customHeight="false" outlineLevel="0" collapsed="false">
      <c r="A35" s="0" t="s">
        <v>21</v>
      </c>
      <c r="B35" s="0" t="s">
        <v>265</v>
      </c>
      <c r="C35" s="0" t="s">
        <v>190</v>
      </c>
      <c r="D35" s="0" t="s">
        <v>266</v>
      </c>
      <c r="E35" s="0" t="s">
        <v>267</v>
      </c>
      <c r="H35" s="0" t="s">
        <v>268</v>
      </c>
      <c r="I35" s="0" t="s">
        <v>253</v>
      </c>
      <c r="J35" s="0" t="s">
        <v>254</v>
      </c>
      <c r="K35" s="0" t="s">
        <v>255</v>
      </c>
      <c r="L35" s="0" t="s">
        <v>124</v>
      </c>
      <c r="M35" s="0" t="s">
        <v>262</v>
      </c>
      <c r="N35" s="0" t="s">
        <v>124</v>
      </c>
      <c r="P35" s="0" t="s">
        <v>236</v>
      </c>
      <c r="Q35" s="0" t="s">
        <v>236</v>
      </c>
      <c r="R35" s="0" t="s">
        <v>237</v>
      </c>
      <c r="S35" s="0" t="s">
        <v>21</v>
      </c>
      <c r="T35" s="0" t="s">
        <v>104</v>
      </c>
      <c r="U35" s="0" t="s">
        <v>238</v>
      </c>
      <c r="W35" s="0" t="s">
        <v>105</v>
      </c>
      <c r="X35" s="0" t="s">
        <v>269</v>
      </c>
      <c r="Y35" s="0" t="s">
        <v>270</v>
      </c>
      <c r="Z35" s="0" t="s">
        <v>195</v>
      </c>
    </row>
    <row r="36" customFormat="false" ht="15" hidden="false" customHeight="false" outlineLevel="0" collapsed="false">
      <c r="A36" s="0" t="s">
        <v>21</v>
      </c>
      <c r="B36" s="0" t="s">
        <v>271</v>
      </c>
      <c r="C36" s="0" t="s">
        <v>240</v>
      </c>
      <c r="D36" s="0" t="s">
        <v>272</v>
      </c>
      <c r="H36" s="0" t="s">
        <v>273</v>
      </c>
      <c r="I36" s="0" t="s">
        <v>274</v>
      </c>
      <c r="J36" s="0" t="s">
        <v>275</v>
      </c>
      <c r="K36" s="0" t="s">
        <v>276</v>
      </c>
      <c r="M36" s="0" t="s">
        <v>178</v>
      </c>
      <c r="N36" s="0" t="s">
        <v>124</v>
      </c>
      <c r="P36" s="0" t="s">
        <v>204</v>
      </c>
      <c r="Q36" s="0" t="s">
        <v>204</v>
      </c>
      <c r="R36" s="0" t="s">
        <v>248</v>
      </c>
      <c r="S36" s="0" t="s">
        <v>21</v>
      </c>
      <c r="T36" s="0" t="s">
        <v>104</v>
      </c>
      <c r="W36" s="0" t="s">
        <v>105</v>
      </c>
    </row>
    <row r="37" customFormat="false" ht="15" hidden="false" customHeight="false" outlineLevel="0" collapsed="false">
      <c r="A37" s="0" t="s">
        <v>21</v>
      </c>
      <c r="B37" s="0" t="s">
        <v>277</v>
      </c>
      <c r="C37" s="0" t="s">
        <v>190</v>
      </c>
      <c r="D37" s="0" t="s">
        <v>278</v>
      </c>
      <c r="E37" s="0" t="s">
        <v>279</v>
      </c>
      <c r="H37" s="0" t="s">
        <v>280</v>
      </c>
      <c r="I37" s="0" t="s">
        <v>281</v>
      </c>
      <c r="J37" s="0" t="s">
        <v>254</v>
      </c>
      <c r="K37" s="0" t="s">
        <v>282</v>
      </c>
      <c r="L37" s="0" t="s">
        <v>124</v>
      </c>
      <c r="M37" s="0" t="s">
        <v>208</v>
      </c>
      <c r="N37" s="0" t="s">
        <v>124</v>
      </c>
      <c r="P37" s="0" t="s">
        <v>204</v>
      </c>
      <c r="Q37" s="0" t="s">
        <v>204</v>
      </c>
      <c r="R37" s="0" t="s">
        <v>248</v>
      </c>
      <c r="S37" s="0" t="s">
        <v>21</v>
      </c>
      <c r="T37" s="0" t="s">
        <v>104</v>
      </c>
      <c r="W37" s="0" t="s">
        <v>105</v>
      </c>
      <c r="Z37" s="0" t="s">
        <v>283</v>
      </c>
    </row>
    <row r="38" customFormat="false" ht="15" hidden="false" customHeight="false" outlineLevel="0" collapsed="false">
      <c r="A38" s="0" t="s">
        <v>21</v>
      </c>
      <c r="B38" s="0" t="s">
        <v>284</v>
      </c>
      <c r="C38" s="0" t="s">
        <v>240</v>
      </c>
      <c r="H38" s="0" t="s">
        <v>285</v>
      </c>
      <c r="I38" s="0" t="s">
        <v>286</v>
      </c>
      <c r="J38" s="0" t="s">
        <v>254</v>
      </c>
      <c r="K38" s="0" t="s">
        <v>287</v>
      </c>
      <c r="M38" s="0" t="s">
        <v>208</v>
      </c>
      <c r="N38" s="0" t="s">
        <v>124</v>
      </c>
      <c r="P38" s="0" t="s">
        <v>204</v>
      </c>
      <c r="Q38" s="0" t="s">
        <v>204</v>
      </c>
      <c r="R38" s="0" t="s">
        <v>248</v>
      </c>
      <c r="S38" s="0" t="s">
        <v>21</v>
      </c>
      <c r="T38" s="0" t="s">
        <v>104</v>
      </c>
      <c r="W38" s="0" t="s">
        <v>105</v>
      </c>
    </row>
    <row r="39" customFormat="false" ht="15" hidden="false" customHeight="false" outlineLevel="0" collapsed="false">
      <c r="A39" s="0" t="s">
        <v>21</v>
      </c>
      <c r="B39" s="0" t="s">
        <v>288</v>
      </c>
      <c r="C39" s="0" t="s">
        <v>190</v>
      </c>
      <c r="D39" s="0" t="s">
        <v>289</v>
      </c>
      <c r="E39" s="0" t="s">
        <v>290</v>
      </c>
      <c r="H39" s="0" t="s">
        <v>291</v>
      </c>
      <c r="I39" s="0" t="s">
        <v>292</v>
      </c>
      <c r="J39" s="0" t="s">
        <v>122</v>
      </c>
      <c r="K39" s="0" t="s">
        <v>293</v>
      </c>
      <c r="L39" s="0" t="s">
        <v>124</v>
      </c>
      <c r="M39" s="0" t="s">
        <v>121</v>
      </c>
      <c r="N39" s="0" t="s">
        <v>124</v>
      </c>
      <c r="P39" s="0" t="s">
        <v>233</v>
      </c>
      <c r="Q39" s="0" t="s">
        <v>233</v>
      </c>
      <c r="R39" s="0" t="s">
        <v>233</v>
      </c>
      <c r="S39" s="0" t="s">
        <v>21</v>
      </c>
      <c r="T39" s="0" t="s">
        <v>104</v>
      </c>
      <c r="W39" s="0" t="s">
        <v>183</v>
      </c>
      <c r="X39" s="0" t="s">
        <v>294</v>
      </c>
      <c r="Y39" s="0" t="s">
        <v>295</v>
      </c>
      <c r="Z39" s="0" t="s">
        <v>195</v>
      </c>
    </row>
    <row r="40" customFormat="false" ht="15" hidden="false" customHeight="false" outlineLevel="0" collapsed="false">
      <c r="A40" s="0" t="s">
        <v>21</v>
      </c>
      <c r="B40" s="0" t="s">
        <v>288</v>
      </c>
      <c r="C40" s="0" t="s">
        <v>190</v>
      </c>
      <c r="D40" s="0" t="s">
        <v>289</v>
      </c>
      <c r="E40" s="0" t="s">
        <v>290</v>
      </c>
      <c r="H40" s="0" t="s">
        <v>291</v>
      </c>
      <c r="I40" s="0" t="s">
        <v>292</v>
      </c>
      <c r="J40" s="0" t="s">
        <v>122</v>
      </c>
      <c r="K40" s="0" t="s">
        <v>293</v>
      </c>
      <c r="L40" s="0" t="s">
        <v>124</v>
      </c>
      <c r="M40" s="0" t="s">
        <v>121</v>
      </c>
      <c r="N40" s="0" t="s">
        <v>124</v>
      </c>
      <c r="P40" s="0" t="s">
        <v>102</v>
      </c>
      <c r="Q40" s="0" t="s">
        <v>102</v>
      </c>
      <c r="R40" s="0" t="s">
        <v>234</v>
      </c>
      <c r="S40" s="0" t="s">
        <v>21</v>
      </c>
      <c r="T40" s="0" t="s">
        <v>104</v>
      </c>
      <c r="V40" s="0" t="s">
        <v>235</v>
      </c>
      <c r="W40" s="0" t="s">
        <v>105</v>
      </c>
      <c r="X40" s="0" t="s">
        <v>294</v>
      </c>
      <c r="Y40" s="0" t="s">
        <v>295</v>
      </c>
      <c r="Z40" s="0" t="s">
        <v>195</v>
      </c>
    </row>
    <row r="41" customFormat="false" ht="15" hidden="false" customHeight="false" outlineLevel="0" collapsed="false">
      <c r="A41" s="0" t="s">
        <v>21</v>
      </c>
      <c r="B41" s="0" t="s">
        <v>288</v>
      </c>
      <c r="C41" s="0" t="s">
        <v>190</v>
      </c>
      <c r="D41" s="0" t="s">
        <v>289</v>
      </c>
      <c r="E41" s="0" t="s">
        <v>290</v>
      </c>
      <c r="H41" s="0" t="s">
        <v>291</v>
      </c>
      <c r="I41" s="0" t="s">
        <v>292</v>
      </c>
      <c r="J41" s="0" t="s">
        <v>122</v>
      </c>
      <c r="K41" s="0" t="s">
        <v>293</v>
      </c>
      <c r="L41" s="0" t="s">
        <v>124</v>
      </c>
      <c r="M41" s="0" t="s">
        <v>121</v>
      </c>
      <c r="N41" s="0" t="s">
        <v>124</v>
      </c>
      <c r="P41" s="0" t="s">
        <v>236</v>
      </c>
      <c r="Q41" s="0" t="s">
        <v>236</v>
      </c>
      <c r="R41" s="0" t="s">
        <v>237</v>
      </c>
      <c r="S41" s="0" t="s">
        <v>21</v>
      </c>
      <c r="T41" s="0" t="s">
        <v>104</v>
      </c>
      <c r="U41" s="0" t="s">
        <v>238</v>
      </c>
      <c r="W41" s="0" t="s">
        <v>105</v>
      </c>
      <c r="X41" s="0" t="s">
        <v>294</v>
      </c>
      <c r="Y41" s="0" t="s">
        <v>295</v>
      </c>
      <c r="Z41" s="0" t="s">
        <v>195</v>
      </c>
    </row>
    <row r="42" customFormat="false" ht="15" hidden="false" customHeight="false" outlineLevel="0" collapsed="false">
      <c r="A42" s="0" t="s">
        <v>21</v>
      </c>
      <c r="B42" s="0" t="s">
        <v>296</v>
      </c>
      <c r="C42" s="0" t="s">
        <v>190</v>
      </c>
      <c r="D42" s="0" t="s">
        <v>297</v>
      </c>
      <c r="E42" s="0" t="s">
        <v>298</v>
      </c>
      <c r="G42" s="0" t="s">
        <v>299</v>
      </c>
      <c r="H42" s="0" t="s">
        <v>300</v>
      </c>
      <c r="I42" s="0" t="s">
        <v>301</v>
      </c>
      <c r="J42" s="0" t="s">
        <v>157</v>
      </c>
      <c r="K42" s="0" t="s">
        <v>302</v>
      </c>
      <c r="M42" s="0" t="s">
        <v>232</v>
      </c>
      <c r="N42" s="0" t="s">
        <v>124</v>
      </c>
      <c r="P42" s="0" t="s">
        <v>204</v>
      </c>
      <c r="Q42" s="0" t="s">
        <v>204</v>
      </c>
      <c r="R42" s="0" t="s">
        <v>248</v>
      </c>
      <c r="S42" s="0" t="s">
        <v>21</v>
      </c>
      <c r="T42" s="0" t="s">
        <v>104</v>
      </c>
      <c r="V42" s="0" t="s">
        <v>303</v>
      </c>
      <c r="W42" s="0" t="s">
        <v>105</v>
      </c>
      <c r="X42" s="0" t="s">
        <v>304</v>
      </c>
      <c r="Y42" s="0" t="s">
        <v>305</v>
      </c>
      <c r="Z42" s="0" t="s">
        <v>306</v>
      </c>
    </row>
    <row r="43" customFormat="false" ht="15" hidden="false" customHeight="false" outlineLevel="0" collapsed="false">
      <c r="A43" s="0" t="s">
        <v>21</v>
      </c>
      <c r="B43" s="0" t="s">
        <v>307</v>
      </c>
      <c r="C43" s="0" t="s">
        <v>190</v>
      </c>
      <c r="D43" s="0" t="s">
        <v>308</v>
      </c>
      <c r="E43" s="0" t="s">
        <v>309</v>
      </c>
      <c r="G43" s="0" t="s">
        <v>310</v>
      </c>
      <c r="H43" s="0" t="s">
        <v>311</v>
      </c>
      <c r="I43" s="0" t="s">
        <v>312</v>
      </c>
      <c r="J43" s="0" t="s">
        <v>275</v>
      </c>
      <c r="K43" s="0" t="s">
        <v>313</v>
      </c>
      <c r="M43" s="0" t="s">
        <v>312</v>
      </c>
      <c r="N43" s="0" t="s">
        <v>124</v>
      </c>
      <c r="P43" s="0" t="s">
        <v>233</v>
      </c>
      <c r="Q43" s="0" t="s">
        <v>233</v>
      </c>
      <c r="R43" s="0" t="s">
        <v>233</v>
      </c>
      <c r="S43" s="0" t="s">
        <v>21</v>
      </c>
      <c r="T43" s="0" t="s">
        <v>104</v>
      </c>
      <c r="W43" s="0" t="s">
        <v>183</v>
      </c>
      <c r="X43" s="0" t="s">
        <v>314</v>
      </c>
      <c r="Y43" s="0" t="s">
        <v>315</v>
      </c>
      <c r="Z43" s="0" t="s">
        <v>195</v>
      </c>
    </row>
    <row r="44" customFormat="false" ht="15" hidden="false" customHeight="false" outlineLevel="0" collapsed="false">
      <c r="A44" s="0" t="s">
        <v>21</v>
      </c>
      <c r="B44" s="0" t="s">
        <v>307</v>
      </c>
      <c r="C44" s="0" t="s">
        <v>190</v>
      </c>
      <c r="D44" s="0" t="s">
        <v>308</v>
      </c>
      <c r="E44" s="0" t="s">
        <v>309</v>
      </c>
      <c r="G44" s="0" t="s">
        <v>310</v>
      </c>
      <c r="H44" s="0" t="s">
        <v>311</v>
      </c>
      <c r="I44" s="0" t="s">
        <v>312</v>
      </c>
      <c r="J44" s="0" t="s">
        <v>275</v>
      </c>
      <c r="K44" s="0" t="s">
        <v>313</v>
      </c>
      <c r="M44" s="0" t="s">
        <v>312</v>
      </c>
      <c r="N44" s="0" t="s">
        <v>124</v>
      </c>
      <c r="P44" s="0" t="s">
        <v>102</v>
      </c>
      <c r="Q44" s="0" t="s">
        <v>102</v>
      </c>
      <c r="R44" s="0" t="s">
        <v>234</v>
      </c>
      <c r="S44" s="0" t="s">
        <v>21</v>
      </c>
      <c r="T44" s="0" t="s">
        <v>104</v>
      </c>
      <c r="V44" s="0" t="s">
        <v>235</v>
      </c>
      <c r="W44" s="0" t="s">
        <v>105</v>
      </c>
      <c r="X44" s="0" t="s">
        <v>314</v>
      </c>
      <c r="Y44" s="0" t="s">
        <v>315</v>
      </c>
      <c r="Z44" s="0" t="s">
        <v>195</v>
      </c>
    </row>
    <row r="45" customFormat="false" ht="15" hidden="false" customHeight="false" outlineLevel="0" collapsed="false">
      <c r="A45" s="0" t="s">
        <v>21</v>
      </c>
      <c r="B45" s="0" t="s">
        <v>307</v>
      </c>
      <c r="C45" s="0" t="s">
        <v>190</v>
      </c>
      <c r="D45" s="0" t="s">
        <v>308</v>
      </c>
      <c r="E45" s="0" t="s">
        <v>309</v>
      </c>
      <c r="G45" s="0" t="s">
        <v>310</v>
      </c>
      <c r="H45" s="0" t="s">
        <v>311</v>
      </c>
      <c r="I45" s="0" t="s">
        <v>312</v>
      </c>
      <c r="J45" s="0" t="s">
        <v>275</v>
      </c>
      <c r="K45" s="0" t="s">
        <v>313</v>
      </c>
      <c r="M45" s="0" t="s">
        <v>312</v>
      </c>
      <c r="N45" s="0" t="s">
        <v>124</v>
      </c>
      <c r="P45" s="0" t="s">
        <v>236</v>
      </c>
      <c r="Q45" s="0" t="s">
        <v>236</v>
      </c>
      <c r="R45" s="0" t="s">
        <v>237</v>
      </c>
      <c r="S45" s="0" t="s">
        <v>21</v>
      </c>
      <c r="T45" s="0" t="s">
        <v>104</v>
      </c>
      <c r="U45" s="0" t="s">
        <v>238</v>
      </c>
      <c r="W45" s="0" t="s">
        <v>105</v>
      </c>
      <c r="X45" s="0" t="s">
        <v>314</v>
      </c>
      <c r="Y45" s="0" t="s">
        <v>315</v>
      </c>
      <c r="Z45" s="0" t="s">
        <v>195</v>
      </c>
    </row>
    <row r="46" customFormat="false" ht="15" hidden="false" customHeight="false" outlineLevel="0" collapsed="false">
      <c r="A46" s="0" t="s">
        <v>21</v>
      </c>
      <c r="B46" s="0" t="s">
        <v>316</v>
      </c>
      <c r="C46" s="0" t="s">
        <v>240</v>
      </c>
      <c r="H46" s="0" t="s">
        <v>317</v>
      </c>
      <c r="I46" s="0" t="s">
        <v>318</v>
      </c>
      <c r="J46" s="0" t="s">
        <v>254</v>
      </c>
      <c r="K46" s="0" t="s">
        <v>319</v>
      </c>
      <c r="M46" s="0" t="s">
        <v>208</v>
      </c>
      <c r="N46" s="0" t="s">
        <v>124</v>
      </c>
      <c r="P46" s="0" t="s">
        <v>204</v>
      </c>
      <c r="Q46" s="0" t="s">
        <v>204</v>
      </c>
      <c r="R46" s="0" t="s">
        <v>248</v>
      </c>
      <c r="S46" s="0" t="s">
        <v>21</v>
      </c>
      <c r="T46" s="0" t="s">
        <v>104</v>
      </c>
      <c r="W46" s="0" t="s">
        <v>105</v>
      </c>
    </row>
    <row r="47" customFormat="false" ht="15" hidden="false" customHeight="false" outlineLevel="0" collapsed="false">
      <c r="A47" s="0" t="s">
        <v>21</v>
      </c>
      <c r="B47" s="0" t="s">
        <v>320</v>
      </c>
      <c r="C47" s="0" t="s">
        <v>190</v>
      </c>
      <c r="D47" s="0" t="s">
        <v>321</v>
      </c>
      <c r="E47" s="0" t="s">
        <v>322</v>
      </c>
      <c r="H47" s="0" t="s">
        <v>323</v>
      </c>
      <c r="I47" s="0" t="s">
        <v>324</v>
      </c>
      <c r="J47" s="0" t="s">
        <v>275</v>
      </c>
      <c r="K47" s="0" t="s">
        <v>325</v>
      </c>
      <c r="M47" s="0" t="s">
        <v>178</v>
      </c>
      <c r="N47" s="0" t="s">
        <v>124</v>
      </c>
      <c r="P47" s="0" t="s">
        <v>233</v>
      </c>
      <c r="Q47" s="0" t="s">
        <v>233</v>
      </c>
      <c r="R47" s="0" t="s">
        <v>233</v>
      </c>
      <c r="S47" s="0" t="s">
        <v>21</v>
      </c>
      <c r="T47" s="0" t="s">
        <v>104</v>
      </c>
      <c r="W47" s="0" t="s">
        <v>183</v>
      </c>
      <c r="X47" s="0" t="s">
        <v>326</v>
      </c>
      <c r="Y47" s="0" t="s">
        <v>327</v>
      </c>
      <c r="Z47" s="0" t="s">
        <v>195</v>
      </c>
    </row>
    <row r="48" customFormat="false" ht="15" hidden="false" customHeight="false" outlineLevel="0" collapsed="false">
      <c r="A48" s="0" t="s">
        <v>21</v>
      </c>
      <c r="B48" s="0" t="s">
        <v>320</v>
      </c>
      <c r="C48" s="0" t="s">
        <v>190</v>
      </c>
      <c r="D48" s="0" t="s">
        <v>321</v>
      </c>
      <c r="E48" s="0" t="s">
        <v>322</v>
      </c>
      <c r="H48" s="0" t="s">
        <v>323</v>
      </c>
      <c r="I48" s="0" t="s">
        <v>324</v>
      </c>
      <c r="J48" s="0" t="s">
        <v>275</v>
      </c>
      <c r="K48" s="0" t="s">
        <v>325</v>
      </c>
      <c r="M48" s="0" t="s">
        <v>178</v>
      </c>
      <c r="N48" s="0" t="s">
        <v>124</v>
      </c>
      <c r="P48" s="0" t="s">
        <v>102</v>
      </c>
      <c r="Q48" s="0" t="s">
        <v>102</v>
      </c>
      <c r="R48" s="0" t="s">
        <v>234</v>
      </c>
      <c r="S48" s="0" t="s">
        <v>21</v>
      </c>
      <c r="T48" s="0" t="s">
        <v>104</v>
      </c>
      <c r="V48" s="0" t="s">
        <v>235</v>
      </c>
      <c r="W48" s="0" t="s">
        <v>105</v>
      </c>
      <c r="X48" s="0" t="s">
        <v>326</v>
      </c>
      <c r="Y48" s="0" t="s">
        <v>327</v>
      </c>
      <c r="Z48" s="0" t="s">
        <v>195</v>
      </c>
    </row>
    <row r="49" customFormat="false" ht="15" hidden="false" customHeight="false" outlineLevel="0" collapsed="false">
      <c r="A49" s="0" t="s">
        <v>21</v>
      </c>
      <c r="B49" s="0" t="s">
        <v>320</v>
      </c>
      <c r="C49" s="0" t="s">
        <v>190</v>
      </c>
      <c r="D49" s="0" t="s">
        <v>321</v>
      </c>
      <c r="E49" s="0" t="s">
        <v>322</v>
      </c>
      <c r="H49" s="0" t="s">
        <v>323</v>
      </c>
      <c r="I49" s="0" t="s">
        <v>324</v>
      </c>
      <c r="J49" s="0" t="s">
        <v>275</v>
      </c>
      <c r="K49" s="0" t="s">
        <v>325</v>
      </c>
      <c r="M49" s="0" t="s">
        <v>178</v>
      </c>
      <c r="N49" s="0" t="s">
        <v>124</v>
      </c>
      <c r="P49" s="0" t="s">
        <v>236</v>
      </c>
      <c r="Q49" s="0" t="s">
        <v>236</v>
      </c>
      <c r="R49" s="0" t="s">
        <v>237</v>
      </c>
      <c r="S49" s="0" t="s">
        <v>21</v>
      </c>
      <c r="T49" s="0" t="s">
        <v>104</v>
      </c>
      <c r="U49" s="0" t="s">
        <v>238</v>
      </c>
      <c r="W49" s="0" t="s">
        <v>105</v>
      </c>
      <c r="X49" s="0" t="s">
        <v>326</v>
      </c>
      <c r="Y49" s="0" t="s">
        <v>327</v>
      </c>
      <c r="Z49" s="0" t="s">
        <v>195</v>
      </c>
    </row>
    <row r="50" customFormat="false" ht="15" hidden="false" customHeight="false" outlineLevel="0" collapsed="false">
      <c r="A50" s="0" t="s">
        <v>21</v>
      </c>
      <c r="B50" s="0" t="s">
        <v>328</v>
      </c>
      <c r="C50" s="0" t="s">
        <v>240</v>
      </c>
      <c r="H50" s="0" t="s">
        <v>329</v>
      </c>
      <c r="I50" s="0" t="s">
        <v>330</v>
      </c>
      <c r="J50" s="0" t="s">
        <v>254</v>
      </c>
      <c r="K50" s="0" t="s">
        <v>331</v>
      </c>
      <c r="L50" s="0" t="s">
        <v>124</v>
      </c>
      <c r="M50" s="0" t="s">
        <v>208</v>
      </c>
      <c r="N50" s="0" t="s">
        <v>124</v>
      </c>
      <c r="P50" s="0" t="s">
        <v>204</v>
      </c>
      <c r="Q50" s="0" t="s">
        <v>204</v>
      </c>
      <c r="R50" s="0" t="s">
        <v>248</v>
      </c>
      <c r="S50" s="0" t="s">
        <v>21</v>
      </c>
      <c r="T50" s="0" t="s">
        <v>104</v>
      </c>
      <c r="W50" s="0" t="s">
        <v>105</v>
      </c>
    </row>
    <row r="51" customFormat="false" ht="15" hidden="false" customHeight="false" outlineLevel="0" collapsed="false">
      <c r="A51" s="0" t="s">
        <v>21</v>
      </c>
      <c r="B51" s="0" t="s">
        <v>332</v>
      </c>
      <c r="C51" s="0" t="s">
        <v>240</v>
      </c>
      <c r="H51" s="0" t="s">
        <v>333</v>
      </c>
      <c r="I51" s="0" t="s">
        <v>334</v>
      </c>
      <c r="J51" s="0" t="s">
        <v>254</v>
      </c>
      <c r="K51" s="0" t="s">
        <v>335</v>
      </c>
      <c r="M51" s="0" t="s">
        <v>208</v>
      </c>
      <c r="N51" s="0" t="s">
        <v>124</v>
      </c>
      <c r="P51" s="0" t="s">
        <v>204</v>
      </c>
      <c r="Q51" s="0" t="s">
        <v>204</v>
      </c>
      <c r="R51" s="0" t="s">
        <v>248</v>
      </c>
      <c r="S51" s="0" t="s">
        <v>21</v>
      </c>
      <c r="T51" s="0" t="s">
        <v>104</v>
      </c>
      <c r="W51" s="0" t="s">
        <v>105</v>
      </c>
    </row>
    <row r="52" customFormat="false" ht="15" hidden="false" customHeight="false" outlineLevel="0" collapsed="false">
      <c r="A52" s="0" t="s">
        <v>21</v>
      </c>
      <c r="B52" s="0" t="s">
        <v>336</v>
      </c>
      <c r="C52" s="0" t="s">
        <v>139</v>
      </c>
      <c r="D52" s="0" t="s">
        <v>337</v>
      </c>
      <c r="M52" s="0" t="s">
        <v>208</v>
      </c>
      <c r="N52" s="0" t="s">
        <v>124</v>
      </c>
      <c r="P52" s="0" t="s">
        <v>130</v>
      </c>
      <c r="Q52" s="0" t="s">
        <v>130</v>
      </c>
      <c r="R52" s="0" t="s">
        <v>131</v>
      </c>
      <c r="S52" s="0" t="s">
        <v>21</v>
      </c>
      <c r="T52" s="0" t="s">
        <v>104</v>
      </c>
      <c r="W52" s="0" t="s">
        <v>105</v>
      </c>
      <c r="AB52" s="0" t="s">
        <v>338</v>
      </c>
    </row>
    <row r="53" customFormat="false" ht="15" hidden="false" customHeight="false" outlineLevel="0" collapsed="false">
      <c r="A53" s="0" t="s">
        <v>21</v>
      </c>
      <c r="B53" s="0" t="s">
        <v>339</v>
      </c>
      <c r="C53" s="0" t="s">
        <v>174</v>
      </c>
      <c r="D53" s="0" t="s">
        <v>337</v>
      </c>
      <c r="M53" s="0" t="s">
        <v>208</v>
      </c>
      <c r="N53" s="0" t="s">
        <v>124</v>
      </c>
      <c r="P53" s="0" t="s">
        <v>102</v>
      </c>
      <c r="Q53" s="0" t="s">
        <v>102</v>
      </c>
      <c r="R53" s="0" t="s">
        <v>131</v>
      </c>
      <c r="S53" s="0" t="s">
        <v>21</v>
      </c>
      <c r="T53" s="0" t="s">
        <v>104</v>
      </c>
      <c r="W53" s="0" t="s">
        <v>105</v>
      </c>
      <c r="AB53" s="0" t="s">
        <v>338</v>
      </c>
    </row>
    <row r="54" customFormat="false" ht="15" hidden="false" customHeight="false" outlineLevel="0" collapsed="false">
      <c r="A54" s="0" t="s">
        <v>21</v>
      </c>
      <c r="B54" s="0" t="s">
        <v>340</v>
      </c>
      <c r="C54" s="0" t="s">
        <v>97</v>
      </c>
      <c r="D54" s="0" t="s">
        <v>341</v>
      </c>
      <c r="E54" s="0" t="s">
        <v>342</v>
      </c>
      <c r="H54" s="0" t="s">
        <v>343</v>
      </c>
      <c r="I54" s="0" t="s">
        <v>344</v>
      </c>
      <c r="J54" s="0" t="s">
        <v>178</v>
      </c>
      <c r="K54" s="0" t="s">
        <v>345</v>
      </c>
      <c r="L54" s="0" t="s">
        <v>124</v>
      </c>
      <c r="M54" s="0" t="s">
        <v>178</v>
      </c>
      <c r="N54" s="0" t="s">
        <v>124</v>
      </c>
      <c r="P54" s="0" t="s">
        <v>346</v>
      </c>
      <c r="Q54" s="0" t="s">
        <v>346</v>
      </c>
      <c r="R54" s="0" t="s">
        <v>347</v>
      </c>
      <c r="S54" s="0" t="s">
        <v>21</v>
      </c>
      <c r="T54" s="0" t="s">
        <v>104</v>
      </c>
      <c r="W54" s="0" t="s">
        <v>105</v>
      </c>
      <c r="X54" s="0" t="s">
        <v>348</v>
      </c>
      <c r="Y54" s="0" t="s">
        <v>349</v>
      </c>
      <c r="Z54" s="0" t="s">
        <v>350</v>
      </c>
      <c r="AB54" s="0" t="s">
        <v>351</v>
      </c>
    </row>
    <row r="55" customFormat="false" ht="15" hidden="false" customHeight="false" outlineLevel="0" collapsed="false">
      <c r="A55" s="0" t="s">
        <v>21</v>
      </c>
      <c r="B55" s="0" t="s">
        <v>352</v>
      </c>
      <c r="C55" s="0" t="s">
        <v>174</v>
      </c>
      <c r="D55" s="0" t="s">
        <v>353</v>
      </c>
      <c r="E55" s="0" t="s">
        <v>354</v>
      </c>
      <c r="M55" s="0" t="s">
        <v>355</v>
      </c>
      <c r="N55" s="0" t="s">
        <v>124</v>
      </c>
      <c r="P55" s="0" t="s">
        <v>102</v>
      </c>
      <c r="Q55" s="0" t="s">
        <v>102</v>
      </c>
      <c r="R55" s="0" t="s">
        <v>131</v>
      </c>
      <c r="S55" s="0" t="s">
        <v>21</v>
      </c>
      <c r="T55" s="0" t="s">
        <v>104</v>
      </c>
      <c r="W55" s="0" t="s">
        <v>105</v>
      </c>
      <c r="Z55" s="0" t="s">
        <v>134</v>
      </c>
      <c r="AA55" s="0" t="s">
        <v>356</v>
      </c>
      <c r="AB55" s="0" t="s">
        <v>357</v>
      </c>
    </row>
    <row r="56" customFormat="false" ht="15" hidden="false" customHeight="false" outlineLevel="0" collapsed="false">
      <c r="A56" s="0" t="s">
        <v>21</v>
      </c>
      <c r="B56" s="0" t="s">
        <v>358</v>
      </c>
      <c r="C56" s="0" t="s">
        <v>110</v>
      </c>
      <c r="D56" s="0" t="s">
        <v>359</v>
      </c>
      <c r="E56" s="0" t="s">
        <v>359</v>
      </c>
      <c r="G56" s="0" t="s">
        <v>360</v>
      </c>
      <c r="M56" s="0" t="s">
        <v>220</v>
      </c>
      <c r="N56" s="0" t="s">
        <v>124</v>
      </c>
      <c r="P56" s="0" t="s">
        <v>102</v>
      </c>
      <c r="Q56" s="0" t="s">
        <v>102</v>
      </c>
      <c r="R56" s="0" t="s">
        <v>131</v>
      </c>
      <c r="S56" s="0" t="s">
        <v>21</v>
      </c>
      <c r="T56" s="0" t="s">
        <v>104</v>
      </c>
      <c r="W56" s="0" t="s">
        <v>105</v>
      </c>
      <c r="AB56" s="0" t="s">
        <v>209</v>
      </c>
    </row>
    <row r="57" customFormat="false" ht="15" hidden="false" customHeight="false" outlineLevel="0" collapsed="false">
      <c r="A57" s="0" t="s">
        <v>21</v>
      </c>
      <c r="B57" s="0" t="s">
        <v>361</v>
      </c>
      <c r="C57" s="0" t="s">
        <v>97</v>
      </c>
      <c r="D57" s="0" t="s">
        <v>362</v>
      </c>
      <c r="E57" s="0" t="s">
        <v>363</v>
      </c>
      <c r="G57" s="0" t="s">
        <v>364</v>
      </c>
      <c r="H57" s="0" t="s">
        <v>365</v>
      </c>
      <c r="I57" s="0" t="s">
        <v>366</v>
      </c>
      <c r="J57" s="0" t="s">
        <v>367</v>
      </c>
      <c r="K57" s="0" t="s">
        <v>309</v>
      </c>
      <c r="L57" s="0" t="s">
        <v>101</v>
      </c>
      <c r="M57" s="0" t="s">
        <v>366</v>
      </c>
      <c r="N57" s="0" t="s">
        <v>101</v>
      </c>
      <c r="P57" s="0" t="s">
        <v>102</v>
      </c>
      <c r="Q57" s="0" t="s">
        <v>102</v>
      </c>
      <c r="R57" s="0" t="s">
        <v>113</v>
      </c>
      <c r="S57" s="0" t="s">
        <v>21</v>
      </c>
      <c r="T57" s="0" t="s">
        <v>104</v>
      </c>
      <c r="U57" s="0" t="s">
        <v>368</v>
      </c>
      <c r="W57" s="0" t="s">
        <v>105</v>
      </c>
      <c r="X57" s="0" t="s">
        <v>369</v>
      </c>
      <c r="Y57" s="0" t="s">
        <v>370</v>
      </c>
      <c r="Z57" s="0" t="s">
        <v>134</v>
      </c>
      <c r="AA57" s="0" t="s">
        <v>172</v>
      </c>
    </row>
    <row r="58" customFormat="false" ht="15" hidden="false" customHeight="false" outlineLevel="0" collapsed="false">
      <c r="A58" s="0" t="s">
        <v>21</v>
      </c>
      <c r="B58" s="0" t="s">
        <v>371</v>
      </c>
      <c r="C58" s="0" t="s">
        <v>372</v>
      </c>
      <c r="D58" s="0" t="s">
        <v>373</v>
      </c>
      <c r="E58" s="0" t="s">
        <v>374</v>
      </c>
      <c r="G58" s="0" t="s">
        <v>375</v>
      </c>
      <c r="H58" s="0" t="s">
        <v>376</v>
      </c>
      <c r="I58" s="0" t="s">
        <v>377</v>
      </c>
      <c r="J58" s="0" t="s">
        <v>122</v>
      </c>
      <c r="K58" s="0" t="s">
        <v>378</v>
      </c>
      <c r="L58" s="0" t="s">
        <v>124</v>
      </c>
      <c r="M58" s="0" t="s">
        <v>121</v>
      </c>
      <c r="N58" s="0" t="s">
        <v>124</v>
      </c>
      <c r="P58" s="0" t="s">
        <v>379</v>
      </c>
      <c r="Q58" s="0" t="s">
        <v>379</v>
      </c>
      <c r="R58" s="0" t="s">
        <v>379</v>
      </c>
      <c r="S58" s="0" t="s">
        <v>21</v>
      </c>
      <c r="T58" s="0" t="s">
        <v>104</v>
      </c>
      <c r="W58" s="0" t="s">
        <v>183</v>
      </c>
      <c r="X58" s="0" t="s">
        <v>380</v>
      </c>
      <c r="Y58" s="0" t="s">
        <v>381</v>
      </c>
      <c r="Z58" s="0" t="s">
        <v>382</v>
      </c>
    </row>
    <row r="59" customFormat="false" ht="15" hidden="false" customHeight="false" outlineLevel="0" collapsed="false">
      <c r="A59" s="0" t="s">
        <v>21</v>
      </c>
      <c r="B59" s="0" t="s">
        <v>371</v>
      </c>
      <c r="C59" s="0" t="s">
        <v>372</v>
      </c>
      <c r="D59" s="0" t="s">
        <v>373</v>
      </c>
      <c r="E59" s="0" t="s">
        <v>374</v>
      </c>
      <c r="G59" s="0" t="s">
        <v>375</v>
      </c>
      <c r="H59" s="0" t="s">
        <v>376</v>
      </c>
      <c r="I59" s="0" t="s">
        <v>377</v>
      </c>
      <c r="J59" s="0" t="s">
        <v>122</v>
      </c>
      <c r="K59" s="0" t="s">
        <v>378</v>
      </c>
      <c r="L59" s="0" t="s">
        <v>124</v>
      </c>
      <c r="M59" s="0" t="s">
        <v>121</v>
      </c>
      <c r="N59" s="0" t="s">
        <v>124</v>
      </c>
      <c r="P59" s="0" t="s">
        <v>102</v>
      </c>
      <c r="Q59" s="0" t="s">
        <v>102</v>
      </c>
      <c r="R59" s="0" t="s">
        <v>113</v>
      </c>
      <c r="S59" s="0" t="s">
        <v>21</v>
      </c>
      <c r="T59" s="0" t="s">
        <v>104</v>
      </c>
      <c r="W59" s="0" t="s">
        <v>105</v>
      </c>
      <c r="X59" s="0" t="s">
        <v>380</v>
      </c>
      <c r="Y59" s="0" t="s">
        <v>381</v>
      </c>
      <c r="Z59" s="0" t="s">
        <v>382</v>
      </c>
    </row>
    <row r="60" customFormat="false" ht="15" hidden="false" customHeight="false" outlineLevel="0" collapsed="false">
      <c r="A60" s="0" t="s">
        <v>21</v>
      </c>
      <c r="B60" s="0" t="s">
        <v>383</v>
      </c>
      <c r="C60" s="0" t="s">
        <v>372</v>
      </c>
      <c r="D60" s="0" t="s">
        <v>384</v>
      </c>
      <c r="E60" s="0" t="s">
        <v>385</v>
      </c>
      <c r="G60" s="0" t="s">
        <v>386</v>
      </c>
      <c r="H60" s="0" t="s">
        <v>387</v>
      </c>
      <c r="I60" s="0" t="s">
        <v>388</v>
      </c>
      <c r="J60" s="0" t="s">
        <v>157</v>
      </c>
      <c r="K60" s="0" t="s">
        <v>389</v>
      </c>
      <c r="L60" s="0" t="s">
        <v>124</v>
      </c>
      <c r="M60" s="0" t="s">
        <v>390</v>
      </c>
      <c r="N60" s="0" t="s">
        <v>124</v>
      </c>
      <c r="P60" s="0" t="s">
        <v>379</v>
      </c>
      <c r="Q60" s="0" t="s">
        <v>379</v>
      </c>
      <c r="R60" s="0" t="s">
        <v>379</v>
      </c>
      <c r="S60" s="0" t="s">
        <v>21</v>
      </c>
      <c r="T60" s="0" t="s">
        <v>104</v>
      </c>
      <c r="W60" s="0" t="s">
        <v>183</v>
      </c>
      <c r="X60" s="0" t="s">
        <v>391</v>
      </c>
      <c r="Y60" s="0" t="s">
        <v>392</v>
      </c>
      <c r="Z60" s="0" t="s">
        <v>382</v>
      </c>
      <c r="AB60" s="0" t="s">
        <v>393</v>
      </c>
    </row>
    <row r="61" customFormat="false" ht="15" hidden="false" customHeight="false" outlineLevel="0" collapsed="false">
      <c r="A61" s="0" t="s">
        <v>21</v>
      </c>
      <c r="B61" s="0" t="s">
        <v>383</v>
      </c>
      <c r="C61" s="0" t="s">
        <v>372</v>
      </c>
      <c r="D61" s="0" t="s">
        <v>384</v>
      </c>
      <c r="E61" s="0" t="s">
        <v>385</v>
      </c>
      <c r="G61" s="0" t="s">
        <v>386</v>
      </c>
      <c r="H61" s="0" t="s">
        <v>387</v>
      </c>
      <c r="I61" s="0" t="s">
        <v>388</v>
      </c>
      <c r="J61" s="0" t="s">
        <v>157</v>
      </c>
      <c r="K61" s="0" t="s">
        <v>389</v>
      </c>
      <c r="L61" s="0" t="s">
        <v>124</v>
      </c>
      <c r="M61" s="0" t="s">
        <v>390</v>
      </c>
      <c r="N61" s="0" t="s">
        <v>124</v>
      </c>
      <c r="P61" s="0" t="s">
        <v>102</v>
      </c>
      <c r="Q61" s="0" t="s">
        <v>102</v>
      </c>
      <c r="R61" s="0" t="s">
        <v>113</v>
      </c>
      <c r="S61" s="0" t="s">
        <v>21</v>
      </c>
      <c r="T61" s="0" t="s">
        <v>104</v>
      </c>
      <c r="W61" s="0" t="s">
        <v>105</v>
      </c>
      <c r="X61" s="0" t="s">
        <v>391</v>
      </c>
      <c r="Y61" s="0" t="s">
        <v>392</v>
      </c>
      <c r="Z61" s="0" t="s">
        <v>382</v>
      </c>
      <c r="AB61" s="0" t="s">
        <v>393</v>
      </c>
    </row>
    <row r="62" customFormat="false" ht="15" hidden="false" customHeight="false" outlineLevel="0" collapsed="false">
      <c r="A62" s="0" t="s">
        <v>21</v>
      </c>
      <c r="B62" s="0" t="s">
        <v>394</v>
      </c>
      <c r="C62" s="0" t="s">
        <v>395</v>
      </c>
      <c r="E62" s="0" t="s">
        <v>396</v>
      </c>
      <c r="G62" s="0" t="s">
        <v>397</v>
      </c>
      <c r="M62" s="0" t="s">
        <v>398</v>
      </c>
      <c r="N62" s="0" t="s">
        <v>101</v>
      </c>
      <c r="P62" s="0" t="s">
        <v>204</v>
      </c>
      <c r="Q62" s="0" t="s">
        <v>204</v>
      </c>
      <c r="R62" s="0" t="s">
        <v>399</v>
      </c>
      <c r="S62" s="0" t="s">
        <v>21</v>
      </c>
      <c r="T62" s="0" t="s">
        <v>104</v>
      </c>
      <c r="W62" s="0" t="s">
        <v>105</v>
      </c>
      <c r="Z62" s="0" t="s">
        <v>134</v>
      </c>
    </row>
    <row r="63" customFormat="false" ht="15" hidden="false" customHeight="false" outlineLevel="0" collapsed="false">
      <c r="A63" s="0" t="s">
        <v>21</v>
      </c>
      <c r="B63" s="0" t="s">
        <v>400</v>
      </c>
      <c r="C63" s="0" t="s">
        <v>97</v>
      </c>
      <c r="D63" s="0" t="s">
        <v>401</v>
      </c>
      <c r="E63" s="0" t="s">
        <v>402</v>
      </c>
      <c r="G63" s="0" t="s">
        <v>364</v>
      </c>
      <c r="H63" s="0" t="s">
        <v>403</v>
      </c>
      <c r="I63" s="0" t="s">
        <v>100</v>
      </c>
      <c r="J63" s="0" t="s">
        <v>100</v>
      </c>
      <c r="K63" s="0" t="s">
        <v>404</v>
      </c>
      <c r="L63" s="0" t="s">
        <v>101</v>
      </c>
      <c r="M63" s="0" t="s">
        <v>405</v>
      </c>
      <c r="N63" s="0" t="s">
        <v>101</v>
      </c>
      <c r="P63" s="0" t="s">
        <v>102</v>
      </c>
      <c r="Q63" s="0" t="s">
        <v>102</v>
      </c>
      <c r="R63" s="0" t="s">
        <v>113</v>
      </c>
      <c r="S63" s="0" t="s">
        <v>21</v>
      </c>
      <c r="T63" s="0" t="s">
        <v>104</v>
      </c>
      <c r="U63" s="0" t="s">
        <v>368</v>
      </c>
      <c r="W63" s="0" t="s">
        <v>105</v>
      </c>
      <c r="X63" s="0" t="s">
        <v>406</v>
      </c>
      <c r="Y63" s="0" t="s">
        <v>407</v>
      </c>
      <c r="Z63" s="0" t="s">
        <v>134</v>
      </c>
      <c r="AA63" s="0" t="s">
        <v>172</v>
      </c>
    </row>
    <row r="64" customFormat="false" ht="15" hidden="false" customHeight="false" outlineLevel="0" collapsed="false">
      <c r="A64" s="0" t="s">
        <v>21</v>
      </c>
      <c r="B64" s="0" t="s">
        <v>408</v>
      </c>
      <c r="C64" s="0" t="s">
        <v>97</v>
      </c>
      <c r="D64" s="0" t="s">
        <v>409</v>
      </c>
      <c r="E64" s="0" t="s">
        <v>410</v>
      </c>
      <c r="G64" s="0" t="s">
        <v>364</v>
      </c>
      <c r="H64" s="0" t="s">
        <v>411</v>
      </c>
      <c r="I64" s="0" t="s">
        <v>412</v>
      </c>
      <c r="J64" s="0" t="s">
        <v>167</v>
      </c>
      <c r="K64" s="0" t="s">
        <v>413</v>
      </c>
      <c r="L64" s="0" t="s">
        <v>101</v>
      </c>
      <c r="M64" s="0" t="s">
        <v>412</v>
      </c>
      <c r="N64" s="0" t="s">
        <v>101</v>
      </c>
      <c r="P64" s="0" t="s">
        <v>102</v>
      </c>
      <c r="Q64" s="0" t="s">
        <v>102</v>
      </c>
      <c r="R64" s="0" t="s">
        <v>113</v>
      </c>
      <c r="S64" s="0" t="s">
        <v>21</v>
      </c>
      <c r="T64" s="0" t="s">
        <v>104</v>
      </c>
      <c r="U64" s="0" t="s">
        <v>368</v>
      </c>
      <c r="W64" s="0" t="s">
        <v>105</v>
      </c>
      <c r="X64" s="0" t="s">
        <v>414</v>
      </c>
      <c r="Y64" s="0" t="s">
        <v>415</v>
      </c>
      <c r="Z64" s="0" t="s">
        <v>134</v>
      </c>
      <c r="AA64" s="0" t="s">
        <v>172</v>
      </c>
    </row>
    <row r="65" customFormat="false" ht="15" hidden="false" customHeight="false" outlineLevel="0" collapsed="false">
      <c r="A65" s="0" t="s">
        <v>21</v>
      </c>
      <c r="B65" s="0" t="s">
        <v>416</v>
      </c>
      <c r="C65" s="0" t="s">
        <v>97</v>
      </c>
      <c r="D65" s="0" t="s">
        <v>417</v>
      </c>
      <c r="E65" s="0" t="s">
        <v>418</v>
      </c>
      <c r="G65" s="0" t="s">
        <v>364</v>
      </c>
      <c r="H65" s="0" t="s">
        <v>419</v>
      </c>
      <c r="I65" s="0" t="s">
        <v>420</v>
      </c>
      <c r="J65" s="0" t="s">
        <v>421</v>
      </c>
      <c r="K65" s="0" t="s">
        <v>422</v>
      </c>
      <c r="L65" s="0" t="s">
        <v>101</v>
      </c>
      <c r="M65" s="0" t="s">
        <v>420</v>
      </c>
      <c r="N65" s="0" t="s">
        <v>101</v>
      </c>
      <c r="P65" s="0" t="s">
        <v>102</v>
      </c>
      <c r="Q65" s="0" t="s">
        <v>102</v>
      </c>
      <c r="R65" s="0" t="s">
        <v>113</v>
      </c>
      <c r="S65" s="0" t="s">
        <v>21</v>
      </c>
      <c r="T65" s="0" t="s">
        <v>104</v>
      </c>
      <c r="U65" s="0" t="s">
        <v>368</v>
      </c>
      <c r="W65" s="0" t="s">
        <v>105</v>
      </c>
      <c r="X65" s="0" t="s">
        <v>423</v>
      </c>
      <c r="Y65" s="0" t="s">
        <v>424</v>
      </c>
      <c r="Z65" s="0" t="s">
        <v>134</v>
      </c>
      <c r="AA65" s="0" t="s">
        <v>172</v>
      </c>
    </row>
    <row r="66" customFormat="false" ht="15" hidden="false" customHeight="false" outlineLevel="0" collapsed="false">
      <c r="A66" s="0" t="s">
        <v>21</v>
      </c>
      <c r="B66" s="0" t="s">
        <v>425</v>
      </c>
      <c r="C66" s="0" t="s">
        <v>97</v>
      </c>
      <c r="D66" s="0" t="s">
        <v>426</v>
      </c>
      <c r="E66" s="0" t="s">
        <v>427</v>
      </c>
      <c r="G66" s="0" t="s">
        <v>364</v>
      </c>
      <c r="H66" s="0" t="s">
        <v>428</v>
      </c>
      <c r="I66" s="0" t="s">
        <v>429</v>
      </c>
      <c r="J66" s="0" t="s">
        <v>430</v>
      </c>
      <c r="K66" s="0" t="s">
        <v>431</v>
      </c>
      <c r="L66" s="0" t="s">
        <v>101</v>
      </c>
      <c r="M66" s="0" t="s">
        <v>429</v>
      </c>
      <c r="N66" s="0" t="s">
        <v>101</v>
      </c>
      <c r="P66" s="0" t="s">
        <v>102</v>
      </c>
      <c r="Q66" s="0" t="s">
        <v>102</v>
      </c>
      <c r="R66" s="0" t="s">
        <v>113</v>
      </c>
      <c r="S66" s="0" t="s">
        <v>21</v>
      </c>
      <c r="T66" s="0" t="s">
        <v>104</v>
      </c>
      <c r="U66" s="0" t="s">
        <v>368</v>
      </c>
      <c r="W66" s="0" t="s">
        <v>105</v>
      </c>
      <c r="X66" s="0" t="s">
        <v>432</v>
      </c>
      <c r="Y66" s="0" t="s">
        <v>433</v>
      </c>
      <c r="Z66" s="0" t="s">
        <v>134</v>
      </c>
      <c r="AA66" s="0" t="s">
        <v>172</v>
      </c>
    </row>
    <row r="67" customFormat="false" ht="15" hidden="false" customHeight="false" outlineLevel="0" collapsed="false">
      <c r="A67" s="0" t="s">
        <v>21</v>
      </c>
      <c r="B67" s="0" t="s">
        <v>434</v>
      </c>
      <c r="C67" s="0" t="s">
        <v>395</v>
      </c>
      <c r="D67" s="0" t="s">
        <v>435</v>
      </c>
      <c r="E67" s="0" t="s">
        <v>436</v>
      </c>
      <c r="G67" s="0" t="s">
        <v>397</v>
      </c>
      <c r="M67" s="0" t="s">
        <v>437</v>
      </c>
      <c r="N67" s="0" t="s">
        <v>101</v>
      </c>
      <c r="P67" s="0" t="s">
        <v>102</v>
      </c>
      <c r="Q67" s="0" t="s">
        <v>102</v>
      </c>
      <c r="R67" s="0" t="s">
        <v>113</v>
      </c>
      <c r="S67" s="0" t="s">
        <v>21</v>
      </c>
      <c r="T67" s="0" t="s">
        <v>104</v>
      </c>
      <c r="U67" s="0" t="s">
        <v>368</v>
      </c>
      <c r="W67" s="0" t="s">
        <v>105</v>
      </c>
      <c r="Z67" s="0" t="s">
        <v>134</v>
      </c>
    </row>
    <row r="68" customFormat="false" ht="15" hidden="false" customHeight="false" outlineLevel="0" collapsed="false">
      <c r="A68" s="0" t="s">
        <v>21</v>
      </c>
      <c r="B68" s="0" t="s">
        <v>438</v>
      </c>
      <c r="C68" s="0" t="s">
        <v>372</v>
      </c>
      <c r="D68" s="0" t="s">
        <v>439</v>
      </c>
      <c r="E68" s="0" t="s">
        <v>440</v>
      </c>
      <c r="G68" s="0" t="s">
        <v>441</v>
      </c>
      <c r="M68" s="0" t="s">
        <v>442</v>
      </c>
      <c r="N68" s="0" t="s">
        <v>101</v>
      </c>
      <c r="P68" s="0" t="s">
        <v>379</v>
      </c>
      <c r="Q68" s="0" t="s">
        <v>379</v>
      </c>
      <c r="R68" s="0" t="s">
        <v>379</v>
      </c>
      <c r="S68" s="0" t="s">
        <v>21</v>
      </c>
      <c r="T68" s="0" t="s">
        <v>104</v>
      </c>
      <c r="W68" s="0" t="s">
        <v>183</v>
      </c>
    </row>
    <row r="69" customFormat="false" ht="15" hidden="false" customHeight="false" outlineLevel="0" collapsed="false">
      <c r="A69" s="0" t="s">
        <v>21</v>
      </c>
      <c r="B69" s="0" t="s">
        <v>438</v>
      </c>
      <c r="C69" s="0" t="s">
        <v>372</v>
      </c>
      <c r="D69" s="0" t="s">
        <v>439</v>
      </c>
      <c r="E69" s="0" t="s">
        <v>440</v>
      </c>
      <c r="G69" s="0" t="s">
        <v>441</v>
      </c>
      <c r="M69" s="0" t="s">
        <v>442</v>
      </c>
      <c r="N69" s="0" t="s">
        <v>101</v>
      </c>
      <c r="P69" s="0" t="s">
        <v>102</v>
      </c>
      <c r="Q69" s="0" t="s">
        <v>102</v>
      </c>
      <c r="R69" s="0" t="s">
        <v>113</v>
      </c>
      <c r="S69" s="0" t="s">
        <v>21</v>
      </c>
      <c r="T69" s="0" t="s">
        <v>104</v>
      </c>
      <c r="U69" s="0" t="s">
        <v>368</v>
      </c>
      <c r="W69" s="0" t="s">
        <v>105</v>
      </c>
    </row>
    <row r="70" customFormat="false" ht="15" hidden="false" customHeight="false" outlineLevel="0" collapsed="false">
      <c r="A70" s="0" t="s">
        <v>21</v>
      </c>
      <c r="B70" s="0" t="s">
        <v>443</v>
      </c>
      <c r="C70" s="0" t="s">
        <v>97</v>
      </c>
      <c r="D70" s="0" t="s">
        <v>444</v>
      </c>
      <c r="E70" s="0" t="s">
        <v>445</v>
      </c>
      <c r="G70" s="0" t="s">
        <v>364</v>
      </c>
      <c r="H70" s="0" t="s">
        <v>446</v>
      </c>
      <c r="I70" s="0" t="s">
        <v>447</v>
      </c>
      <c r="J70" s="0" t="s">
        <v>448</v>
      </c>
      <c r="K70" s="0" t="s">
        <v>449</v>
      </c>
      <c r="L70" s="0" t="s">
        <v>101</v>
      </c>
      <c r="M70" s="0" t="s">
        <v>447</v>
      </c>
      <c r="N70" s="0" t="s">
        <v>101</v>
      </c>
      <c r="P70" s="0" t="s">
        <v>102</v>
      </c>
      <c r="Q70" s="0" t="s">
        <v>102</v>
      </c>
      <c r="R70" s="0" t="s">
        <v>113</v>
      </c>
      <c r="S70" s="0" t="s">
        <v>21</v>
      </c>
      <c r="T70" s="0" t="s">
        <v>104</v>
      </c>
      <c r="U70" s="0" t="s">
        <v>368</v>
      </c>
      <c r="W70" s="0" t="s">
        <v>105</v>
      </c>
      <c r="X70" s="0" t="s">
        <v>450</v>
      </c>
      <c r="Y70" s="0" t="s">
        <v>451</v>
      </c>
      <c r="Z70" s="0" t="s">
        <v>134</v>
      </c>
      <c r="AA70" s="0" t="s">
        <v>172</v>
      </c>
    </row>
    <row r="71" customFormat="false" ht="15" hidden="false" customHeight="false" outlineLevel="0" collapsed="false">
      <c r="A71" s="0" t="s">
        <v>21</v>
      </c>
      <c r="B71" s="0" t="s">
        <v>452</v>
      </c>
      <c r="C71" s="0" t="s">
        <v>97</v>
      </c>
      <c r="D71" s="0" t="s">
        <v>453</v>
      </c>
      <c r="E71" s="0" t="s">
        <v>454</v>
      </c>
      <c r="G71" s="0" t="s">
        <v>364</v>
      </c>
      <c r="H71" s="0" t="s">
        <v>455</v>
      </c>
      <c r="I71" s="0" t="s">
        <v>456</v>
      </c>
      <c r="J71" s="0" t="s">
        <v>456</v>
      </c>
      <c r="K71" s="0" t="s">
        <v>457</v>
      </c>
      <c r="L71" s="0" t="s">
        <v>101</v>
      </c>
      <c r="M71" s="0" t="s">
        <v>456</v>
      </c>
      <c r="N71" s="0" t="s">
        <v>101</v>
      </c>
      <c r="P71" s="0" t="s">
        <v>102</v>
      </c>
      <c r="Q71" s="0" t="s">
        <v>102</v>
      </c>
      <c r="R71" s="0" t="s">
        <v>113</v>
      </c>
      <c r="S71" s="0" t="s">
        <v>21</v>
      </c>
      <c r="T71" s="0" t="s">
        <v>104</v>
      </c>
      <c r="U71" s="0" t="s">
        <v>368</v>
      </c>
      <c r="W71" s="0" t="s">
        <v>105</v>
      </c>
      <c r="X71" s="0" t="s">
        <v>458</v>
      </c>
      <c r="Y71" s="0" t="s">
        <v>459</v>
      </c>
      <c r="Z71" s="0" t="s">
        <v>134</v>
      </c>
      <c r="AA71" s="0" t="s">
        <v>172</v>
      </c>
    </row>
    <row r="72" customFormat="false" ht="15" hidden="false" customHeight="false" outlineLevel="0" collapsed="false">
      <c r="A72" s="0" t="s">
        <v>21</v>
      </c>
      <c r="B72" s="0" t="s">
        <v>460</v>
      </c>
      <c r="C72" s="0" t="s">
        <v>174</v>
      </c>
      <c r="D72" s="0" t="s">
        <v>461</v>
      </c>
      <c r="E72" s="0" t="s">
        <v>462</v>
      </c>
      <c r="M72" s="0" t="s">
        <v>178</v>
      </c>
      <c r="N72" s="0" t="s">
        <v>124</v>
      </c>
      <c r="P72" s="0" t="s">
        <v>102</v>
      </c>
      <c r="Q72" s="0" t="s">
        <v>102</v>
      </c>
      <c r="R72" s="0" t="s">
        <v>131</v>
      </c>
      <c r="S72" s="0" t="s">
        <v>21</v>
      </c>
      <c r="T72" s="0" t="s">
        <v>104</v>
      </c>
      <c r="U72" s="0" t="s">
        <v>463</v>
      </c>
      <c r="W72" s="0" t="s">
        <v>105</v>
      </c>
      <c r="AB72" s="0" t="s">
        <v>464</v>
      </c>
    </row>
    <row r="73" customFormat="false" ht="15" hidden="false" customHeight="false" outlineLevel="0" collapsed="false">
      <c r="A73" s="0" t="s">
        <v>21</v>
      </c>
      <c r="B73" s="0" t="s">
        <v>465</v>
      </c>
      <c r="C73" s="0" t="s">
        <v>97</v>
      </c>
      <c r="D73" s="0" t="s">
        <v>466</v>
      </c>
      <c r="E73" s="0" t="s">
        <v>466</v>
      </c>
      <c r="F73" s="0" t="s">
        <v>466</v>
      </c>
      <c r="M73" s="0" t="s">
        <v>232</v>
      </c>
      <c r="N73" s="0" t="s">
        <v>124</v>
      </c>
      <c r="P73" s="0" t="s">
        <v>130</v>
      </c>
      <c r="Q73" s="0" t="s">
        <v>130</v>
      </c>
      <c r="R73" s="0" t="s">
        <v>467</v>
      </c>
      <c r="S73" s="0" t="s">
        <v>21</v>
      </c>
      <c r="T73" s="0" t="s">
        <v>104</v>
      </c>
      <c r="W73" s="0" t="s">
        <v>105</v>
      </c>
    </row>
    <row r="74" customFormat="false" ht="28.35" hidden="false" customHeight="false" outlineLevel="0" collapsed="false">
      <c r="A74" s="0" t="s">
        <v>21</v>
      </c>
      <c r="B74" s="0" t="s">
        <v>468</v>
      </c>
      <c r="C74" s="0" t="s">
        <v>97</v>
      </c>
      <c r="D74" s="0" t="s">
        <v>469</v>
      </c>
      <c r="E74" s="0" t="s">
        <v>470</v>
      </c>
      <c r="G74" s="9" t="s">
        <v>471</v>
      </c>
      <c r="M74" s="0" t="s">
        <v>232</v>
      </c>
      <c r="N74" s="0" t="s">
        <v>124</v>
      </c>
      <c r="P74" s="0" t="s">
        <v>102</v>
      </c>
      <c r="Q74" s="0" t="s">
        <v>102</v>
      </c>
      <c r="R74" s="0" t="s">
        <v>131</v>
      </c>
      <c r="S74" s="0" t="s">
        <v>21</v>
      </c>
      <c r="T74" s="0" t="s">
        <v>104</v>
      </c>
      <c r="W74" s="0" t="s">
        <v>105</v>
      </c>
    </row>
    <row r="75" customFormat="false" ht="15" hidden="false" customHeight="false" outlineLevel="0" collapsed="false">
      <c r="A75" s="0" t="s">
        <v>21</v>
      </c>
      <c r="B75" s="0" t="s">
        <v>472</v>
      </c>
      <c r="C75" s="0" t="s">
        <v>110</v>
      </c>
      <c r="E75" s="0" t="s">
        <v>473</v>
      </c>
      <c r="M75" s="0" t="s">
        <v>474</v>
      </c>
      <c r="N75" s="0" t="s">
        <v>124</v>
      </c>
      <c r="P75" s="0" t="s">
        <v>130</v>
      </c>
      <c r="Q75" s="0" t="s">
        <v>130</v>
      </c>
      <c r="R75" s="0" t="s">
        <v>131</v>
      </c>
      <c r="S75" s="0" t="s">
        <v>21</v>
      </c>
      <c r="T75" s="0" t="s">
        <v>104</v>
      </c>
      <c r="W75" s="0" t="s">
        <v>105</v>
      </c>
    </row>
    <row r="76" customFormat="false" ht="15" hidden="false" customHeight="false" outlineLevel="0" collapsed="false">
      <c r="A76" s="0" t="s">
        <v>21</v>
      </c>
      <c r="B76" s="0" t="s">
        <v>475</v>
      </c>
      <c r="C76" s="0" t="s">
        <v>97</v>
      </c>
      <c r="D76" s="0" t="s">
        <v>476</v>
      </c>
      <c r="E76" s="0" t="s">
        <v>477</v>
      </c>
      <c r="H76" s="0" t="s">
        <v>478</v>
      </c>
      <c r="I76" s="0" t="s">
        <v>136</v>
      </c>
      <c r="J76" s="0" t="s">
        <v>157</v>
      </c>
      <c r="K76" s="0" t="s">
        <v>158</v>
      </c>
      <c r="L76" s="0" t="s">
        <v>124</v>
      </c>
      <c r="M76" s="0" t="s">
        <v>479</v>
      </c>
      <c r="N76" s="0" t="s">
        <v>124</v>
      </c>
      <c r="P76" s="0" t="s">
        <v>102</v>
      </c>
      <c r="Q76" s="0" t="s">
        <v>102</v>
      </c>
      <c r="R76" s="0" t="s">
        <v>131</v>
      </c>
      <c r="S76" s="0" t="s">
        <v>21</v>
      </c>
      <c r="T76" s="0" t="s">
        <v>104</v>
      </c>
      <c r="W76" s="0" t="s">
        <v>105</v>
      </c>
      <c r="X76" s="0" t="s">
        <v>480</v>
      </c>
      <c r="Y76" s="0" t="s">
        <v>481</v>
      </c>
      <c r="Z76" s="0" t="s">
        <v>134</v>
      </c>
    </row>
    <row r="77" customFormat="false" ht="15" hidden="false" customHeight="false" outlineLevel="0" collapsed="false">
      <c r="A77" s="0" t="s">
        <v>21</v>
      </c>
      <c r="B77" s="0" t="s">
        <v>482</v>
      </c>
      <c r="C77" s="0" t="s">
        <v>97</v>
      </c>
      <c r="D77" s="0" t="s">
        <v>483</v>
      </c>
      <c r="E77" s="0" t="s">
        <v>484</v>
      </c>
      <c r="M77" s="0" t="s">
        <v>136</v>
      </c>
      <c r="N77" s="0" t="s">
        <v>124</v>
      </c>
      <c r="P77" s="0" t="s">
        <v>102</v>
      </c>
      <c r="Q77" s="0" t="s">
        <v>102</v>
      </c>
      <c r="R77" s="0" t="s">
        <v>131</v>
      </c>
      <c r="S77" s="0" t="s">
        <v>21</v>
      </c>
      <c r="T77" s="0" t="s">
        <v>104</v>
      </c>
      <c r="W77" s="0" t="s">
        <v>105</v>
      </c>
      <c r="AB77" s="0" t="s">
        <v>485</v>
      </c>
    </row>
    <row r="78" customFormat="false" ht="15" hidden="false" customHeight="false" outlineLevel="0" collapsed="false">
      <c r="A78" s="0" t="s">
        <v>21</v>
      </c>
      <c r="B78" s="0" t="s">
        <v>486</v>
      </c>
      <c r="C78" s="0" t="s">
        <v>97</v>
      </c>
      <c r="D78" s="0" t="s">
        <v>487</v>
      </c>
      <c r="E78" s="0" t="s">
        <v>488</v>
      </c>
      <c r="M78" s="0" t="s">
        <v>136</v>
      </c>
      <c r="N78" s="0" t="s">
        <v>124</v>
      </c>
      <c r="P78" s="0" t="s">
        <v>102</v>
      </c>
      <c r="Q78" s="0" t="s">
        <v>102</v>
      </c>
      <c r="R78" s="0" t="s">
        <v>131</v>
      </c>
      <c r="S78" s="0" t="s">
        <v>21</v>
      </c>
      <c r="T78" s="0" t="s">
        <v>104</v>
      </c>
      <c r="W78" s="0" t="s">
        <v>105</v>
      </c>
      <c r="AB78" s="0" t="s">
        <v>485</v>
      </c>
    </row>
    <row r="79" customFormat="false" ht="15" hidden="false" customHeight="false" outlineLevel="0" collapsed="false">
      <c r="A79" s="0" t="s">
        <v>21</v>
      </c>
      <c r="B79" s="0" t="s">
        <v>489</v>
      </c>
      <c r="C79" s="0" t="s">
        <v>97</v>
      </c>
      <c r="D79" s="0" t="s">
        <v>490</v>
      </c>
      <c r="E79" s="0" t="s">
        <v>491</v>
      </c>
      <c r="M79" s="0" t="s">
        <v>136</v>
      </c>
      <c r="N79" s="0" t="s">
        <v>124</v>
      </c>
      <c r="P79" s="0" t="s">
        <v>102</v>
      </c>
      <c r="Q79" s="0" t="s">
        <v>102</v>
      </c>
      <c r="R79" s="0" t="s">
        <v>131</v>
      </c>
      <c r="S79" s="0" t="s">
        <v>21</v>
      </c>
      <c r="T79" s="0" t="s">
        <v>104</v>
      </c>
      <c r="W79" s="0" t="s">
        <v>105</v>
      </c>
      <c r="AB79" s="0" t="s">
        <v>485</v>
      </c>
    </row>
    <row r="80" customFormat="false" ht="15" hidden="false" customHeight="false" outlineLevel="0" collapsed="false">
      <c r="A80" s="0" t="s">
        <v>21</v>
      </c>
      <c r="B80" s="0" t="s">
        <v>492</v>
      </c>
      <c r="C80" s="0" t="s">
        <v>97</v>
      </c>
      <c r="D80" s="0" t="s">
        <v>493</v>
      </c>
      <c r="E80" s="0" t="s">
        <v>494</v>
      </c>
      <c r="G80" s="0" t="s">
        <v>495</v>
      </c>
      <c r="H80" s="0" t="s">
        <v>496</v>
      </c>
      <c r="I80" s="0" t="s">
        <v>497</v>
      </c>
      <c r="J80" s="0" t="s">
        <v>430</v>
      </c>
      <c r="K80" s="0" t="s">
        <v>498</v>
      </c>
      <c r="L80" s="0" t="s">
        <v>101</v>
      </c>
      <c r="M80" s="0" t="s">
        <v>497</v>
      </c>
      <c r="N80" s="0" t="s">
        <v>101</v>
      </c>
      <c r="P80" s="0" t="s">
        <v>499</v>
      </c>
      <c r="Q80" s="0" t="s">
        <v>499</v>
      </c>
      <c r="R80" s="0" t="s">
        <v>499</v>
      </c>
      <c r="S80" s="0" t="s">
        <v>21</v>
      </c>
      <c r="T80" s="0" t="s">
        <v>104</v>
      </c>
      <c r="W80" s="0" t="s">
        <v>183</v>
      </c>
      <c r="X80" s="0" t="s">
        <v>500</v>
      </c>
      <c r="Y80" s="0" t="s">
        <v>501</v>
      </c>
      <c r="Z80" s="0" t="s">
        <v>382</v>
      </c>
      <c r="AA80" s="0" t="s">
        <v>172</v>
      </c>
    </row>
    <row r="81" customFormat="false" ht="15" hidden="false" customHeight="false" outlineLevel="0" collapsed="false">
      <c r="A81" s="0" t="s">
        <v>21</v>
      </c>
      <c r="B81" s="0" t="s">
        <v>492</v>
      </c>
      <c r="C81" s="0" t="s">
        <v>97</v>
      </c>
      <c r="D81" s="0" t="s">
        <v>493</v>
      </c>
      <c r="E81" s="0" t="s">
        <v>494</v>
      </c>
      <c r="G81" s="0" t="s">
        <v>495</v>
      </c>
      <c r="H81" s="0" t="s">
        <v>496</v>
      </c>
      <c r="I81" s="0" t="s">
        <v>497</v>
      </c>
      <c r="J81" s="0" t="s">
        <v>430</v>
      </c>
      <c r="K81" s="0" t="s">
        <v>498</v>
      </c>
      <c r="L81" s="0" t="s">
        <v>101</v>
      </c>
      <c r="M81" s="0" t="s">
        <v>497</v>
      </c>
      <c r="N81" s="0" t="s">
        <v>101</v>
      </c>
      <c r="P81" s="0" t="s">
        <v>102</v>
      </c>
      <c r="Q81" s="0" t="s">
        <v>102</v>
      </c>
      <c r="R81" s="0" t="s">
        <v>113</v>
      </c>
      <c r="S81" s="0" t="s">
        <v>21</v>
      </c>
      <c r="T81" s="0" t="s">
        <v>104</v>
      </c>
      <c r="U81" s="0" t="s">
        <v>368</v>
      </c>
      <c r="W81" s="0" t="s">
        <v>105</v>
      </c>
      <c r="X81" s="0" t="s">
        <v>500</v>
      </c>
      <c r="Y81" s="0" t="s">
        <v>501</v>
      </c>
      <c r="Z81" s="0" t="s">
        <v>382</v>
      </c>
      <c r="AA81" s="0" t="s">
        <v>172</v>
      </c>
    </row>
    <row r="82" customFormat="false" ht="15" hidden="false" customHeight="false" outlineLevel="0" collapsed="false">
      <c r="A82" s="0" t="s">
        <v>21</v>
      </c>
      <c r="B82" s="0" t="s">
        <v>502</v>
      </c>
      <c r="C82" s="0" t="s">
        <v>395</v>
      </c>
      <c r="D82" s="0" t="s">
        <v>503</v>
      </c>
      <c r="E82" s="0" t="s">
        <v>504</v>
      </c>
      <c r="G82" s="0" t="s">
        <v>397</v>
      </c>
      <c r="M82" s="0" t="s">
        <v>505</v>
      </c>
      <c r="N82" s="0" t="s">
        <v>101</v>
      </c>
      <c r="P82" s="0" t="s">
        <v>499</v>
      </c>
      <c r="Q82" s="0" t="s">
        <v>499</v>
      </c>
      <c r="R82" s="0" t="s">
        <v>499</v>
      </c>
      <c r="S82" s="0" t="s">
        <v>21</v>
      </c>
      <c r="T82" s="0" t="s">
        <v>104</v>
      </c>
      <c r="W82" s="0" t="s">
        <v>183</v>
      </c>
      <c r="Z82" s="0" t="s">
        <v>134</v>
      </c>
    </row>
    <row r="83" customFormat="false" ht="15" hidden="false" customHeight="false" outlineLevel="0" collapsed="false">
      <c r="A83" s="0" t="s">
        <v>21</v>
      </c>
      <c r="B83" s="0" t="s">
        <v>502</v>
      </c>
      <c r="C83" s="0" t="s">
        <v>395</v>
      </c>
      <c r="D83" s="0" t="s">
        <v>503</v>
      </c>
      <c r="E83" s="0" t="s">
        <v>504</v>
      </c>
      <c r="G83" s="0" t="s">
        <v>397</v>
      </c>
      <c r="M83" s="0" t="s">
        <v>505</v>
      </c>
      <c r="N83" s="0" t="s">
        <v>101</v>
      </c>
      <c r="P83" s="0" t="s">
        <v>102</v>
      </c>
      <c r="Q83" s="0" t="s">
        <v>102</v>
      </c>
      <c r="R83" s="0" t="s">
        <v>113</v>
      </c>
      <c r="S83" s="0" t="s">
        <v>21</v>
      </c>
      <c r="T83" s="0" t="s">
        <v>104</v>
      </c>
      <c r="U83" s="0" t="s">
        <v>368</v>
      </c>
      <c r="W83" s="0" t="s">
        <v>105</v>
      </c>
      <c r="Z83" s="0" t="s">
        <v>134</v>
      </c>
    </row>
    <row r="84" customFormat="false" ht="15" hidden="false" customHeight="false" outlineLevel="0" collapsed="false">
      <c r="A84" s="0" t="s">
        <v>21</v>
      </c>
      <c r="B84" s="0" t="s">
        <v>506</v>
      </c>
      <c r="C84" s="0" t="s">
        <v>97</v>
      </c>
      <c r="D84" s="0" t="s">
        <v>507</v>
      </c>
      <c r="E84" s="0" t="s">
        <v>508</v>
      </c>
      <c r="G84" s="0" t="s">
        <v>495</v>
      </c>
      <c r="H84" s="0" t="s">
        <v>509</v>
      </c>
      <c r="I84" s="0" t="s">
        <v>510</v>
      </c>
      <c r="J84" s="0" t="s">
        <v>511</v>
      </c>
      <c r="K84" s="0" t="s">
        <v>512</v>
      </c>
      <c r="L84" s="0" t="s">
        <v>101</v>
      </c>
      <c r="M84" s="0" t="s">
        <v>437</v>
      </c>
      <c r="N84" s="0" t="s">
        <v>101</v>
      </c>
      <c r="P84" s="0" t="s">
        <v>499</v>
      </c>
      <c r="Q84" s="0" t="s">
        <v>499</v>
      </c>
      <c r="R84" s="0" t="s">
        <v>499</v>
      </c>
      <c r="S84" s="0" t="s">
        <v>21</v>
      </c>
      <c r="T84" s="0" t="s">
        <v>104</v>
      </c>
      <c r="W84" s="0" t="s">
        <v>183</v>
      </c>
      <c r="X84" s="0" t="s">
        <v>513</v>
      </c>
      <c r="Y84" s="0" t="s">
        <v>514</v>
      </c>
      <c r="Z84" s="0" t="s">
        <v>382</v>
      </c>
      <c r="AA84" s="0" t="s">
        <v>172</v>
      </c>
    </row>
    <row r="85" customFormat="false" ht="15" hidden="false" customHeight="false" outlineLevel="0" collapsed="false">
      <c r="A85" s="0" t="s">
        <v>21</v>
      </c>
      <c r="B85" s="0" t="s">
        <v>506</v>
      </c>
      <c r="C85" s="0" t="s">
        <v>97</v>
      </c>
      <c r="D85" s="0" t="s">
        <v>507</v>
      </c>
      <c r="E85" s="0" t="s">
        <v>508</v>
      </c>
      <c r="G85" s="0" t="s">
        <v>495</v>
      </c>
      <c r="H85" s="0" t="s">
        <v>509</v>
      </c>
      <c r="I85" s="0" t="s">
        <v>510</v>
      </c>
      <c r="J85" s="0" t="s">
        <v>511</v>
      </c>
      <c r="K85" s="0" t="s">
        <v>512</v>
      </c>
      <c r="L85" s="0" t="s">
        <v>101</v>
      </c>
      <c r="M85" s="0" t="s">
        <v>437</v>
      </c>
      <c r="N85" s="0" t="s">
        <v>101</v>
      </c>
      <c r="P85" s="0" t="s">
        <v>102</v>
      </c>
      <c r="Q85" s="0" t="s">
        <v>102</v>
      </c>
      <c r="R85" s="0" t="s">
        <v>113</v>
      </c>
      <c r="S85" s="0" t="s">
        <v>21</v>
      </c>
      <c r="T85" s="0" t="s">
        <v>104</v>
      </c>
      <c r="U85" s="0" t="s">
        <v>368</v>
      </c>
      <c r="W85" s="0" t="s">
        <v>105</v>
      </c>
      <c r="X85" s="0" t="s">
        <v>513</v>
      </c>
      <c r="Y85" s="0" t="s">
        <v>514</v>
      </c>
      <c r="Z85" s="0" t="s">
        <v>382</v>
      </c>
      <c r="AA85" s="0" t="s">
        <v>172</v>
      </c>
    </row>
    <row r="86" customFormat="false" ht="15" hidden="false" customHeight="false" outlineLevel="0" collapsed="false">
      <c r="A86" s="0" t="s">
        <v>21</v>
      </c>
      <c r="B86" s="0" t="s">
        <v>515</v>
      </c>
      <c r="C86" s="0" t="s">
        <v>97</v>
      </c>
      <c r="D86" s="0" t="s">
        <v>516</v>
      </c>
      <c r="E86" s="0" t="s">
        <v>517</v>
      </c>
      <c r="G86" s="0" t="s">
        <v>495</v>
      </c>
      <c r="H86" s="0" t="s">
        <v>518</v>
      </c>
      <c r="I86" s="0" t="s">
        <v>398</v>
      </c>
      <c r="J86" s="0" t="s">
        <v>112</v>
      </c>
      <c r="K86" s="0" t="s">
        <v>498</v>
      </c>
      <c r="L86" s="0" t="s">
        <v>101</v>
      </c>
      <c r="M86" s="0" t="s">
        <v>398</v>
      </c>
      <c r="N86" s="0" t="s">
        <v>101</v>
      </c>
      <c r="P86" s="0" t="s">
        <v>499</v>
      </c>
      <c r="Q86" s="0" t="s">
        <v>499</v>
      </c>
      <c r="R86" s="0" t="s">
        <v>499</v>
      </c>
      <c r="S86" s="0" t="s">
        <v>21</v>
      </c>
      <c r="T86" s="0" t="s">
        <v>104</v>
      </c>
      <c r="W86" s="0" t="s">
        <v>183</v>
      </c>
      <c r="X86" s="0" t="s">
        <v>519</v>
      </c>
      <c r="Y86" s="0" t="s">
        <v>520</v>
      </c>
      <c r="Z86" s="0" t="s">
        <v>382</v>
      </c>
      <c r="AA86" s="0" t="s">
        <v>172</v>
      </c>
    </row>
    <row r="87" customFormat="false" ht="15" hidden="false" customHeight="false" outlineLevel="0" collapsed="false">
      <c r="A87" s="0" t="s">
        <v>21</v>
      </c>
      <c r="B87" s="0" t="s">
        <v>515</v>
      </c>
      <c r="C87" s="0" t="s">
        <v>97</v>
      </c>
      <c r="D87" s="0" t="s">
        <v>516</v>
      </c>
      <c r="E87" s="0" t="s">
        <v>517</v>
      </c>
      <c r="G87" s="0" t="s">
        <v>495</v>
      </c>
      <c r="H87" s="0" t="s">
        <v>518</v>
      </c>
      <c r="I87" s="0" t="s">
        <v>398</v>
      </c>
      <c r="J87" s="0" t="s">
        <v>112</v>
      </c>
      <c r="K87" s="0" t="s">
        <v>498</v>
      </c>
      <c r="L87" s="0" t="s">
        <v>101</v>
      </c>
      <c r="M87" s="0" t="s">
        <v>398</v>
      </c>
      <c r="N87" s="0" t="s">
        <v>101</v>
      </c>
      <c r="P87" s="0" t="s">
        <v>102</v>
      </c>
      <c r="Q87" s="0" t="s">
        <v>102</v>
      </c>
      <c r="R87" s="0" t="s">
        <v>113</v>
      </c>
      <c r="S87" s="0" t="s">
        <v>21</v>
      </c>
      <c r="T87" s="0" t="s">
        <v>104</v>
      </c>
      <c r="U87" s="0" t="s">
        <v>368</v>
      </c>
      <c r="W87" s="0" t="s">
        <v>105</v>
      </c>
      <c r="X87" s="0" t="s">
        <v>519</v>
      </c>
      <c r="Y87" s="0" t="s">
        <v>520</v>
      </c>
      <c r="Z87" s="0" t="s">
        <v>382</v>
      </c>
      <c r="AA87" s="0" t="s">
        <v>172</v>
      </c>
    </row>
    <row r="88" customFormat="false" ht="15" hidden="false" customHeight="false" outlineLevel="0" collapsed="false">
      <c r="A88" s="0" t="s">
        <v>21</v>
      </c>
      <c r="B88" s="0" t="s">
        <v>521</v>
      </c>
      <c r="C88" s="0" t="s">
        <v>97</v>
      </c>
      <c r="D88" s="0" t="s">
        <v>522</v>
      </c>
      <c r="E88" s="0" t="s">
        <v>523</v>
      </c>
      <c r="G88" s="0" t="s">
        <v>495</v>
      </c>
      <c r="H88" s="0" t="s">
        <v>524</v>
      </c>
      <c r="I88" s="0" t="s">
        <v>447</v>
      </c>
      <c r="J88" s="0" t="s">
        <v>448</v>
      </c>
      <c r="K88" s="0" t="s">
        <v>525</v>
      </c>
      <c r="L88" s="0" t="s">
        <v>101</v>
      </c>
      <c r="M88" s="0" t="s">
        <v>447</v>
      </c>
      <c r="N88" s="0" t="s">
        <v>101</v>
      </c>
      <c r="P88" s="0" t="s">
        <v>499</v>
      </c>
      <c r="Q88" s="0" t="s">
        <v>499</v>
      </c>
      <c r="R88" s="0" t="s">
        <v>499</v>
      </c>
      <c r="S88" s="0" t="s">
        <v>21</v>
      </c>
      <c r="T88" s="0" t="s">
        <v>104</v>
      </c>
      <c r="W88" s="0" t="s">
        <v>183</v>
      </c>
      <c r="X88" s="0" t="s">
        <v>526</v>
      </c>
      <c r="Y88" s="0" t="s">
        <v>527</v>
      </c>
      <c r="Z88" s="0" t="s">
        <v>382</v>
      </c>
      <c r="AA88" s="0" t="s">
        <v>172</v>
      </c>
    </row>
    <row r="89" customFormat="false" ht="15" hidden="false" customHeight="false" outlineLevel="0" collapsed="false">
      <c r="A89" s="0" t="s">
        <v>21</v>
      </c>
      <c r="B89" s="0" t="s">
        <v>521</v>
      </c>
      <c r="C89" s="0" t="s">
        <v>97</v>
      </c>
      <c r="D89" s="0" t="s">
        <v>522</v>
      </c>
      <c r="E89" s="0" t="s">
        <v>523</v>
      </c>
      <c r="G89" s="0" t="s">
        <v>495</v>
      </c>
      <c r="H89" s="0" t="s">
        <v>524</v>
      </c>
      <c r="I89" s="0" t="s">
        <v>447</v>
      </c>
      <c r="J89" s="0" t="s">
        <v>448</v>
      </c>
      <c r="K89" s="0" t="s">
        <v>525</v>
      </c>
      <c r="L89" s="0" t="s">
        <v>101</v>
      </c>
      <c r="M89" s="0" t="s">
        <v>447</v>
      </c>
      <c r="N89" s="0" t="s">
        <v>101</v>
      </c>
      <c r="P89" s="0" t="s">
        <v>102</v>
      </c>
      <c r="Q89" s="0" t="s">
        <v>102</v>
      </c>
      <c r="R89" s="0" t="s">
        <v>113</v>
      </c>
      <c r="S89" s="0" t="s">
        <v>21</v>
      </c>
      <c r="T89" s="0" t="s">
        <v>104</v>
      </c>
      <c r="U89" s="0" t="s">
        <v>368</v>
      </c>
      <c r="W89" s="0" t="s">
        <v>105</v>
      </c>
      <c r="X89" s="0" t="s">
        <v>526</v>
      </c>
      <c r="Y89" s="0" t="s">
        <v>527</v>
      </c>
      <c r="Z89" s="0" t="s">
        <v>382</v>
      </c>
      <c r="AA89" s="0" t="s">
        <v>172</v>
      </c>
    </row>
    <row r="90" customFormat="false" ht="15" hidden="false" customHeight="false" outlineLevel="0" collapsed="false">
      <c r="A90" s="0" t="s">
        <v>21</v>
      </c>
      <c r="B90" s="0" t="s">
        <v>528</v>
      </c>
      <c r="C90" s="0" t="s">
        <v>97</v>
      </c>
      <c r="D90" s="0" t="s">
        <v>529</v>
      </c>
      <c r="E90" s="0" t="s">
        <v>530</v>
      </c>
      <c r="G90" s="0" t="s">
        <v>531</v>
      </c>
      <c r="H90" s="0" t="s">
        <v>532</v>
      </c>
      <c r="I90" s="0" t="s">
        <v>398</v>
      </c>
      <c r="J90" s="0" t="s">
        <v>112</v>
      </c>
      <c r="K90" s="0" t="s">
        <v>533</v>
      </c>
      <c r="L90" s="0" t="s">
        <v>101</v>
      </c>
      <c r="M90" s="0" t="s">
        <v>398</v>
      </c>
      <c r="N90" s="0" t="s">
        <v>101</v>
      </c>
      <c r="P90" s="0" t="s">
        <v>499</v>
      </c>
      <c r="Q90" s="0" t="s">
        <v>499</v>
      </c>
      <c r="R90" s="0" t="s">
        <v>499</v>
      </c>
      <c r="S90" s="0" t="s">
        <v>21</v>
      </c>
      <c r="T90" s="0" t="s">
        <v>104</v>
      </c>
      <c r="W90" s="0" t="s">
        <v>183</v>
      </c>
      <c r="X90" s="0" t="s">
        <v>534</v>
      </c>
      <c r="Y90" s="0" t="s">
        <v>535</v>
      </c>
      <c r="Z90" s="0" t="s">
        <v>536</v>
      </c>
      <c r="AA90" s="0" t="s">
        <v>172</v>
      </c>
    </row>
    <row r="91" customFormat="false" ht="15" hidden="false" customHeight="false" outlineLevel="0" collapsed="false">
      <c r="A91" s="0" t="s">
        <v>21</v>
      </c>
      <c r="B91" s="0" t="s">
        <v>528</v>
      </c>
      <c r="C91" s="0" t="s">
        <v>97</v>
      </c>
      <c r="D91" s="0" t="s">
        <v>529</v>
      </c>
      <c r="E91" s="0" t="s">
        <v>530</v>
      </c>
      <c r="G91" s="0" t="s">
        <v>531</v>
      </c>
      <c r="H91" s="0" t="s">
        <v>532</v>
      </c>
      <c r="I91" s="0" t="s">
        <v>398</v>
      </c>
      <c r="J91" s="0" t="s">
        <v>112</v>
      </c>
      <c r="K91" s="0" t="s">
        <v>533</v>
      </c>
      <c r="L91" s="0" t="s">
        <v>101</v>
      </c>
      <c r="M91" s="0" t="s">
        <v>398</v>
      </c>
      <c r="N91" s="0" t="s">
        <v>101</v>
      </c>
      <c r="P91" s="0" t="s">
        <v>102</v>
      </c>
      <c r="Q91" s="0" t="s">
        <v>102</v>
      </c>
      <c r="R91" s="0" t="s">
        <v>113</v>
      </c>
      <c r="S91" s="0" t="s">
        <v>21</v>
      </c>
      <c r="T91" s="0" t="s">
        <v>104</v>
      </c>
      <c r="U91" s="0" t="s">
        <v>368</v>
      </c>
      <c r="W91" s="0" t="s">
        <v>105</v>
      </c>
      <c r="X91" s="0" t="s">
        <v>534</v>
      </c>
      <c r="Y91" s="0" t="s">
        <v>535</v>
      </c>
      <c r="Z91" s="0" t="s">
        <v>536</v>
      </c>
      <c r="AA91" s="0" t="s">
        <v>172</v>
      </c>
    </row>
    <row r="92" customFormat="false" ht="15" hidden="false" customHeight="false" outlineLevel="0" collapsed="false">
      <c r="A92" s="0" t="s">
        <v>21</v>
      </c>
      <c r="B92" s="0" t="s">
        <v>537</v>
      </c>
      <c r="C92" s="0" t="s">
        <v>97</v>
      </c>
      <c r="E92" s="0" t="s">
        <v>538</v>
      </c>
      <c r="M92" s="0" t="s">
        <v>100</v>
      </c>
      <c r="N92" s="0" t="s">
        <v>101</v>
      </c>
      <c r="P92" s="0" t="s">
        <v>346</v>
      </c>
      <c r="Q92" s="0" t="s">
        <v>346</v>
      </c>
      <c r="R92" s="0" t="s">
        <v>131</v>
      </c>
      <c r="S92" s="0" t="s">
        <v>21</v>
      </c>
      <c r="T92" s="0" t="s">
        <v>104</v>
      </c>
      <c r="W92" s="0" t="s">
        <v>105</v>
      </c>
      <c r="AB92" s="0" t="s">
        <v>539</v>
      </c>
    </row>
    <row r="93" customFormat="false" ht="15" hidden="false" customHeight="false" outlineLevel="0" collapsed="false">
      <c r="A93" s="0" t="s">
        <v>21</v>
      </c>
      <c r="B93" s="0" t="s">
        <v>540</v>
      </c>
      <c r="C93" s="0" t="s">
        <v>541</v>
      </c>
      <c r="D93" s="0" t="s">
        <v>542</v>
      </c>
      <c r="E93" s="0" t="s">
        <v>543</v>
      </c>
      <c r="H93" s="0" t="s">
        <v>544</v>
      </c>
      <c r="I93" s="0" t="s">
        <v>545</v>
      </c>
      <c r="J93" s="0" t="s">
        <v>100</v>
      </c>
      <c r="K93" s="0" t="s">
        <v>546</v>
      </c>
      <c r="L93" s="0" t="s">
        <v>101</v>
      </c>
      <c r="M93" s="0" t="s">
        <v>442</v>
      </c>
      <c r="N93" s="0" t="s">
        <v>101</v>
      </c>
      <c r="P93" s="0" t="s">
        <v>346</v>
      </c>
      <c r="Q93" s="0" t="s">
        <v>346</v>
      </c>
      <c r="R93" s="0" t="s">
        <v>131</v>
      </c>
      <c r="S93" s="0" t="s">
        <v>21</v>
      </c>
      <c r="T93" s="0" t="s">
        <v>104</v>
      </c>
      <c r="W93" s="0" t="s">
        <v>105</v>
      </c>
      <c r="AB93" s="0" t="s">
        <v>539</v>
      </c>
    </row>
    <row r="94" customFormat="false" ht="15" hidden="false" customHeight="false" outlineLevel="0" collapsed="false">
      <c r="A94" s="0" t="s">
        <v>21</v>
      </c>
      <c r="B94" s="0" t="s">
        <v>547</v>
      </c>
      <c r="C94" s="0" t="s">
        <v>97</v>
      </c>
      <c r="E94" s="0" t="s">
        <v>548</v>
      </c>
      <c r="H94" s="0" t="s">
        <v>549</v>
      </c>
      <c r="I94" s="0" t="s">
        <v>550</v>
      </c>
      <c r="J94" s="0" t="s">
        <v>254</v>
      </c>
      <c r="K94" s="0" t="s">
        <v>551</v>
      </c>
      <c r="L94" s="0" t="s">
        <v>124</v>
      </c>
      <c r="M94" s="0" t="s">
        <v>208</v>
      </c>
      <c r="N94" s="0" t="s">
        <v>124</v>
      </c>
      <c r="P94" s="0" t="s">
        <v>204</v>
      </c>
      <c r="Q94" s="0" t="s">
        <v>204</v>
      </c>
      <c r="R94" s="0" t="s">
        <v>131</v>
      </c>
      <c r="S94" s="0" t="s">
        <v>21</v>
      </c>
      <c r="T94" s="0" t="s">
        <v>104</v>
      </c>
      <c r="W94" s="0" t="s">
        <v>105</v>
      </c>
      <c r="X94" s="0" t="s">
        <v>552</v>
      </c>
      <c r="Y94" s="0" t="s">
        <v>553</v>
      </c>
      <c r="AB94" s="0" t="s">
        <v>539</v>
      </c>
    </row>
    <row r="95" customFormat="false" ht="15" hidden="false" customHeight="false" outlineLevel="0" collapsed="false">
      <c r="A95" s="0" t="s">
        <v>21</v>
      </c>
      <c r="B95" s="0" t="s">
        <v>547</v>
      </c>
      <c r="C95" s="0" t="s">
        <v>97</v>
      </c>
      <c r="E95" s="0" t="s">
        <v>548</v>
      </c>
      <c r="H95" s="0" t="s">
        <v>549</v>
      </c>
      <c r="I95" s="0" t="s">
        <v>550</v>
      </c>
      <c r="J95" s="0" t="s">
        <v>254</v>
      </c>
      <c r="K95" s="0" t="s">
        <v>551</v>
      </c>
      <c r="L95" s="0" t="s">
        <v>124</v>
      </c>
      <c r="M95" s="0" t="s">
        <v>208</v>
      </c>
      <c r="N95" s="0" t="s">
        <v>124</v>
      </c>
      <c r="P95" s="0" t="s">
        <v>554</v>
      </c>
      <c r="Q95" s="0" t="s">
        <v>554</v>
      </c>
      <c r="R95" s="0" t="s">
        <v>554</v>
      </c>
      <c r="S95" s="0" t="s">
        <v>21</v>
      </c>
      <c r="T95" s="0" t="s">
        <v>104</v>
      </c>
      <c r="W95" s="0" t="s">
        <v>183</v>
      </c>
      <c r="X95" s="0" t="s">
        <v>552</v>
      </c>
      <c r="Y95" s="0" t="s">
        <v>553</v>
      </c>
      <c r="AB95" s="0" t="s">
        <v>539</v>
      </c>
    </row>
    <row r="96" customFormat="false" ht="15" hidden="false" customHeight="false" outlineLevel="0" collapsed="false">
      <c r="A96" s="0" t="s">
        <v>21</v>
      </c>
      <c r="B96" s="0" t="s">
        <v>555</v>
      </c>
      <c r="C96" s="0" t="s">
        <v>97</v>
      </c>
      <c r="E96" s="0" t="s">
        <v>556</v>
      </c>
      <c r="H96" s="0" t="s">
        <v>557</v>
      </c>
      <c r="I96" s="0" t="s">
        <v>550</v>
      </c>
      <c r="J96" s="0" t="s">
        <v>254</v>
      </c>
      <c r="K96" s="0" t="s">
        <v>551</v>
      </c>
      <c r="L96" s="0" t="s">
        <v>124</v>
      </c>
      <c r="M96" s="0" t="s">
        <v>208</v>
      </c>
      <c r="N96" s="0" t="s">
        <v>124</v>
      </c>
      <c r="P96" s="0" t="s">
        <v>130</v>
      </c>
      <c r="Q96" s="0" t="s">
        <v>130</v>
      </c>
      <c r="R96" s="0" t="s">
        <v>131</v>
      </c>
      <c r="S96" s="0" t="s">
        <v>21</v>
      </c>
      <c r="T96" s="0" t="s">
        <v>104</v>
      </c>
      <c r="W96" s="0" t="s">
        <v>105</v>
      </c>
      <c r="X96" s="0" t="s">
        <v>558</v>
      </c>
      <c r="Y96" s="0" t="s">
        <v>559</v>
      </c>
      <c r="AB96" s="0" t="s">
        <v>539</v>
      </c>
    </row>
    <row r="97" customFormat="false" ht="15" hidden="false" customHeight="false" outlineLevel="0" collapsed="false">
      <c r="A97" s="0" t="s">
        <v>21</v>
      </c>
      <c r="B97" s="0" t="s">
        <v>560</v>
      </c>
      <c r="C97" s="0" t="s">
        <v>97</v>
      </c>
      <c r="D97" s="0" t="s">
        <v>561</v>
      </c>
      <c r="E97" s="0" t="s">
        <v>562</v>
      </c>
      <c r="H97" s="0" t="s">
        <v>563</v>
      </c>
      <c r="I97" s="0" t="s">
        <v>564</v>
      </c>
      <c r="J97" s="0" t="s">
        <v>157</v>
      </c>
      <c r="K97" s="0" t="s">
        <v>565</v>
      </c>
      <c r="L97" s="0" t="s">
        <v>566</v>
      </c>
      <c r="M97" s="0" t="s">
        <v>232</v>
      </c>
      <c r="N97" s="0" t="s">
        <v>124</v>
      </c>
      <c r="P97" s="0" t="s">
        <v>346</v>
      </c>
      <c r="Q97" s="0" t="s">
        <v>346</v>
      </c>
      <c r="R97" s="0" t="s">
        <v>347</v>
      </c>
      <c r="S97" s="0" t="s">
        <v>21</v>
      </c>
      <c r="T97" s="0" t="s">
        <v>104</v>
      </c>
      <c r="W97" s="0" t="s">
        <v>105</v>
      </c>
      <c r="X97" s="0" t="s">
        <v>567</v>
      </c>
      <c r="Y97" s="0" t="s">
        <v>568</v>
      </c>
      <c r="AB97" s="0" t="s">
        <v>539</v>
      </c>
    </row>
    <row r="98" customFormat="false" ht="15" hidden="false" customHeight="false" outlineLevel="0" collapsed="false">
      <c r="A98" s="0" t="s">
        <v>21</v>
      </c>
      <c r="B98" s="0" t="s">
        <v>569</v>
      </c>
      <c r="C98" s="0" t="s">
        <v>97</v>
      </c>
      <c r="D98" s="0" t="s">
        <v>570</v>
      </c>
      <c r="E98" s="0" t="s">
        <v>571</v>
      </c>
      <c r="H98" s="0" t="s">
        <v>572</v>
      </c>
      <c r="I98" s="0" t="s">
        <v>564</v>
      </c>
      <c r="J98" s="0" t="s">
        <v>157</v>
      </c>
      <c r="K98" s="0" t="s">
        <v>565</v>
      </c>
      <c r="L98" s="0" t="s">
        <v>124</v>
      </c>
      <c r="M98" s="0" t="s">
        <v>232</v>
      </c>
      <c r="N98" s="0" t="s">
        <v>124</v>
      </c>
      <c r="P98" s="0" t="s">
        <v>346</v>
      </c>
      <c r="Q98" s="0" t="s">
        <v>346</v>
      </c>
      <c r="R98" s="0" t="s">
        <v>131</v>
      </c>
      <c r="S98" s="0" t="s">
        <v>21</v>
      </c>
      <c r="T98" s="0" t="s">
        <v>104</v>
      </c>
      <c r="W98" s="0" t="s">
        <v>105</v>
      </c>
      <c r="X98" s="0" t="s">
        <v>573</v>
      </c>
      <c r="Y98" s="0" t="s">
        <v>574</v>
      </c>
      <c r="AB98" s="0" t="s">
        <v>539</v>
      </c>
    </row>
    <row r="99" customFormat="false" ht="15" hidden="false" customHeight="false" outlineLevel="0" collapsed="false">
      <c r="A99" s="0" t="s">
        <v>21</v>
      </c>
      <c r="B99" s="0" t="s">
        <v>575</v>
      </c>
      <c r="C99" s="0" t="s">
        <v>97</v>
      </c>
      <c r="E99" s="0" t="s">
        <v>576</v>
      </c>
      <c r="H99" s="0" t="s">
        <v>577</v>
      </c>
      <c r="I99" s="0" t="s">
        <v>578</v>
      </c>
      <c r="J99" s="0" t="s">
        <v>245</v>
      </c>
      <c r="K99" s="0" t="s">
        <v>579</v>
      </c>
      <c r="L99" s="0" t="s">
        <v>124</v>
      </c>
      <c r="M99" s="0" t="s">
        <v>247</v>
      </c>
      <c r="N99" s="0" t="s">
        <v>124</v>
      </c>
      <c r="P99" s="0" t="s">
        <v>130</v>
      </c>
      <c r="Q99" s="0" t="s">
        <v>130</v>
      </c>
      <c r="R99" s="0" t="s">
        <v>131</v>
      </c>
      <c r="S99" s="0" t="s">
        <v>21</v>
      </c>
      <c r="T99" s="0" t="s">
        <v>104</v>
      </c>
      <c r="W99" s="0" t="s">
        <v>105</v>
      </c>
      <c r="X99" s="0" t="s">
        <v>580</v>
      </c>
      <c r="Y99" s="0" t="s">
        <v>581</v>
      </c>
      <c r="AB99" s="0" t="s">
        <v>539</v>
      </c>
    </row>
    <row r="100" customFormat="false" ht="15" hidden="false" customHeight="false" outlineLevel="0" collapsed="false">
      <c r="A100" s="0" t="s">
        <v>21</v>
      </c>
      <c r="B100" s="0" t="s">
        <v>582</v>
      </c>
      <c r="C100" s="0" t="s">
        <v>97</v>
      </c>
      <c r="D100" s="0" t="s">
        <v>583</v>
      </c>
      <c r="E100" s="0" t="s">
        <v>584</v>
      </c>
      <c r="H100" s="0" t="s">
        <v>585</v>
      </c>
      <c r="I100" s="0" t="s">
        <v>586</v>
      </c>
      <c r="K100" s="0" t="s">
        <v>587</v>
      </c>
      <c r="L100" s="0" t="s">
        <v>101</v>
      </c>
      <c r="M100" s="0" t="s">
        <v>112</v>
      </c>
      <c r="N100" s="0" t="s">
        <v>101</v>
      </c>
      <c r="P100" s="0" t="s">
        <v>346</v>
      </c>
      <c r="Q100" s="0" t="s">
        <v>346</v>
      </c>
      <c r="R100" s="0" t="s">
        <v>131</v>
      </c>
      <c r="S100" s="0" t="s">
        <v>21</v>
      </c>
      <c r="T100" s="0" t="s">
        <v>104</v>
      </c>
      <c r="W100" s="0" t="s">
        <v>105</v>
      </c>
      <c r="AB100" s="0" t="s">
        <v>539</v>
      </c>
    </row>
    <row r="101" customFormat="false" ht="15" hidden="false" customHeight="false" outlineLevel="0" collapsed="false">
      <c r="A101" s="0" t="s">
        <v>21</v>
      </c>
      <c r="B101" s="0" t="s">
        <v>588</v>
      </c>
      <c r="C101" s="0" t="s">
        <v>97</v>
      </c>
      <c r="E101" s="0" t="s">
        <v>589</v>
      </c>
      <c r="H101" s="0" t="s">
        <v>590</v>
      </c>
      <c r="I101" s="0" t="s">
        <v>591</v>
      </c>
      <c r="J101" s="0" t="s">
        <v>254</v>
      </c>
      <c r="K101" s="0" t="s">
        <v>592</v>
      </c>
      <c r="L101" s="0" t="s">
        <v>124</v>
      </c>
      <c r="M101" s="0" t="s">
        <v>208</v>
      </c>
      <c r="N101" s="0" t="s">
        <v>124</v>
      </c>
      <c r="P101" s="0" t="s">
        <v>204</v>
      </c>
      <c r="Q101" s="0" t="s">
        <v>204</v>
      </c>
      <c r="R101" s="0" t="s">
        <v>131</v>
      </c>
      <c r="S101" s="0" t="s">
        <v>21</v>
      </c>
      <c r="T101" s="0" t="s">
        <v>104</v>
      </c>
      <c r="W101" s="0" t="s">
        <v>105</v>
      </c>
      <c r="X101" s="0" t="s">
        <v>593</v>
      </c>
      <c r="Y101" s="0" t="s">
        <v>594</v>
      </c>
      <c r="AB101" s="0" t="s">
        <v>539</v>
      </c>
    </row>
    <row r="102" customFormat="false" ht="15" hidden="false" customHeight="false" outlineLevel="0" collapsed="false">
      <c r="A102" s="0" t="s">
        <v>21</v>
      </c>
      <c r="B102" s="0" t="s">
        <v>588</v>
      </c>
      <c r="C102" s="0" t="s">
        <v>97</v>
      </c>
      <c r="E102" s="0" t="s">
        <v>589</v>
      </c>
      <c r="H102" s="0" t="s">
        <v>590</v>
      </c>
      <c r="I102" s="0" t="s">
        <v>591</v>
      </c>
      <c r="J102" s="0" t="s">
        <v>254</v>
      </c>
      <c r="K102" s="0" t="s">
        <v>592</v>
      </c>
      <c r="L102" s="0" t="s">
        <v>124</v>
      </c>
      <c r="M102" s="0" t="s">
        <v>208</v>
      </c>
      <c r="N102" s="0" t="s">
        <v>124</v>
      </c>
      <c r="P102" s="0" t="s">
        <v>554</v>
      </c>
      <c r="Q102" s="0" t="s">
        <v>554</v>
      </c>
      <c r="R102" s="0" t="s">
        <v>554</v>
      </c>
      <c r="S102" s="0" t="s">
        <v>21</v>
      </c>
      <c r="T102" s="0" t="s">
        <v>104</v>
      </c>
      <c r="W102" s="0" t="s">
        <v>183</v>
      </c>
      <c r="X102" s="0" t="s">
        <v>593</v>
      </c>
      <c r="Y102" s="0" t="s">
        <v>594</v>
      </c>
      <c r="AB102" s="0" t="s">
        <v>539</v>
      </c>
    </row>
    <row r="103" customFormat="false" ht="15" hidden="false" customHeight="false" outlineLevel="0" collapsed="false">
      <c r="A103" s="0" t="s">
        <v>21</v>
      </c>
      <c r="B103" s="0" t="s">
        <v>595</v>
      </c>
      <c r="C103" s="0" t="s">
        <v>97</v>
      </c>
      <c r="E103" s="0" t="s">
        <v>596</v>
      </c>
      <c r="H103" s="0" t="s">
        <v>597</v>
      </c>
      <c r="I103" s="0" t="s">
        <v>598</v>
      </c>
      <c r="J103" s="0" t="s">
        <v>275</v>
      </c>
      <c r="K103" s="0" t="s">
        <v>599</v>
      </c>
      <c r="L103" s="0" t="s">
        <v>124</v>
      </c>
      <c r="M103" s="0" t="s">
        <v>178</v>
      </c>
      <c r="N103" s="0" t="s">
        <v>124</v>
      </c>
      <c r="P103" s="0" t="s">
        <v>346</v>
      </c>
      <c r="Q103" s="0" t="s">
        <v>346</v>
      </c>
      <c r="R103" s="0" t="s">
        <v>347</v>
      </c>
      <c r="S103" s="0" t="s">
        <v>21</v>
      </c>
      <c r="T103" s="0" t="s">
        <v>104</v>
      </c>
      <c r="W103" s="0" t="s">
        <v>105</v>
      </c>
      <c r="X103" s="0" t="s">
        <v>600</v>
      </c>
      <c r="Y103" s="0" t="s">
        <v>601</v>
      </c>
      <c r="AB103" s="0" t="s">
        <v>539</v>
      </c>
    </row>
    <row r="104" customFormat="false" ht="15" hidden="false" customHeight="false" outlineLevel="0" collapsed="false">
      <c r="A104" s="0" t="s">
        <v>21</v>
      </c>
      <c r="B104" s="0" t="s">
        <v>602</v>
      </c>
      <c r="C104" s="0" t="s">
        <v>97</v>
      </c>
      <c r="E104" s="0" t="s">
        <v>603</v>
      </c>
      <c r="G104" s="0" t="s">
        <v>604</v>
      </c>
      <c r="H104" s="0" t="s">
        <v>605</v>
      </c>
      <c r="I104" s="0" t="s">
        <v>598</v>
      </c>
      <c r="J104" s="0" t="s">
        <v>275</v>
      </c>
      <c r="K104" s="0" t="s">
        <v>606</v>
      </c>
      <c r="L104" s="0" t="s">
        <v>124</v>
      </c>
      <c r="M104" s="0" t="s">
        <v>178</v>
      </c>
      <c r="N104" s="0" t="s">
        <v>124</v>
      </c>
      <c r="P104" s="0" t="s">
        <v>130</v>
      </c>
      <c r="Q104" s="0" t="s">
        <v>130</v>
      </c>
      <c r="R104" s="0" t="s">
        <v>131</v>
      </c>
      <c r="S104" s="0" t="s">
        <v>21</v>
      </c>
      <c r="T104" s="0" t="s">
        <v>104</v>
      </c>
      <c r="W104" s="0" t="s">
        <v>105</v>
      </c>
      <c r="X104" s="0" t="s">
        <v>607</v>
      </c>
      <c r="Y104" s="0" t="s">
        <v>608</v>
      </c>
      <c r="AB104" s="0" t="s">
        <v>539</v>
      </c>
    </row>
    <row r="105" customFormat="false" ht="15" hidden="false" customHeight="false" outlineLevel="0" collapsed="false">
      <c r="A105" s="0" t="s">
        <v>21</v>
      </c>
      <c r="B105" s="0" t="s">
        <v>609</v>
      </c>
      <c r="C105" s="0" t="s">
        <v>97</v>
      </c>
      <c r="E105" s="0" t="s">
        <v>610</v>
      </c>
      <c r="H105" s="0" t="s">
        <v>611</v>
      </c>
      <c r="I105" s="0" t="s">
        <v>612</v>
      </c>
      <c r="J105" s="0" t="s">
        <v>254</v>
      </c>
      <c r="K105" s="0" t="s">
        <v>613</v>
      </c>
      <c r="L105" s="0" t="s">
        <v>124</v>
      </c>
      <c r="M105" s="0" t="s">
        <v>208</v>
      </c>
      <c r="N105" s="0" t="s">
        <v>124</v>
      </c>
      <c r="P105" s="0" t="s">
        <v>346</v>
      </c>
      <c r="Q105" s="0" t="s">
        <v>346</v>
      </c>
      <c r="R105" s="0" t="s">
        <v>347</v>
      </c>
      <c r="S105" s="0" t="s">
        <v>21</v>
      </c>
      <c r="T105" s="0" t="s">
        <v>104</v>
      </c>
      <c r="W105" s="0" t="s">
        <v>105</v>
      </c>
      <c r="X105" s="0" t="s">
        <v>614</v>
      </c>
      <c r="Y105" s="0" t="s">
        <v>615</v>
      </c>
      <c r="AB105" s="0" t="s">
        <v>539</v>
      </c>
    </row>
    <row r="106" customFormat="false" ht="15" hidden="false" customHeight="false" outlineLevel="0" collapsed="false">
      <c r="A106" s="0" t="s">
        <v>21</v>
      </c>
      <c r="B106" s="0" t="s">
        <v>616</v>
      </c>
      <c r="C106" s="0" t="s">
        <v>97</v>
      </c>
      <c r="E106" s="0" t="s">
        <v>617</v>
      </c>
      <c r="H106" s="0" t="s">
        <v>618</v>
      </c>
      <c r="I106" s="0" t="s">
        <v>619</v>
      </c>
      <c r="J106" s="0" t="s">
        <v>157</v>
      </c>
      <c r="K106" s="0" t="s">
        <v>620</v>
      </c>
      <c r="L106" s="0" t="s">
        <v>124</v>
      </c>
      <c r="M106" s="0" t="s">
        <v>232</v>
      </c>
      <c r="N106" s="0" t="s">
        <v>124</v>
      </c>
      <c r="P106" s="0" t="s">
        <v>130</v>
      </c>
      <c r="Q106" s="0" t="s">
        <v>130</v>
      </c>
      <c r="R106" s="0" t="s">
        <v>131</v>
      </c>
      <c r="S106" s="0" t="s">
        <v>21</v>
      </c>
      <c r="T106" s="0" t="s">
        <v>104</v>
      </c>
      <c r="W106" s="0" t="s">
        <v>105</v>
      </c>
      <c r="X106" s="0" t="s">
        <v>621</v>
      </c>
      <c r="Y106" s="0" t="s">
        <v>622</v>
      </c>
      <c r="AB106" s="0" t="s">
        <v>539</v>
      </c>
    </row>
    <row r="107" customFormat="false" ht="15" hidden="false" customHeight="false" outlineLevel="0" collapsed="false">
      <c r="A107" s="0" t="s">
        <v>21</v>
      </c>
      <c r="B107" s="0" t="s">
        <v>623</v>
      </c>
      <c r="C107" s="0" t="s">
        <v>97</v>
      </c>
      <c r="D107" s="0" t="s">
        <v>624</v>
      </c>
      <c r="E107" s="0" t="s">
        <v>625</v>
      </c>
      <c r="H107" s="0" t="s">
        <v>626</v>
      </c>
      <c r="I107" s="0" t="s">
        <v>627</v>
      </c>
      <c r="K107" s="0" t="s">
        <v>628</v>
      </c>
      <c r="L107" s="0" t="s">
        <v>101</v>
      </c>
      <c r="M107" s="0" t="s">
        <v>100</v>
      </c>
      <c r="N107" s="0" t="s">
        <v>101</v>
      </c>
      <c r="P107" s="0" t="s">
        <v>346</v>
      </c>
      <c r="Q107" s="0" t="s">
        <v>346</v>
      </c>
      <c r="R107" s="0" t="s">
        <v>347</v>
      </c>
      <c r="S107" s="0" t="s">
        <v>21</v>
      </c>
      <c r="T107" s="0" t="s">
        <v>104</v>
      </c>
      <c r="W107" s="0" t="s">
        <v>105</v>
      </c>
      <c r="X107" s="0" t="s">
        <v>629</v>
      </c>
      <c r="Y107" s="0" t="s">
        <v>630</v>
      </c>
      <c r="AB107" s="0" t="s">
        <v>539</v>
      </c>
    </row>
    <row r="108" customFormat="false" ht="15" hidden="false" customHeight="false" outlineLevel="0" collapsed="false">
      <c r="A108" s="0" t="s">
        <v>21</v>
      </c>
      <c r="B108" s="0" t="s">
        <v>631</v>
      </c>
      <c r="C108" s="0" t="s">
        <v>97</v>
      </c>
      <c r="D108" s="0" t="s">
        <v>632</v>
      </c>
      <c r="E108" s="0" t="s">
        <v>633</v>
      </c>
      <c r="H108" s="0" t="s">
        <v>634</v>
      </c>
      <c r="I108" s="0" t="s">
        <v>635</v>
      </c>
      <c r="J108" s="0" t="s">
        <v>157</v>
      </c>
      <c r="K108" s="0" t="s">
        <v>636</v>
      </c>
      <c r="L108" s="0" t="s">
        <v>124</v>
      </c>
      <c r="M108" s="0" t="s">
        <v>232</v>
      </c>
      <c r="N108" s="0" t="s">
        <v>124</v>
      </c>
      <c r="P108" s="0" t="s">
        <v>346</v>
      </c>
      <c r="Q108" s="0" t="s">
        <v>346</v>
      </c>
      <c r="R108" s="0" t="s">
        <v>347</v>
      </c>
      <c r="S108" s="0" t="s">
        <v>21</v>
      </c>
      <c r="T108" s="0" t="s">
        <v>104</v>
      </c>
      <c r="W108" s="0" t="s">
        <v>105</v>
      </c>
      <c r="X108" s="0" t="s">
        <v>637</v>
      </c>
      <c r="Y108" s="0" t="s">
        <v>638</v>
      </c>
      <c r="AA108" s="0" t="s">
        <v>639</v>
      </c>
      <c r="AB108" s="0" t="s">
        <v>539</v>
      </c>
    </row>
    <row r="109" customFormat="false" ht="15" hidden="false" customHeight="false" outlineLevel="0" collapsed="false">
      <c r="A109" s="0" t="s">
        <v>21</v>
      </c>
      <c r="B109" s="0" t="s">
        <v>640</v>
      </c>
      <c r="C109" s="0" t="s">
        <v>97</v>
      </c>
      <c r="E109" s="0" t="s">
        <v>641</v>
      </c>
      <c r="H109" s="0" t="s">
        <v>642</v>
      </c>
      <c r="I109" s="0" t="s">
        <v>643</v>
      </c>
      <c r="J109" s="0" t="s">
        <v>245</v>
      </c>
      <c r="K109" s="0" t="s">
        <v>644</v>
      </c>
      <c r="L109" s="0" t="s">
        <v>124</v>
      </c>
      <c r="M109" s="0" t="s">
        <v>247</v>
      </c>
      <c r="N109" s="0" t="s">
        <v>124</v>
      </c>
      <c r="O109" s="0" t="s">
        <v>247</v>
      </c>
      <c r="P109" s="0" t="s">
        <v>130</v>
      </c>
      <c r="Q109" s="0" t="s">
        <v>130</v>
      </c>
      <c r="R109" s="0" t="s">
        <v>131</v>
      </c>
      <c r="S109" s="0" t="s">
        <v>21</v>
      </c>
      <c r="T109" s="0" t="s">
        <v>104</v>
      </c>
      <c r="W109" s="0" t="s">
        <v>105</v>
      </c>
      <c r="AB109" s="0" t="s">
        <v>539</v>
      </c>
    </row>
    <row r="110" customFormat="false" ht="15" hidden="false" customHeight="false" outlineLevel="0" collapsed="false">
      <c r="A110" s="0" t="s">
        <v>21</v>
      </c>
      <c r="B110" s="0" t="s">
        <v>645</v>
      </c>
      <c r="C110" s="0" t="s">
        <v>97</v>
      </c>
      <c r="E110" s="0" t="s">
        <v>646</v>
      </c>
      <c r="H110" s="0" t="s">
        <v>647</v>
      </c>
      <c r="I110" s="0" t="s">
        <v>456</v>
      </c>
      <c r="K110" s="0" t="s">
        <v>648</v>
      </c>
      <c r="L110" s="0" t="s">
        <v>101</v>
      </c>
      <c r="M110" s="0" t="s">
        <v>456</v>
      </c>
      <c r="N110" s="0" t="s">
        <v>101</v>
      </c>
      <c r="P110" s="0" t="s">
        <v>346</v>
      </c>
      <c r="Q110" s="0" t="s">
        <v>346</v>
      </c>
      <c r="R110" s="0" t="s">
        <v>131</v>
      </c>
      <c r="S110" s="0" t="s">
        <v>21</v>
      </c>
      <c r="T110" s="0" t="s">
        <v>104</v>
      </c>
      <c r="W110" s="0" t="s">
        <v>105</v>
      </c>
      <c r="X110" s="0" t="s">
        <v>649</v>
      </c>
      <c r="Y110" s="0" t="s">
        <v>650</v>
      </c>
      <c r="AB110" s="0" t="s">
        <v>539</v>
      </c>
    </row>
    <row r="111" customFormat="false" ht="15" hidden="false" customHeight="false" outlineLevel="0" collapsed="false">
      <c r="A111" s="0" t="s">
        <v>21</v>
      </c>
      <c r="B111" s="0" t="s">
        <v>651</v>
      </c>
      <c r="C111" s="0" t="s">
        <v>97</v>
      </c>
      <c r="D111" s="0" t="s">
        <v>652</v>
      </c>
      <c r="E111" s="0" t="s">
        <v>653</v>
      </c>
      <c r="H111" s="0" t="s">
        <v>654</v>
      </c>
      <c r="I111" s="0" t="s">
        <v>655</v>
      </c>
      <c r="J111" s="0" t="s">
        <v>100</v>
      </c>
      <c r="K111" s="0" t="s">
        <v>168</v>
      </c>
      <c r="L111" s="0" t="s">
        <v>101</v>
      </c>
      <c r="M111" s="0" t="s">
        <v>656</v>
      </c>
      <c r="N111" s="0" t="s">
        <v>101</v>
      </c>
      <c r="P111" s="0" t="s">
        <v>204</v>
      </c>
      <c r="Q111" s="0" t="s">
        <v>204</v>
      </c>
      <c r="R111" s="0" t="s">
        <v>657</v>
      </c>
      <c r="S111" s="0" t="s">
        <v>21</v>
      </c>
      <c r="T111" s="0" t="s">
        <v>104</v>
      </c>
      <c r="W111" s="0" t="s">
        <v>105</v>
      </c>
      <c r="X111" s="0" t="s">
        <v>658</v>
      </c>
      <c r="Y111" s="0" t="s">
        <v>659</v>
      </c>
    </row>
    <row r="112" customFormat="false" ht="15" hidden="false" customHeight="false" outlineLevel="0" collapsed="false">
      <c r="A112" s="0" t="s">
        <v>21</v>
      </c>
      <c r="B112" s="0" t="s">
        <v>660</v>
      </c>
      <c r="C112" s="0" t="s">
        <v>661</v>
      </c>
      <c r="D112" s="0" t="s">
        <v>662</v>
      </c>
      <c r="E112" s="0" t="s">
        <v>663</v>
      </c>
      <c r="M112" s="0" t="s">
        <v>100</v>
      </c>
      <c r="N112" s="0" t="s">
        <v>101</v>
      </c>
      <c r="P112" s="0" t="s">
        <v>102</v>
      </c>
      <c r="Q112" s="0" t="s">
        <v>102</v>
      </c>
      <c r="R112" s="0" t="s">
        <v>113</v>
      </c>
      <c r="S112" s="0" t="s">
        <v>21</v>
      </c>
      <c r="T112" s="0" t="s">
        <v>104</v>
      </c>
      <c r="W112" s="0" t="s">
        <v>105</v>
      </c>
    </row>
    <row r="113" customFormat="false" ht="15" hidden="false" customHeight="false" outlineLevel="0" collapsed="false">
      <c r="A113" s="0" t="s">
        <v>21</v>
      </c>
      <c r="B113" s="0" t="s">
        <v>664</v>
      </c>
      <c r="C113" s="0" t="s">
        <v>661</v>
      </c>
      <c r="D113" s="0" t="s">
        <v>665</v>
      </c>
      <c r="E113" s="0" t="s">
        <v>666</v>
      </c>
      <c r="M113" s="0" t="s">
        <v>100</v>
      </c>
      <c r="N113" s="0" t="s">
        <v>101</v>
      </c>
      <c r="P113" s="0" t="s">
        <v>102</v>
      </c>
      <c r="Q113" s="0" t="s">
        <v>102</v>
      </c>
      <c r="R113" s="0" t="s">
        <v>113</v>
      </c>
      <c r="S113" s="0" t="s">
        <v>21</v>
      </c>
      <c r="T113" s="0" t="s">
        <v>104</v>
      </c>
      <c r="W113" s="0" t="s">
        <v>105</v>
      </c>
    </row>
    <row r="114" customFormat="false" ht="15" hidden="false" customHeight="false" outlineLevel="0" collapsed="false">
      <c r="A114" s="0" t="s">
        <v>21</v>
      </c>
      <c r="B114" s="0" t="s">
        <v>667</v>
      </c>
      <c r="C114" s="0" t="s">
        <v>661</v>
      </c>
      <c r="D114" s="0" t="s">
        <v>668</v>
      </c>
      <c r="E114" s="0" t="s">
        <v>669</v>
      </c>
      <c r="M114" s="0" t="s">
        <v>100</v>
      </c>
      <c r="N114" s="0" t="s">
        <v>101</v>
      </c>
      <c r="P114" s="0" t="s">
        <v>102</v>
      </c>
      <c r="Q114" s="0" t="s">
        <v>102</v>
      </c>
      <c r="R114" s="0" t="s">
        <v>113</v>
      </c>
      <c r="S114" s="0" t="s">
        <v>21</v>
      </c>
      <c r="T114" s="0" t="s">
        <v>104</v>
      </c>
      <c r="W114" s="0" t="s">
        <v>105</v>
      </c>
    </row>
    <row r="115" customFormat="false" ht="15" hidden="false" customHeight="false" outlineLevel="0" collapsed="false">
      <c r="A115" s="0" t="s">
        <v>21</v>
      </c>
      <c r="B115" s="0" t="s">
        <v>670</v>
      </c>
      <c r="C115" s="0" t="s">
        <v>661</v>
      </c>
      <c r="D115" s="0" t="s">
        <v>671</v>
      </c>
      <c r="E115" s="0" t="s">
        <v>672</v>
      </c>
      <c r="M115" s="0" t="s">
        <v>100</v>
      </c>
      <c r="N115" s="0" t="s">
        <v>101</v>
      </c>
      <c r="P115" s="0" t="s">
        <v>102</v>
      </c>
      <c r="Q115" s="0" t="s">
        <v>102</v>
      </c>
      <c r="R115" s="0" t="s">
        <v>113</v>
      </c>
      <c r="S115" s="0" t="s">
        <v>21</v>
      </c>
      <c r="T115" s="0" t="s">
        <v>104</v>
      </c>
      <c r="U115" s="0" t="s">
        <v>368</v>
      </c>
      <c r="W115" s="0" t="s">
        <v>105</v>
      </c>
    </row>
    <row r="116" customFormat="false" ht="15" hidden="false" customHeight="false" outlineLevel="0" collapsed="false">
      <c r="A116" s="0" t="s">
        <v>21</v>
      </c>
      <c r="B116" s="0" t="s">
        <v>673</v>
      </c>
      <c r="C116" s="0" t="s">
        <v>674</v>
      </c>
      <c r="D116" s="0" t="s">
        <v>675</v>
      </c>
      <c r="E116" s="0" t="s">
        <v>676</v>
      </c>
      <c r="G116" s="0" t="s">
        <v>677</v>
      </c>
      <c r="M116" s="0" t="s">
        <v>442</v>
      </c>
      <c r="N116" s="0" t="s">
        <v>101</v>
      </c>
      <c r="P116" s="0" t="s">
        <v>102</v>
      </c>
      <c r="Q116" s="0" t="s">
        <v>102</v>
      </c>
      <c r="R116" s="0" t="s">
        <v>113</v>
      </c>
      <c r="S116" s="0" t="s">
        <v>21</v>
      </c>
      <c r="T116" s="0" t="s">
        <v>104</v>
      </c>
      <c r="W116" s="0" t="s">
        <v>105</v>
      </c>
    </row>
    <row r="117" customFormat="false" ht="15" hidden="false" customHeight="false" outlineLevel="0" collapsed="false">
      <c r="A117" s="0" t="s">
        <v>21</v>
      </c>
      <c r="B117" s="0" t="s">
        <v>678</v>
      </c>
      <c r="C117" s="0" t="s">
        <v>661</v>
      </c>
      <c r="D117" s="0" t="s">
        <v>679</v>
      </c>
      <c r="E117" s="0" t="s">
        <v>680</v>
      </c>
      <c r="G117" s="0" t="s">
        <v>681</v>
      </c>
      <c r="M117" s="0" t="s">
        <v>398</v>
      </c>
      <c r="N117" s="0" t="s">
        <v>101</v>
      </c>
      <c r="P117" s="0" t="s">
        <v>102</v>
      </c>
      <c r="Q117" s="0" t="s">
        <v>102</v>
      </c>
      <c r="R117" s="0" t="s">
        <v>113</v>
      </c>
      <c r="S117" s="0" t="s">
        <v>21</v>
      </c>
      <c r="T117" s="0" t="s">
        <v>104</v>
      </c>
      <c r="W117" s="0" t="s">
        <v>105</v>
      </c>
    </row>
    <row r="118" customFormat="false" ht="15" hidden="false" customHeight="false" outlineLevel="0" collapsed="false">
      <c r="A118" s="0" t="s">
        <v>21</v>
      </c>
      <c r="B118" s="0" t="s">
        <v>682</v>
      </c>
      <c r="C118" s="0" t="s">
        <v>97</v>
      </c>
      <c r="D118" s="0" t="s">
        <v>683</v>
      </c>
      <c r="E118" s="0" t="s">
        <v>684</v>
      </c>
      <c r="G118" s="0" t="s">
        <v>685</v>
      </c>
      <c r="H118" s="0" t="s">
        <v>686</v>
      </c>
      <c r="I118" s="0" t="s">
        <v>505</v>
      </c>
      <c r="J118" s="0" t="s">
        <v>112</v>
      </c>
      <c r="K118" s="0" t="s">
        <v>687</v>
      </c>
      <c r="L118" s="0" t="s">
        <v>101</v>
      </c>
      <c r="M118" s="0" t="s">
        <v>688</v>
      </c>
      <c r="N118" s="0" t="s">
        <v>101</v>
      </c>
      <c r="P118" s="0" t="s">
        <v>102</v>
      </c>
      <c r="Q118" s="0" t="s">
        <v>102</v>
      </c>
      <c r="R118" s="0" t="s">
        <v>113</v>
      </c>
      <c r="S118" s="0" t="s">
        <v>21</v>
      </c>
      <c r="T118" s="0" t="s">
        <v>104</v>
      </c>
      <c r="W118" s="0" t="s">
        <v>105</v>
      </c>
      <c r="X118" s="0" t="s">
        <v>689</v>
      </c>
      <c r="Y118" s="0" t="s">
        <v>690</v>
      </c>
      <c r="Z118" s="0" t="s">
        <v>691</v>
      </c>
      <c r="AA118" s="0" t="s">
        <v>692</v>
      </c>
      <c r="AB118" s="0" t="s">
        <v>693</v>
      </c>
    </row>
    <row r="119" customFormat="false" ht="15" hidden="false" customHeight="false" outlineLevel="0" collapsed="false">
      <c r="A119" s="0" t="s">
        <v>21</v>
      </c>
      <c r="B119" s="0" t="s">
        <v>694</v>
      </c>
      <c r="C119" s="0" t="s">
        <v>97</v>
      </c>
      <c r="D119" s="0" t="s">
        <v>695</v>
      </c>
      <c r="E119" s="0" t="s">
        <v>696</v>
      </c>
      <c r="G119" s="0" t="s">
        <v>697</v>
      </c>
      <c r="H119" s="0" t="s">
        <v>698</v>
      </c>
      <c r="I119" s="0" t="s">
        <v>420</v>
      </c>
      <c r="J119" s="0" t="s">
        <v>421</v>
      </c>
      <c r="K119" s="0" t="s">
        <v>687</v>
      </c>
      <c r="L119" s="0" t="s">
        <v>101</v>
      </c>
      <c r="M119" s="0" t="s">
        <v>420</v>
      </c>
      <c r="N119" s="0" t="s">
        <v>101</v>
      </c>
      <c r="P119" s="0" t="s">
        <v>102</v>
      </c>
      <c r="Q119" s="0" t="s">
        <v>102</v>
      </c>
      <c r="R119" s="0" t="s">
        <v>113</v>
      </c>
      <c r="S119" s="0" t="s">
        <v>21</v>
      </c>
      <c r="T119" s="0" t="s">
        <v>104</v>
      </c>
      <c r="W119" s="0" t="s">
        <v>105</v>
      </c>
      <c r="X119" s="0" t="s">
        <v>699</v>
      </c>
      <c r="Y119" s="0" t="s">
        <v>700</v>
      </c>
      <c r="Z119" s="0" t="s">
        <v>701</v>
      </c>
      <c r="AA119" s="0" t="s">
        <v>172</v>
      </c>
    </row>
    <row r="120" customFormat="false" ht="15" hidden="false" customHeight="false" outlineLevel="0" collapsed="false">
      <c r="A120" s="0" t="s">
        <v>21</v>
      </c>
      <c r="B120" s="0" t="s">
        <v>702</v>
      </c>
      <c r="C120" s="0" t="s">
        <v>674</v>
      </c>
      <c r="D120" s="0" t="s">
        <v>703</v>
      </c>
      <c r="E120" s="0" t="s">
        <v>704</v>
      </c>
      <c r="G120" s="0" t="s">
        <v>705</v>
      </c>
      <c r="M120" s="0" t="s">
        <v>420</v>
      </c>
      <c r="N120" s="0" t="s">
        <v>101</v>
      </c>
      <c r="P120" s="0" t="s">
        <v>102</v>
      </c>
      <c r="Q120" s="0" t="s">
        <v>102</v>
      </c>
      <c r="R120" s="0" t="s">
        <v>113</v>
      </c>
      <c r="S120" s="0" t="s">
        <v>21</v>
      </c>
      <c r="T120" s="0" t="s">
        <v>104</v>
      </c>
      <c r="W120" s="0" t="s">
        <v>105</v>
      </c>
    </row>
    <row r="121" customFormat="false" ht="15" hidden="false" customHeight="false" outlineLevel="0" collapsed="false">
      <c r="A121" s="0" t="s">
        <v>21</v>
      </c>
      <c r="B121" s="0" t="s">
        <v>706</v>
      </c>
      <c r="C121" s="0" t="s">
        <v>97</v>
      </c>
      <c r="D121" s="0" t="s">
        <v>707</v>
      </c>
      <c r="E121" s="0" t="s">
        <v>708</v>
      </c>
      <c r="G121" s="0" t="s">
        <v>709</v>
      </c>
      <c r="H121" s="0" t="s">
        <v>710</v>
      </c>
      <c r="I121" s="0" t="s">
        <v>437</v>
      </c>
      <c r="J121" s="0" t="s">
        <v>511</v>
      </c>
      <c r="K121" s="0" t="s">
        <v>711</v>
      </c>
      <c r="L121" s="0" t="s">
        <v>101</v>
      </c>
      <c r="M121" s="0" t="s">
        <v>437</v>
      </c>
      <c r="N121" s="0" t="s">
        <v>101</v>
      </c>
      <c r="P121" s="0" t="s">
        <v>102</v>
      </c>
      <c r="Q121" s="0" t="s">
        <v>102</v>
      </c>
      <c r="R121" s="0" t="s">
        <v>113</v>
      </c>
      <c r="S121" s="0" t="s">
        <v>21</v>
      </c>
      <c r="T121" s="0" t="s">
        <v>104</v>
      </c>
      <c r="W121" s="0" t="s">
        <v>105</v>
      </c>
      <c r="X121" s="0" t="s">
        <v>712</v>
      </c>
      <c r="Y121" s="0" t="s">
        <v>713</v>
      </c>
      <c r="Z121" s="0" t="s">
        <v>691</v>
      </c>
      <c r="AA121" s="0" t="s">
        <v>172</v>
      </c>
    </row>
    <row r="122" customFormat="false" ht="15" hidden="false" customHeight="false" outlineLevel="0" collapsed="false">
      <c r="A122" s="0" t="s">
        <v>21</v>
      </c>
      <c r="B122" s="0" t="s">
        <v>714</v>
      </c>
      <c r="C122" s="0" t="s">
        <v>97</v>
      </c>
      <c r="D122" s="0" t="s">
        <v>715</v>
      </c>
      <c r="E122" s="0" t="s">
        <v>716</v>
      </c>
      <c r="G122" s="0" t="s">
        <v>717</v>
      </c>
      <c r="H122" s="0" t="s">
        <v>718</v>
      </c>
      <c r="I122" s="0" t="s">
        <v>719</v>
      </c>
      <c r="J122" s="0" t="s">
        <v>511</v>
      </c>
      <c r="K122" s="0" t="s">
        <v>720</v>
      </c>
      <c r="L122" s="0" t="s">
        <v>101</v>
      </c>
      <c r="M122" s="0" t="s">
        <v>437</v>
      </c>
      <c r="N122" s="0" t="s">
        <v>101</v>
      </c>
      <c r="P122" s="0" t="s">
        <v>102</v>
      </c>
      <c r="Q122" s="0" t="s">
        <v>102</v>
      </c>
      <c r="R122" s="0" t="s">
        <v>113</v>
      </c>
      <c r="S122" s="0" t="s">
        <v>21</v>
      </c>
      <c r="T122" s="0" t="s">
        <v>104</v>
      </c>
      <c r="W122" s="0" t="s">
        <v>105</v>
      </c>
      <c r="X122" s="0" t="s">
        <v>721</v>
      </c>
      <c r="Y122" s="0" t="s">
        <v>722</v>
      </c>
      <c r="Z122" s="0" t="s">
        <v>701</v>
      </c>
      <c r="AA122" s="0" t="s">
        <v>172</v>
      </c>
    </row>
    <row r="123" customFormat="false" ht="15" hidden="false" customHeight="false" outlineLevel="0" collapsed="false">
      <c r="A123" s="0" t="s">
        <v>21</v>
      </c>
      <c r="B123" s="0" t="s">
        <v>723</v>
      </c>
      <c r="C123" s="0" t="s">
        <v>674</v>
      </c>
      <c r="D123" s="0" t="s">
        <v>724</v>
      </c>
      <c r="E123" s="0" t="s">
        <v>725</v>
      </c>
      <c r="G123" s="0" t="s">
        <v>726</v>
      </c>
      <c r="M123" s="0" t="s">
        <v>511</v>
      </c>
      <c r="N123" s="0" t="s">
        <v>101</v>
      </c>
      <c r="P123" s="0" t="s">
        <v>102</v>
      </c>
      <c r="Q123" s="0" t="s">
        <v>102</v>
      </c>
      <c r="R123" s="0" t="s">
        <v>113</v>
      </c>
      <c r="S123" s="0" t="s">
        <v>21</v>
      </c>
      <c r="T123" s="0" t="s">
        <v>104</v>
      </c>
      <c r="W123" s="0" t="s">
        <v>105</v>
      </c>
    </row>
    <row r="124" customFormat="false" ht="15" hidden="false" customHeight="false" outlineLevel="0" collapsed="false">
      <c r="A124" s="0" t="s">
        <v>21</v>
      </c>
      <c r="B124" s="0" t="s">
        <v>727</v>
      </c>
      <c r="C124" s="0" t="s">
        <v>97</v>
      </c>
      <c r="D124" s="0" t="s">
        <v>675</v>
      </c>
      <c r="E124" s="0" t="s">
        <v>728</v>
      </c>
      <c r="M124" s="0" t="s">
        <v>100</v>
      </c>
      <c r="N124" s="0" t="s">
        <v>101</v>
      </c>
      <c r="P124" s="0" t="s">
        <v>102</v>
      </c>
      <c r="Q124" s="0" t="s">
        <v>102</v>
      </c>
      <c r="R124" s="0" t="s">
        <v>113</v>
      </c>
      <c r="S124" s="0" t="s">
        <v>21</v>
      </c>
      <c r="T124" s="0" t="s">
        <v>104</v>
      </c>
      <c r="W124" s="0" t="s">
        <v>105</v>
      </c>
    </row>
    <row r="125" customFormat="false" ht="15" hidden="false" customHeight="false" outlineLevel="0" collapsed="false">
      <c r="A125" s="0" t="s">
        <v>21</v>
      </c>
      <c r="B125" s="0" t="s">
        <v>729</v>
      </c>
      <c r="C125" s="0" t="s">
        <v>97</v>
      </c>
      <c r="D125" s="0" t="s">
        <v>730</v>
      </c>
      <c r="E125" s="0" t="s">
        <v>731</v>
      </c>
      <c r="G125" s="0" t="s">
        <v>732</v>
      </c>
      <c r="H125" s="0" t="s">
        <v>733</v>
      </c>
      <c r="I125" s="0" t="s">
        <v>456</v>
      </c>
      <c r="J125" s="0" t="s">
        <v>456</v>
      </c>
      <c r="K125" s="0" t="s">
        <v>648</v>
      </c>
      <c r="L125" s="0" t="s">
        <v>101</v>
      </c>
      <c r="M125" s="0" t="s">
        <v>456</v>
      </c>
      <c r="N125" s="0" t="s">
        <v>101</v>
      </c>
      <c r="P125" s="0" t="s">
        <v>102</v>
      </c>
      <c r="Q125" s="0" t="s">
        <v>102</v>
      </c>
      <c r="R125" s="0" t="s">
        <v>113</v>
      </c>
      <c r="S125" s="0" t="s">
        <v>21</v>
      </c>
      <c r="T125" s="0" t="s">
        <v>104</v>
      </c>
      <c r="W125" s="0" t="s">
        <v>105</v>
      </c>
      <c r="X125" s="0" t="s">
        <v>734</v>
      </c>
      <c r="Y125" s="0" t="s">
        <v>735</v>
      </c>
      <c r="Z125" s="0" t="s">
        <v>691</v>
      </c>
      <c r="AA125" s="0" t="s">
        <v>172</v>
      </c>
    </row>
    <row r="126" customFormat="false" ht="15" hidden="false" customHeight="false" outlineLevel="0" collapsed="false">
      <c r="A126" s="0" t="s">
        <v>21</v>
      </c>
      <c r="B126" s="0" t="s">
        <v>736</v>
      </c>
      <c r="C126" s="0" t="s">
        <v>97</v>
      </c>
      <c r="D126" s="0" t="s">
        <v>737</v>
      </c>
      <c r="E126" s="0" t="s">
        <v>738</v>
      </c>
      <c r="G126" s="0" t="s">
        <v>739</v>
      </c>
      <c r="H126" s="0" t="s">
        <v>740</v>
      </c>
      <c r="I126" s="0" t="s">
        <v>456</v>
      </c>
      <c r="J126" s="0" t="s">
        <v>456</v>
      </c>
      <c r="K126" s="0" t="s">
        <v>648</v>
      </c>
      <c r="L126" s="0" t="s">
        <v>101</v>
      </c>
      <c r="M126" s="0" t="s">
        <v>456</v>
      </c>
      <c r="N126" s="0" t="s">
        <v>101</v>
      </c>
      <c r="P126" s="0" t="s">
        <v>102</v>
      </c>
      <c r="Q126" s="0" t="s">
        <v>102</v>
      </c>
      <c r="R126" s="0" t="s">
        <v>113</v>
      </c>
      <c r="S126" s="0" t="s">
        <v>21</v>
      </c>
      <c r="T126" s="0" t="s">
        <v>104</v>
      </c>
      <c r="W126" s="0" t="s">
        <v>105</v>
      </c>
      <c r="X126" s="0" t="s">
        <v>741</v>
      </c>
      <c r="Y126" s="0" t="s">
        <v>742</v>
      </c>
      <c r="Z126" s="0" t="s">
        <v>701</v>
      </c>
      <c r="AA126" s="0" t="s">
        <v>172</v>
      </c>
    </row>
    <row r="127" customFormat="false" ht="15" hidden="false" customHeight="false" outlineLevel="0" collapsed="false">
      <c r="A127" s="0" t="s">
        <v>21</v>
      </c>
      <c r="B127" s="0" t="s">
        <v>743</v>
      </c>
      <c r="C127" s="0" t="s">
        <v>674</v>
      </c>
      <c r="D127" s="0" t="s">
        <v>675</v>
      </c>
      <c r="E127" s="0" t="s">
        <v>744</v>
      </c>
      <c r="G127" s="0" t="s">
        <v>745</v>
      </c>
      <c r="M127" s="0" t="s">
        <v>456</v>
      </c>
      <c r="N127" s="0" t="s">
        <v>101</v>
      </c>
      <c r="P127" s="0" t="s">
        <v>102</v>
      </c>
      <c r="Q127" s="0" t="s">
        <v>102</v>
      </c>
      <c r="R127" s="0" t="s">
        <v>113</v>
      </c>
      <c r="S127" s="0" t="s">
        <v>21</v>
      </c>
      <c r="T127" s="0" t="s">
        <v>104</v>
      </c>
      <c r="W127" s="0" t="s">
        <v>105</v>
      </c>
    </row>
    <row r="128" customFormat="false" ht="15" hidden="false" customHeight="false" outlineLevel="0" collapsed="false">
      <c r="A128" s="0" t="s">
        <v>21</v>
      </c>
      <c r="B128" s="0" t="s">
        <v>746</v>
      </c>
      <c r="C128" s="0" t="s">
        <v>190</v>
      </c>
      <c r="D128" s="0" t="s">
        <v>747</v>
      </c>
      <c r="G128" s="0" t="s">
        <v>748</v>
      </c>
      <c r="H128" s="0" t="s">
        <v>749</v>
      </c>
      <c r="I128" s="0" t="s">
        <v>750</v>
      </c>
      <c r="J128" s="0" t="s">
        <v>275</v>
      </c>
      <c r="K128" s="0" t="s">
        <v>751</v>
      </c>
      <c r="M128" s="0" t="s">
        <v>178</v>
      </c>
      <c r="N128" s="0" t="s">
        <v>124</v>
      </c>
      <c r="P128" s="0" t="s">
        <v>102</v>
      </c>
      <c r="Q128" s="0" t="s">
        <v>102</v>
      </c>
      <c r="R128" s="0" t="s">
        <v>137</v>
      </c>
      <c r="S128" s="0" t="s">
        <v>21</v>
      </c>
      <c r="T128" s="0" t="s">
        <v>104</v>
      </c>
      <c r="W128" s="0" t="s">
        <v>105</v>
      </c>
      <c r="Z128" s="0" t="s">
        <v>306</v>
      </c>
    </row>
    <row r="129" customFormat="false" ht="41.75" hidden="false" customHeight="false" outlineLevel="0" collapsed="false">
      <c r="A129" s="0" t="s">
        <v>21</v>
      </c>
      <c r="B129" s="0" t="s">
        <v>752</v>
      </c>
      <c r="C129" s="0" t="s">
        <v>110</v>
      </c>
      <c r="D129" s="0" t="s">
        <v>753</v>
      </c>
      <c r="E129" s="0" t="s">
        <v>754</v>
      </c>
      <c r="F129" s="0" t="s">
        <v>754</v>
      </c>
      <c r="G129" s="9" t="s">
        <v>755</v>
      </c>
      <c r="H129" s="0" t="s">
        <v>756</v>
      </c>
      <c r="I129" s="0" t="s">
        <v>262</v>
      </c>
      <c r="J129" s="0" t="s">
        <v>254</v>
      </c>
      <c r="K129" s="0" t="s">
        <v>757</v>
      </c>
      <c r="L129" s="0" t="s">
        <v>124</v>
      </c>
      <c r="M129" s="0" t="s">
        <v>262</v>
      </c>
      <c r="N129" s="0" t="s">
        <v>124</v>
      </c>
      <c r="P129" s="0" t="s">
        <v>102</v>
      </c>
      <c r="Q129" s="0" t="s">
        <v>102</v>
      </c>
      <c r="R129" s="0" t="s">
        <v>113</v>
      </c>
      <c r="S129" s="0" t="s">
        <v>21</v>
      </c>
      <c r="T129" s="0" t="s">
        <v>104</v>
      </c>
      <c r="W129" s="0" t="s">
        <v>105</v>
      </c>
      <c r="X129" s="0" t="s">
        <v>758</v>
      </c>
      <c r="Y129" s="0" t="s">
        <v>759</v>
      </c>
      <c r="Z129" s="0" t="s">
        <v>134</v>
      </c>
      <c r="AB129" s="0" t="s">
        <v>760</v>
      </c>
    </row>
    <row r="130" customFormat="false" ht="15" hidden="false" customHeight="false" outlineLevel="0" collapsed="false">
      <c r="A130" s="0" t="s">
        <v>21</v>
      </c>
      <c r="B130" s="0" t="s">
        <v>761</v>
      </c>
      <c r="C130" s="0" t="s">
        <v>97</v>
      </c>
      <c r="D130" s="0" t="s">
        <v>762</v>
      </c>
      <c r="E130" s="0" t="s">
        <v>763</v>
      </c>
      <c r="F130" s="0" t="s">
        <v>764</v>
      </c>
      <c r="H130" s="0" t="s">
        <v>765</v>
      </c>
      <c r="I130" s="0" t="s">
        <v>766</v>
      </c>
      <c r="J130" s="0" t="s">
        <v>275</v>
      </c>
      <c r="K130" s="0" t="s">
        <v>767</v>
      </c>
      <c r="L130" s="0" t="s">
        <v>124</v>
      </c>
      <c r="M130" s="0" t="s">
        <v>178</v>
      </c>
      <c r="N130" s="0" t="s">
        <v>124</v>
      </c>
      <c r="P130" s="0" t="s">
        <v>204</v>
      </c>
      <c r="Q130" s="0" t="s">
        <v>204</v>
      </c>
      <c r="R130" s="0" t="s">
        <v>131</v>
      </c>
      <c r="S130" s="0" t="s">
        <v>21</v>
      </c>
      <c r="T130" s="0" t="s">
        <v>104</v>
      </c>
      <c r="W130" s="0" t="s">
        <v>105</v>
      </c>
      <c r="X130" s="0" t="s">
        <v>768</v>
      </c>
      <c r="Y130" s="0" t="s">
        <v>769</v>
      </c>
      <c r="Z130" s="0" t="s">
        <v>195</v>
      </c>
    </row>
    <row r="131" customFormat="false" ht="15" hidden="false" customHeight="false" outlineLevel="0" collapsed="false">
      <c r="A131" s="0" t="s">
        <v>21</v>
      </c>
      <c r="B131" s="0" t="s">
        <v>761</v>
      </c>
      <c r="C131" s="0" t="s">
        <v>97</v>
      </c>
      <c r="D131" s="0" t="s">
        <v>762</v>
      </c>
      <c r="E131" s="0" t="s">
        <v>763</v>
      </c>
      <c r="F131" s="0" t="s">
        <v>764</v>
      </c>
      <c r="H131" s="0" t="s">
        <v>765</v>
      </c>
      <c r="I131" s="0" t="s">
        <v>766</v>
      </c>
      <c r="J131" s="0" t="s">
        <v>275</v>
      </c>
      <c r="K131" s="0" t="s">
        <v>767</v>
      </c>
      <c r="L131" s="0" t="s">
        <v>124</v>
      </c>
      <c r="M131" s="0" t="s">
        <v>178</v>
      </c>
      <c r="N131" s="0" t="s">
        <v>124</v>
      </c>
      <c r="P131" s="0" t="s">
        <v>554</v>
      </c>
      <c r="Q131" s="0" t="s">
        <v>554</v>
      </c>
      <c r="R131" s="0" t="s">
        <v>554</v>
      </c>
      <c r="S131" s="0" t="s">
        <v>21</v>
      </c>
      <c r="T131" s="0" t="s">
        <v>104</v>
      </c>
      <c r="W131" s="0" t="s">
        <v>183</v>
      </c>
      <c r="X131" s="0" t="s">
        <v>768</v>
      </c>
      <c r="Y131" s="0" t="s">
        <v>769</v>
      </c>
      <c r="Z131" s="0" t="s">
        <v>195</v>
      </c>
    </row>
    <row r="132" customFormat="false" ht="15" hidden="false" customHeight="false" outlineLevel="0" collapsed="false">
      <c r="A132" s="0" t="s">
        <v>21</v>
      </c>
      <c r="B132" s="0" t="s">
        <v>770</v>
      </c>
      <c r="C132" s="0" t="s">
        <v>771</v>
      </c>
      <c r="D132" s="0" t="s">
        <v>772</v>
      </c>
      <c r="E132" s="0" t="s">
        <v>773</v>
      </c>
      <c r="H132" s="0" t="s">
        <v>774</v>
      </c>
      <c r="I132" s="0" t="s">
        <v>775</v>
      </c>
      <c r="J132" s="0" t="s">
        <v>247</v>
      </c>
      <c r="K132" s="0" t="s">
        <v>776</v>
      </c>
      <c r="L132" s="0" t="s">
        <v>124</v>
      </c>
      <c r="M132" s="0" t="s">
        <v>247</v>
      </c>
      <c r="N132" s="0" t="s">
        <v>124</v>
      </c>
      <c r="P132" s="0" t="s">
        <v>102</v>
      </c>
      <c r="Q132" s="0" t="s">
        <v>102</v>
      </c>
      <c r="R132" s="0" t="s">
        <v>113</v>
      </c>
      <c r="S132" s="0" t="s">
        <v>21</v>
      </c>
      <c r="T132" s="0" t="s">
        <v>104</v>
      </c>
      <c r="W132" s="0" t="s">
        <v>105</v>
      </c>
      <c r="X132" s="0" t="s">
        <v>777</v>
      </c>
      <c r="Y132" s="0" t="s">
        <v>778</v>
      </c>
      <c r="Z132" s="0" t="s">
        <v>134</v>
      </c>
    </row>
    <row r="133" customFormat="false" ht="15" hidden="false" customHeight="false" outlineLevel="0" collapsed="false">
      <c r="A133" s="0" t="s">
        <v>21</v>
      </c>
      <c r="B133" s="0" t="s">
        <v>779</v>
      </c>
      <c r="C133" s="0" t="s">
        <v>97</v>
      </c>
      <c r="E133" s="0" t="s">
        <v>780</v>
      </c>
      <c r="H133" s="0" t="s">
        <v>781</v>
      </c>
      <c r="I133" s="0" t="s">
        <v>782</v>
      </c>
      <c r="J133" s="0" t="s">
        <v>208</v>
      </c>
      <c r="K133" s="0" t="s">
        <v>287</v>
      </c>
      <c r="L133" s="0" t="s">
        <v>124</v>
      </c>
      <c r="M133" s="0" t="s">
        <v>208</v>
      </c>
      <c r="N133" s="0" t="s">
        <v>124</v>
      </c>
      <c r="P133" s="0" t="s">
        <v>346</v>
      </c>
      <c r="Q133" s="0" t="s">
        <v>346</v>
      </c>
      <c r="R133" s="0" t="s">
        <v>347</v>
      </c>
      <c r="S133" s="0" t="s">
        <v>21</v>
      </c>
      <c r="T133" s="0" t="s">
        <v>104</v>
      </c>
      <c r="W133" s="0" t="s">
        <v>105</v>
      </c>
      <c r="X133" s="0" t="s">
        <v>783</v>
      </c>
      <c r="Y133" s="0" t="s">
        <v>784</v>
      </c>
      <c r="Z133" s="0" t="s">
        <v>134</v>
      </c>
    </row>
    <row r="134" customFormat="false" ht="15" hidden="false" customHeight="false" outlineLevel="0" collapsed="false">
      <c r="A134" s="0" t="s">
        <v>21</v>
      </c>
      <c r="B134" s="0" t="s">
        <v>785</v>
      </c>
      <c r="C134" s="0" t="s">
        <v>110</v>
      </c>
      <c r="D134" s="0" t="s">
        <v>786</v>
      </c>
      <c r="E134" s="0" t="s">
        <v>787</v>
      </c>
      <c r="G134" s="0" t="s">
        <v>788</v>
      </c>
      <c r="H134" s="0" t="s">
        <v>789</v>
      </c>
      <c r="I134" s="0" t="s">
        <v>790</v>
      </c>
      <c r="J134" s="0" t="s">
        <v>157</v>
      </c>
      <c r="K134" s="0" t="s">
        <v>389</v>
      </c>
      <c r="L134" s="0" t="s">
        <v>124</v>
      </c>
      <c r="M134" s="0" t="s">
        <v>232</v>
      </c>
      <c r="N134" s="0" t="s">
        <v>124</v>
      </c>
      <c r="P134" s="0" t="s">
        <v>102</v>
      </c>
      <c r="Q134" s="0" t="s">
        <v>102</v>
      </c>
      <c r="R134" s="0" t="s">
        <v>113</v>
      </c>
      <c r="S134" s="0" t="s">
        <v>21</v>
      </c>
      <c r="T134" s="0" t="s">
        <v>104</v>
      </c>
      <c r="W134" s="0" t="s">
        <v>105</v>
      </c>
      <c r="X134" s="0" t="s">
        <v>791</v>
      </c>
      <c r="Y134" s="0" t="s">
        <v>792</v>
      </c>
      <c r="Z134" s="0" t="s">
        <v>134</v>
      </c>
    </row>
    <row r="135" customFormat="false" ht="15" hidden="false" customHeight="false" outlineLevel="0" collapsed="false">
      <c r="A135" s="0" t="s">
        <v>21</v>
      </c>
      <c r="B135" s="0" t="s">
        <v>793</v>
      </c>
      <c r="C135" s="0" t="s">
        <v>110</v>
      </c>
      <c r="D135" s="0" t="s">
        <v>794</v>
      </c>
      <c r="E135" s="0" t="s">
        <v>795</v>
      </c>
      <c r="G135" s="0" t="s">
        <v>796</v>
      </c>
      <c r="H135" s="0" t="s">
        <v>797</v>
      </c>
      <c r="I135" s="0" t="s">
        <v>244</v>
      </c>
      <c r="J135" s="0" t="s">
        <v>245</v>
      </c>
      <c r="K135" s="0" t="s">
        <v>246</v>
      </c>
      <c r="L135" s="0" t="s">
        <v>124</v>
      </c>
      <c r="M135" s="0" t="s">
        <v>247</v>
      </c>
      <c r="N135" s="0" t="s">
        <v>124</v>
      </c>
      <c r="P135" s="0" t="s">
        <v>204</v>
      </c>
      <c r="Q135" s="0" t="s">
        <v>204</v>
      </c>
      <c r="R135" s="0" t="s">
        <v>399</v>
      </c>
      <c r="S135" s="0" t="s">
        <v>21</v>
      </c>
      <c r="T135" s="0" t="s">
        <v>104</v>
      </c>
      <c r="W135" s="0" t="s">
        <v>105</v>
      </c>
      <c r="X135" s="0" t="s">
        <v>798</v>
      </c>
      <c r="Y135" s="0" t="s">
        <v>799</v>
      </c>
      <c r="Z135" s="0" t="s">
        <v>195</v>
      </c>
      <c r="AB135" s="0" t="s">
        <v>760</v>
      </c>
    </row>
    <row r="136" customFormat="false" ht="15" hidden="false" customHeight="false" outlineLevel="0" collapsed="false">
      <c r="A136" s="0" t="s">
        <v>21</v>
      </c>
      <c r="B136" s="0" t="s">
        <v>800</v>
      </c>
      <c r="C136" s="0" t="s">
        <v>97</v>
      </c>
      <c r="D136" s="0" t="s">
        <v>801</v>
      </c>
      <c r="E136" s="0" t="s">
        <v>801</v>
      </c>
      <c r="F136" s="0" t="s">
        <v>802</v>
      </c>
      <c r="H136" s="0" t="s">
        <v>803</v>
      </c>
      <c r="I136" s="0" t="s">
        <v>244</v>
      </c>
      <c r="J136" s="0" t="s">
        <v>247</v>
      </c>
      <c r="K136" s="0" t="s">
        <v>246</v>
      </c>
      <c r="L136" s="0" t="s">
        <v>124</v>
      </c>
      <c r="M136" s="0" t="s">
        <v>247</v>
      </c>
      <c r="N136" s="0" t="s">
        <v>124</v>
      </c>
      <c r="P136" s="0" t="s">
        <v>102</v>
      </c>
      <c r="Q136" s="0" t="s">
        <v>102</v>
      </c>
      <c r="R136" s="0" t="s">
        <v>804</v>
      </c>
      <c r="S136" s="0" t="s">
        <v>21</v>
      </c>
      <c r="T136" s="0" t="s">
        <v>104</v>
      </c>
      <c r="W136" s="0" t="s">
        <v>105</v>
      </c>
      <c r="X136" s="0" t="s">
        <v>805</v>
      </c>
      <c r="Y136" s="0" t="s">
        <v>806</v>
      </c>
      <c r="Z136" s="0" t="s">
        <v>350</v>
      </c>
      <c r="AA136" s="0" t="s">
        <v>807</v>
      </c>
      <c r="AB136" s="0" t="s">
        <v>351</v>
      </c>
    </row>
    <row r="137" customFormat="false" ht="15" hidden="false" customHeight="false" outlineLevel="0" collapsed="false">
      <c r="A137" s="0" t="s">
        <v>21</v>
      </c>
      <c r="B137" s="0" t="s">
        <v>808</v>
      </c>
      <c r="C137" s="0" t="s">
        <v>97</v>
      </c>
      <c r="D137" s="0" t="s">
        <v>809</v>
      </c>
      <c r="E137" s="0" t="s">
        <v>810</v>
      </c>
      <c r="M137" s="0" t="s">
        <v>656</v>
      </c>
      <c r="N137" s="0" t="s">
        <v>101</v>
      </c>
      <c r="P137" s="0" t="s">
        <v>204</v>
      </c>
      <c r="Q137" s="0" t="s">
        <v>204</v>
      </c>
      <c r="R137" s="0" t="s">
        <v>399</v>
      </c>
      <c r="S137" s="0" t="s">
        <v>21</v>
      </c>
      <c r="T137" s="0" t="s">
        <v>104</v>
      </c>
      <c r="W137" s="0" t="s">
        <v>105</v>
      </c>
    </row>
    <row r="138" customFormat="false" ht="15" hidden="false" customHeight="false" outlineLevel="0" collapsed="false">
      <c r="A138" s="0" t="s">
        <v>21</v>
      </c>
      <c r="B138" s="0" t="s">
        <v>811</v>
      </c>
      <c r="C138" s="0" t="s">
        <v>812</v>
      </c>
      <c r="D138" s="0" t="s">
        <v>813</v>
      </c>
      <c r="E138" s="0" t="s">
        <v>814</v>
      </c>
      <c r="H138" s="0" t="s">
        <v>815</v>
      </c>
      <c r="I138" s="0" t="s">
        <v>815</v>
      </c>
      <c r="J138" s="0" t="s">
        <v>218</v>
      </c>
      <c r="K138" s="0" t="s">
        <v>816</v>
      </c>
      <c r="L138" s="0" t="s">
        <v>124</v>
      </c>
      <c r="M138" s="0" t="s">
        <v>220</v>
      </c>
      <c r="N138" s="0" t="s">
        <v>124</v>
      </c>
      <c r="P138" s="0" t="s">
        <v>130</v>
      </c>
      <c r="Q138" s="0" t="s">
        <v>130</v>
      </c>
      <c r="R138" s="0" t="s">
        <v>467</v>
      </c>
      <c r="S138" s="0" t="s">
        <v>21</v>
      </c>
      <c r="T138" s="0" t="s">
        <v>104</v>
      </c>
      <c r="W138" s="0" t="s">
        <v>105</v>
      </c>
      <c r="X138" s="0" t="s">
        <v>817</v>
      </c>
      <c r="Y138" s="0" t="s">
        <v>818</v>
      </c>
      <c r="Z138" s="0" t="s">
        <v>134</v>
      </c>
      <c r="AA138" s="0" t="s">
        <v>819</v>
      </c>
      <c r="AB138" s="0" t="s">
        <v>820</v>
      </c>
    </row>
    <row r="139" customFormat="false" ht="15" hidden="false" customHeight="false" outlineLevel="0" collapsed="false">
      <c r="A139" s="0" t="s">
        <v>21</v>
      </c>
      <c r="B139" s="0" t="s">
        <v>821</v>
      </c>
      <c r="C139" s="0" t="s">
        <v>97</v>
      </c>
      <c r="D139" s="0" t="s">
        <v>822</v>
      </c>
      <c r="E139" s="0" t="s">
        <v>823</v>
      </c>
      <c r="H139" s="0" t="s">
        <v>654</v>
      </c>
      <c r="I139" s="0" t="s">
        <v>655</v>
      </c>
      <c r="J139" s="0" t="s">
        <v>100</v>
      </c>
      <c r="K139" s="0" t="s">
        <v>168</v>
      </c>
      <c r="L139" s="0" t="s">
        <v>101</v>
      </c>
      <c r="M139" s="0" t="s">
        <v>656</v>
      </c>
      <c r="N139" s="0" t="s">
        <v>101</v>
      </c>
      <c r="P139" s="0" t="s">
        <v>204</v>
      </c>
      <c r="Q139" s="0" t="s">
        <v>204</v>
      </c>
      <c r="R139" s="0" t="s">
        <v>657</v>
      </c>
      <c r="S139" s="0" t="s">
        <v>21</v>
      </c>
      <c r="T139" s="0" t="s">
        <v>104</v>
      </c>
      <c r="W139" s="0" t="s">
        <v>105</v>
      </c>
      <c r="X139" s="0" t="s">
        <v>658</v>
      </c>
      <c r="Y139" s="0" t="s">
        <v>659</v>
      </c>
    </row>
    <row r="140" customFormat="false" ht="15" hidden="false" customHeight="false" outlineLevel="0" collapsed="false">
      <c r="A140" s="0" t="s">
        <v>21</v>
      </c>
      <c r="B140" s="0" t="s">
        <v>824</v>
      </c>
      <c r="C140" s="0" t="s">
        <v>190</v>
      </c>
      <c r="D140" s="0" t="s">
        <v>825</v>
      </c>
      <c r="E140" s="0" t="s">
        <v>826</v>
      </c>
      <c r="H140" s="0" t="s">
        <v>827</v>
      </c>
      <c r="I140" s="0" t="s">
        <v>828</v>
      </c>
      <c r="J140" s="0" t="s">
        <v>157</v>
      </c>
      <c r="K140" s="0" t="s">
        <v>829</v>
      </c>
      <c r="L140" s="0" t="s">
        <v>124</v>
      </c>
      <c r="M140" s="0" t="s">
        <v>232</v>
      </c>
      <c r="N140" s="0" t="s">
        <v>124</v>
      </c>
      <c r="P140" s="0" t="s">
        <v>102</v>
      </c>
      <c r="Q140" s="0" t="s">
        <v>102</v>
      </c>
      <c r="R140" s="0" t="s">
        <v>144</v>
      </c>
      <c r="S140" s="0" t="s">
        <v>21</v>
      </c>
      <c r="T140" s="0" t="s">
        <v>104</v>
      </c>
      <c r="W140" s="0" t="s">
        <v>105</v>
      </c>
      <c r="X140" s="0" t="s">
        <v>830</v>
      </c>
      <c r="Y140" s="0" t="s">
        <v>831</v>
      </c>
      <c r="Z140" s="0" t="s">
        <v>195</v>
      </c>
      <c r="AB140" s="0" t="s">
        <v>832</v>
      </c>
    </row>
    <row r="141" customFormat="false" ht="15" hidden="false" customHeight="false" outlineLevel="0" collapsed="false">
      <c r="A141" s="0" t="s">
        <v>21</v>
      </c>
      <c r="B141" s="0" t="s">
        <v>833</v>
      </c>
      <c r="C141" s="0" t="s">
        <v>661</v>
      </c>
      <c r="D141" s="0" t="s">
        <v>834</v>
      </c>
      <c r="E141" s="0" t="s">
        <v>835</v>
      </c>
      <c r="G141" s="0" t="s">
        <v>836</v>
      </c>
      <c r="M141" s="0" t="s">
        <v>837</v>
      </c>
      <c r="N141" s="0" t="s">
        <v>124</v>
      </c>
      <c r="P141" s="0" t="s">
        <v>102</v>
      </c>
      <c r="Q141" s="0" t="s">
        <v>102</v>
      </c>
      <c r="R141" s="0" t="s">
        <v>131</v>
      </c>
      <c r="S141" s="0" t="s">
        <v>21</v>
      </c>
      <c r="T141" s="0" t="s">
        <v>104</v>
      </c>
      <c r="W141" s="0" t="s">
        <v>105</v>
      </c>
      <c r="AB141" s="0" t="s">
        <v>838</v>
      </c>
    </row>
    <row r="142" customFormat="false" ht="15" hidden="false" customHeight="false" outlineLevel="0" collapsed="false">
      <c r="A142" s="0" t="s">
        <v>21</v>
      </c>
      <c r="B142" s="0" t="s">
        <v>839</v>
      </c>
      <c r="C142" s="0" t="s">
        <v>97</v>
      </c>
      <c r="D142" s="0" t="s">
        <v>840</v>
      </c>
      <c r="E142" s="0" t="s">
        <v>255</v>
      </c>
      <c r="F142" s="0" t="s">
        <v>841</v>
      </c>
      <c r="G142" s="0" t="s">
        <v>842</v>
      </c>
      <c r="H142" s="0" t="s">
        <v>843</v>
      </c>
      <c r="I142" s="0" t="s">
        <v>844</v>
      </c>
      <c r="J142" s="0" t="s">
        <v>247</v>
      </c>
      <c r="K142" s="0" t="s">
        <v>845</v>
      </c>
      <c r="L142" s="0" t="s">
        <v>124</v>
      </c>
      <c r="M142" s="0" t="s">
        <v>247</v>
      </c>
      <c r="N142" s="0" t="s">
        <v>124</v>
      </c>
      <c r="P142" s="0" t="s">
        <v>130</v>
      </c>
      <c r="Q142" s="0" t="s">
        <v>130</v>
      </c>
      <c r="R142" s="0" t="s">
        <v>131</v>
      </c>
      <c r="S142" s="0" t="s">
        <v>21</v>
      </c>
      <c r="T142" s="0" t="s">
        <v>104</v>
      </c>
      <c r="W142" s="0" t="s">
        <v>105</v>
      </c>
      <c r="Z142" s="0" t="s">
        <v>846</v>
      </c>
    </row>
    <row r="143" customFormat="false" ht="15" hidden="false" customHeight="false" outlineLevel="0" collapsed="false">
      <c r="A143" s="0" t="s">
        <v>21</v>
      </c>
      <c r="B143" s="0" t="s">
        <v>847</v>
      </c>
      <c r="C143" s="0" t="s">
        <v>97</v>
      </c>
      <c r="D143" s="0" t="s">
        <v>848</v>
      </c>
      <c r="E143" s="0" t="s">
        <v>848</v>
      </c>
      <c r="F143" s="0" t="s">
        <v>849</v>
      </c>
      <c r="H143" s="0" t="s">
        <v>850</v>
      </c>
      <c r="I143" s="0" t="s">
        <v>851</v>
      </c>
      <c r="J143" s="0" t="s">
        <v>232</v>
      </c>
      <c r="K143" s="0" t="s">
        <v>852</v>
      </c>
      <c r="L143" s="0" t="s">
        <v>124</v>
      </c>
      <c r="M143" s="0" t="s">
        <v>232</v>
      </c>
      <c r="N143" s="0" t="s">
        <v>124</v>
      </c>
      <c r="P143" s="0" t="s">
        <v>204</v>
      </c>
      <c r="Q143" s="0" t="s">
        <v>204</v>
      </c>
      <c r="R143" s="0" t="s">
        <v>853</v>
      </c>
      <c r="S143" s="0" t="s">
        <v>21</v>
      </c>
      <c r="T143" s="0" t="s">
        <v>104</v>
      </c>
      <c r="W143" s="0" t="s">
        <v>105</v>
      </c>
      <c r="X143" s="0" t="s">
        <v>854</v>
      </c>
      <c r="Y143" s="0" t="s">
        <v>855</v>
      </c>
      <c r="Z143" s="0" t="s">
        <v>350</v>
      </c>
      <c r="AB143" s="0" t="s">
        <v>351</v>
      </c>
    </row>
    <row r="144" customFormat="false" ht="15" hidden="false" customHeight="false" outlineLevel="0" collapsed="false">
      <c r="A144" s="0" t="s">
        <v>21</v>
      </c>
      <c r="B144" s="0" t="s">
        <v>856</v>
      </c>
      <c r="C144" s="0" t="s">
        <v>110</v>
      </c>
      <c r="D144" s="0" t="s">
        <v>857</v>
      </c>
      <c r="E144" s="0" t="s">
        <v>858</v>
      </c>
      <c r="H144" s="0" t="s">
        <v>859</v>
      </c>
      <c r="I144" s="0" t="s">
        <v>598</v>
      </c>
      <c r="J144" s="0" t="s">
        <v>275</v>
      </c>
      <c r="K144" s="0" t="s">
        <v>606</v>
      </c>
      <c r="M144" s="0" t="s">
        <v>178</v>
      </c>
      <c r="N144" s="0" t="s">
        <v>124</v>
      </c>
      <c r="P144" s="0" t="s">
        <v>221</v>
      </c>
      <c r="Q144" s="0" t="s">
        <v>221</v>
      </c>
      <c r="R144" s="0" t="s">
        <v>221</v>
      </c>
      <c r="S144" s="0" t="s">
        <v>21</v>
      </c>
      <c r="T144" s="0" t="s">
        <v>104</v>
      </c>
      <c r="W144" s="0" t="s">
        <v>183</v>
      </c>
      <c r="X144" s="0" t="s">
        <v>860</v>
      </c>
      <c r="Y144" s="0" t="s">
        <v>861</v>
      </c>
      <c r="Z144" s="0" t="s">
        <v>195</v>
      </c>
    </row>
    <row r="145" customFormat="false" ht="15" hidden="false" customHeight="false" outlineLevel="0" collapsed="false">
      <c r="A145" s="0" t="s">
        <v>21</v>
      </c>
      <c r="B145" s="0" t="s">
        <v>856</v>
      </c>
      <c r="C145" s="0" t="s">
        <v>110</v>
      </c>
      <c r="D145" s="0" t="s">
        <v>857</v>
      </c>
      <c r="E145" s="0" t="s">
        <v>858</v>
      </c>
      <c r="H145" s="0" t="s">
        <v>859</v>
      </c>
      <c r="I145" s="0" t="s">
        <v>598</v>
      </c>
      <c r="J145" s="0" t="s">
        <v>275</v>
      </c>
      <c r="K145" s="0" t="s">
        <v>606</v>
      </c>
      <c r="M145" s="0" t="s">
        <v>178</v>
      </c>
      <c r="N145" s="0" t="s">
        <v>124</v>
      </c>
      <c r="P145" s="0" t="s">
        <v>102</v>
      </c>
      <c r="Q145" s="0" t="s">
        <v>102</v>
      </c>
      <c r="R145" s="0" t="s">
        <v>224</v>
      </c>
      <c r="S145" s="0" t="s">
        <v>21</v>
      </c>
      <c r="T145" s="0" t="s">
        <v>104</v>
      </c>
      <c r="V145" s="0" t="s">
        <v>225</v>
      </c>
      <c r="W145" s="0" t="s">
        <v>105</v>
      </c>
      <c r="X145" s="0" t="s">
        <v>860</v>
      </c>
      <c r="Y145" s="0" t="s">
        <v>861</v>
      </c>
      <c r="Z145" s="0" t="s">
        <v>195</v>
      </c>
    </row>
    <row r="146" customFormat="false" ht="15" hidden="false" customHeight="false" outlineLevel="0" collapsed="false">
      <c r="A146" s="0" t="s">
        <v>21</v>
      </c>
      <c r="B146" s="0" t="s">
        <v>856</v>
      </c>
      <c r="C146" s="0" t="s">
        <v>110</v>
      </c>
      <c r="D146" s="0" t="s">
        <v>857</v>
      </c>
      <c r="E146" s="0" t="s">
        <v>858</v>
      </c>
      <c r="H146" s="0" t="s">
        <v>859</v>
      </c>
      <c r="I146" s="0" t="s">
        <v>598</v>
      </c>
      <c r="J146" s="0" t="s">
        <v>275</v>
      </c>
      <c r="K146" s="0" t="s">
        <v>606</v>
      </c>
      <c r="M146" s="0" t="s">
        <v>178</v>
      </c>
      <c r="N146" s="0" t="s">
        <v>124</v>
      </c>
      <c r="P146" s="0" t="s">
        <v>130</v>
      </c>
      <c r="Q146" s="0" t="s">
        <v>130</v>
      </c>
      <c r="R146" s="0" t="s">
        <v>226</v>
      </c>
      <c r="S146" s="0" t="s">
        <v>21</v>
      </c>
      <c r="T146" s="0" t="s">
        <v>104</v>
      </c>
      <c r="U146" s="0" t="s">
        <v>227</v>
      </c>
      <c r="W146" s="0" t="s">
        <v>105</v>
      </c>
      <c r="X146" s="0" t="s">
        <v>860</v>
      </c>
      <c r="Y146" s="0" t="s">
        <v>861</v>
      </c>
      <c r="Z146" s="0" t="s">
        <v>195</v>
      </c>
    </row>
    <row r="147" customFormat="false" ht="15" hidden="false" customHeight="false" outlineLevel="0" collapsed="false">
      <c r="A147" s="0" t="s">
        <v>21</v>
      </c>
      <c r="B147" s="0" t="s">
        <v>862</v>
      </c>
      <c r="C147" s="0" t="s">
        <v>863</v>
      </c>
      <c r="D147" s="0" t="s">
        <v>864</v>
      </c>
      <c r="M147" s="0" t="s">
        <v>143</v>
      </c>
      <c r="N147" s="0" t="s">
        <v>124</v>
      </c>
      <c r="P147" s="0" t="s">
        <v>102</v>
      </c>
      <c r="Q147" s="0" t="s">
        <v>102</v>
      </c>
      <c r="R147" s="0" t="s">
        <v>131</v>
      </c>
      <c r="S147" s="0" t="s">
        <v>21</v>
      </c>
      <c r="T147" s="0" t="s">
        <v>104</v>
      </c>
      <c r="W147" s="0" t="s">
        <v>105</v>
      </c>
      <c r="AB147" s="0" t="s">
        <v>209</v>
      </c>
    </row>
    <row r="148" customFormat="false" ht="15" hidden="false" customHeight="false" outlineLevel="0" collapsed="false">
      <c r="A148" s="0" t="s">
        <v>21</v>
      </c>
      <c r="B148" s="0" t="s">
        <v>865</v>
      </c>
      <c r="C148" s="0" t="s">
        <v>771</v>
      </c>
      <c r="D148" s="0" t="s">
        <v>866</v>
      </c>
      <c r="M148" s="0" t="s">
        <v>136</v>
      </c>
      <c r="N148" s="0" t="s">
        <v>124</v>
      </c>
      <c r="P148" s="0" t="s">
        <v>204</v>
      </c>
      <c r="Q148" s="0" t="s">
        <v>204</v>
      </c>
      <c r="R148" s="0" t="s">
        <v>131</v>
      </c>
      <c r="S148" s="0" t="s">
        <v>21</v>
      </c>
      <c r="T148" s="0" t="s">
        <v>104</v>
      </c>
      <c r="W148" s="0" t="s">
        <v>105</v>
      </c>
      <c r="AB148" s="0" t="s">
        <v>351</v>
      </c>
    </row>
    <row r="149" customFormat="false" ht="15" hidden="false" customHeight="false" outlineLevel="0" collapsed="false">
      <c r="A149" s="0" t="s">
        <v>21</v>
      </c>
      <c r="B149" s="0" t="s">
        <v>865</v>
      </c>
      <c r="C149" s="0" t="s">
        <v>771</v>
      </c>
      <c r="D149" s="0" t="s">
        <v>866</v>
      </c>
      <c r="M149" s="0" t="s">
        <v>136</v>
      </c>
      <c r="N149" s="0" t="s">
        <v>124</v>
      </c>
      <c r="P149" s="0" t="s">
        <v>554</v>
      </c>
      <c r="Q149" s="0" t="s">
        <v>554</v>
      </c>
      <c r="R149" s="0" t="s">
        <v>554</v>
      </c>
      <c r="S149" s="0" t="s">
        <v>21</v>
      </c>
      <c r="T149" s="0" t="s">
        <v>104</v>
      </c>
      <c r="W149" s="0" t="s">
        <v>183</v>
      </c>
      <c r="AB149" s="0" t="s">
        <v>351</v>
      </c>
    </row>
    <row r="150" customFormat="false" ht="15" hidden="false" customHeight="false" outlineLevel="0" collapsed="false">
      <c r="A150" s="0" t="s">
        <v>21</v>
      </c>
      <c r="B150" s="0" t="s">
        <v>867</v>
      </c>
      <c r="C150" s="0" t="s">
        <v>110</v>
      </c>
      <c r="D150" s="0" t="s">
        <v>868</v>
      </c>
      <c r="E150" s="0" t="s">
        <v>869</v>
      </c>
      <c r="H150" s="0" t="s">
        <v>157</v>
      </c>
      <c r="I150" s="0" t="s">
        <v>157</v>
      </c>
      <c r="M150" s="0" t="s">
        <v>232</v>
      </c>
      <c r="N150" s="0" t="s">
        <v>124</v>
      </c>
      <c r="P150" s="0" t="s">
        <v>102</v>
      </c>
      <c r="Q150" s="0" t="s">
        <v>102</v>
      </c>
      <c r="R150" s="0" t="s">
        <v>131</v>
      </c>
      <c r="S150" s="0" t="s">
        <v>21</v>
      </c>
      <c r="T150" s="0" t="s">
        <v>104</v>
      </c>
      <c r="W150" s="0" t="s">
        <v>105</v>
      </c>
      <c r="Z150" s="0" t="s">
        <v>134</v>
      </c>
      <c r="AB150" s="0" t="s">
        <v>870</v>
      </c>
    </row>
    <row r="151" customFormat="false" ht="15" hidden="false" customHeight="false" outlineLevel="0" collapsed="false">
      <c r="A151" s="0" t="s">
        <v>21</v>
      </c>
      <c r="B151" s="0" t="s">
        <v>871</v>
      </c>
      <c r="C151" s="0" t="s">
        <v>110</v>
      </c>
      <c r="D151" s="0" t="s">
        <v>872</v>
      </c>
      <c r="E151" s="0" t="s">
        <v>873</v>
      </c>
      <c r="H151" s="0" t="s">
        <v>254</v>
      </c>
      <c r="I151" s="0" t="s">
        <v>254</v>
      </c>
      <c r="M151" s="0" t="s">
        <v>208</v>
      </c>
      <c r="N151" s="0" t="s">
        <v>124</v>
      </c>
      <c r="P151" s="0" t="s">
        <v>204</v>
      </c>
      <c r="Q151" s="0" t="s">
        <v>204</v>
      </c>
      <c r="R151" s="0" t="s">
        <v>131</v>
      </c>
      <c r="S151" s="0" t="s">
        <v>21</v>
      </c>
      <c r="T151" s="0" t="s">
        <v>104</v>
      </c>
      <c r="W151" s="0" t="s">
        <v>105</v>
      </c>
      <c r="Z151" s="0" t="s">
        <v>134</v>
      </c>
      <c r="AB151" s="0" t="s">
        <v>303</v>
      </c>
    </row>
    <row r="152" customFormat="false" ht="15" hidden="false" customHeight="false" outlineLevel="0" collapsed="false">
      <c r="A152" s="0" t="s">
        <v>21</v>
      </c>
      <c r="B152" s="0" t="s">
        <v>871</v>
      </c>
      <c r="C152" s="0" t="s">
        <v>110</v>
      </c>
      <c r="D152" s="0" t="s">
        <v>872</v>
      </c>
      <c r="E152" s="0" t="s">
        <v>873</v>
      </c>
      <c r="H152" s="0" t="s">
        <v>254</v>
      </c>
      <c r="I152" s="0" t="s">
        <v>254</v>
      </c>
      <c r="M152" s="0" t="s">
        <v>208</v>
      </c>
      <c r="N152" s="0" t="s">
        <v>124</v>
      </c>
      <c r="P152" s="0" t="s">
        <v>554</v>
      </c>
      <c r="Q152" s="0" t="s">
        <v>554</v>
      </c>
      <c r="R152" s="0" t="s">
        <v>554</v>
      </c>
      <c r="S152" s="0" t="s">
        <v>21</v>
      </c>
      <c r="T152" s="0" t="s">
        <v>104</v>
      </c>
      <c r="W152" s="0" t="s">
        <v>183</v>
      </c>
      <c r="Z152" s="0" t="s">
        <v>134</v>
      </c>
      <c r="AB152" s="0" t="s">
        <v>303</v>
      </c>
    </row>
    <row r="153" customFormat="false" ht="15" hidden="false" customHeight="false" outlineLevel="0" collapsed="false">
      <c r="A153" s="0" t="s">
        <v>21</v>
      </c>
      <c r="B153" s="0" t="s">
        <v>874</v>
      </c>
      <c r="C153" s="0" t="s">
        <v>863</v>
      </c>
      <c r="D153" s="0" t="s">
        <v>866</v>
      </c>
      <c r="E153" s="0" t="s">
        <v>875</v>
      </c>
      <c r="H153" s="0" t="s">
        <v>876</v>
      </c>
      <c r="I153" s="0" t="s">
        <v>136</v>
      </c>
      <c r="J153" s="0" t="s">
        <v>157</v>
      </c>
      <c r="K153" s="0" t="s">
        <v>158</v>
      </c>
      <c r="L153" s="0" t="s">
        <v>124</v>
      </c>
      <c r="M153" s="0" t="s">
        <v>232</v>
      </c>
      <c r="N153" s="0" t="s">
        <v>124</v>
      </c>
      <c r="P153" s="0" t="s">
        <v>102</v>
      </c>
      <c r="Q153" s="0" t="s">
        <v>102</v>
      </c>
      <c r="R153" s="0" t="s">
        <v>131</v>
      </c>
      <c r="S153" s="0" t="s">
        <v>21</v>
      </c>
      <c r="T153" s="0" t="s">
        <v>104</v>
      </c>
      <c r="W153" s="0" t="s">
        <v>105</v>
      </c>
      <c r="X153" s="0" t="s">
        <v>877</v>
      </c>
      <c r="Y153" s="0" t="s">
        <v>878</v>
      </c>
      <c r="Z153" s="0" t="s">
        <v>134</v>
      </c>
      <c r="AB153" s="0" t="s">
        <v>235</v>
      </c>
    </row>
    <row r="154" customFormat="false" ht="15" hidden="false" customHeight="false" outlineLevel="0" collapsed="false">
      <c r="A154" s="0" t="s">
        <v>21</v>
      </c>
      <c r="B154" s="0" t="s">
        <v>879</v>
      </c>
      <c r="C154" s="0" t="s">
        <v>863</v>
      </c>
      <c r="D154" s="0" t="s">
        <v>880</v>
      </c>
      <c r="M154" s="0" t="s">
        <v>881</v>
      </c>
      <c r="N154" s="0" t="s">
        <v>124</v>
      </c>
      <c r="P154" s="0" t="s">
        <v>102</v>
      </c>
      <c r="Q154" s="0" t="s">
        <v>102</v>
      </c>
      <c r="R154" s="0" t="s">
        <v>131</v>
      </c>
      <c r="S154" s="0" t="s">
        <v>21</v>
      </c>
      <c r="T154" s="0" t="s">
        <v>104</v>
      </c>
      <c r="W154" s="0" t="s">
        <v>105</v>
      </c>
      <c r="AB154" s="0" t="s">
        <v>209</v>
      </c>
    </row>
    <row r="155" customFormat="false" ht="15" hidden="false" customHeight="false" outlineLevel="0" collapsed="false">
      <c r="A155" s="0" t="s">
        <v>21</v>
      </c>
      <c r="B155" s="0" t="s">
        <v>882</v>
      </c>
      <c r="C155" s="0" t="s">
        <v>211</v>
      </c>
      <c r="D155" s="0" t="s">
        <v>883</v>
      </c>
      <c r="E155" s="0" t="s">
        <v>884</v>
      </c>
      <c r="H155" s="0" t="s">
        <v>885</v>
      </c>
      <c r="I155" s="0" t="s">
        <v>886</v>
      </c>
      <c r="J155" s="0" t="s">
        <v>254</v>
      </c>
      <c r="K155" s="0" t="s">
        <v>887</v>
      </c>
      <c r="L155" s="0" t="s">
        <v>124</v>
      </c>
      <c r="M155" s="0" t="s">
        <v>208</v>
      </c>
      <c r="N155" s="0" t="s">
        <v>124</v>
      </c>
      <c r="P155" s="0" t="s">
        <v>102</v>
      </c>
      <c r="Q155" s="0" t="s">
        <v>102</v>
      </c>
      <c r="R155" s="0" t="s">
        <v>131</v>
      </c>
      <c r="S155" s="0" t="s">
        <v>21</v>
      </c>
      <c r="T155" s="0" t="s">
        <v>104</v>
      </c>
      <c r="W155" s="0" t="s">
        <v>105</v>
      </c>
      <c r="X155" s="0" t="s">
        <v>888</v>
      </c>
      <c r="Y155" s="0" t="s">
        <v>889</v>
      </c>
      <c r="Z155" s="0" t="s">
        <v>134</v>
      </c>
      <c r="AB155" s="0" t="s">
        <v>209</v>
      </c>
    </row>
    <row r="156" customFormat="false" ht="15" hidden="false" customHeight="false" outlineLevel="0" collapsed="false">
      <c r="A156" s="0" t="s">
        <v>21</v>
      </c>
      <c r="B156" s="0" t="s">
        <v>890</v>
      </c>
      <c r="C156" s="0" t="s">
        <v>211</v>
      </c>
      <c r="D156" s="0" t="s">
        <v>891</v>
      </c>
      <c r="E156" s="0" t="s">
        <v>892</v>
      </c>
      <c r="H156" s="0" t="s">
        <v>893</v>
      </c>
      <c r="I156" s="0" t="s">
        <v>894</v>
      </c>
      <c r="J156" s="0" t="s">
        <v>218</v>
      </c>
      <c r="K156" s="0" t="s">
        <v>895</v>
      </c>
      <c r="L156" s="0" t="s">
        <v>124</v>
      </c>
      <c r="M156" s="0" t="s">
        <v>220</v>
      </c>
      <c r="N156" s="0" t="s">
        <v>124</v>
      </c>
      <c r="P156" s="0" t="s">
        <v>102</v>
      </c>
      <c r="Q156" s="0" t="s">
        <v>102</v>
      </c>
      <c r="R156" s="0" t="s">
        <v>131</v>
      </c>
      <c r="S156" s="0" t="s">
        <v>21</v>
      </c>
      <c r="T156" s="0" t="s">
        <v>104</v>
      </c>
      <c r="W156" s="0" t="s">
        <v>105</v>
      </c>
      <c r="X156" s="0" t="s">
        <v>896</v>
      </c>
      <c r="Y156" s="0" t="s">
        <v>897</v>
      </c>
      <c r="Z156" s="0" t="s">
        <v>134</v>
      </c>
      <c r="AB156" s="0" t="s">
        <v>898</v>
      </c>
    </row>
    <row r="157" customFormat="false" ht="15" hidden="false" customHeight="false" outlineLevel="0" collapsed="false">
      <c r="A157" s="0" t="s">
        <v>21</v>
      </c>
      <c r="B157" s="0" t="s">
        <v>899</v>
      </c>
      <c r="C157" s="0" t="s">
        <v>863</v>
      </c>
      <c r="D157" s="0" t="s">
        <v>900</v>
      </c>
      <c r="M157" s="0" t="s">
        <v>121</v>
      </c>
      <c r="N157" s="0" t="s">
        <v>124</v>
      </c>
      <c r="P157" s="0" t="s">
        <v>102</v>
      </c>
      <c r="Q157" s="0" t="s">
        <v>102</v>
      </c>
      <c r="R157" s="0" t="s">
        <v>131</v>
      </c>
      <c r="S157" s="0" t="s">
        <v>21</v>
      </c>
      <c r="T157" s="0" t="s">
        <v>104</v>
      </c>
      <c r="W157" s="0" t="s">
        <v>105</v>
      </c>
      <c r="AB157" s="0" t="s">
        <v>209</v>
      </c>
    </row>
    <row r="158" customFormat="false" ht="15" hidden="false" customHeight="false" outlineLevel="0" collapsed="false">
      <c r="A158" s="0" t="s">
        <v>21</v>
      </c>
      <c r="B158" s="0" t="s">
        <v>901</v>
      </c>
      <c r="C158" s="0" t="s">
        <v>211</v>
      </c>
      <c r="D158" s="0" t="s">
        <v>902</v>
      </c>
      <c r="E158" s="0" t="s">
        <v>903</v>
      </c>
      <c r="H158" s="0" t="s">
        <v>904</v>
      </c>
      <c r="I158" s="0" t="s">
        <v>598</v>
      </c>
      <c r="J158" s="0" t="s">
        <v>275</v>
      </c>
      <c r="K158" s="0" t="s">
        <v>606</v>
      </c>
      <c r="L158" s="0" t="s">
        <v>124</v>
      </c>
      <c r="M158" s="0" t="s">
        <v>178</v>
      </c>
      <c r="N158" s="0" t="s">
        <v>124</v>
      </c>
      <c r="P158" s="0" t="s">
        <v>102</v>
      </c>
      <c r="Q158" s="0" t="s">
        <v>102</v>
      </c>
      <c r="R158" s="0" t="s">
        <v>131</v>
      </c>
      <c r="S158" s="0" t="s">
        <v>21</v>
      </c>
      <c r="T158" s="0" t="s">
        <v>104</v>
      </c>
      <c r="W158" s="0" t="s">
        <v>105</v>
      </c>
      <c r="X158" s="0" t="s">
        <v>132</v>
      </c>
      <c r="Y158" s="0" t="s">
        <v>133</v>
      </c>
      <c r="Z158" s="0" t="s">
        <v>134</v>
      </c>
      <c r="AB158" s="0" t="s">
        <v>209</v>
      </c>
    </row>
    <row r="159" customFormat="false" ht="15" hidden="false" customHeight="false" outlineLevel="0" collapsed="false">
      <c r="A159" s="0" t="s">
        <v>21</v>
      </c>
      <c r="B159" s="0" t="s">
        <v>905</v>
      </c>
      <c r="C159" s="0" t="s">
        <v>211</v>
      </c>
      <c r="D159" s="0" t="s">
        <v>906</v>
      </c>
      <c r="E159" s="0" t="s">
        <v>907</v>
      </c>
      <c r="H159" s="0" t="s">
        <v>908</v>
      </c>
      <c r="I159" s="0" t="s">
        <v>244</v>
      </c>
      <c r="J159" s="0" t="s">
        <v>245</v>
      </c>
      <c r="K159" s="0" t="s">
        <v>246</v>
      </c>
      <c r="L159" s="0" t="s">
        <v>124</v>
      </c>
      <c r="M159" s="0" t="s">
        <v>247</v>
      </c>
      <c r="N159" s="0" t="s">
        <v>124</v>
      </c>
      <c r="P159" s="0" t="s">
        <v>102</v>
      </c>
      <c r="Q159" s="0" t="s">
        <v>102</v>
      </c>
      <c r="R159" s="0" t="s">
        <v>131</v>
      </c>
      <c r="S159" s="0" t="s">
        <v>21</v>
      </c>
      <c r="T159" s="0" t="s">
        <v>104</v>
      </c>
      <c r="W159" s="0" t="s">
        <v>105</v>
      </c>
      <c r="X159" s="0" t="s">
        <v>909</v>
      </c>
      <c r="Y159" s="0" t="s">
        <v>910</v>
      </c>
      <c r="Z159" s="0" t="s">
        <v>134</v>
      </c>
      <c r="AB159" s="0" t="s">
        <v>209</v>
      </c>
    </row>
    <row r="160" customFormat="false" ht="15" hidden="false" customHeight="false" outlineLevel="0" collapsed="false">
      <c r="A160" s="0" t="s">
        <v>21</v>
      </c>
      <c r="B160" s="0" t="s">
        <v>911</v>
      </c>
      <c r="C160" s="0" t="s">
        <v>97</v>
      </c>
      <c r="E160" s="0" t="s">
        <v>912</v>
      </c>
      <c r="H160" s="0" t="s">
        <v>913</v>
      </c>
      <c r="I160" s="0" t="s">
        <v>914</v>
      </c>
      <c r="J160" s="0" t="s">
        <v>157</v>
      </c>
      <c r="K160" s="0" t="s">
        <v>915</v>
      </c>
      <c r="L160" s="0" t="s">
        <v>124</v>
      </c>
      <c r="M160" s="0" t="s">
        <v>232</v>
      </c>
      <c r="N160" s="0" t="s">
        <v>124</v>
      </c>
      <c r="P160" s="0" t="s">
        <v>204</v>
      </c>
      <c r="Q160" s="0" t="s">
        <v>204</v>
      </c>
      <c r="R160" s="0" t="s">
        <v>131</v>
      </c>
      <c r="S160" s="0" t="s">
        <v>21</v>
      </c>
      <c r="T160" s="0" t="s">
        <v>104</v>
      </c>
      <c r="W160" s="0" t="s">
        <v>105</v>
      </c>
      <c r="X160" s="0" t="s">
        <v>916</v>
      </c>
      <c r="Y160" s="0" t="s">
        <v>917</v>
      </c>
      <c r="AB160" s="0" t="s">
        <v>539</v>
      </c>
    </row>
    <row r="161" customFormat="false" ht="15" hidden="false" customHeight="false" outlineLevel="0" collapsed="false">
      <c r="A161" s="0" t="s">
        <v>21</v>
      </c>
      <c r="B161" s="0" t="s">
        <v>911</v>
      </c>
      <c r="C161" s="0" t="s">
        <v>97</v>
      </c>
      <c r="E161" s="0" t="s">
        <v>912</v>
      </c>
      <c r="H161" s="0" t="s">
        <v>913</v>
      </c>
      <c r="I161" s="0" t="s">
        <v>914</v>
      </c>
      <c r="J161" s="0" t="s">
        <v>157</v>
      </c>
      <c r="K161" s="0" t="s">
        <v>915</v>
      </c>
      <c r="L161" s="0" t="s">
        <v>124</v>
      </c>
      <c r="M161" s="0" t="s">
        <v>232</v>
      </c>
      <c r="N161" s="0" t="s">
        <v>124</v>
      </c>
      <c r="P161" s="0" t="s">
        <v>554</v>
      </c>
      <c r="Q161" s="0" t="s">
        <v>554</v>
      </c>
      <c r="R161" s="0" t="s">
        <v>554</v>
      </c>
      <c r="S161" s="0" t="s">
        <v>21</v>
      </c>
      <c r="T161" s="0" t="s">
        <v>104</v>
      </c>
      <c r="W161" s="0" t="s">
        <v>183</v>
      </c>
      <c r="X161" s="0" t="s">
        <v>916</v>
      </c>
      <c r="Y161" s="0" t="s">
        <v>917</v>
      </c>
      <c r="AB161" s="0" t="s">
        <v>539</v>
      </c>
    </row>
    <row r="162" customFormat="false" ht="15" hidden="false" customHeight="false" outlineLevel="0" collapsed="false">
      <c r="A162" s="0" t="s">
        <v>21</v>
      </c>
      <c r="B162" s="0" t="s">
        <v>918</v>
      </c>
      <c r="C162" s="0" t="s">
        <v>97</v>
      </c>
      <c r="E162" s="0" t="s">
        <v>919</v>
      </c>
      <c r="H162" s="0" t="s">
        <v>920</v>
      </c>
      <c r="I162" s="0" t="s">
        <v>921</v>
      </c>
      <c r="J162" s="0" t="s">
        <v>208</v>
      </c>
      <c r="K162" s="0" t="s">
        <v>922</v>
      </c>
      <c r="L162" s="0" t="s">
        <v>124</v>
      </c>
      <c r="M162" s="0" t="s">
        <v>208</v>
      </c>
      <c r="N162" s="0" t="s">
        <v>124</v>
      </c>
      <c r="P162" s="0" t="s">
        <v>204</v>
      </c>
      <c r="Q162" s="0" t="s">
        <v>204</v>
      </c>
      <c r="R162" s="0" t="s">
        <v>657</v>
      </c>
      <c r="S162" s="0" t="s">
        <v>21</v>
      </c>
      <c r="T162" s="0" t="s">
        <v>104</v>
      </c>
      <c r="W162" s="0" t="s">
        <v>105</v>
      </c>
      <c r="X162" s="0" t="s">
        <v>923</v>
      </c>
      <c r="Y162" s="0" t="s">
        <v>924</v>
      </c>
      <c r="Z162" s="0" t="s">
        <v>134</v>
      </c>
    </row>
    <row r="163" customFormat="false" ht="15" hidden="false" customHeight="false" outlineLevel="0" collapsed="false">
      <c r="A163" s="0" t="s">
        <v>21</v>
      </c>
      <c r="B163" s="0" t="s">
        <v>925</v>
      </c>
      <c r="C163" s="0" t="s">
        <v>926</v>
      </c>
      <c r="D163" s="0" t="s">
        <v>927</v>
      </c>
      <c r="M163" s="0" t="s">
        <v>121</v>
      </c>
      <c r="N163" s="0" t="s">
        <v>124</v>
      </c>
      <c r="P163" s="0" t="s">
        <v>102</v>
      </c>
      <c r="Q163" s="0" t="s">
        <v>102</v>
      </c>
      <c r="R163" s="0" t="s">
        <v>113</v>
      </c>
      <c r="S163" s="0" t="s">
        <v>21</v>
      </c>
      <c r="T163" s="0" t="s">
        <v>104</v>
      </c>
      <c r="W163" s="0" t="s">
        <v>105</v>
      </c>
      <c r="AB163" s="0" t="s">
        <v>832</v>
      </c>
    </row>
    <row r="164" customFormat="false" ht="15" hidden="false" customHeight="false" outlineLevel="0" collapsed="false">
      <c r="A164" s="0" t="s">
        <v>21</v>
      </c>
      <c r="B164" s="0" t="s">
        <v>928</v>
      </c>
      <c r="C164" s="0" t="s">
        <v>97</v>
      </c>
      <c r="E164" s="0" t="s">
        <v>929</v>
      </c>
      <c r="M164" s="0" t="s">
        <v>100</v>
      </c>
      <c r="N164" s="0" t="s">
        <v>101</v>
      </c>
      <c r="P164" s="0" t="s">
        <v>346</v>
      </c>
      <c r="Q164" s="0" t="s">
        <v>346</v>
      </c>
      <c r="R164" s="0" t="s">
        <v>131</v>
      </c>
      <c r="S164" s="0" t="s">
        <v>21</v>
      </c>
      <c r="T164" s="0" t="s">
        <v>104</v>
      </c>
      <c r="W164" s="0" t="s">
        <v>105</v>
      </c>
    </row>
    <row r="165" customFormat="false" ht="15" hidden="false" customHeight="false" outlineLevel="0" collapsed="false">
      <c r="A165" s="0" t="s">
        <v>21</v>
      </c>
      <c r="B165" s="0" t="s">
        <v>928</v>
      </c>
      <c r="C165" s="0" t="s">
        <v>97</v>
      </c>
      <c r="E165" s="0" t="s">
        <v>929</v>
      </c>
      <c r="M165" s="0" t="s">
        <v>100</v>
      </c>
      <c r="N165" s="0" t="s">
        <v>101</v>
      </c>
      <c r="P165" s="0" t="s">
        <v>346</v>
      </c>
      <c r="Q165" s="0" t="s">
        <v>346</v>
      </c>
      <c r="R165" s="0" t="s">
        <v>131</v>
      </c>
      <c r="S165" s="0" t="s">
        <v>21</v>
      </c>
      <c r="T165" s="0" t="s">
        <v>104</v>
      </c>
      <c r="W165" s="0" t="s">
        <v>105</v>
      </c>
    </row>
    <row r="166" customFormat="false" ht="15" hidden="false" customHeight="false" outlineLevel="0" collapsed="false">
      <c r="A166" s="0" t="s">
        <v>21</v>
      </c>
      <c r="B166" s="0" t="s">
        <v>930</v>
      </c>
      <c r="C166" s="0" t="s">
        <v>931</v>
      </c>
      <c r="D166" s="0" t="s">
        <v>932</v>
      </c>
      <c r="E166" s="0" t="s">
        <v>933</v>
      </c>
      <c r="H166" s="0" t="s">
        <v>934</v>
      </c>
      <c r="I166" s="0" t="s">
        <v>598</v>
      </c>
      <c r="J166" s="0" t="s">
        <v>275</v>
      </c>
      <c r="K166" s="0" t="s">
        <v>599</v>
      </c>
      <c r="M166" s="0" t="s">
        <v>178</v>
      </c>
      <c r="N166" s="0" t="s">
        <v>124</v>
      </c>
      <c r="P166" s="0" t="s">
        <v>102</v>
      </c>
      <c r="Q166" s="0" t="s">
        <v>102</v>
      </c>
      <c r="R166" s="0" t="s">
        <v>137</v>
      </c>
      <c r="S166" s="0" t="s">
        <v>21</v>
      </c>
      <c r="T166" s="0" t="s">
        <v>104</v>
      </c>
      <c r="W166" s="0" t="s">
        <v>105</v>
      </c>
      <c r="X166" s="0" t="s">
        <v>935</v>
      </c>
      <c r="Y166" s="0" t="s">
        <v>936</v>
      </c>
      <c r="Z166" s="0" t="s">
        <v>159</v>
      </c>
      <c r="AB166" s="0" t="s">
        <v>937</v>
      </c>
    </row>
    <row r="167" customFormat="false" ht="15" hidden="false" customHeight="false" outlineLevel="0" collapsed="false">
      <c r="A167" s="0" t="s">
        <v>21</v>
      </c>
      <c r="B167" s="0" t="s">
        <v>938</v>
      </c>
      <c r="C167" s="0" t="s">
        <v>190</v>
      </c>
      <c r="D167" s="0" t="s">
        <v>939</v>
      </c>
      <c r="E167" s="0" t="s">
        <v>939</v>
      </c>
      <c r="H167" s="0" t="s">
        <v>940</v>
      </c>
      <c r="I167" s="0" t="s">
        <v>941</v>
      </c>
      <c r="J167" s="0" t="s">
        <v>254</v>
      </c>
      <c r="K167" s="0" t="s">
        <v>942</v>
      </c>
      <c r="M167" s="0" t="s">
        <v>208</v>
      </c>
      <c r="N167" s="0" t="s">
        <v>124</v>
      </c>
      <c r="P167" s="0" t="s">
        <v>102</v>
      </c>
      <c r="Q167" s="0" t="s">
        <v>102</v>
      </c>
      <c r="R167" s="0" t="s">
        <v>137</v>
      </c>
      <c r="S167" s="0" t="s">
        <v>21</v>
      </c>
      <c r="T167" s="0" t="s">
        <v>104</v>
      </c>
      <c r="W167" s="0" t="s">
        <v>105</v>
      </c>
      <c r="X167" s="0" t="s">
        <v>943</v>
      </c>
      <c r="Y167" s="0" t="s">
        <v>944</v>
      </c>
      <c r="Z167" s="0" t="s">
        <v>306</v>
      </c>
    </row>
    <row r="168" customFormat="false" ht="15" hidden="false" customHeight="false" outlineLevel="0" collapsed="false">
      <c r="A168" s="0" t="s">
        <v>21</v>
      </c>
      <c r="B168" s="0" t="s">
        <v>945</v>
      </c>
      <c r="C168" s="0" t="s">
        <v>190</v>
      </c>
      <c r="D168" s="0" t="s">
        <v>198</v>
      </c>
      <c r="E168" s="0" t="s">
        <v>198</v>
      </c>
      <c r="H168" s="0" t="s">
        <v>946</v>
      </c>
      <c r="I168" s="0" t="s">
        <v>947</v>
      </c>
      <c r="J168" s="0" t="s">
        <v>218</v>
      </c>
      <c r="K168" s="0" t="s">
        <v>948</v>
      </c>
      <c r="M168" s="0" t="s">
        <v>220</v>
      </c>
      <c r="N168" s="0" t="s">
        <v>124</v>
      </c>
      <c r="P168" s="0" t="s">
        <v>204</v>
      </c>
      <c r="Q168" s="0" t="s">
        <v>204</v>
      </c>
      <c r="R168" s="0" t="s">
        <v>137</v>
      </c>
      <c r="S168" s="0" t="s">
        <v>21</v>
      </c>
      <c r="T168" s="0" t="s">
        <v>104</v>
      </c>
      <c r="W168" s="0" t="s">
        <v>105</v>
      </c>
      <c r="X168" s="0" t="s">
        <v>949</v>
      </c>
      <c r="Y168" s="0" t="s">
        <v>950</v>
      </c>
      <c r="Z168" s="0" t="s">
        <v>159</v>
      </c>
    </row>
    <row r="169" customFormat="false" ht="15" hidden="false" customHeight="false" outlineLevel="0" collapsed="false">
      <c r="A169" s="0" t="s">
        <v>21</v>
      </c>
      <c r="B169" s="0" t="s">
        <v>951</v>
      </c>
      <c r="C169" s="0" t="s">
        <v>190</v>
      </c>
      <c r="D169" s="0" t="s">
        <v>952</v>
      </c>
      <c r="E169" s="0" t="s">
        <v>953</v>
      </c>
      <c r="H169" s="0" t="s">
        <v>954</v>
      </c>
      <c r="I169" s="0" t="s">
        <v>955</v>
      </c>
      <c r="J169" s="0" t="s">
        <v>214</v>
      </c>
      <c r="K169" s="0" t="s">
        <v>956</v>
      </c>
      <c r="M169" s="0" t="s">
        <v>143</v>
      </c>
      <c r="N169" s="0" t="s">
        <v>124</v>
      </c>
      <c r="P169" s="0" t="s">
        <v>236</v>
      </c>
      <c r="Q169" s="0" t="s">
        <v>236</v>
      </c>
      <c r="R169" s="0" t="s">
        <v>957</v>
      </c>
      <c r="S169" s="0" t="s">
        <v>21</v>
      </c>
      <c r="T169" s="0" t="s">
        <v>104</v>
      </c>
      <c r="W169" s="0" t="s">
        <v>105</v>
      </c>
      <c r="X169" s="0" t="s">
        <v>958</v>
      </c>
      <c r="Y169" s="0" t="s">
        <v>959</v>
      </c>
      <c r="Z169" s="0" t="s">
        <v>159</v>
      </c>
    </row>
    <row r="170" customFormat="false" ht="15" hidden="false" customHeight="false" outlineLevel="0" collapsed="false">
      <c r="A170" s="0" t="s">
        <v>21</v>
      </c>
      <c r="B170" s="0" t="s">
        <v>960</v>
      </c>
      <c r="C170" s="0" t="s">
        <v>190</v>
      </c>
      <c r="D170" s="0" t="s">
        <v>961</v>
      </c>
      <c r="E170" s="0" t="s">
        <v>962</v>
      </c>
      <c r="H170" s="0" t="s">
        <v>963</v>
      </c>
      <c r="I170" s="0" t="s">
        <v>964</v>
      </c>
      <c r="J170" s="0" t="s">
        <v>245</v>
      </c>
      <c r="K170" s="0" t="s">
        <v>965</v>
      </c>
      <c r="M170" s="0" t="s">
        <v>247</v>
      </c>
      <c r="N170" s="0" t="s">
        <v>124</v>
      </c>
      <c r="P170" s="0" t="s">
        <v>102</v>
      </c>
      <c r="Q170" s="0" t="s">
        <v>102</v>
      </c>
      <c r="R170" s="0" t="s">
        <v>137</v>
      </c>
      <c r="S170" s="0" t="s">
        <v>21</v>
      </c>
      <c r="T170" s="0" t="s">
        <v>104</v>
      </c>
      <c r="W170" s="0" t="s">
        <v>105</v>
      </c>
      <c r="X170" s="0" t="s">
        <v>966</v>
      </c>
      <c r="Y170" s="0" t="s">
        <v>967</v>
      </c>
      <c r="Z170" s="0" t="s">
        <v>159</v>
      </c>
    </row>
    <row r="171" customFormat="false" ht="15" hidden="false" customHeight="false" outlineLevel="0" collapsed="false">
      <c r="A171" s="0" t="s">
        <v>21</v>
      </c>
      <c r="B171" s="0" t="s">
        <v>968</v>
      </c>
      <c r="C171" s="0" t="s">
        <v>190</v>
      </c>
      <c r="D171" s="0" t="s">
        <v>969</v>
      </c>
      <c r="E171" s="0" t="s">
        <v>970</v>
      </c>
      <c r="G171" s="0" t="s">
        <v>971</v>
      </c>
      <c r="H171" s="0" t="s">
        <v>972</v>
      </c>
      <c r="I171" s="0" t="s">
        <v>973</v>
      </c>
      <c r="J171" s="0" t="s">
        <v>122</v>
      </c>
      <c r="K171" s="0" t="s">
        <v>974</v>
      </c>
      <c r="M171" s="0" t="s">
        <v>121</v>
      </c>
      <c r="N171" s="0" t="s">
        <v>124</v>
      </c>
      <c r="P171" s="0" t="s">
        <v>102</v>
      </c>
      <c r="Q171" s="0" t="s">
        <v>102</v>
      </c>
      <c r="R171" s="0" t="s">
        <v>137</v>
      </c>
      <c r="S171" s="0" t="s">
        <v>21</v>
      </c>
      <c r="T171" s="0" t="s">
        <v>104</v>
      </c>
      <c r="W171" s="0" t="s">
        <v>105</v>
      </c>
      <c r="X171" s="0" t="s">
        <v>975</v>
      </c>
      <c r="Y171" s="0" t="s">
        <v>976</v>
      </c>
      <c r="Z171" s="0" t="s">
        <v>159</v>
      </c>
      <c r="AB171" s="0" t="s">
        <v>977</v>
      </c>
    </row>
    <row r="172" customFormat="false" ht="15" hidden="false" customHeight="false" outlineLevel="0" collapsed="false">
      <c r="A172" s="0" t="s">
        <v>21</v>
      </c>
      <c r="B172" s="0" t="s">
        <v>978</v>
      </c>
      <c r="C172" s="0" t="s">
        <v>190</v>
      </c>
      <c r="D172" s="0" t="s">
        <v>979</v>
      </c>
      <c r="E172" s="0" t="s">
        <v>980</v>
      </c>
      <c r="H172" s="0" t="s">
        <v>981</v>
      </c>
      <c r="I172" s="0" t="s">
        <v>982</v>
      </c>
      <c r="J172" s="0" t="s">
        <v>254</v>
      </c>
      <c r="K172" s="0" t="s">
        <v>983</v>
      </c>
      <c r="M172" s="0" t="s">
        <v>208</v>
      </c>
      <c r="N172" s="0" t="s">
        <v>124</v>
      </c>
      <c r="P172" s="0" t="s">
        <v>204</v>
      </c>
      <c r="Q172" s="0" t="s">
        <v>204</v>
      </c>
      <c r="R172" s="0" t="s">
        <v>137</v>
      </c>
      <c r="S172" s="0" t="s">
        <v>21</v>
      </c>
      <c r="T172" s="0" t="s">
        <v>104</v>
      </c>
      <c r="W172" s="0" t="s">
        <v>105</v>
      </c>
      <c r="Z172" s="0" t="s">
        <v>283</v>
      </c>
    </row>
    <row r="173" customFormat="false" ht="15" hidden="false" customHeight="false" outlineLevel="0" collapsed="false">
      <c r="A173" s="0" t="s">
        <v>21</v>
      </c>
      <c r="B173" s="0" t="s">
        <v>984</v>
      </c>
      <c r="C173" s="0" t="s">
        <v>190</v>
      </c>
      <c r="D173" s="0" t="s">
        <v>985</v>
      </c>
      <c r="E173" s="0" t="s">
        <v>986</v>
      </c>
      <c r="G173" s="0" t="s">
        <v>987</v>
      </c>
      <c r="H173" s="0" t="s">
        <v>988</v>
      </c>
      <c r="I173" s="0" t="s">
        <v>989</v>
      </c>
      <c r="J173" s="0" t="s">
        <v>157</v>
      </c>
      <c r="K173" s="0" t="s">
        <v>990</v>
      </c>
      <c r="M173" s="0" t="s">
        <v>232</v>
      </c>
      <c r="N173" s="0" t="s">
        <v>124</v>
      </c>
      <c r="P173" s="0" t="s">
        <v>102</v>
      </c>
      <c r="Q173" s="0" t="s">
        <v>102</v>
      </c>
      <c r="R173" s="0" t="s">
        <v>137</v>
      </c>
      <c r="S173" s="0" t="s">
        <v>21</v>
      </c>
      <c r="T173" s="0" t="s">
        <v>104</v>
      </c>
      <c r="W173" s="0" t="s">
        <v>105</v>
      </c>
      <c r="X173" s="0" t="s">
        <v>991</v>
      </c>
      <c r="Y173" s="0" t="s">
        <v>992</v>
      </c>
      <c r="Z173" s="0" t="s">
        <v>306</v>
      </c>
      <c r="AB173" s="0" t="s">
        <v>993</v>
      </c>
    </row>
    <row r="174" customFormat="false" ht="15" hidden="false" customHeight="false" outlineLevel="0" collapsed="false">
      <c r="A174" s="0" t="s">
        <v>21</v>
      </c>
      <c r="B174" s="0" t="s">
        <v>994</v>
      </c>
      <c r="C174" s="0" t="s">
        <v>190</v>
      </c>
      <c r="D174" s="0" t="s">
        <v>198</v>
      </c>
      <c r="E174" s="0" t="s">
        <v>198</v>
      </c>
      <c r="H174" s="0" t="s">
        <v>995</v>
      </c>
      <c r="I174" s="0" t="s">
        <v>996</v>
      </c>
      <c r="J174" s="0" t="s">
        <v>157</v>
      </c>
      <c r="K174" s="0" t="s">
        <v>997</v>
      </c>
      <c r="L174" s="0" t="s">
        <v>124</v>
      </c>
      <c r="M174" s="0" t="s">
        <v>232</v>
      </c>
      <c r="N174" s="0" t="s">
        <v>124</v>
      </c>
      <c r="P174" s="0" t="s">
        <v>102</v>
      </c>
      <c r="Q174" s="0" t="s">
        <v>102</v>
      </c>
      <c r="R174" s="0" t="s">
        <v>137</v>
      </c>
      <c r="S174" s="0" t="s">
        <v>21</v>
      </c>
      <c r="T174" s="0" t="s">
        <v>104</v>
      </c>
      <c r="W174" s="0" t="s">
        <v>105</v>
      </c>
      <c r="X174" s="0" t="s">
        <v>998</v>
      </c>
      <c r="Y174" s="0" t="s">
        <v>999</v>
      </c>
      <c r="Z174" s="0" t="s">
        <v>159</v>
      </c>
      <c r="AB174" s="0" t="s">
        <v>1000</v>
      </c>
    </row>
    <row r="175" customFormat="false" ht="15" hidden="false" customHeight="false" outlineLevel="0" collapsed="false">
      <c r="A175" s="0" t="s">
        <v>21</v>
      </c>
      <c r="B175" s="0" t="s">
        <v>1001</v>
      </c>
      <c r="C175" s="0" t="s">
        <v>190</v>
      </c>
      <c r="D175" s="0" t="s">
        <v>1002</v>
      </c>
      <c r="E175" s="0" t="s">
        <v>1002</v>
      </c>
      <c r="H175" s="0" t="s">
        <v>1003</v>
      </c>
      <c r="I175" s="0" t="s">
        <v>996</v>
      </c>
      <c r="J175" s="0" t="s">
        <v>157</v>
      </c>
      <c r="K175" s="0" t="s">
        <v>997</v>
      </c>
      <c r="M175" s="0" t="s">
        <v>232</v>
      </c>
      <c r="N175" s="0" t="s">
        <v>124</v>
      </c>
      <c r="P175" s="0" t="s">
        <v>102</v>
      </c>
      <c r="Q175" s="0" t="s">
        <v>102</v>
      </c>
      <c r="R175" s="0" t="s">
        <v>137</v>
      </c>
      <c r="S175" s="0" t="s">
        <v>21</v>
      </c>
      <c r="T175" s="0" t="s">
        <v>104</v>
      </c>
      <c r="W175" s="0" t="s">
        <v>105</v>
      </c>
    </row>
    <row r="176" customFormat="false" ht="15" hidden="false" customHeight="false" outlineLevel="0" collapsed="false">
      <c r="A176" s="0" t="s">
        <v>21</v>
      </c>
      <c r="B176" s="0" t="s">
        <v>1004</v>
      </c>
      <c r="C176" s="0" t="s">
        <v>190</v>
      </c>
      <c r="D176" s="0" t="s">
        <v>1005</v>
      </c>
      <c r="H176" s="0" t="s">
        <v>1006</v>
      </c>
      <c r="I176" s="0" t="s">
        <v>1007</v>
      </c>
      <c r="J176" s="0" t="s">
        <v>157</v>
      </c>
      <c r="K176" s="0" t="s">
        <v>990</v>
      </c>
      <c r="M176" s="0" t="s">
        <v>232</v>
      </c>
      <c r="N176" s="0" t="s">
        <v>124</v>
      </c>
      <c r="P176" s="0" t="s">
        <v>102</v>
      </c>
      <c r="Q176" s="0" t="s">
        <v>102</v>
      </c>
      <c r="R176" s="0" t="s">
        <v>144</v>
      </c>
      <c r="S176" s="0" t="s">
        <v>21</v>
      </c>
      <c r="T176" s="0" t="s">
        <v>104</v>
      </c>
      <c r="W176" s="0" t="s">
        <v>105</v>
      </c>
      <c r="Z176" s="0" t="s">
        <v>306</v>
      </c>
    </row>
    <row r="177" customFormat="false" ht="15" hidden="false" customHeight="false" outlineLevel="0" collapsed="false">
      <c r="A177" s="0" t="s">
        <v>21</v>
      </c>
      <c r="B177" s="0" t="s">
        <v>1008</v>
      </c>
      <c r="C177" s="0" t="s">
        <v>190</v>
      </c>
      <c r="D177" s="0" t="s">
        <v>1009</v>
      </c>
      <c r="H177" s="0" t="s">
        <v>1010</v>
      </c>
      <c r="I177" s="0" t="s">
        <v>1011</v>
      </c>
      <c r="J177" s="0" t="s">
        <v>254</v>
      </c>
      <c r="K177" s="0" t="s">
        <v>1012</v>
      </c>
      <c r="M177" s="0" t="s">
        <v>208</v>
      </c>
      <c r="N177" s="0" t="s">
        <v>124</v>
      </c>
      <c r="P177" s="0" t="s">
        <v>102</v>
      </c>
      <c r="Q177" s="0" t="s">
        <v>102</v>
      </c>
      <c r="R177" s="0" t="s">
        <v>144</v>
      </c>
      <c r="S177" s="0" t="s">
        <v>21</v>
      </c>
      <c r="T177" s="0" t="s">
        <v>104</v>
      </c>
      <c r="W177" s="0" t="s">
        <v>105</v>
      </c>
      <c r="Z177" s="0" t="s">
        <v>306</v>
      </c>
    </row>
    <row r="178" customFormat="false" ht="15" hidden="false" customHeight="false" outlineLevel="0" collapsed="false">
      <c r="A178" s="0" t="s">
        <v>21</v>
      </c>
      <c r="B178" s="0" t="s">
        <v>1013</v>
      </c>
      <c r="C178" s="0" t="s">
        <v>190</v>
      </c>
      <c r="D178" s="0" t="s">
        <v>1014</v>
      </c>
      <c r="H178" s="0" t="s">
        <v>1015</v>
      </c>
      <c r="I178" s="0" t="s">
        <v>1016</v>
      </c>
      <c r="J178" s="0" t="s">
        <v>254</v>
      </c>
      <c r="K178" s="0" t="s">
        <v>1017</v>
      </c>
      <c r="M178" s="0" t="s">
        <v>208</v>
      </c>
      <c r="N178" s="0" t="s">
        <v>124</v>
      </c>
      <c r="P178" s="0" t="s">
        <v>102</v>
      </c>
      <c r="Q178" s="0" t="s">
        <v>102</v>
      </c>
      <c r="R178" s="0" t="s">
        <v>144</v>
      </c>
      <c r="S178" s="0" t="s">
        <v>21</v>
      </c>
      <c r="T178" s="0" t="s">
        <v>104</v>
      </c>
      <c r="W178" s="0" t="s">
        <v>105</v>
      </c>
      <c r="Z178" s="0" t="s">
        <v>306</v>
      </c>
    </row>
    <row r="179" customFormat="false" ht="15" hidden="false" customHeight="false" outlineLevel="0" collapsed="false">
      <c r="A179" s="0" t="s">
        <v>21</v>
      </c>
      <c r="B179" s="0" t="s">
        <v>1018</v>
      </c>
      <c r="C179" s="0" t="s">
        <v>190</v>
      </c>
      <c r="D179" s="0" t="s">
        <v>1019</v>
      </c>
      <c r="G179" s="0" t="s">
        <v>1020</v>
      </c>
      <c r="H179" s="0" t="s">
        <v>1021</v>
      </c>
      <c r="I179" s="0" t="s">
        <v>1022</v>
      </c>
      <c r="J179" s="0" t="s">
        <v>245</v>
      </c>
      <c r="K179" s="0" t="s">
        <v>1023</v>
      </c>
      <c r="M179" s="0" t="s">
        <v>247</v>
      </c>
      <c r="N179" s="0" t="s">
        <v>124</v>
      </c>
      <c r="P179" s="0" t="s">
        <v>102</v>
      </c>
      <c r="Q179" s="0" t="s">
        <v>102</v>
      </c>
      <c r="R179" s="0" t="s">
        <v>144</v>
      </c>
      <c r="S179" s="0" t="s">
        <v>21</v>
      </c>
      <c r="T179" s="0" t="s">
        <v>104</v>
      </c>
      <c r="W179" s="0" t="s">
        <v>105</v>
      </c>
      <c r="Z179" s="0" t="s">
        <v>306</v>
      </c>
    </row>
    <row r="180" customFormat="false" ht="15" hidden="false" customHeight="false" outlineLevel="0" collapsed="false">
      <c r="A180" s="0" t="s">
        <v>21</v>
      </c>
      <c r="B180" s="0" t="s">
        <v>1024</v>
      </c>
      <c r="C180" s="0" t="s">
        <v>190</v>
      </c>
      <c r="D180" s="0" t="s">
        <v>1025</v>
      </c>
      <c r="E180" s="0" t="s">
        <v>1026</v>
      </c>
      <c r="H180" s="0" t="s">
        <v>1027</v>
      </c>
      <c r="I180" s="0" t="s">
        <v>1016</v>
      </c>
      <c r="J180" s="0" t="s">
        <v>254</v>
      </c>
      <c r="K180" s="0" t="s">
        <v>1017</v>
      </c>
      <c r="M180" s="0" t="s">
        <v>208</v>
      </c>
      <c r="N180" s="0" t="s">
        <v>124</v>
      </c>
      <c r="P180" s="0" t="s">
        <v>346</v>
      </c>
      <c r="Q180" s="0" t="s">
        <v>346</v>
      </c>
      <c r="R180" s="0" t="s">
        <v>347</v>
      </c>
      <c r="S180" s="0" t="s">
        <v>21</v>
      </c>
      <c r="T180" s="0" t="s">
        <v>104</v>
      </c>
      <c r="W180" s="0" t="s">
        <v>105</v>
      </c>
      <c r="Z180" s="0" t="s">
        <v>306</v>
      </c>
    </row>
    <row r="181" customFormat="false" ht="41.75" hidden="false" customHeight="false" outlineLevel="0" collapsed="false">
      <c r="A181" s="0" t="s">
        <v>21</v>
      </c>
      <c r="B181" s="0" t="s">
        <v>1028</v>
      </c>
      <c r="C181" s="0" t="s">
        <v>97</v>
      </c>
      <c r="D181" s="0" t="s">
        <v>1029</v>
      </c>
      <c r="E181" s="0" t="s">
        <v>1030</v>
      </c>
      <c r="G181" s="9" t="s">
        <v>1031</v>
      </c>
      <c r="H181" s="0" t="s">
        <v>1032</v>
      </c>
      <c r="I181" s="0" t="s">
        <v>1033</v>
      </c>
      <c r="J181" s="0" t="s">
        <v>881</v>
      </c>
      <c r="K181" s="0" t="s">
        <v>1034</v>
      </c>
      <c r="L181" s="0" t="s">
        <v>124</v>
      </c>
      <c r="M181" s="0" t="s">
        <v>881</v>
      </c>
      <c r="N181" s="0" t="s">
        <v>124</v>
      </c>
      <c r="P181" s="0" t="s">
        <v>102</v>
      </c>
      <c r="Q181" s="0" t="s">
        <v>102</v>
      </c>
      <c r="R181" s="0" t="s">
        <v>131</v>
      </c>
      <c r="S181" s="0" t="s">
        <v>21</v>
      </c>
      <c r="T181" s="0" t="s">
        <v>104</v>
      </c>
      <c r="W181" s="0" t="s">
        <v>105</v>
      </c>
      <c r="X181" s="0" t="s">
        <v>1035</v>
      </c>
      <c r="Y181" s="0" t="s">
        <v>1036</v>
      </c>
      <c r="Z181" s="0" t="s">
        <v>195</v>
      </c>
      <c r="AB181" s="0" t="s">
        <v>1037</v>
      </c>
    </row>
    <row r="182" customFormat="false" ht="15" hidden="false" customHeight="false" outlineLevel="0" collapsed="false">
      <c r="A182" s="0" t="s">
        <v>21</v>
      </c>
      <c r="B182" s="0" t="s">
        <v>1038</v>
      </c>
      <c r="C182" s="0" t="s">
        <v>97</v>
      </c>
      <c r="E182" s="0" t="s">
        <v>1039</v>
      </c>
      <c r="F182" s="0" t="s">
        <v>1040</v>
      </c>
      <c r="G182" s="0" t="s">
        <v>1041</v>
      </c>
      <c r="H182" s="0" t="s">
        <v>1042</v>
      </c>
      <c r="I182" s="0" t="s">
        <v>1043</v>
      </c>
      <c r="J182" s="0" t="s">
        <v>247</v>
      </c>
      <c r="K182" s="0" t="s">
        <v>579</v>
      </c>
      <c r="L182" s="0" t="s">
        <v>124</v>
      </c>
      <c r="M182" s="0" t="s">
        <v>247</v>
      </c>
      <c r="N182" s="0" t="s">
        <v>124</v>
      </c>
      <c r="P182" s="0" t="s">
        <v>1044</v>
      </c>
      <c r="Q182" s="0" t="s">
        <v>1044</v>
      </c>
      <c r="R182" s="0" t="s">
        <v>103</v>
      </c>
      <c r="S182" s="0" t="s">
        <v>21</v>
      </c>
      <c r="T182" s="0" t="s">
        <v>104</v>
      </c>
      <c r="U182" s="0" t="s">
        <v>368</v>
      </c>
      <c r="W182" s="0" t="s">
        <v>105</v>
      </c>
      <c r="X182" s="0" t="s">
        <v>1045</v>
      </c>
      <c r="Y182" s="0" t="s">
        <v>1046</v>
      </c>
      <c r="Z182" s="0" t="s">
        <v>1047</v>
      </c>
    </row>
    <row r="183" customFormat="false" ht="15" hidden="false" customHeight="false" outlineLevel="0" collapsed="false">
      <c r="A183" s="0" t="s">
        <v>21</v>
      </c>
      <c r="B183" s="0" t="s">
        <v>1048</v>
      </c>
      <c r="C183" s="0" t="s">
        <v>97</v>
      </c>
      <c r="D183" s="0" t="s">
        <v>1049</v>
      </c>
      <c r="E183" s="0" t="s">
        <v>1050</v>
      </c>
      <c r="F183" s="0" t="s">
        <v>1051</v>
      </c>
      <c r="H183" s="0" t="s">
        <v>1052</v>
      </c>
      <c r="I183" s="0" t="s">
        <v>1053</v>
      </c>
      <c r="J183" s="0" t="s">
        <v>254</v>
      </c>
      <c r="K183" s="0" t="s">
        <v>1054</v>
      </c>
      <c r="L183" s="0" t="s">
        <v>124</v>
      </c>
      <c r="M183" s="0" t="s">
        <v>208</v>
      </c>
      <c r="N183" s="0" t="s">
        <v>124</v>
      </c>
      <c r="P183" s="0" t="s">
        <v>1044</v>
      </c>
      <c r="Q183" s="0" t="s">
        <v>1044</v>
      </c>
      <c r="R183" s="0" t="s">
        <v>103</v>
      </c>
      <c r="S183" s="0" t="s">
        <v>21</v>
      </c>
      <c r="T183" s="0" t="s">
        <v>104</v>
      </c>
      <c r="W183" s="0" t="s">
        <v>105</v>
      </c>
      <c r="X183" s="0" t="s">
        <v>1055</v>
      </c>
      <c r="Y183" s="0" t="s">
        <v>1056</v>
      </c>
      <c r="Z183" s="0" t="s">
        <v>1047</v>
      </c>
    </row>
    <row r="184" customFormat="false" ht="15" hidden="false" customHeight="false" outlineLevel="0" collapsed="false">
      <c r="A184" s="0" t="s">
        <v>21</v>
      </c>
      <c r="B184" s="0" t="s">
        <v>1057</v>
      </c>
      <c r="C184" s="0" t="s">
        <v>97</v>
      </c>
      <c r="D184" s="0" t="s">
        <v>1058</v>
      </c>
      <c r="E184" s="0" t="s">
        <v>1059</v>
      </c>
      <c r="F184" s="0" t="s">
        <v>1060</v>
      </c>
      <c r="H184" s="0" t="s">
        <v>1061</v>
      </c>
      <c r="I184" s="0" t="s">
        <v>1062</v>
      </c>
      <c r="J184" s="0" t="s">
        <v>245</v>
      </c>
      <c r="K184" s="0" t="s">
        <v>1063</v>
      </c>
      <c r="L184" s="0" t="s">
        <v>124</v>
      </c>
      <c r="M184" s="0" t="s">
        <v>247</v>
      </c>
      <c r="N184" s="0" t="s">
        <v>124</v>
      </c>
      <c r="P184" s="0" t="s">
        <v>1044</v>
      </c>
      <c r="Q184" s="0" t="s">
        <v>1044</v>
      </c>
      <c r="R184" s="0" t="s">
        <v>103</v>
      </c>
      <c r="S184" s="0" t="s">
        <v>21</v>
      </c>
      <c r="T184" s="0" t="s">
        <v>104</v>
      </c>
      <c r="W184" s="0" t="s">
        <v>105</v>
      </c>
      <c r="X184" s="0" t="s">
        <v>1064</v>
      </c>
      <c r="Y184" s="0" t="s">
        <v>1065</v>
      </c>
      <c r="Z184" s="0" t="s">
        <v>1047</v>
      </c>
    </row>
    <row r="185" customFormat="false" ht="15" hidden="false" customHeight="false" outlineLevel="0" collapsed="false">
      <c r="A185" s="0" t="s">
        <v>21</v>
      </c>
      <c r="B185" s="0" t="s">
        <v>1066</v>
      </c>
      <c r="C185" s="0" t="s">
        <v>1067</v>
      </c>
      <c r="E185" s="0" t="s">
        <v>1068</v>
      </c>
      <c r="G185" s="0" t="s">
        <v>1069</v>
      </c>
      <c r="H185" s="0" t="s">
        <v>1070</v>
      </c>
      <c r="I185" s="0" t="s">
        <v>1071</v>
      </c>
      <c r="J185" s="0" t="s">
        <v>245</v>
      </c>
      <c r="K185" s="0" t="s">
        <v>1072</v>
      </c>
      <c r="L185" s="0" t="s">
        <v>124</v>
      </c>
      <c r="M185" s="0" t="s">
        <v>247</v>
      </c>
      <c r="N185" s="0" t="s">
        <v>124</v>
      </c>
      <c r="P185" s="0" t="s">
        <v>346</v>
      </c>
      <c r="Q185" s="0" t="s">
        <v>346</v>
      </c>
      <c r="R185" s="0" t="s">
        <v>103</v>
      </c>
      <c r="S185" s="0" t="s">
        <v>21</v>
      </c>
      <c r="T185" s="0" t="s">
        <v>104</v>
      </c>
      <c r="W185" s="0" t="s">
        <v>105</v>
      </c>
      <c r="X185" s="0" t="s">
        <v>1073</v>
      </c>
      <c r="Y185" s="0" t="s">
        <v>1074</v>
      </c>
      <c r="Z185" s="0" t="s">
        <v>1047</v>
      </c>
      <c r="AB185" s="0" t="s">
        <v>1075</v>
      </c>
    </row>
    <row r="186" customFormat="false" ht="15" hidden="false" customHeight="false" outlineLevel="0" collapsed="false">
      <c r="A186" s="0" t="s">
        <v>21</v>
      </c>
      <c r="B186" s="0" t="s">
        <v>1076</v>
      </c>
      <c r="C186" s="0" t="s">
        <v>97</v>
      </c>
      <c r="E186" s="0" t="s">
        <v>1077</v>
      </c>
      <c r="F186" s="0" t="s">
        <v>1078</v>
      </c>
      <c r="H186" s="0" t="s">
        <v>1079</v>
      </c>
      <c r="I186" s="0" t="s">
        <v>1080</v>
      </c>
      <c r="J186" s="0" t="s">
        <v>157</v>
      </c>
      <c r="K186" s="0" t="s">
        <v>1081</v>
      </c>
      <c r="L186" s="0" t="s">
        <v>124</v>
      </c>
      <c r="M186" s="0" t="s">
        <v>232</v>
      </c>
      <c r="N186" s="0" t="s">
        <v>124</v>
      </c>
      <c r="P186" s="0" t="s">
        <v>1044</v>
      </c>
      <c r="Q186" s="0" t="s">
        <v>1044</v>
      </c>
      <c r="R186" s="0" t="s">
        <v>103</v>
      </c>
      <c r="S186" s="0" t="s">
        <v>21</v>
      </c>
      <c r="T186" s="0" t="s">
        <v>104</v>
      </c>
      <c r="W186" s="0" t="s">
        <v>105</v>
      </c>
      <c r="X186" s="0" t="s">
        <v>1082</v>
      </c>
      <c r="Y186" s="0" t="s">
        <v>1083</v>
      </c>
      <c r="Z186" s="0" t="s">
        <v>1047</v>
      </c>
    </row>
    <row r="187" customFormat="false" ht="15" hidden="false" customHeight="false" outlineLevel="0" collapsed="false">
      <c r="A187" s="0" t="s">
        <v>21</v>
      </c>
      <c r="B187" s="0" t="s">
        <v>1084</v>
      </c>
      <c r="C187" s="0" t="s">
        <v>97</v>
      </c>
      <c r="D187" s="0" t="s">
        <v>1085</v>
      </c>
      <c r="E187" s="0" t="s">
        <v>1086</v>
      </c>
      <c r="F187" s="0" t="s">
        <v>1087</v>
      </c>
      <c r="H187" s="0" t="s">
        <v>1088</v>
      </c>
      <c r="I187" s="0" t="s">
        <v>1089</v>
      </c>
      <c r="J187" s="0" t="s">
        <v>245</v>
      </c>
      <c r="K187" s="0" t="s">
        <v>1090</v>
      </c>
      <c r="L187" s="0" t="s">
        <v>124</v>
      </c>
      <c r="M187" s="0" t="s">
        <v>247</v>
      </c>
      <c r="N187" s="0" t="s">
        <v>124</v>
      </c>
      <c r="P187" s="0" t="s">
        <v>1044</v>
      </c>
      <c r="Q187" s="0" t="s">
        <v>1044</v>
      </c>
      <c r="R187" s="0" t="s">
        <v>103</v>
      </c>
      <c r="S187" s="0" t="s">
        <v>21</v>
      </c>
      <c r="T187" s="0" t="s">
        <v>104</v>
      </c>
      <c r="W187" s="0" t="s">
        <v>105</v>
      </c>
      <c r="X187" s="0" t="s">
        <v>1091</v>
      </c>
      <c r="Y187" s="0" t="s">
        <v>1092</v>
      </c>
      <c r="Z187" s="0" t="s">
        <v>1047</v>
      </c>
    </row>
    <row r="188" customFormat="false" ht="15" hidden="false" customHeight="false" outlineLevel="0" collapsed="false">
      <c r="A188" s="0" t="s">
        <v>21</v>
      </c>
      <c r="B188" s="0" t="s">
        <v>1093</v>
      </c>
      <c r="C188" s="0" t="s">
        <v>97</v>
      </c>
      <c r="E188" s="0" t="s">
        <v>1094</v>
      </c>
      <c r="G188" s="0" t="s">
        <v>1095</v>
      </c>
      <c r="M188" s="0" t="s">
        <v>262</v>
      </c>
      <c r="N188" s="0" t="s">
        <v>124</v>
      </c>
      <c r="P188" s="0" t="s">
        <v>1044</v>
      </c>
      <c r="Q188" s="0" t="s">
        <v>1044</v>
      </c>
      <c r="R188" s="0" t="s">
        <v>103</v>
      </c>
      <c r="S188" s="0" t="s">
        <v>21</v>
      </c>
      <c r="T188" s="0" t="s">
        <v>104</v>
      </c>
      <c r="W188" s="0" t="s">
        <v>105</v>
      </c>
      <c r="Z188" s="0" t="s">
        <v>1047</v>
      </c>
    </row>
    <row r="189" customFormat="false" ht="15" hidden="false" customHeight="false" outlineLevel="0" collapsed="false">
      <c r="A189" s="0" t="s">
        <v>21</v>
      </c>
      <c r="B189" s="0" t="s">
        <v>1096</v>
      </c>
      <c r="C189" s="0" t="s">
        <v>97</v>
      </c>
      <c r="D189" s="0" t="s">
        <v>1097</v>
      </c>
      <c r="E189" s="0" t="s">
        <v>1098</v>
      </c>
      <c r="F189" s="0" t="s">
        <v>1099</v>
      </c>
      <c r="H189" s="0" t="s">
        <v>1100</v>
      </c>
      <c r="I189" s="0" t="s">
        <v>1101</v>
      </c>
      <c r="J189" s="0" t="s">
        <v>122</v>
      </c>
      <c r="K189" s="0" t="s">
        <v>1102</v>
      </c>
      <c r="L189" s="0" t="s">
        <v>124</v>
      </c>
      <c r="M189" s="0" t="s">
        <v>121</v>
      </c>
      <c r="N189" s="0" t="s">
        <v>124</v>
      </c>
      <c r="P189" s="0" t="s">
        <v>1044</v>
      </c>
      <c r="Q189" s="0" t="s">
        <v>1044</v>
      </c>
      <c r="R189" s="0" t="s">
        <v>103</v>
      </c>
      <c r="S189" s="0" t="s">
        <v>21</v>
      </c>
      <c r="T189" s="0" t="s">
        <v>104</v>
      </c>
      <c r="W189" s="0" t="s">
        <v>105</v>
      </c>
      <c r="X189" s="0" t="s">
        <v>1103</v>
      </c>
      <c r="Y189" s="0" t="s">
        <v>1104</v>
      </c>
      <c r="Z189" s="0" t="s">
        <v>1047</v>
      </c>
    </row>
    <row r="190" customFormat="false" ht="15" hidden="false" customHeight="false" outlineLevel="0" collapsed="false">
      <c r="A190" s="0" t="s">
        <v>21</v>
      </c>
      <c r="B190" s="0" t="s">
        <v>1105</v>
      </c>
      <c r="C190" s="0" t="s">
        <v>97</v>
      </c>
      <c r="E190" s="0" t="s">
        <v>1106</v>
      </c>
      <c r="F190" s="0" t="s">
        <v>1107</v>
      </c>
      <c r="H190" s="0" t="s">
        <v>1108</v>
      </c>
      <c r="I190" s="0" t="s">
        <v>1109</v>
      </c>
      <c r="J190" s="0" t="s">
        <v>254</v>
      </c>
      <c r="K190" s="0" t="s">
        <v>1110</v>
      </c>
      <c r="L190" s="0" t="s">
        <v>124</v>
      </c>
      <c r="M190" s="0" t="s">
        <v>208</v>
      </c>
      <c r="N190" s="0" t="s">
        <v>124</v>
      </c>
      <c r="P190" s="0" t="s">
        <v>1044</v>
      </c>
      <c r="Q190" s="0" t="s">
        <v>1044</v>
      </c>
      <c r="R190" s="0" t="s">
        <v>103</v>
      </c>
      <c r="S190" s="0" t="s">
        <v>21</v>
      </c>
      <c r="T190" s="0" t="s">
        <v>104</v>
      </c>
      <c r="W190" s="0" t="s">
        <v>105</v>
      </c>
      <c r="X190" s="0" t="s">
        <v>1111</v>
      </c>
      <c r="Y190" s="0" t="s">
        <v>1112</v>
      </c>
      <c r="Z190" s="0" t="s">
        <v>1047</v>
      </c>
    </row>
    <row r="191" customFormat="false" ht="15" hidden="false" customHeight="false" outlineLevel="0" collapsed="false">
      <c r="A191" s="0" t="s">
        <v>21</v>
      </c>
      <c r="B191" s="0" t="s">
        <v>1113</v>
      </c>
      <c r="C191" s="0" t="s">
        <v>863</v>
      </c>
      <c r="D191" s="0" t="s">
        <v>1114</v>
      </c>
      <c r="E191" s="0" t="s">
        <v>1115</v>
      </c>
      <c r="G191" s="0" t="s">
        <v>1116</v>
      </c>
      <c r="M191" s="0" t="s">
        <v>143</v>
      </c>
      <c r="N191" s="0" t="s">
        <v>124</v>
      </c>
      <c r="P191" s="0" t="s">
        <v>102</v>
      </c>
      <c r="Q191" s="0" t="s">
        <v>102</v>
      </c>
      <c r="R191" s="0" t="s">
        <v>144</v>
      </c>
      <c r="S191" s="0" t="s">
        <v>21</v>
      </c>
      <c r="T191" s="0" t="s">
        <v>104</v>
      </c>
      <c r="W191" s="0" t="s">
        <v>105</v>
      </c>
    </row>
    <row r="192" customFormat="false" ht="15" hidden="false" customHeight="false" outlineLevel="0" collapsed="false">
      <c r="A192" s="0" t="s">
        <v>21</v>
      </c>
      <c r="B192" s="0" t="s">
        <v>1117</v>
      </c>
      <c r="C192" s="0" t="s">
        <v>863</v>
      </c>
      <c r="D192" s="0" t="s">
        <v>1118</v>
      </c>
      <c r="E192" s="0" t="s">
        <v>1119</v>
      </c>
      <c r="G192" s="0" t="s">
        <v>1116</v>
      </c>
      <c r="M192" s="0" t="s">
        <v>232</v>
      </c>
      <c r="N192" s="0" t="s">
        <v>124</v>
      </c>
      <c r="P192" s="0" t="s">
        <v>102</v>
      </c>
      <c r="Q192" s="0" t="s">
        <v>102</v>
      </c>
      <c r="R192" s="0" t="s">
        <v>144</v>
      </c>
      <c r="S192" s="0" t="s">
        <v>21</v>
      </c>
      <c r="T192" s="0" t="s">
        <v>104</v>
      </c>
      <c r="W192" s="0" t="s">
        <v>105</v>
      </c>
    </row>
    <row r="193" customFormat="false" ht="15" hidden="false" customHeight="false" outlineLevel="0" collapsed="false">
      <c r="A193" s="0" t="s">
        <v>21</v>
      </c>
      <c r="B193" s="0" t="s">
        <v>1120</v>
      </c>
      <c r="C193" s="0" t="s">
        <v>863</v>
      </c>
      <c r="D193" s="0" t="s">
        <v>1121</v>
      </c>
      <c r="E193" s="0" t="s">
        <v>1122</v>
      </c>
      <c r="G193" s="0" t="s">
        <v>1116</v>
      </c>
      <c r="M193" s="0" t="s">
        <v>881</v>
      </c>
      <c r="N193" s="0" t="s">
        <v>124</v>
      </c>
      <c r="P193" s="0" t="s">
        <v>102</v>
      </c>
      <c r="Q193" s="0" t="s">
        <v>102</v>
      </c>
      <c r="R193" s="0" t="s">
        <v>144</v>
      </c>
      <c r="S193" s="0" t="s">
        <v>21</v>
      </c>
      <c r="T193" s="0" t="s">
        <v>104</v>
      </c>
      <c r="W193" s="0" t="s">
        <v>105</v>
      </c>
    </row>
    <row r="194" customFormat="false" ht="15" hidden="false" customHeight="false" outlineLevel="0" collapsed="false">
      <c r="A194" s="0" t="s">
        <v>21</v>
      </c>
      <c r="B194" s="0" t="s">
        <v>1123</v>
      </c>
      <c r="C194" s="0" t="s">
        <v>863</v>
      </c>
      <c r="D194" s="0" t="s">
        <v>1124</v>
      </c>
      <c r="E194" s="0" t="s">
        <v>1125</v>
      </c>
      <c r="G194" s="0" t="s">
        <v>1116</v>
      </c>
      <c r="M194" s="0" t="s">
        <v>208</v>
      </c>
      <c r="N194" s="0" t="s">
        <v>124</v>
      </c>
      <c r="P194" s="0" t="s">
        <v>102</v>
      </c>
      <c r="Q194" s="0" t="s">
        <v>102</v>
      </c>
      <c r="R194" s="0" t="s">
        <v>144</v>
      </c>
      <c r="S194" s="0" t="s">
        <v>21</v>
      </c>
      <c r="T194" s="0" t="s">
        <v>104</v>
      </c>
      <c r="W194" s="0" t="s">
        <v>105</v>
      </c>
    </row>
    <row r="195" customFormat="false" ht="15" hidden="false" customHeight="false" outlineLevel="0" collapsed="false">
      <c r="A195" s="0" t="s">
        <v>21</v>
      </c>
      <c r="B195" s="0" t="s">
        <v>1126</v>
      </c>
      <c r="C195" s="0" t="s">
        <v>863</v>
      </c>
      <c r="D195" s="0" t="s">
        <v>1127</v>
      </c>
      <c r="E195" s="0" t="s">
        <v>1128</v>
      </c>
      <c r="G195" s="0" t="s">
        <v>1116</v>
      </c>
      <c r="M195" s="0" t="s">
        <v>220</v>
      </c>
      <c r="N195" s="0" t="s">
        <v>124</v>
      </c>
      <c r="P195" s="0" t="s">
        <v>102</v>
      </c>
      <c r="Q195" s="0" t="s">
        <v>102</v>
      </c>
      <c r="R195" s="0" t="s">
        <v>144</v>
      </c>
      <c r="S195" s="0" t="s">
        <v>21</v>
      </c>
      <c r="T195" s="0" t="s">
        <v>104</v>
      </c>
      <c r="W195" s="0" t="s">
        <v>105</v>
      </c>
    </row>
    <row r="196" customFormat="false" ht="15" hidden="false" customHeight="false" outlineLevel="0" collapsed="false">
      <c r="A196" s="0" t="s">
        <v>21</v>
      </c>
      <c r="B196" s="0" t="s">
        <v>1129</v>
      </c>
      <c r="C196" s="0" t="s">
        <v>863</v>
      </c>
      <c r="D196" s="0" t="s">
        <v>1130</v>
      </c>
      <c r="E196" s="0" t="s">
        <v>1131</v>
      </c>
      <c r="G196" s="0" t="s">
        <v>1116</v>
      </c>
      <c r="M196" s="0" t="s">
        <v>178</v>
      </c>
      <c r="N196" s="0" t="s">
        <v>124</v>
      </c>
      <c r="P196" s="0" t="s">
        <v>102</v>
      </c>
      <c r="Q196" s="0" t="s">
        <v>102</v>
      </c>
      <c r="R196" s="0" t="s">
        <v>144</v>
      </c>
      <c r="S196" s="0" t="s">
        <v>21</v>
      </c>
      <c r="T196" s="0" t="s">
        <v>104</v>
      </c>
      <c r="W196" s="0" t="s">
        <v>105</v>
      </c>
    </row>
    <row r="197" customFormat="false" ht="15" hidden="false" customHeight="false" outlineLevel="0" collapsed="false">
      <c r="A197" s="0" t="s">
        <v>21</v>
      </c>
      <c r="B197" s="0" t="s">
        <v>1132</v>
      </c>
      <c r="C197" s="0" t="s">
        <v>863</v>
      </c>
      <c r="D197" s="0" t="s">
        <v>1133</v>
      </c>
      <c r="E197" s="0" t="s">
        <v>1134</v>
      </c>
      <c r="G197" s="0" t="s">
        <v>1116</v>
      </c>
      <c r="M197" s="0" t="s">
        <v>247</v>
      </c>
      <c r="N197" s="0" t="s">
        <v>124</v>
      </c>
      <c r="P197" s="0" t="s">
        <v>102</v>
      </c>
      <c r="Q197" s="0" t="s">
        <v>102</v>
      </c>
      <c r="R197" s="0" t="s">
        <v>144</v>
      </c>
      <c r="S197" s="0" t="s">
        <v>21</v>
      </c>
      <c r="T197" s="0" t="s">
        <v>104</v>
      </c>
      <c r="W197" s="0" t="s">
        <v>105</v>
      </c>
    </row>
    <row r="198" customFormat="false" ht="15" hidden="false" customHeight="false" outlineLevel="0" collapsed="false">
      <c r="A198" s="0" t="s">
        <v>21</v>
      </c>
      <c r="B198" s="0" t="s">
        <v>1135</v>
      </c>
      <c r="C198" s="0" t="s">
        <v>661</v>
      </c>
      <c r="D198" s="0" t="s">
        <v>1136</v>
      </c>
      <c r="M198" s="0" t="s">
        <v>1137</v>
      </c>
      <c r="N198" s="0" t="s">
        <v>124</v>
      </c>
      <c r="P198" s="0" t="s">
        <v>221</v>
      </c>
      <c r="Q198" s="0" t="s">
        <v>221</v>
      </c>
      <c r="R198" s="0" t="s">
        <v>221</v>
      </c>
      <c r="S198" s="0" t="s">
        <v>21</v>
      </c>
      <c r="T198" s="0" t="s">
        <v>104</v>
      </c>
      <c r="W198" s="0" t="s">
        <v>183</v>
      </c>
    </row>
    <row r="199" customFormat="false" ht="15" hidden="false" customHeight="false" outlineLevel="0" collapsed="false">
      <c r="A199" s="0" t="s">
        <v>21</v>
      </c>
      <c r="B199" s="0" t="s">
        <v>1135</v>
      </c>
      <c r="C199" s="0" t="s">
        <v>661</v>
      </c>
      <c r="D199" s="0" t="s">
        <v>1136</v>
      </c>
      <c r="M199" s="0" t="s">
        <v>1137</v>
      </c>
      <c r="N199" s="0" t="s">
        <v>124</v>
      </c>
      <c r="P199" s="0" t="s">
        <v>102</v>
      </c>
      <c r="Q199" s="0" t="s">
        <v>102</v>
      </c>
      <c r="R199" s="0" t="s">
        <v>224</v>
      </c>
      <c r="S199" s="0" t="s">
        <v>21</v>
      </c>
      <c r="T199" s="0" t="s">
        <v>104</v>
      </c>
      <c r="V199" s="0" t="s">
        <v>225</v>
      </c>
      <c r="W199" s="0" t="s">
        <v>105</v>
      </c>
    </row>
    <row r="200" customFormat="false" ht="15" hidden="false" customHeight="false" outlineLevel="0" collapsed="false">
      <c r="A200" s="0" t="s">
        <v>21</v>
      </c>
      <c r="B200" s="0" t="s">
        <v>1135</v>
      </c>
      <c r="C200" s="0" t="s">
        <v>661</v>
      </c>
      <c r="D200" s="0" t="s">
        <v>1136</v>
      </c>
      <c r="M200" s="0" t="s">
        <v>1137</v>
      </c>
      <c r="N200" s="0" t="s">
        <v>124</v>
      </c>
      <c r="P200" s="0" t="s">
        <v>130</v>
      </c>
      <c r="Q200" s="0" t="s">
        <v>130</v>
      </c>
      <c r="R200" s="0" t="s">
        <v>226</v>
      </c>
      <c r="S200" s="0" t="s">
        <v>21</v>
      </c>
      <c r="T200" s="0" t="s">
        <v>104</v>
      </c>
      <c r="U200" s="0" t="s">
        <v>227</v>
      </c>
      <c r="W200" s="0" t="s">
        <v>105</v>
      </c>
    </row>
    <row r="201" customFormat="false" ht="15" hidden="false" customHeight="false" outlineLevel="0" collapsed="false">
      <c r="A201" s="0" t="s">
        <v>21</v>
      </c>
      <c r="B201" s="0" t="s">
        <v>1138</v>
      </c>
      <c r="C201" s="0" t="s">
        <v>110</v>
      </c>
      <c r="D201" s="0" t="s">
        <v>1139</v>
      </c>
      <c r="E201" s="0" t="s">
        <v>1140</v>
      </c>
      <c r="G201" s="0" t="s">
        <v>1141</v>
      </c>
      <c r="H201" s="0" t="s">
        <v>1142</v>
      </c>
      <c r="I201" s="0" t="s">
        <v>1143</v>
      </c>
      <c r="J201" s="0" t="s">
        <v>157</v>
      </c>
      <c r="K201" s="0" t="s">
        <v>1144</v>
      </c>
      <c r="M201" s="0" t="s">
        <v>232</v>
      </c>
      <c r="N201" s="0" t="s">
        <v>124</v>
      </c>
      <c r="P201" s="0" t="s">
        <v>236</v>
      </c>
      <c r="Q201" s="0" t="s">
        <v>236</v>
      </c>
      <c r="R201" s="0" t="s">
        <v>957</v>
      </c>
      <c r="S201" s="0" t="s">
        <v>21</v>
      </c>
      <c r="T201" s="0" t="s">
        <v>104</v>
      </c>
      <c r="V201" s="0" t="s">
        <v>820</v>
      </c>
      <c r="W201" s="0" t="s">
        <v>105</v>
      </c>
      <c r="X201" s="0" t="s">
        <v>1145</v>
      </c>
      <c r="Y201" s="0" t="s">
        <v>1146</v>
      </c>
      <c r="Z201" s="0" t="s">
        <v>1147</v>
      </c>
    </row>
    <row r="202" customFormat="false" ht="15" hidden="false" customHeight="false" outlineLevel="0" collapsed="false">
      <c r="A202" s="0" t="s">
        <v>21</v>
      </c>
      <c r="B202" s="0" t="s">
        <v>1148</v>
      </c>
      <c r="C202" s="0" t="s">
        <v>190</v>
      </c>
      <c r="D202" s="0" t="s">
        <v>1149</v>
      </c>
      <c r="G202" s="0" t="s">
        <v>1141</v>
      </c>
      <c r="H202" s="0" t="s">
        <v>1150</v>
      </c>
      <c r="I202" s="0" t="s">
        <v>1151</v>
      </c>
      <c r="J202" s="0" t="s">
        <v>157</v>
      </c>
      <c r="M202" s="0" t="s">
        <v>232</v>
      </c>
      <c r="N202" s="0" t="s">
        <v>124</v>
      </c>
      <c r="P202" s="0" t="s">
        <v>236</v>
      </c>
      <c r="Q202" s="0" t="s">
        <v>236</v>
      </c>
      <c r="R202" s="0" t="s">
        <v>957</v>
      </c>
      <c r="S202" s="0" t="s">
        <v>21</v>
      </c>
      <c r="T202" s="0" t="s">
        <v>104</v>
      </c>
      <c r="V202" s="0" t="s">
        <v>539</v>
      </c>
      <c r="W202" s="0" t="s">
        <v>105</v>
      </c>
      <c r="Z202" s="0" t="s">
        <v>159</v>
      </c>
    </row>
    <row r="203" customFormat="false" ht="15" hidden="false" customHeight="false" outlineLevel="0" collapsed="false">
      <c r="A203" s="0" t="s">
        <v>21</v>
      </c>
      <c r="B203" s="0" t="s">
        <v>1152</v>
      </c>
      <c r="C203" s="0" t="s">
        <v>110</v>
      </c>
      <c r="D203" s="0" t="s">
        <v>1149</v>
      </c>
      <c r="E203" s="0" t="s">
        <v>1153</v>
      </c>
      <c r="G203" s="0" t="s">
        <v>1141</v>
      </c>
      <c r="H203" s="0" t="s">
        <v>1154</v>
      </c>
      <c r="I203" s="0" t="s">
        <v>1155</v>
      </c>
      <c r="J203" s="0" t="s">
        <v>275</v>
      </c>
      <c r="K203" s="0" t="s">
        <v>1156</v>
      </c>
      <c r="M203" s="0" t="s">
        <v>178</v>
      </c>
      <c r="N203" s="0" t="s">
        <v>124</v>
      </c>
      <c r="P203" s="0" t="s">
        <v>236</v>
      </c>
      <c r="Q203" s="0" t="s">
        <v>236</v>
      </c>
      <c r="R203" s="0" t="s">
        <v>957</v>
      </c>
      <c r="S203" s="0" t="s">
        <v>21</v>
      </c>
      <c r="T203" s="0" t="s">
        <v>104</v>
      </c>
      <c r="V203" s="0" t="s">
        <v>820</v>
      </c>
      <c r="W203" s="0" t="s">
        <v>105</v>
      </c>
      <c r="X203" s="0" t="s">
        <v>1157</v>
      </c>
      <c r="Y203" s="0" t="s">
        <v>1158</v>
      </c>
      <c r="Z203" s="0" t="s">
        <v>1147</v>
      </c>
    </row>
    <row r="204" customFormat="false" ht="15" hidden="false" customHeight="false" outlineLevel="0" collapsed="false">
      <c r="A204" s="0" t="s">
        <v>21</v>
      </c>
      <c r="B204" s="0" t="s">
        <v>1159</v>
      </c>
      <c r="C204" s="0" t="s">
        <v>190</v>
      </c>
      <c r="D204" s="0" t="s">
        <v>1149</v>
      </c>
      <c r="G204" s="0" t="s">
        <v>1160</v>
      </c>
      <c r="H204" s="0" t="s">
        <v>1161</v>
      </c>
      <c r="I204" s="0" t="s">
        <v>1162</v>
      </c>
      <c r="J204" s="0" t="s">
        <v>1163</v>
      </c>
      <c r="K204" s="0" t="s">
        <v>1164</v>
      </c>
      <c r="L204" s="0" t="s">
        <v>124</v>
      </c>
      <c r="M204" s="0" t="s">
        <v>232</v>
      </c>
      <c r="N204" s="0" t="s">
        <v>124</v>
      </c>
      <c r="P204" s="0" t="s">
        <v>236</v>
      </c>
      <c r="Q204" s="0" t="s">
        <v>236</v>
      </c>
      <c r="R204" s="0" t="s">
        <v>957</v>
      </c>
      <c r="S204" s="0" t="s">
        <v>21</v>
      </c>
      <c r="T204" s="0" t="s">
        <v>104</v>
      </c>
      <c r="V204" s="0" t="s">
        <v>539</v>
      </c>
      <c r="W204" s="0" t="s">
        <v>105</v>
      </c>
      <c r="Z204" s="0" t="s">
        <v>159</v>
      </c>
    </row>
    <row r="205" customFormat="false" ht="15" hidden="false" customHeight="false" outlineLevel="0" collapsed="false">
      <c r="A205" s="0" t="s">
        <v>21</v>
      </c>
      <c r="B205" s="0" t="s">
        <v>1165</v>
      </c>
      <c r="C205" s="0" t="s">
        <v>97</v>
      </c>
      <c r="D205" s="0" t="s">
        <v>683</v>
      </c>
      <c r="E205" s="0" t="s">
        <v>1166</v>
      </c>
      <c r="G205" s="0" t="s">
        <v>1167</v>
      </c>
      <c r="H205" s="0" t="s">
        <v>1168</v>
      </c>
      <c r="I205" s="0" t="s">
        <v>100</v>
      </c>
      <c r="J205" s="0" t="s">
        <v>100</v>
      </c>
      <c r="K205" s="0" t="s">
        <v>1169</v>
      </c>
      <c r="L205" s="0" t="s">
        <v>101</v>
      </c>
      <c r="M205" s="0" t="s">
        <v>656</v>
      </c>
      <c r="N205" s="0" t="s">
        <v>101</v>
      </c>
      <c r="P205" s="0" t="s">
        <v>102</v>
      </c>
      <c r="Q205" s="0" t="s">
        <v>102</v>
      </c>
      <c r="R205" s="0" t="s">
        <v>113</v>
      </c>
      <c r="S205" s="0" t="s">
        <v>21</v>
      </c>
      <c r="T205" s="0" t="s">
        <v>104</v>
      </c>
      <c r="W205" s="0" t="s">
        <v>105</v>
      </c>
      <c r="X205" s="0" t="s">
        <v>1170</v>
      </c>
      <c r="Y205" s="0" t="s">
        <v>1171</v>
      </c>
      <c r="Z205" s="0" t="s">
        <v>1172</v>
      </c>
      <c r="AA205" s="0" t="s">
        <v>172</v>
      </c>
    </row>
    <row r="206" customFormat="false" ht="15" hidden="false" customHeight="false" outlineLevel="0" collapsed="false">
      <c r="A206" s="0" t="s">
        <v>21</v>
      </c>
      <c r="B206" s="0" t="s">
        <v>1173</v>
      </c>
      <c r="C206" s="0" t="s">
        <v>97</v>
      </c>
      <c r="D206" s="0" t="s">
        <v>1174</v>
      </c>
      <c r="E206" s="0" t="s">
        <v>1175</v>
      </c>
      <c r="G206" s="0" t="s">
        <v>1176</v>
      </c>
      <c r="H206" s="0" t="s">
        <v>1177</v>
      </c>
      <c r="I206" s="0" t="s">
        <v>1178</v>
      </c>
      <c r="J206" s="0" t="s">
        <v>167</v>
      </c>
      <c r="K206" s="0" t="s">
        <v>1179</v>
      </c>
      <c r="L206" s="0" t="s">
        <v>101</v>
      </c>
      <c r="M206" s="0" t="s">
        <v>1178</v>
      </c>
      <c r="N206" s="0" t="s">
        <v>101</v>
      </c>
      <c r="P206" s="0" t="s">
        <v>102</v>
      </c>
      <c r="Q206" s="0" t="s">
        <v>102</v>
      </c>
      <c r="R206" s="0" t="s">
        <v>113</v>
      </c>
      <c r="S206" s="0" t="s">
        <v>21</v>
      </c>
      <c r="T206" s="0" t="s">
        <v>104</v>
      </c>
      <c r="U206" s="0" t="s">
        <v>368</v>
      </c>
      <c r="W206" s="0" t="s">
        <v>105</v>
      </c>
      <c r="X206" s="0" t="s">
        <v>1180</v>
      </c>
      <c r="Y206" s="0" t="s">
        <v>1181</v>
      </c>
      <c r="Z206" s="0" t="s">
        <v>159</v>
      </c>
      <c r="AA206" s="0" t="s">
        <v>172</v>
      </c>
    </row>
    <row r="207" customFormat="false" ht="15" hidden="false" customHeight="false" outlineLevel="0" collapsed="false">
      <c r="A207" s="0" t="s">
        <v>21</v>
      </c>
      <c r="B207" s="0" t="s">
        <v>1182</v>
      </c>
      <c r="C207" s="0" t="s">
        <v>97</v>
      </c>
      <c r="D207" s="0" t="s">
        <v>1183</v>
      </c>
      <c r="E207" s="0" t="s">
        <v>1184</v>
      </c>
      <c r="G207" s="0" t="s">
        <v>1176</v>
      </c>
      <c r="H207" s="0" t="s">
        <v>1185</v>
      </c>
      <c r="I207" s="0" t="s">
        <v>1186</v>
      </c>
      <c r="J207" s="0" t="s">
        <v>1187</v>
      </c>
      <c r="K207" s="0" t="s">
        <v>1188</v>
      </c>
      <c r="L207" s="0" t="s">
        <v>101</v>
      </c>
      <c r="M207" s="0" t="s">
        <v>1186</v>
      </c>
      <c r="N207" s="0" t="s">
        <v>101</v>
      </c>
      <c r="P207" s="0" t="s">
        <v>102</v>
      </c>
      <c r="Q207" s="0" t="s">
        <v>102</v>
      </c>
      <c r="R207" s="0" t="s">
        <v>113</v>
      </c>
      <c r="S207" s="0" t="s">
        <v>21</v>
      </c>
      <c r="T207" s="0" t="s">
        <v>104</v>
      </c>
      <c r="U207" s="0" t="s">
        <v>368</v>
      </c>
      <c r="W207" s="0" t="s">
        <v>105</v>
      </c>
      <c r="X207" s="0" t="s">
        <v>1189</v>
      </c>
      <c r="Y207" s="0" t="s">
        <v>1190</v>
      </c>
      <c r="Z207" s="0" t="s">
        <v>159</v>
      </c>
      <c r="AA207" s="0" t="s">
        <v>172</v>
      </c>
    </row>
    <row r="208" customFormat="false" ht="15" hidden="false" customHeight="false" outlineLevel="0" collapsed="false">
      <c r="A208" s="0" t="s">
        <v>21</v>
      </c>
      <c r="B208" s="0" t="s">
        <v>1191</v>
      </c>
      <c r="C208" s="0" t="s">
        <v>97</v>
      </c>
      <c r="D208" s="0" t="s">
        <v>1192</v>
      </c>
      <c r="E208" s="0" t="s">
        <v>1193</v>
      </c>
      <c r="G208" s="0" t="s">
        <v>1176</v>
      </c>
      <c r="H208" s="0" t="s">
        <v>1194</v>
      </c>
      <c r="I208" s="0" t="s">
        <v>437</v>
      </c>
      <c r="J208" s="0" t="s">
        <v>511</v>
      </c>
      <c r="K208" s="0" t="s">
        <v>322</v>
      </c>
      <c r="L208" s="0" t="s">
        <v>101</v>
      </c>
      <c r="M208" s="0" t="s">
        <v>437</v>
      </c>
      <c r="N208" s="0" t="s">
        <v>101</v>
      </c>
      <c r="P208" s="0" t="s">
        <v>102</v>
      </c>
      <c r="Q208" s="0" t="s">
        <v>102</v>
      </c>
      <c r="R208" s="0" t="s">
        <v>113</v>
      </c>
      <c r="S208" s="0" t="s">
        <v>21</v>
      </c>
      <c r="T208" s="0" t="s">
        <v>104</v>
      </c>
      <c r="U208" s="0" t="s">
        <v>368</v>
      </c>
      <c r="W208" s="0" t="s">
        <v>105</v>
      </c>
      <c r="X208" s="0" t="s">
        <v>1195</v>
      </c>
      <c r="Y208" s="0" t="s">
        <v>1196</v>
      </c>
      <c r="Z208" s="0" t="s">
        <v>159</v>
      </c>
      <c r="AA208" s="0" t="s">
        <v>172</v>
      </c>
    </row>
    <row r="209" customFormat="false" ht="15" hidden="false" customHeight="false" outlineLevel="0" collapsed="false">
      <c r="A209" s="0" t="s">
        <v>21</v>
      </c>
      <c r="B209" s="0" t="s">
        <v>1197</v>
      </c>
      <c r="C209" s="0" t="s">
        <v>97</v>
      </c>
      <c r="D209" s="0" t="s">
        <v>1198</v>
      </c>
      <c r="E209" s="0" t="s">
        <v>1199</v>
      </c>
      <c r="G209" s="0" t="s">
        <v>1176</v>
      </c>
      <c r="H209" s="0" t="s">
        <v>1200</v>
      </c>
      <c r="I209" s="0" t="s">
        <v>1201</v>
      </c>
      <c r="J209" s="0" t="s">
        <v>167</v>
      </c>
      <c r="K209" s="0" t="s">
        <v>1202</v>
      </c>
      <c r="L209" s="0" t="s">
        <v>101</v>
      </c>
      <c r="M209" s="0" t="s">
        <v>1203</v>
      </c>
      <c r="N209" s="0" t="s">
        <v>101</v>
      </c>
      <c r="P209" s="0" t="s">
        <v>102</v>
      </c>
      <c r="Q209" s="0" t="s">
        <v>102</v>
      </c>
      <c r="R209" s="0" t="s">
        <v>113</v>
      </c>
      <c r="S209" s="0" t="s">
        <v>21</v>
      </c>
      <c r="T209" s="0" t="s">
        <v>104</v>
      </c>
      <c r="U209" s="0" t="s">
        <v>368</v>
      </c>
      <c r="W209" s="0" t="s">
        <v>105</v>
      </c>
      <c r="X209" s="0" t="s">
        <v>1204</v>
      </c>
      <c r="Y209" s="0" t="s">
        <v>1205</v>
      </c>
      <c r="Z209" s="0" t="s">
        <v>159</v>
      </c>
      <c r="AA209" s="0" t="s">
        <v>172</v>
      </c>
    </row>
    <row r="210" customFormat="false" ht="15" hidden="false" customHeight="false" outlineLevel="0" collapsed="false">
      <c r="A210" s="0" t="s">
        <v>21</v>
      </c>
      <c r="B210" s="0" t="s">
        <v>1206</v>
      </c>
      <c r="C210" s="0" t="s">
        <v>97</v>
      </c>
      <c r="D210" s="0" t="s">
        <v>1207</v>
      </c>
      <c r="E210" s="0" t="s">
        <v>1207</v>
      </c>
      <c r="G210" s="0" t="s">
        <v>1176</v>
      </c>
      <c r="H210" s="0" t="s">
        <v>1208</v>
      </c>
      <c r="I210" s="0" t="s">
        <v>1209</v>
      </c>
      <c r="J210" s="0" t="s">
        <v>511</v>
      </c>
      <c r="K210" s="0" t="s">
        <v>1210</v>
      </c>
      <c r="L210" s="0" t="s">
        <v>101</v>
      </c>
      <c r="M210" s="0" t="s">
        <v>437</v>
      </c>
      <c r="N210" s="0" t="s">
        <v>101</v>
      </c>
      <c r="P210" s="0" t="s">
        <v>102</v>
      </c>
      <c r="Q210" s="0" t="s">
        <v>102</v>
      </c>
      <c r="R210" s="0" t="s">
        <v>113</v>
      </c>
      <c r="S210" s="0" t="s">
        <v>21</v>
      </c>
      <c r="T210" s="0" t="s">
        <v>104</v>
      </c>
      <c r="U210" s="0" t="s">
        <v>368</v>
      </c>
      <c r="W210" s="0" t="s">
        <v>105</v>
      </c>
      <c r="X210" s="0" t="s">
        <v>1211</v>
      </c>
      <c r="Y210" s="0" t="s">
        <v>1212</v>
      </c>
      <c r="Z210" s="0" t="s">
        <v>159</v>
      </c>
      <c r="AA210" s="0" t="s">
        <v>172</v>
      </c>
    </row>
    <row r="211" customFormat="false" ht="15" hidden="false" customHeight="false" outlineLevel="0" collapsed="false">
      <c r="A211" s="0" t="s">
        <v>21</v>
      </c>
      <c r="B211" s="0" t="s">
        <v>1213</v>
      </c>
      <c r="C211" s="0" t="s">
        <v>110</v>
      </c>
      <c r="D211" s="0" t="s">
        <v>1214</v>
      </c>
      <c r="E211" s="0" t="s">
        <v>1215</v>
      </c>
      <c r="M211" s="0" t="s">
        <v>367</v>
      </c>
      <c r="N211" s="0" t="s">
        <v>101</v>
      </c>
      <c r="P211" s="0" t="s">
        <v>102</v>
      </c>
      <c r="Q211" s="0" t="s">
        <v>102</v>
      </c>
      <c r="R211" s="0" t="s">
        <v>113</v>
      </c>
      <c r="S211" s="0" t="s">
        <v>21</v>
      </c>
      <c r="T211" s="0" t="s">
        <v>104</v>
      </c>
      <c r="U211" s="0" t="s">
        <v>368</v>
      </c>
      <c r="W211" s="0" t="s">
        <v>105</v>
      </c>
    </row>
    <row r="212" customFormat="false" ht="15" hidden="false" customHeight="false" outlineLevel="0" collapsed="false">
      <c r="A212" s="0" t="s">
        <v>21</v>
      </c>
      <c r="B212" s="0" t="s">
        <v>1216</v>
      </c>
      <c r="C212" s="0" t="s">
        <v>97</v>
      </c>
      <c r="D212" s="0" t="s">
        <v>1217</v>
      </c>
      <c r="E212" s="0" t="s">
        <v>1218</v>
      </c>
      <c r="G212" s="0" t="s">
        <v>1176</v>
      </c>
      <c r="H212" s="0" t="s">
        <v>1219</v>
      </c>
      <c r="I212" s="0" t="s">
        <v>412</v>
      </c>
      <c r="J212" s="0" t="s">
        <v>167</v>
      </c>
      <c r="K212" s="0" t="s">
        <v>1220</v>
      </c>
      <c r="L212" s="0" t="s">
        <v>101</v>
      </c>
      <c r="M212" s="0" t="s">
        <v>1221</v>
      </c>
      <c r="N212" s="0" t="s">
        <v>101</v>
      </c>
      <c r="P212" s="0" t="s">
        <v>102</v>
      </c>
      <c r="Q212" s="0" t="s">
        <v>102</v>
      </c>
      <c r="R212" s="0" t="s">
        <v>113</v>
      </c>
      <c r="S212" s="0" t="s">
        <v>21</v>
      </c>
      <c r="T212" s="0" t="s">
        <v>104</v>
      </c>
      <c r="U212" s="0" t="s">
        <v>368</v>
      </c>
      <c r="W212" s="0" t="s">
        <v>105</v>
      </c>
      <c r="X212" s="0" t="s">
        <v>1222</v>
      </c>
      <c r="Y212" s="0" t="s">
        <v>1223</v>
      </c>
      <c r="Z212" s="0" t="s">
        <v>159</v>
      </c>
      <c r="AA212" s="0" t="s">
        <v>172</v>
      </c>
    </row>
    <row r="213" customFormat="false" ht="15" hidden="false" customHeight="false" outlineLevel="0" collapsed="false">
      <c r="A213" s="0" t="s">
        <v>21</v>
      </c>
      <c r="B213" s="0" t="s">
        <v>1224</v>
      </c>
      <c r="C213" s="0" t="s">
        <v>97</v>
      </c>
      <c r="D213" s="0" t="s">
        <v>1225</v>
      </c>
      <c r="E213" s="0" t="s">
        <v>1226</v>
      </c>
      <c r="G213" s="0" t="s">
        <v>1176</v>
      </c>
      <c r="H213" s="0" t="s">
        <v>1227</v>
      </c>
      <c r="I213" s="0" t="s">
        <v>1228</v>
      </c>
      <c r="J213" s="0" t="s">
        <v>1229</v>
      </c>
      <c r="K213" s="0" t="s">
        <v>1230</v>
      </c>
      <c r="L213" s="0" t="s">
        <v>101</v>
      </c>
      <c r="M213" s="0" t="s">
        <v>1231</v>
      </c>
      <c r="N213" s="0" t="s">
        <v>101</v>
      </c>
      <c r="P213" s="0" t="s">
        <v>102</v>
      </c>
      <c r="Q213" s="0" t="s">
        <v>102</v>
      </c>
      <c r="R213" s="0" t="s">
        <v>113</v>
      </c>
      <c r="S213" s="0" t="s">
        <v>21</v>
      </c>
      <c r="T213" s="0" t="s">
        <v>104</v>
      </c>
      <c r="U213" s="0" t="s">
        <v>368</v>
      </c>
      <c r="W213" s="0" t="s">
        <v>105</v>
      </c>
      <c r="X213" s="0" t="s">
        <v>1232</v>
      </c>
      <c r="Y213" s="0" t="s">
        <v>1233</v>
      </c>
      <c r="Z213" s="0" t="s">
        <v>159</v>
      </c>
      <c r="AA213" s="0" t="s">
        <v>172</v>
      </c>
    </row>
    <row r="214" customFormat="false" ht="15" hidden="false" customHeight="false" outlineLevel="0" collapsed="false">
      <c r="A214" s="0" t="s">
        <v>21</v>
      </c>
      <c r="B214" s="0" t="s">
        <v>1234</v>
      </c>
      <c r="C214" s="0" t="s">
        <v>97</v>
      </c>
      <c r="D214" s="0" t="s">
        <v>1235</v>
      </c>
      <c r="E214" s="0" t="s">
        <v>1236</v>
      </c>
      <c r="G214" s="0" t="s">
        <v>1176</v>
      </c>
      <c r="H214" s="0" t="s">
        <v>1237</v>
      </c>
      <c r="I214" s="0" t="s">
        <v>1238</v>
      </c>
      <c r="J214" s="0" t="s">
        <v>511</v>
      </c>
      <c r="K214" s="0" t="s">
        <v>404</v>
      </c>
      <c r="L214" s="0" t="s">
        <v>101</v>
      </c>
      <c r="M214" s="0" t="s">
        <v>1238</v>
      </c>
      <c r="N214" s="0" t="s">
        <v>101</v>
      </c>
      <c r="P214" s="0" t="s">
        <v>204</v>
      </c>
      <c r="Q214" s="0" t="s">
        <v>204</v>
      </c>
      <c r="R214" s="0" t="s">
        <v>399</v>
      </c>
      <c r="S214" s="0" t="s">
        <v>21</v>
      </c>
      <c r="T214" s="0" t="s">
        <v>104</v>
      </c>
      <c r="W214" s="0" t="s">
        <v>105</v>
      </c>
      <c r="X214" s="0" t="s">
        <v>1239</v>
      </c>
      <c r="Y214" s="0" t="s">
        <v>1240</v>
      </c>
      <c r="Z214" s="0" t="s">
        <v>159</v>
      </c>
      <c r="AA214" s="0" t="s">
        <v>172</v>
      </c>
    </row>
    <row r="215" customFormat="false" ht="15" hidden="false" customHeight="false" outlineLevel="0" collapsed="false">
      <c r="A215" s="0" t="s">
        <v>21</v>
      </c>
      <c r="B215" s="0" t="s">
        <v>1241</v>
      </c>
      <c r="C215" s="0" t="s">
        <v>97</v>
      </c>
      <c r="D215" s="0" t="s">
        <v>1242</v>
      </c>
      <c r="E215" s="0" t="s">
        <v>1243</v>
      </c>
      <c r="G215" s="0" t="s">
        <v>1176</v>
      </c>
      <c r="H215" s="0" t="s">
        <v>1244</v>
      </c>
      <c r="I215" s="0" t="s">
        <v>1245</v>
      </c>
      <c r="J215" s="0" t="s">
        <v>1245</v>
      </c>
      <c r="K215" s="0" t="s">
        <v>1246</v>
      </c>
      <c r="L215" s="0" t="s">
        <v>101</v>
      </c>
      <c r="M215" s="0" t="s">
        <v>1245</v>
      </c>
      <c r="N215" s="0" t="s">
        <v>101</v>
      </c>
      <c r="P215" s="0" t="s">
        <v>102</v>
      </c>
      <c r="Q215" s="0" t="s">
        <v>102</v>
      </c>
      <c r="R215" s="0" t="s">
        <v>113</v>
      </c>
      <c r="S215" s="0" t="s">
        <v>21</v>
      </c>
      <c r="T215" s="0" t="s">
        <v>104</v>
      </c>
      <c r="U215" s="0" t="s">
        <v>368</v>
      </c>
      <c r="W215" s="0" t="s">
        <v>105</v>
      </c>
      <c r="X215" s="0" t="s">
        <v>1247</v>
      </c>
      <c r="Y215" s="0" t="s">
        <v>1248</v>
      </c>
      <c r="Z215" s="0" t="s">
        <v>159</v>
      </c>
      <c r="AA215" s="0" t="s">
        <v>172</v>
      </c>
    </row>
    <row r="216" customFormat="false" ht="15" hidden="false" customHeight="false" outlineLevel="0" collapsed="false">
      <c r="A216" s="0" t="s">
        <v>21</v>
      </c>
      <c r="B216" s="0" t="s">
        <v>1249</v>
      </c>
      <c r="C216" s="0" t="s">
        <v>97</v>
      </c>
      <c r="D216" s="0" t="s">
        <v>1250</v>
      </c>
      <c r="E216" s="0" t="s">
        <v>1251</v>
      </c>
      <c r="G216" s="0" t="s">
        <v>1176</v>
      </c>
      <c r="H216" s="0" t="s">
        <v>419</v>
      </c>
      <c r="I216" s="0" t="s">
        <v>420</v>
      </c>
      <c r="J216" s="0" t="s">
        <v>421</v>
      </c>
      <c r="K216" s="0" t="s">
        <v>1252</v>
      </c>
      <c r="L216" s="0" t="s">
        <v>101</v>
      </c>
      <c r="M216" s="0" t="s">
        <v>420</v>
      </c>
      <c r="N216" s="0" t="s">
        <v>101</v>
      </c>
      <c r="P216" s="0" t="s">
        <v>102</v>
      </c>
      <c r="Q216" s="0" t="s">
        <v>102</v>
      </c>
      <c r="R216" s="0" t="s">
        <v>113</v>
      </c>
      <c r="S216" s="0" t="s">
        <v>21</v>
      </c>
      <c r="T216" s="0" t="s">
        <v>104</v>
      </c>
      <c r="U216" s="0" t="s">
        <v>368</v>
      </c>
      <c r="W216" s="0" t="s">
        <v>105</v>
      </c>
      <c r="X216" s="0" t="s">
        <v>423</v>
      </c>
      <c r="Y216" s="0" t="s">
        <v>424</v>
      </c>
      <c r="Z216" s="0" t="s">
        <v>159</v>
      </c>
      <c r="AA216" s="0" t="s">
        <v>172</v>
      </c>
    </row>
    <row r="217" customFormat="false" ht="15" hidden="false" customHeight="false" outlineLevel="0" collapsed="false">
      <c r="A217" s="0" t="s">
        <v>21</v>
      </c>
      <c r="B217" s="0" t="s">
        <v>1253</v>
      </c>
      <c r="C217" s="0" t="s">
        <v>97</v>
      </c>
      <c r="D217" s="0" t="s">
        <v>1254</v>
      </c>
      <c r="E217" s="0" t="s">
        <v>1255</v>
      </c>
      <c r="G217" s="0" t="s">
        <v>1176</v>
      </c>
      <c r="H217" s="0" t="s">
        <v>1256</v>
      </c>
      <c r="I217" s="0" t="s">
        <v>1257</v>
      </c>
      <c r="J217" s="0" t="s">
        <v>1258</v>
      </c>
      <c r="K217" s="0" t="s">
        <v>1259</v>
      </c>
      <c r="L217" s="0" t="s">
        <v>101</v>
      </c>
      <c r="M217" s="0" t="s">
        <v>1257</v>
      </c>
      <c r="N217" s="0" t="s">
        <v>101</v>
      </c>
      <c r="P217" s="0" t="s">
        <v>102</v>
      </c>
      <c r="Q217" s="0" t="s">
        <v>102</v>
      </c>
      <c r="R217" s="0" t="s">
        <v>113</v>
      </c>
      <c r="S217" s="0" t="s">
        <v>21</v>
      </c>
      <c r="T217" s="0" t="s">
        <v>104</v>
      </c>
      <c r="U217" s="0" t="s">
        <v>368</v>
      </c>
      <c r="W217" s="0" t="s">
        <v>105</v>
      </c>
      <c r="X217" s="0" t="s">
        <v>1260</v>
      </c>
      <c r="Y217" s="0" t="s">
        <v>1261</v>
      </c>
      <c r="Z217" s="0" t="s">
        <v>159</v>
      </c>
      <c r="AA217" s="0" t="s">
        <v>172</v>
      </c>
    </row>
    <row r="218" customFormat="false" ht="15" hidden="false" customHeight="false" outlineLevel="0" collapsed="false">
      <c r="A218" s="0" t="s">
        <v>21</v>
      </c>
      <c r="B218" s="0" t="s">
        <v>1262</v>
      </c>
      <c r="C218" s="0" t="s">
        <v>97</v>
      </c>
      <c r="D218" s="0" t="s">
        <v>1263</v>
      </c>
      <c r="E218" s="0" t="s">
        <v>948</v>
      </c>
      <c r="G218" s="0" t="s">
        <v>1176</v>
      </c>
      <c r="H218" s="0" t="s">
        <v>1264</v>
      </c>
      <c r="I218" s="0" t="s">
        <v>1265</v>
      </c>
      <c r="J218" s="0" t="s">
        <v>448</v>
      </c>
      <c r="K218" s="0" t="s">
        <v>413</v>
      </c>
      <c r="L218" s="0" t="s">
        <v>101</v>
      </c>
      <c r="M218" s="0" t="s">
        <v>1265</v>
      </c>
      <c r="N218" s="0" t="s">
        <v>101</v>
      </c>
      <c r="P218" s="0" t="s">
        <v>102</v>
      </c>
      <c r="Q218" s="0" t="s">
        <v>102</v>
      </c>
      <c r="R218" s="0" t="s">
        <v>113</v>
      </c>
      <c r="S218" s="0" t="s">
        <v>21</v>
      </c>
      <c r="T218" s="0" t="s">
        <v>104</v>
      </c>
      <c r="U218" s="0" t="s">
        <v>368</v>
      </c>
      <c r="W218" s="0" t="s">
        <v>105</v>
      </c>
      <c r="X218" s="0" t="s">
        <v>1266</v>
      </c>
      <c r="Y218" s="0" t="s">
        <v>1267</v>
      </c>
      <c r="Z218" s="0" t="s">
        <v>159</v>
      </c>
      <c r="AA218" s="0" t="s">
        <v>172</v>
      </c>
    </row>
    <row r="219" customFormat="false" ht="15" hidden="false" customHeight="false" outlineLevel="0" collapsed="false">
      <c r="A219" s="0" t="s">
        <v>21</v>
      </c>
      <c r="B219" s="0" t="s">
        <v>1268</v>
      </c>
      <c r="C219" s="0" t="s">
        <v>97</v>
      </c>
      <c r="D219" s="0" t="s">
        <v>1269</v>
      </c>
      <c r="E219" s="0" t="s">
        <v>1270</v>
      </c>
      <c r="G219" s="0" t="s">
        <v>1176</v>
      </c>
      <c r="H219" s="0" t="s">
        <v>1271</v>
      </c>
      <c r="I219" s="0" t="s">
        <v>1272</v>
      </c>
      <c r="J219" s="0" t="s">
        <v>1273</v>
      </c>
      <c r="K219" s="0" t="s">
        <v>1274</v>
      </c>
      <c r="L219" s="0" t="s">
        <v>101</v>
      </c>
      <c r="M219" s="0" t="s">
        <v>1272</v>
      </c>
      <c r="N219" s="0" t="s">
        <v>101</v>
      </c>
      <c r="P219" s="0" t="s">
        <v>102</v>
      </c>
      <c r="Q219" s="0" t="s">
        <v>102</v>
      </c>
      <c r="R219" s="0" t="s">
        <v>113</v>
      </c>
      <c r="S219" s="0" t="s">
        <v>21</v>
      </c>
      <c r="T219" s="0" t="s">
        <v>104</v>
      </c>
      <c r="U219" s="0" t="s">
        <v>368</v>
      </c>
      <c r="W219" s="0" t="s">
        <v>105</v>
      </c>
      <c r="X219" s="0" t="s">
        <v>1275</v>
      </c>
      <c r="Y219" s="0" t="s">
        <v>1276</v>
      </c>
      <c r="Z219" s="0" t="s">
        <v>159</v>
      </c>
      <c r="AA219" s="0" t="s">
        <v>172</v>
      </c>
    </row>
    <row r="220" customFormat="false" ht="15" hidden="false" customHeight="false" outlineLevel="0" collapsed="false">
      <c r="A220" s="0" t="s">
        <v>21</v>
      </c>
      <c r="B220" s="0" t="s">
        <v>1277</v>
      </c>
      <c r="C220" s="0" t="s">
        <v>97</v>
      </c>
      <c r="D220" s="0" t="s">
        <v>1278</v>
      </c>
      <c r="E220" s="0" t="s">
        <v>1279</v>
      </c>
      <c r="G220" s="0" t="s">
        <v>1176</v>
      </c>
      <c r="H220" s="0" t="s">
        <v>1280</v>
      </c>
      <c r="I220" s="0" t="s">
        <v>429</v>
      </c>
      <c r="J220" s="0" t="s">
        <v>430</v>
      </c>
      <c r="K220" s="0" t="s">
        <v>431</v>
      </c>
      <c r="L220" s="0" t="s">
        <v>101</v>
      </c>
      <c r="M220" s="0" t="s">
        <v>429</v>
      </c>
      <c r="N220" s="0" t="s">
        <v>101</v>
      </c>
      <c r="P220" s="0" t="s">
        <v>102</v>
      </c>
      <c r="Q220" s="0" t="s">
        <v>102</v>
      </c>
      <c r="R220" s="0" t="s">
        <v>113</v>
      </c>
      <c r="S220" s="0" t="s">
        <v>21</v>
      </c>
      <c r="T220" s="0" t="s">
        <v>104</v>
      </c>
      <c r="U220" s="0" t="s">
        <v>368</v>
      </c>
      <c r="W220" s="0" t="s">
        <v>105</v>
      </c>
      <c r="X220" s="0" t="s">
        <v>1281</v>
      </c>
      <c r="Y220" s="0" t="s">
        <v>1282</v>
      </c>
      <c r="Z220" s="0" t="s">
        <v>159</v>
      </c>
      <c r="AA220" s="0" t="s">
        <v>172</v>
      </c>
    </row>
    <row r="221" customFormat="false" ht="15" hidden="false" customHeight="false" outlineLevel="0" collapsed="false">
      <c r="A221" s="0" t="s">
        <v>21</v>
      </c>
      <c r="B221" s="0" t="s">
        <v>1283</v>
      </c>
      <c r="C221" s="0" t="s">
        <v>97</v>
      </c>
      <c r="D221" s="0" t="s">
        <v>1284</v>
      </c>
      <c r="E221" s="0" t="s">
        <v>1285</v>
      </c>
      <c r="G221" s="0" t="s">
        <v>1176</v>
      </c>
      <c r="H221" s="0" t="s">
        <v>1286</v>
      </c>
      <c r="I221" s="0" t="s">
        <v>1287</v>
      </c>
      <c r="J221" s="0" t="s">
        <v>511</v>
      </c>
      <c r="K221" s="0" t="s">
        <v>1288</v>
      </c>
      <c r="L221" s="0" t="s">
        <v>101</v>
      </c>
      <c r="M221" s="0" t="s">
        <v>1287</v>
      </c>
      <c r="N221" s="0" t="s">
        <v>101</v>
      </c>
      <c r="P221" s="0" t="s">
        <v>102</v>
      </c>
      <c r="Q221" s="0" t="s">
        <v>102</v>
      </c>
      <c r="R221" s="0" t="s">
        <v>113</v>
      </c>
      <c r="S221" s="0" t="s">
        <v>21</v>
      </c>
      <c r="T221" s="0" t="s">
        <v>104</v>
      </c>
      <c r="U221" s="0" t="s">
        <v>368</v>
      </c>
      <c r="W221" s="0" t="s">
        <v>105</v>
      </c>
      <c r="X221" s="0" t="s">
        <v>1289</v>
      </c>
      <c r="Y221" s="0" t="s">
        <v>1290</v>
      </c>
      <c r="Z221" s="0" t="s">
        <v>159</v>
      </c>
      <c r="AA221" s="0" t="s">
        <v>172</v>
      </c>
    </row>
    <row r="222" customFormat="false" ht="15" hidden="false" customHeight="false" outlineLevel="0" collapsed="false">
      <c r="A222" s="0" t="s">
        <v>21</v>
      </c>
      <c r="B222" s="0" t="s">
        <v>1291</v>
      </c>
      <c r="C222" s="0" t="s">
        <v>97</v>
      </c>
      <c r="D222" s="0" t="s">
        <v>1292</v>
      </c>
      <c r="E222" s="0" t="s">
        <v>1293</v>
      </c>
      <c r="G222" s="0" t="s">
        <v>1176</v>
      </c>
      <c r="H222" s="0" t="s">
        <v>455</v>
      </c>
      <c r="I222" s="0" t="s">
        <v>456</v>
      </c>
      <c r="J222" s="0" t="s">
        <v>456</v>
      </c>
      <c r="K222" s="0" t="s">
        <v>1294</v>
      </c>
      <c r="L222" s="0" t="s">
        <v>101</v>
      </c>
      <c r="M222" s="0" t="s">
        <v>456</v>
      </c>
      <c r="N222" s="0" t="s">
        <v>101</v>
      </c>
      <c r="P222" s="0" t="s">
        <v>102</v>
      </c>
      <c r="Q222" s="0" t="s">
        <v>102</v>
      </c>
      <c r="R222" s="0" t="s">
        <v>113</v>
      </c>
      <c r="S222" s="0" t="s">
        <v>21</v>
      </c>
      <c r="T222" s="0" t="s">
        <v>104</v>
      </c>
      <c r="U222" s="0" t="s">
        <v>368</v>
      </c>
      <c r="W222" s="0" t="s">
        <v>105</v>
      </c>
      <c r="X222" s="0" t="s">
        <v>458</v>
      </c>
      <c r="Y222" s="0" t="s">
        <v>459</v>
      </c>
      <c r="Z222" s="0" t="s">
        <v>159</v>
      </c>
      <c r="AA222" s="0" t="s">
        <v>172</v>
      </c>
    </row>
    <row r="223" customFormat="false" ht="15" hidden="false" customHeight="false" outlineLevel="0" collapsed="false">
      <c r="A223" s="0" t="s">
        <v>21</v>
      </c>
      <c r="B223" s="0" t="s">
        <v>1295</v>
      </c>
      <c r="C223" s="0" t="s">
        <v>97</v>
      </c>
      <c r="D223" s="0" t="s">
        <v>1296</v>
      </c>
      <c r="E223" s="0" t="s">
        <v>1297</v>
      </c>
      <c r="G223" s="0" t="s">
        <v>1176</v>
      </c>
      <c r="H223" s="0" t="s">
        <v>1298</v>
      </c>
      <c r="I223" s="0" t="s">
        <v>1299</v>
      </c>
      <c r="J223" s="0" t="s">
        <v>511</v>
      </c>
      <c r="K223" s="0" t="s">
        <v>1300</v>
      </c>
      <c r="L223" s="0" t="s">
        <v>101</v>
      </c>
      <c r="M223" s="0" t="s">
        <v>612</v>
      </c>
      <c r="N223" s="0" t="s">
        <v>101</v>
      </c>
      <c r="P223" s="0" t="s">
        <v>102</v>
      </c>
      <c r="Q223" s="0" t="s">
        <v>102</v>
      </c>
      <c r="R223" s="0" t="s">
        <v>113</v>
      </c>
      <c r="S223" s="0" t="s">
        <v>21</v>
      </c>
      <c r="T223" s="0" t="s">
        <v>104</v>
      </c>
      <c r="U223" s="0" t="s">
        <v>368</v>
      </c>
      <c r="W223" s="0" t="s">
        <v>105</v>
      </c>
      <c r="X223" s="0" t="s">
        <v>1301</v>
      </c>
      <c r="Y223" s="0" t="s">
        <v>1302</v>
      </c>
      <c r="Z223" s="0" t="s">
        <v>159</v>
      </c>
      <c r="AA223" s="0" t="s">
        <v>172</v>
      </c>
    </row>
    <row r="224" customFormat="false" ht="15" hidden="false" customHeight="false" outlineLevel="0" collapsed="false">
      <c r="A224" s="0" t="s">
        <v>21</v>
      </c>
      <c r="B224" s="0" t="s">
        <v>1303</v>
      </c>
      <c r="C224" s="0" t="s">
        <v>97</v>
      </c>
      <c r="D224" s="0" t="s">
        <v>1304</v>
      </c>
      <c r="E224" s="0" t="s">
        <v>1305</v>
      </c>
      <c r="G224" s="0" t="s">
        <v>1176</v>
      </c>
      <c r="H224" s="0" t="s">
        <v>1306</v>
      </c>
      <c r="I224" s="0" t="s">
        <v>1307</v>
      </c>
      <c r="J224" s="0" t="s">
        <v>456</v>
      </c>
      <c r="K224" s="0" t="s">
        <v>1308</v>
      </c>
      <c r="L224" s="0" t="s">
        <v>101</v>
      </c>
      <c r="M224" s="0" t="s">
        <v>1307</v>
      </c>
      <c r="N224" s="0" t="s">
        <v>101</v>
      </c>
      <c r="P224" s="0" t="s">
        <v>102</v>
      </c>
      <c r="Q224" s="0" t="s">
        <v>102</v>
      </c>
      <c r="R224" s="0" t="s">
        <v>113</v>
      </c>
      <c r="S224" s="0" t="s">
        <v>21</v>
      </c>
      <c r="T224" s="0" t="s">
        <v>104</v>
      </c>
      <c r="U224" s="0" t="s">
        <v>368</v>
      </c>
      <c r="W224" s="0" t="s">
        <v>105</v>
      </c>
      <c r="X224" s="0" t="s">
        <v>1309</v>
      </c>
      <c r="Y224" s="0" t="s">
        <v>1310</v>
      </c>
      <c r="Z224" s="0" t="s">
        <v>159</v>
      </c>
      <c r="AA224" s="0" t="s">
        <v>172</v>
      </c>
    </row>
    <row r="225" customFormat="false" ht="15" hidden="false" customHeight="false" outlineLevel="0" collapsed="false">
      <c r="A225" s="0" t="s">
        <v>21</v>
      </c>
      <c r="B225" s="0" t="s">
        <v>1311</v>
      </c>
      <c r="C225" s="0" t="s">
        <v>97</v>
      </c>
      <c r="D225" s="0" t="s">
        <v>1312</v>
      </c>
      <c r="E225" s="0" t="s">
        <v>1313</v>
      </c>
      <c r="G225" s="0" t="s">
        <v>1176</v>
      </c>
      <c r="H225" s="0" t="s">
        <v>1314</v>
      </c>
      <c r="I225" s="0" t="s">
        <v>1315</v>
      </c>
      <c r="J225" s="0" t="s">
        <v>1273</v>
      </c>
      <c r="K225" s="0" t="s">
        <v>1316</v>
      </c>
      <c r="L225" s="0" t="s">
        <v>101</v>
      </c>
      <c r="M225" s="0" t="s">
        <v>1317</v>
      </c>
      <c r="N225" s="0" t="s">
        <v>101</v>
      </c>
      <c r="P225" s="0" t="s">
        <v>102</v>
      </c>
      <c r="Q225" s="0" t="s">
        <v>102</v>
      </c>
      <c r="R225" s="0" t="s">
        <v>113</v>
      </c>
      <c r="S225" s="0" t="s">
        <v>21</v>
      </c>
      <c r="T225" s="0" t="s">
        <v>104</v>
      </c>
      <c r="U225" s="0" t="s">
        <v>368</v>
      </c>
      <c r="W225" s="0" t="s">
        <v>105</v>
      </c>
      <c r="X225" s="0" t="s">
        <v>1318</v>
      </c>
      <c r="Y225" s="0" t="s">
        <v>1319</v>
      </c>
      <c r="Z225" s="0" t="s">
        <v>159</v>
      </c>
      <c r="AA225" s="0" t="s">
        <v>172</v>
      </c>
    </row>
    <row r="226" customFormat="false" ht="15" hidden="false" customHeight="false" outlineLevel="0" collapsed="false">
      <c r="A226" s="0" t="s">
        <v>21</v>
      </c>
      <c r="B226" s="0" t="s">
        <v>1320</v>
      </c>
      <c r="C226" s="0" t="s">
        <v>97</v>
      </c>
      <c r="D226" s="0" t="s">
        <v>1321</v>
      </c>
      <c r="E226" s="0" t="s">
        <v>1322</v>
      </c>
      <c r="G226" s="0" t="s">
        <v>1176</v>
      </c>
      <c r="H226" s="0" t="s">
        <v>1323</v>
      </c>
      <c r="I226" s="0" t="s">
        <v>1324</v>
      </c>
      <c r="J226" s="0" t="s">
        <v>511</v>
      </c>
      <c r="K226" s="0" t="s">
        <v>422</v>
      </c>
      <c r="L226" s="0" t="s">
        <v>101</v>
      </c>
      <c r="M226" s="0" t="s">
        <v>1324</v>
      </c>
      <c r="N226" s="0" t="s">
        <v>101</v>
      </c>
      <c r="P226" s="0" t="s">
        <v>102</v>
      </c>
      <c r="Q226" s="0" t="s">
        <v>102</v>
      </c>
      <c r="R226" s="0" t="s">
        <v>113</v>
      </c>
      <c r="S226" s="0" t="s">
        <v>21</v>
      </c>
      <c r="T226" s="0" t="s">
        <v>104</v>
      </c>
      <c r="U226" s="0" t="s">
        <v>368</v>
      </c>
      <c r="W226" s="0" t="s">
        <v>105</v>
      </c>
      <c r="X226" s="0" t="s">
        <v>1325</v>
      </c>
      <c r="Y226" s="0" t="s">
        <v>1326</v>
      </c>
      <c r="Z226" s="0" t="s">
        <v>159</v>
      </c>
      <c r="AA226" s="0" t="s">
        <v>172</v>
      </c>
    </row>
    <row r="227" customFormat="false" ht="15" hidden="false" customHeight="false" outlineLevel="0" collapsed="false">
      <c r="A227" s="0" t="s">
        <v>21</v>
      </c>
      <c r="B227" s="0" t="s">
        <v>1327</v>
      </c>
      <c r="C227" s="0" t="s">
        <v>97</v>
      </c>
      <c r="D227" s="0" t="s">
        <v>1328</v>
      </c>
      <c r="E227" s="0" t="s">
        <v>1329</v>
      </c>
      <c r="G227" s="0" t="s">
        <v>1176</v>
      </c>
      <c r="H227" s="0" t="s">
        <v>1330</v>
      </c>
      <c r="I227" s="0" t="s">
        <v>1331</v>
      </c>
      <c r="J227" s="0" t="s">
        <v>1332</v>
      </c>
      <c r="K227" s="0" t="s">
        <v>1333</v>
      </c>
      <c r="L227" s="0" t="s">
        <v>101</v>
      </c>
      <c r="M227" s="0" t="s">
        <v>1334</v>
      </c>
      <c r="N227" s="0" t="s">
        <v>101</v>
      </c>
      <c r="P227" s="0" t="s">
        <v>102</v>
      </c>
      <c r="Q227" s="0" t="s">
        <v>102</v>
      </c>
      <c r="R227" s="0" t="s">
        <v>113</v>
      </c>
      <c r="S227" s="0" t="s">
        <v>21</v>
      </c>
      <c r="T227" s="0" t="s">
        <v>104</v>
      </c>
      <c r="U227" s="0" t="s">
        <v>368</v>
      </c>
      <c r="W227" s="0" t="s">
        <v>105</v>
      </c>
      <c r="X227" s="0" t="s">
        <v>1335</v>
      </c>
      <c r="Y227" s="0" t="s">
        <v>1336</v>
      </c>
      <c r="Z227" s="0" t="s">
        <v>159</v>
      </c>
      <c r="AA227" s="0" t="s">
        <v>172</v>
      </c>
    </row>
    <row r="228" customFormat="false" ht="15" hidden="false" customHeight="false" outlineLevel="0" collapsed="false">
      <c r="A228" s="0" t="s">
        <v>21</v>
      </c>
      <c r="B228" s="0" t="s">
        <v>1337</v>
      </c>
      <c r="C228" s="0" t="s">
        <v>97</v>
      </c>
      <c r="D228" s="0" t="s">
        <v>1338</v>
      </c>
      <c r="E228" s="0" t="s">
        <v>1339</v>
      </c>
      <c r="G228" s="0" t="s">
        <v>1176</v>
      </c>
      <c r="H228" s="0" t="s">
        <v>446</v>
      </c>
      <c r="I228" s="0" t="s">
        <v>447</v>
      </c>
      <c r="J228" s="0" t="s">
        <v>448</v>
      </c>
      <c r="K228" s="0" t="s">
        <v>1340</v>
      </c>
      <c r="L228" s="0" t="s">
        <v>101</v>
      </c>
      <c r="M228" s="0" t="s">
        <v>447</v>
      </c>
      <c r="N228" s="0" t="s">
        <v>101</v>
      </c>
      <c r="P228" s="0" t="s">
        <v>102</v>
      </c>
      <c r="Q228" s="0" t="s">
        <v>102</v>
      </c>
      <c r="R228" s="0" t="s">
        <v>113</v>
      </c>
      <c r="S228" s="0" t="s">
        <v>21</v>
      </c>
      <c r="T228" s="0" t="s">
        <v>104</v>
      </c>
      <c r="U228" s="0" t="s">
        <v>368</v>
      </c>
      <c r="W228" s="0" t="s">
        <v>105</v>
      </c>
      <c r="X228" s="0" t="s">
        <v>450</v>
      </c>
      <c r="Y228" s="0" t="s">
        <v>451</v>
      </c>
      <c r="Z228" s="0" t="s">
        <v>159</v>
      </c>
      <c r="AA228" s="0" t="s">
        <v>172</v>
      </c>
    </row>
    <row r="229" customFormat="false" ht="15" hidden="false" customHeight="false" outlineLevel="0" collapsed="false">
      <c r="A229" s="0" t="s">
        <v>21</v>
      </c>
      <c r="B229" s="0" t="s">
        <v>1341</v>
      </c>
      <c r="C229" s="0" t="s">
        <v>110</v>
      </c>
      <c r="D229" s="0" t="s">
        <v>1342</v>
      </c>
      <c r="E229" s="0" t="s">
        <v>1343</v>
      </c>
      <c r="G229" s="0" t="s">
        <v>1344</v>
      </c>
      <c r="M229" s="0" t="s">
        <v>166</v>
      </c>
      <c r="N229" s="0" t="s">
        <v>101</v>
      </c>
      <c r="P229" s="0" t="s">
        <v>102</v>
      </c>
      <c r="Q229" s="0" t="s">
        <v>102</v>
      </c>
      <c r="R229" s="0" t="s">
        <v>113</v>
      </c>
      <c r="S229" s="0" t="s">
        <v>21</v>
      </c>
      <c r="T229" s="0" t="s">
        <v>104</v>
      </c>
      <c r="U229" s="0" t="s">
        <v>368</v>
      </c>
      <c r="W229" s="0" t="s">
        <v>105</v>
      </c>
    </row>
    <row r="230" customFormat="false" ht="15" hidden="false" customHeight="false" outlineLevel="0" collapsed="false">
      <c r="A230" s="0" t="s">
        <v>21</v>
      </c>
      <c r="B230" s="0" t="s">
        <v>1345</v>
      </c>
      <c r="C230" s="0" t="s">
        <v>97</v>
      </c>
      <c r="D230" s="0" t="s">
        <v>1214</v>
      </c>
      <c r="E230" s="0" t="s">
        <v>1346</v>
      </c>
      <c r="G230" s="0" t="s">
        <v>1176</v>
      </c>
      <c r="H230" s="0" t="s">
        <v>1347</v>
      </c>
      <c r="I230" s="0" t="s">
        <v>1348</v>
      </c>
      <c r="J230" s="0" t="s">
        <v>511</v>
      </c>
      <c r="K230" s="0" t="s">
        <v>1349</v>
      </c>
      <c r="L230" s="0" t="s">
        <v>101</v>
      </c>
      <c r="M230" s="0" t="s">
        <v>1348</v>
      </c>
      <c r="N230" s="0" t="s">
        <v>101</v>
      </c>
      <c r="P230" s="0" t="s">
        <v>102</v>
      </c>
      <c r="Q230" s="0" t="s">
        <v>102</v>
      </c>
      <c r="R230" s="0" t="s">
        <v>113</v>
      </c>
      <c r="S230" s="0" t="s">
        <v>21</v>
      </c>
      <c r="T230" s="0" t="s">
        <v>104</v>
      </c>
      <c r="U230" s="0" t="s">
        <v>368</v>
      </c>
      <c r="W230" s="0" t="s">
        <v>105</v>
      </c>
      <c r="X230" s="0" t="s">
        <v>1350</v>
      </c>
      <c r="Y230" s="0" t="s">
        <v>1351</v>
      </c>
      <c r="Z230" s="0" t="s">
        <v>159</v>
      </c>
      <c r="AA230" s="0" t="s">
        <v>172</v>
      </c>
    </row>
    <row r="231" customFormat="false" ht="15" hidden="false" customHeight="false" outlineLevel="0" collapsed="false">
      <c r="A231" s="0" t="s">
        <v>21</v>
      </c>
      <c r="B231" s="0" t="s">
        <v>1352</v>
      </c>
      <c r="C231" s="0" t="s">
        <v>97</v>
      </c>
      <c r="D231" s="0" t="s">
        <v>1353</v>
      </c>
      <c r="E231" s="0" t="s">
        <v>1354</v>
      </c>
      <c r="G231" s="0" t="s">
        <v>1176</v>
      </c>
      <c r="H231" s="0" t="s">
        <v>1355</v>
      </c>
      <c r="I231" s="0" t="s">
        <v>1356</v>
      </c>
      <c r="J231" s="0" t="s">
        <v>421</v>
      </c>
      <c r="K231" s="0" t="s">
        <v>1357</v>
      </c>
      <c r="L231" s="0" t="s">
        <v>101</v>
      </c>
      <c r="M231" s="0" t="s">
        <v>1356</v>
      </c>
      <c r="N231" s="0" t="s">
        <v>101</v>
      </c>
      <c r="P231" s="0" t="s">
        <v>102</v>
      </c>
      <c r="Q231" s="0" t="s">
        <v>102</v>
      </c>
      <c r="R231" s="0" t="s">
        <v>113</v>
      </c>
      <c r="S231" s="0" t="s">
        <v>21</v>
      </c>
      <c r="T231" s="0" t="s">
        <v>104</v>
      </c>
      <c r="U231" s="0" t="s">
        <v>368</v>
      </c>
      <c r="W231" s="0" t="s">
        <v>105</v>
      </c>
      <c r="X231" s="0" t="s">
        <v>1358</v>
      </c>
      <c r="Y231" s="0" t="s">
        <v>1359</v>
      </c>
      <c r="Z231" s="0" t="s">
        <v>159</v>
      </c>
      <c r="AA231" s="0" t="s">
        <v>172</v>
      </c>
    </row>
    <row r="232" customFormat="false" ht="15" hidden="false" customHeight="false" outlineLevel="0" collapsed="false">
      <c r="A232" s="0" t="s">
        <v>21</v>
      </c>
      <c r="B232" s="0" t="s">
        <v>1360</v>
      </c>
      <c r="C232" s="0" t="s">
        <v>97</v>
      </c>
      <c r="D232" s="0" t="s">
        <v>1361</v>
      </c>
      <c r="E232" s="0" t="s">
        <v>1362</v>
      </c>
      <c r="G232" s="0" t="s">
        <v>1176</v>
      </c>
      <c r="H232" s="0" t="s">
        <v>1363</v>
      </c>
      <c r="I232" s="0" t="s">
        <v>1364</v>
      </c>
      <c r="J232" s="0" t="s">
        <v>167</v>
      </c>
      <c r="K232" s="0" t="s">
        <v>1246</v>
      </c>
      <c r="L232" s="0" t="s">
        <v>101</v>
      </c>
      <c r="M232" s="0" t="s">
        <v>1365</v>
      </c>
      <c r="N232" s="0" t="s">
        <v>101</v>
      </c>
      <c r="P232" s="0" t="s">
        <v>102</v>
      </c>
      <c r="Q232" s="0" t="s">
        <v>102</v>
      </c>
      <c r="R232" s="0" t="s">
        <v>113</v>
      </c>
      <c r="S232" s="0" t="s">
        <v>21</v>
      </c>
      <c r="T232" s="0" t="s">
        <v>104</v>
      </c>
      <c r="U232" s="0" t="s">
        <v>368</v>
      </c>
      <c r="W232" s="0" t="s">
        <v>105</v>
      </c>
      <c r="X232" s="0" t="s">
        <v>1366</v>
      </c>
      <c r="Y232" s="0" t="s">
        <v>1367</v>
      </c>
      <c r="Z232" s="0" t="s">
        <v>159</v>
      </c>
      <c r="AA232" s="0" t="s">
        <v>172</v>
      </c>
    </row>
    <row r="233" customFormat="false" ht="15" hidden="false" customHeight="false" outlineLevel="0" collapsed="false">
      <c r="A233" s="0" t="s">
        <v>21</v>
      </c>
      <c r="B233" s="0" t="s">
        <v>1368</v>
      </c>
      <c r="C233" s="0" t="s">
        <v>97</v>
      </c>
      <c r="D233" s="0" t="s">
        <v>1369</v>
      </c>
      <c r="E233" s="0" t="s">
        <v>1370</v>
      </c>
      <c r="G233" s="0" t="s">
        <v>1176</v>
      </c>
      <c r="H233" s="0" t="s">
        <v>1371</v>
      </c>
      <c r="I233" s="0" t="s">
        <v>1372</v>
      </c>
      <c r="J233" s="0" t="s">
        <v>1273</v>
      </c>
      <c r="K233" s="0" t="s">
        <v>1373</v>
      </c>
      <c r="L233" s="0" t="s">
        <v>101</v>
      </c>
      <c r="M233" s="0" t="s">
        <v>1372</v>
      </c>
      <c r="N233" s="0" t="s">
        <v>101</v>
      </c>
      <c r="P233" s="0" t="s">
        <v>102</v>
      </c>
      <c r="Q233" s="0" t="s">
        <v>102</v>
      </c>
      <c r="R233" s="0" t="s">
        <v>113</v>
      </c>
      <c r="S233" s="0" t="s">
        <v>21</v>
      </c>
      <c r="T233" s="0" t="s">
        <v>104</v>
      </c>
      <c r="U233" s="0" t="s">
        <v>368</v>
      </c>
      <c r="W233" s="0" t="s">
        <v>105</v>
      </c>
      <c r="X233" s="0" t="s">
        <v>1374</v>
      </c>
      <c r="Y233" s="0" t="s">
        <v>1375</v>
      </c>
      <c r="Z233" s="0" t="s">
        <v>159</v>
      </c>
      <c r="AA233" s="0" t="s">
        <v>172</v>
      </c>
    </row>
    <row r="234" customFormat="false" ht="15" hidden="false" customHeight="false" outlineLevel="0" collapsed="false">
      <c r="A234" s="0" t="s">
        <v>21</v>
      </c>
      <c r="B234" s="0" t="s">
        <v>1376</v>
      </c>
      <c r="C234" s="0" t="s">
        <v>97</v>
      </c>
      <c r="D234" s="0" t="s">
        <v>1377</v>
      </c>
      <c r="E234" s="0" t="s">
        <v>1378</v>
      </c>
      <c r="G234" s="0" t="s">
        <v>1176</v>
      </c>
      <c r="H234" s="0" t="s">
        <v>403</v>
      </c>
      <c r="I234" s="0" t="s">
        <v>100</v>
      </c>
      <c r="J234" s="0" t="s">
        <v>100</v>
      </c>
      <c r="K234" s="0" t="s">
        <v>1379</v>
      </c>
      <c r="L234" s="0" t="s">
        <v>101</v>
      </c>
      <c r="M234" s="0" t="s">
        <v>405</v>
      </c>
      <c r="N234" s="0" t="s">
        <v>101</v>
      </c>
      <c r="P234" s="0" t="s">
        <v>102</v>
      </c>
      <c r="Q234" s="0" t="s">
        <v>102</v>
      </c>
      <c r="R234" s="0" t="s">
        <v>113</v>
      </c>
      <c r="S234" s="0" t="s">
        <v>21</v>
      </c>
      <c r="T234" s="0" t="s">
        <v>104</v>
      </c>
      <c r="U234" s="0" t="s">
        <v>368</v>
      </c>
      <c r="W234" s="0" t="s">
        <v>105</v>
      </c>
      <c r="X234" s="0" t="s">
        <v>406</v>
      </c>
      <c r="Y234" s="0" t="s">
        <v>407</v>
      </c>
      <c r="Z234" s="0" t="s">
        <v>159</v>
      </c>
      <c r="AA234" s="0" t="s">
        <v>172</v>
      </c>
    </row>
    <row r="235" customFormat="false" ht="15" hidden="false" customHeight="false" outlineLevel="0" collapsed="false">
      <c r="A235" s="0" t="s">
        <v>21</v>
      </c>
      <c r="B235" s="0" t="s">
        <v>1380</v>
      </c>
      <c r="C235" s="0" t="s">
        <v>97</v>
      </c>
      <c r="D235" s="0" t="s">
        <v>1381</v>
      </c>
      <c r="E235" s="0" t="s">
        <v>1382</v>
      </c>
      <c r="G235" s="0" t="s">
        <v>1176</v>
      </c>
      <c r="H235" s="0" t="s">
        <v>1383</v>
      </c>
      <c r="I235" s="0" t="s">
        <v>1384</v>
      </c>
      <c r="J235" s="0" t="s">
        <v>1187</v>
      </c>
      <c r="K235" s="0" t="s">
        <v>1385</v>
      </c>
      <c r="L235" s="0" t="s">
        <v>101</v>
      </c>
      <c r="M235" s="0" t="s">
        <v>1384</v>
      </c>
      <c r="N235" s="0" t="s">
        <v>101</v>
      </c>
      <c r="P235" s="0" t="s">
        <v>102</v>
      </c>
      <c r="Q235" s="0" t="s">
        <v>102</v>
      </c>
      <c r="R235" s="0" t="s">
        <v>113</v>
      </c>
      <c r="S235" s="0" t="s">
        <v>21</v>
      </c>
      <c r="T235" s="0" t="s">
        <v>104</v>
      </c>
      <c r="U235" s="0" t="s">
        <v>368</v>
      </c>
      <c r="W235" s="0" t="s">
        <v>105</v>
      </c>
      <c r="X235" s="0" t="s">
        <v>1386</v>
      </c>
      <c r="Y235" s="0" t="s">
        <v>1387</v>
      </c>
      <c r="Z235" s="0" t="s">
        <v>159</v>
      </c>
      <c r="AA235" s="0" t="s">
        <v>172</v>
      </c>
    </row>
    <row r="236" customFormat="false" ht="15" hidden="false" customHeight="false" outlineLevel="0" collapsed="false">
      <c r="A236" s="0" t="s">
        <v>21</v>
      </c>
      <c r="B236" s="0" t="s">
        <v>1388</v>
      </c>
      <c r="C236" s="0" t="s">
        <v>97</v>
      </c>
      <c r="D236" s="0" t="s">
        <v>1389</v>
      </c>
      <c r="E236" s="0" t="s">
        <v>1390</v>
      </c>
      <c r="G236" s="0" t="s">
        <v>1176</v>
      </c>
      <c r="H236" s="0" t="s">
        <v>1391</v>
      </c>
      <c r="I236" s="0" t="s">
        <v>1392</v>
      </c>
      <c r="J236" s="0" t="s">
        <v>167</v>
      </c>
      <c r="K236" s="0" t="s">
        <v>1393</v>
      </c>
      <c r="L236" s="0" t="s">
        <v>101</v>
      </c>
      <c r="M236" s="0" t="s">
        <v>1392</v>
      </c>
      <c r="N236" s="0" t="s">
        <v>101</v>
      </c>
      <c r="P236" s="0" t="s">
        <v>102</v>
      </c>
      <c r="Q236" s="0" t="s">
        <v>102</v>
      </c>
      <c r="R236" s="0" t="s">
        <v>113</v>
      </c>
      <c r="S236" s="0" t="s">
        <v>21</v>
      </c>
      <c r="T236" s="0" t="s">
        <v>104</v>
      </c>
      <c r="U236" s="0" t="s">
        <v>368</v>
      </c>
      <c r="W236" s="0" t="s">
        <v>105</v>
      </c>
      <c r="X236" s="0" t="s">
        <v>1394</v>
      </c>
      <c r="Y236" s="0" t="s">
        <v>1395</v>
      </c>
      <c r="Z236" s="0" t="s">
        <v>159</v>
      </c>
      <c r="AA236" s="0" t="s">
        <v>172</v>
      </c>
    </row>
    <row r="237" customFormat="false" ht="15" hidden="false" customHeight="false" outlineLevel="0" collapsed="false">
      <c r="A237" s="0" t="s">
        <v>21</v>
      </c>
      <c r="B237" s="0" t="s">
        <v>1396</v>
      </c>
      <c r="C237" s="0" t="s">
        <v>97</v>
      </c>
      <c r="D237" s="0" t="s">
        <v>1397</v>
      </c>
      <c r="E237" s="0" t="s">
        <v>1398</v>
      </c>
      <c r="G237" s="0" t="s">
        <v>1176</v>
      </c>
      <c r="H237" s="0" t="s">
        <v>1399</v>
      </c>
      <c r="I237" s="0" t="s">
        <v>1400</v>
      </c>
      <c r="J237" s="0" t="s">
        <v>1273</v>
      </c>
      <c r="K237" s="0" t="s">
        <v>1401</v>
      </c>
      <c r="L237" s="0" t="s">
        <v>101</v>
      </c>
      <c r="M237" s="0" t="s">
        <v>1402</v>
      </c>
      <c r="N237" s="0" t="s">
        <v>101</v>
      </c>
      <c r="P237" s="0" t="s">
        <v>102</v>
      </c>
      <c r="Q237" s="0" t="s">
        <v>102</v>
      </c>
      <c r="R237" s="0" t="s">
        <v>113</v>
      </c>
      <c r="S237" s="0" t="s">
        <v>21</v>
      </c>
      <c r="T237" s="0" t="s">
        <v>104</v>
      </c>
      <c r="U237" s="0" t="s">
        <v>368</v>
      </c>
      <c r="W237" s="0" t="s">
        <v>105</v>
      </c>
      <c r="X237" s="0" t="s">
        <v>1403</v>
      </c>
      <c r="Y237" s="0" t="s">
        <v>1404</v>
      </c>
      <c r="Z237" s="0" t="s">
        <v>159</v>
      </c>
      <c r="AA237" s="0" t="s">
        <v>172</v>
      </c>
    </row>
    <row r="238" customFormat="false" ht="15" hidden="false" customHeight="false" outlineLevel="0" collapsed="false">
      <c r="A238" s="0" t="s">
        <v>21</v>
      </c>
      <c r="B238" s="0" t="s">
        <v>1405</v>
      </c>
      <c r="C238" s="0" t="s">
        <v>97</v>
      </c>
      <c r="D238" s="0" t="s">
        <v>1406</v>
      </c>
      <c r="E238" s="0" t="s">
        <v>1407</v>
      </c>
      <c r="G238" s="0" t="s">
        <v>1176</v>
      </c>
      <c r="H238" s="0" t="s">
        <v>1408</v>
      </c>
      <c r="I238" s="0" t="s">
        <v>1409</v>
      </c>
      <c r="J238" s="0" t="s">
        <v>511</v>
      </c>
      <c r="K238" s="0" t="s">
        <v>1410</v>
      </c>
      <c r="L238" s="0" t="s">
        <v>101</v>
      </c>
      <c r="M238" s="0" t="s">
        <v>1411</v>
      </c>
      <c r="N238" s="0" t="s">
        <v>101</v>
      </c>
      <c r="P238" s="0" t="s">
        <v>204</v>
      </c>
      <c r="Q238" s="0" t="s">
        <v>204</v>
      </c>
      <c r="R238" s="0" t="s">
        <v>399</v>
      </c>
      <c r="S238" s="0" t="s">
        <v>21</v>
      </c>
      <c r="T238" s="0" t="s">
        <v>104</v>
      </c>
      <c r="W238" s="0" t="s">
        <v>105</v>
      </c>
      <c r="X238" s="0" t="s">
        <v>1412</v>
      </c>
      <c r="Y238" s="0" t="s">
        <v>1413</v>
      </c>
      <c r="Z238" s="0" t="s">
        <v>159</v>
      </c>
      <c r="AA238" s="0" t="s">
        <v>172</v>
      </c>
      <c r="AB238" s="0" t="s">
        <v>351</v>
      </c>
    </row>
    <row r="239" customFormat="false" ht="15" hidden="false" customHeight="false" outlineLevel="0" collapsed="false">
      <c r="A239" s="0" t="s">
        <v>21</v>
      </c>
      <c r="B239" s="0" t="s">
        <v>1414</v>
      </c>
      <c r="C239" s="0" t="s">
        <v>97</v>
      </c>
      <c r="D239" s="0" t="s">
        <v>1415</v>
      </c>
      <c r="E239" s="0" t="s">
        <v>1416</v>
      </c>
      <c r="G239" s="0" t="s">
        <v>1176</v>
      </c>
      <c r="H239" s="0" t="s">
        <v>1417</v>
      </c>
      <c r="I239" s="0" t="s">
        <v>1418</v>
      </c>
      <c r="J239" s="0" t="s">
        <v>448</v>
      </c>
      <c r="K239" s="0" t="s">
        <v>1419</v>
      </c>
      <c r="L239" s="0" t="s">
        <v>101</v>
      </c>
      <c r="M239" s="0" t="s">
        <v>1420</v>
      </c>
      <c r="N239" s="0" t="s">
        <v>101</v>
      </c>
      <c r="P239" s="0" t="s">
        <v>102</v>
      </c>
      <c r="Q239" s="0" t="s">
        <v>102</v>
      </c>
      <c r="R239" s="0" t="s">
        <v>113</v>
      </c>
      <c r="S239" s="0" t="s">
        <v>21</v>
      </c>
      <c r="T239" s="0" t="s">
        <v>104</v>
      </c>
      <c r="U239" s="0" t="s">
        <v>368</v>
      </c>
      <c r="W239" s="0" t="s">
        <v>105</v>
      </c>
      <c r="X239" s="0" t="s">
        <v>1421</v>
      </c>
      <c r="Y239" s="0" t="s">
        <v>1422</v>
      </c>
      <c r="Z239" s="0" t="s">
        <v>159</v>
      </c>
      <c r="AA239" s="0" t="s">
        <v>172</v>
      </c>
    </row>
    <row r="240" customFormat="false" ht="15" hidden="false" customHeight="false" outlineLevel="0" collapsed="false">
      <c r="A240" s="0" t="s">
        <v>21</v>
      </c>
      <c r="B240" s="0" t="s">
        <v>1423</v>
      </c>
      <c r="C240" s="0" t="s">
        <v>97</v>
      </c>
      <c r="D240" s="0" t="s">
        <v>1424</v>
      </c>
      <c r="E240" s="0" t="s">
        <v>1424</v>
      </c>
      <c r="F240" s="0" t="s">
        <v>1424</v>
      </c>
      <c r="G240" s="0" t="s">
        <v>1176</v>
      </c>
      <c r="H240" s="0" t="s">
        <v>1425</v>
      </c>
      <c r="I240" s="0" t="s">
        <v>1426</v>
      </c>
      <c r="J240" s="0" t="s">
        <v>1273</v>
      </c>
      <c r="K240" s="0" t="s">
        <v>1427</v>
      </c>
      <c r="L240" s="0" t="s">
        <v>101</v>
      </c>
      <c r="M240" s="0" t="s">
        <v>1372</v>
      </c>
      <c r="N240" s="0" t="s">
        <v>101</v>
      </c>
      <c r="P240" s="0" t="s">
        <v>102</v>
      </c>
      <c r="Q240" s="0" t="s">
        <v>102</v>
      </c>
      <c r="R240" s="0" t="s">
        <v>113</v>
      </c>
      <c r="S240" s="0" t="s">
        <v>21</v>
      </c>
      <c r="T240" s="0" t="s">
        <v>104</v>
      </c>
      <c r="U240" s="0" t="s">
        <v>368</v>
      </c>
      <c r="W240" s="0" t="s">
        <v>105</v>
      </c>
      <c r="X240" s="0" t="s">
        <v>1428</v>
      </c>
      <c r="Y240" s="0" t="s">
        <v>1429</v>
      </c>
      <c r="Z240" s="0" t="s">
        <v>159</v>
      </c>
      <c r="AA240" s="0" t="s">
        <v>172</v>
      </c>
    </row>
    <row r="241" customFormat="false" ht="15" hidden="false" customHeight="false" outlineLevel="0" collapsed="false">
      <c r="A241" s="0" t="s">
        <v>21</v>
      </c>
      <c r="B241" s="0" t="s">
        <v>1430</v>
      </c>
      <c r="C241" s="0" t="s">
        <v>97</v>
      </c>
      <c r="D241" s="0" t="s">
        <v>1431</v>
      </c>
      <c r="E241" s="0" t="s">
        <v>1432</v>
      </c>
      <c r="G241" s="0" t="s">
        <v>1176</v>
      </c>
      <c r="H241" s="0" t="s">
        <v>1433</v>
      </c>
      <c r="I241" s="0" t="s">
        <v>1434</v>
      </c>
      <c r="J241" s="0" t="s">
        <v>1273</v>
      </c>
      <c r="K241" s="0" t="s">
        <v>1427</v>
      </c>
      <c r="L241" s="0" t="s">
        <v>101</v>
      </c>
      <c r="M241" s="0" t="s">
        <v>1434</v>
      </c>
      <c r="N241" s="0" t="s">
        <v>101</v>
      </c>
      <c r="P241" s="0" t="s">
        <v>102</v>
      </c>
      <c r="Q241" s="0" t="s">
        <v>102</v>
      </c>
      <c r="R241" s="0" t="s">
        <v>113</v>
      </c>
      <c r="S241" s="0" t="s">
        <v>21</v>
      </c>
      <c r="T241" s="0" t="s">
        <v>104</v>
      </c>
      <c r="U241" s="0" t="s">
        <v>368</v>
      </c>
      <c r="W241" s="0" t="s">
        <v>105</v>
      </c>
      <c r="X241" s="0" t="s">
        <v>1435</v>
      </c>
      <c r="Y241" s="0" t="s">
        <v>1436</v>
      </c>
      <c r="Z241" s="0" t="s">
        <v>159</v>
      </c>
      <c r="AA241" s="0" t="s">
        <v>172</v>
      </c>
    </row>
    <row r="242" customFormat="false" ht="15" hidden="false" customHeight="false" outlineLevel="0" collapsed="false">
      <c r="A242" s="0" t="s">
        <v>21</v>
      </c>
      <c r="B242" s="0" t="s">
        <v>1437</v>
      </c>
      <c r="C242" s="0" t="s">
        <v>97</v>
      </c>
      <c r="D242" s="0" t="s">
        <v>1438</v>
      </c>
      <c r="E242" s="0" t="s">
        <v>1439</v>
      </c>
      <c r="G242" s="0" t="s">
        <v>1176</v>
      </c>
      <c r="H242" s="0" t="s">
        <v>1440</v>
      </c>
      <c r="I242" s="0" t="s">
        <v>1441</v>
      </c>
      <c r="J242" s="0" t="s">
        <v>421</v>
      </c>
      <c r="K242" s="0" t="s">
        <v>1442</v>
      </c>
      <c r="L242" s="0" t="s">
        <v>101</v>
      </c>
      <c r="M242" s="0" t="s">
        <v>1441</v>
      </c>
      <c r="N242" s="0" t="s">
        <v>101</v>
      </c>
      <c r="P242" s="0" t="s">
        <v>102</v>
      </c>
      <c r="Q242" s="0" t="s">
        <v>102</v>
      </c>
      <c r="R242" s="0" t="s">
        <v>113</v>
      </c>
      <c r="S242" s="0" t="s">
        <v>21</v>
      </c>
      <c r="T242" s="0" t="s">
        <v>104</v>
      </c>
      <c r="U242" s="0" t="s">
        <v>368</v>
      </c>
      <c r="W242" s="0" t="s">
        <v>105</v>
      </c>
      <c r="X242" s="0" t="s">
        <v>1443</v>
      </c>
      <c r="Y242" s="0" t="s">
        <v>1444</v>
      </c>
      <c r="Z242" s="0" t="s">
        <v>159</v>
      </c>
      <c r="AA242" s="0" t="s">
        <v>172</v>
      </c>
    </row>
    <row r="243" customFormat="false" ht="15" hidden="false" customHeight="false" outlineLevel="0" collapsed="false">
      <c r="A243" s="0" t="s">
        <v>21</v>
      </c>
      <c r="B243" s="0" t="s">
        <v>1445</v>
      </c>
      <c r="C243" s="0" t="s">
        <v>97</v>
      </c>
      <c r="D243" s="0" t="s">
        <v>1446</v>
      </c>
      <c r="E243" s="0" t="s">
        <v>1447</v>
      </c>
      <c r="G243" s="0" t="s">
        <v>1176</v>
      </c>
      <c r="H243" s="0" t="s">
        <v>1448</v>
      </c>
      <c r="I243" s="0" t="s">
        <v>1441</v>
      </c>
      <c r="J243" s="0" t="s">
        <v>421</v>
      </c>
      <c r="K243" s="0" t="s">
        <v>1449</v>
      </c>
      <c r="L243" s="0" t="s">
        <v>101</v>
      </c>
      <c r="M243" s="0" t="s">
        <v>1441</v>
      </c>
      <c r="N243" s="0" t="s">
        <v>101</v>
      </c>
      <c r="P243" s="0" t="s">
        <v>102</v>
      </c>
      <c r="Q243" s="0" t="s">
        <v>102</v>
      </c>
      <c r="R243" s="0" t="s">
        <v>113</v>
      </c>
      <c r="S243" s="0" t="s">
        <v>21</v>
      </c>
      <c r="T243" s="0" t="s">
        <v>104</v>
      </c>
      <c r="U243" s="0" t="s">
        <v>368</v>
      </c>
      <c r="W243" s="0" t="s">
        <v>105</v>
      </c>
      <c r="X243" s="0" t="s">
        <v>1450</v>
      </c>
      <c r="Y243" s="0" t="s">
        <v>1451</v>
      </c>
      <c r="Z243" s="0" t="s">
        <v>159</v>
      </c>
      <c r="AA243" s="0" t="s">
        <v>172</v>
      </c>
    </row>
    <row r="244" customFormat="false" ht="15" hidden="false" customHeight="false" outlineLevel="0" collapsed="false">
      <c r="A244" s="0" t="s">
        <v>21</v>
      </c>
      <c r="B244" s="0" t="s">
        <v>1452</v>
      </c>
      <c r="C244" s="0" t="s">
        <v>97</v>
      </c>
      <c r="D244" s="0" t="s">
        <v>1453</v>
      </c>
      <c r="E244" s="0" t="s">
        <v>1454</v>
      </c>
      <c r="G244" s="0" t="s">
        <v>1176</v>
      </c>
      <c r="H244" s="0" t="s">
        <v>1455</v>
      </c>
      <c r="I244" s="0" t="s">
        <v>398</v>
      </c>
      <c r="J244" s="0" t="s">
        <v>112</v>
      </c>
      <c r="K244" s="0" t="s">
        <v>1456</v>
      </c>
      <c r="L244" s="0" t="s">
        <v>101</v>
      </c>
      <c r="M244" s="0" t="s">
        <v>398</v>
      </c>
      <c r="N244" s="0" t="s">
        <v>101</v>
      </c>
      <c r="P244" s="0" t="s">
        <v>102</v>
      </c>
      <c r="Q244" s="0" t="s">
        <v>102</v>
      </c>
      <c r="R244" s="0" t="s">
        <v>113</v>
      </c>
      <c r="S244" s="0" t="s">
        <v>21</v>
      </c>
      <c r="T244" s="0" t="s">
        <v>104</v>
      </c>
      <c r="U244" s="0" t="s">
        <v>368</v>
      </c>
      <c r="W244" s="0" t="s">
        <v>105</v>
      </c>
      <c r="X244" s="0" t="s">
        <v>1457</v>
      </c>
      <c r="Y244" s="0" t="s">
        <v>1458</v>
      </c>
      <c r="Z244" s="0" t="s">
        <v>159</v>
      </c>
      <c r="AA244" s="0" t="s">
        <v>172</v>
      </c>
    </row>
    <row r="245" customFormat="false" ht="15" hidden="false" customHeight="false" outlineLevel="0" collapsed="false">
      <c r="A245" s="0" t="s">
        <v>21</v>
      </c>
      <c r="B245" s="0" t="s">
        <v>1459</v>
      </c>
      <c r="C245" s="0" t="s">
        <v>97</v>
      </c>
      <c r="D245" s="0" t="s">
        <v>1460</v>
      </c>
      <c r="E245" s="0" t="s">
        <v>1461</v>
      </c>
      <c r="G245" s="0" t="s">
        <v>1176</v>
      </c>
      <c r="H245" s="0" t="s">
        <v>1462</v>
      </c>
      <c r="I245" s="0" t="s">
        <v>1463</v>
      </c>
      <c r="J245" s="0" t="s">
        <v>430</v>
      </c>
      <c r="K245" s="0" t="s">
        <v>1464</v>
      </c>
      <c r="L245" s="0" t="s">
        <v>101</v>
      </c>
      <c r="M245" s="0" t="s">
        <v>1463</v>
      </c>
      <c r="N245" s="0" t="s">
        <v>101</v>
      </c>
      <c r="P245" s="0" t="s">
        <v>102</v>
      </c>
      <c r="Q245" s="0" t="s">
        <v>102</v>
      </c>
      <c r="R245" s="0" t="s">
        <v>113</v>
      </c>
      <c r="S245" s="0" t="s">
        <v>21</v>
      </c>
      <c r="T245" s="0" t="s">
        <v>104</v>
      </c>
      <c r="U245" s="0" t="s">
        <v>368</v>
      </c>
      <c r="W245" s="0" t="s">
        <v>105</v>
      </c>
      <c r="X245" s="0" t="s">
        <v>1465</v>
      </c>
      <c r="Y245" s="0" t="s">
        <v>1466</v>
      </c>
      <c r="Z245" s="0" t="s">
        <v>159</v>
      </c>
      <c r="AA245" s="0" t="s">
        <v>172</v>
      </c>
    </row>
    <row r="246" customFormat="false" ht="15" hidden="false" customHeight="false" outlineLevel="0" collapsed="false">
      <c r="A246" s="0" t="s">
        <v>21</v>
      </c>
      <c r="B246" s="0" t="s">
        <v>1467</v>
      </c>
      <c r="C246" s="0" t="s">
        <v>97</v>
      </c>
      <c r="D246" s="0" t="s">
        <v>1468</v>
      </c>
      <c r="E246" s="0" t="s">
        <v>1469</v>
      </c>
      <c r="G246" s="0" t="s">
        <v>1176</v>
      </c>
      <c r="H246" s="0" t="s">
        <v>1470</v>
      </c>
      <c r="I246" s="0" t="s">
        <v>1471</v>
      </c>
      <c r="J246" s="0" t="s">
        <v>421</v>
      </c>
      <c r="K246" s="0" t="s">
        <v>1472</v>
      </c>
      <c r="L246" s="0" t="s">
        <v>101</v>
      </c>
      <c r="M246" s="0" t="s">
        <v>1471</v>
      </c>
      <c r="N246" s="0" t="s">
        <v>101</v>
      </c>
      <c r="P246" s="0" t="s">
        <v>204</v>
      </c>
      <c r="Q246" s="0" t="s">
        <v>204</v>
      </c>
      <c r="R246" s="0" t="s">
        <v>399</v>
      </c>
      <c r="S246" s="0" t="s">
        <v>21</v>
      </c>
      <c r="T246" s="0" t="s">
        <v>104</v>
      </c>
      <c r="W246" s="0" t="s">
        <v>105</v>
      </c>
      <c r="X246" s="0" t="s">
        <v>1473</v>
      </c>
      <c r="Y246" s="0" t="s">
        <v>1474</v>
      </c>
      <c r="Z246" s="0" t="s">
        <v>159</v>
      </c>
      <c r="AA246" s="0" t="s">
        <v>172</v>
      </c>
    </row>
    <row r="247" customFormat="false" ht="15" hidden="false" customHeight="false" outlineLevel="0" collapsed="false">
      <c r="A247" s="0" t="s">
        <v>21</v>
      </c>
      <c r="B247" s="0" t="s">
        <v>1475</v>
      </c>
      <c r="C247" s="0" t="s">
        <v>97</v>
      </c>
      <c r="D247" s="0" t="s">
        <v>1476</v>
      </c>
      <c r="E247" s="0" t="s">
        <v>1477</v>
      </c>
      <c r="G247" s="0" t="s">
        <v>1176</v>
      </c>
      <c r="H247" s="0" t="s">
        <v>1478</v>
      </c>
      <c r="I247" s="0" t="s">
        <v>1479</v>
      </c>
      <c r="J247" s="0" t="s">
        <v>421</v>
      </c>
      <c r="K247" s="0" t="s">
        <v>1480</v>
      </c>
      <c r="L247" s="0" t="s">
        <v>101</v>
      </c>
      <c r="M247" s="0" t="s">
        <v>1479</v>
      </c>
      <c r="N247" s="0" t="s">
        <v>101</v>
      </c>
      <c r="P247" s="0" t="s">
        <v>204</v>
      </c>
      <c r="Q247" s="0" t="s">
        <v>204</v>
      </c>
      <c r="R247" s="0" t="s">
        <v>399</v>
      </c>
      <c r="S247" s="0" t="s">
        <v>21</v>
      </c>
      <c r="T247" s="0" t="s">
        <v>104</v>
      </c>
      <c r="W247" s="0" t="s">
        <v>105</v>
      </c>
      <c r="X247" s="0" t="s">
        <v>1481</v>
      </c>
      <c r="Y247" s="0" t="s">
        <v>1482</v>
      </c>
      <c r="Z247" s="0" t="s">
        <v>159</v>
      </c>
      <c r="AA247" s="0" t="s">
        <v>172</v>
      </c>
      <c r="AB247" s="0" t="s">
        <v>1483</v>
      </c>
    </row>
    <row r="248" customFormat="false" ht="15" hidden="false" customHeight="false" outlineLevel="0" collapsed="false">
      <c r="A248" s="0" t="s">
        <v>21</v>
      </c>
      <c r="B248" s="0" t="s">
        <v>1484</v>
      </c>
      <c r="C248" s="0" t="s">
        <v>97</v>
      </c>
      <c r="D248" s="0" t="s">
        <v>1485</v>
      </c>
      <c r="E248" s="0" t="s">
        <v>1486</v>
      </c>
      <c r="G248" s="0" t="s">
        <v>1176</v>
      </c>
      <c r="H248" s="0" t="s">
        <v>1487</v>
      </c>
      <c r="I248" s="0" t="s">
        <v>1299</v>
      </c>
      <c r="J248" s="0" t="s">
        <v>511</v>
      </c>
      <c r="K248" s="0" t="s">
        <v>1488</v>
      </c>
      <c r="L248" s="0" t="s">
        <v>101</v>
      </c>
      <c r="M248" s="0" t="s">
        <v>1299</v>
      </c>
      <c r="N248" s="0" t="s">
        <v>101</v>
      </c>
      <c r="P248" s="0" t="s">
        <v>102</v>
      </c>
      <c r="Q248" s="0" t="s">
        <v>102</v>
      </c>
      <c r="R248" s="0" t="s">
        <v>113</v>
      </c>
      <c r="S248" s="0" t="s">
        <v>21</v>
      </c>
      <c r="T248" s="0" t="s">
        <v>104</v>
      </c>
      <c r="U248" s="0" t="s">
        <v>368</v>
      </c>
      <c r="W248" s="0" t="s">
        <v>105</v>
      </c>
      <c r="X248" s="0" t="s">
        <v>1489</v>
      </c>
      <c r="Y248" s="0" t="s">
        <v>1490</v>
      </c>
      <c r="Z248" s="0" t="s">
        <v>159</v>
      </c>
      <c r="AA248" s="0" t="s">
        <v>172</v>
      </c>
    </row>
    <row r="249" customFormat="false" ht="15" hidden="false" customHeight="false" outlineLevel="0" collapsed="false">
      <c r="A249" s="0" t="s">
        <v>21</v>
      </c>
      <c r="B249" s="0" t="s">
        <v>1491</v>
      </c>
      <c r="C249" s="0" t="s">
        <v>97</v>
      </c>
      <c r="D249" s="0" t="s">
        <v>1492</v>
      </c>
      <c r="E249" s="0" t="s">
        <v>1493</v>
      </c>
      <c r="G249" s="0" t="s">
        <v>1176</v>
      </c>
      <c r="H249" s="0" t="s">
        <v>1494</v>
      </c>
      <c r="I249" s="0" t="s">
        <v>1495</v>
      </c>
      <c r="J249" s="0" t="s">
        <v>421</v>
      </c>
      <c r="K249" s="0" t="s">
        <v>1496</v>
      </c>
      <c r="L249" s="0" t="s">
        <v>101</v>
      </c>
      <c r="M249" s="0" t="s">
        <v>1495</v>
      </c>
      <c r="N249" s="0" t="s">
        <v>101</v>
      </c>
      <c r="P249" s="0" t="s">
        <v>102</v>
      </c>
      <c r="Q249" s="0" t="s">
        <v>102</v>
      </c>
      <c r="R249" s="0" t="s">
        <v>113</v>
      </c>
      <c r="S249" s="0" t="s">
        <v>21</v>
      </c>
      <c r="T249" s="0" t="s">
        <v>104</v>
      </c>
      <c r="U249" s="0" t="s">
        <v>368</v>
      </c>
      <c r="W249" s="0" t="s">
        <v>105</v>
      </c>
      <c r="X249" s="0" t="s">
        <v>1497</v>
      </c>
      <c r="Y249" s="0" t="s">
        <v>1498</v>
      </c>
      <c r="Z249" s="0" t="s">
        <v>159</v>
      </c>
      <c r="AA249" s="0" t="s">
        <v>172</v>
      </c>
    </row>
    <row r="250" customFormat="false" ht="15" hidden="false" customHeight="false" outlineLevel="0" collapsed="false">
      <c r="A250" s="0" t="s">
        <v>21</v>
      </c>
      <c r="B250" s="0" t="s">
        <v>1499</v>
      </c>
      <c r="C250" s="0" t="s">
        <v>97</v>
      </c>
      <c r="D250" s="0" t="s">
        <v>1500</v>
      </c>
      <c r="E250" s="0" t="s">
        <v>895</v>
      </c>
      <c r="G250" s="0" t="s">
        <v>1176</v>
      </c>
      <c r="H250" s="0" t="s">
        <v>1501</v>
      </c>
      <c r="I250" s="0" t="s">
        <v>1502</v>
      </c>
      <c r="J250" s="0" t="s">
        <v>511</v>
      </c>
      <c r="K250" s="0" t="s">
        <v>1503</v>
      </c>
      <c r="L250" s="0" t="s">
        <v>101</v>
      </c>
      <c r="M250" s="0" t="s">
        <v>1348</v>
      </c>
      <c r="N250" s="0" t="s">
        <v>101</v>
      </c>
      <c r="P250" s="0" t="s">
        <v>102</v>
      </c>
      <c r="Q250" s="0" t="s">
        <v>102</v>
      </c>
      <c r="R250" s="0" t="s">
        <v>113</v>
      </c>
      <c r="S250" s="0" t="s">
        <v>21</v>
      </c>
      <c r="T250" s="0" t="s">
        <v>104</v>
      </c>
      <c r="U250" s="0" t="s">
        <v>368</v>
      </c>
      <c r="W250" s="0" t="s">
        <v>105</v>
      </c>
      <c r="X250" s="0" t="s">
        <v>1504</v>
      </c>
      <c r="Y250" s="0" t="s">
        <v>1505</v>
      </c>
      <c r="Z250" s="0" t="s">
        <v>159</v>
      </c>
      <c r="AA250" s="0" t="s">
        <v>172</v>
      </c>
    </row>
    <row r="251" customFormat="false" ht="15" hidden="false" customHeight="false" outlineLevel="0" collapsed="false">
      <c r="A251" s="0" t="s">
        <v>21</v>
      </c>
      <c r="B251" s="0" t="s">
        <v>1506</v>
      </c>
      <c r="C251" s="0" t="s">
        <v>97</v>
      </c>
      <c r="D251" s="0" t="s">
        <v>1507</v>
      </c>
      <c r="E251" s="0" t="s">
        <v>1508</v>
      </c>
      <c r="G251" s="0" t="s">
        <v>1509</v>
      </c>
      <c r="H251" s="0" t="s">
        <v>1510</v>
      </c>
      <c r="I251" s="0" t="s">
        <v>100</v>
      </c>
      <c r="J251" s="0" t="s">
        <v>100</v>
      </c>
      <c r="K251" s="0" t="s">
        <v>1179</v>
      </c>
      <c r="L251" s="0" t="s">
        <v>101</v>
      </c>
      <c r="M251" s="0" t="s">
        <v>1511</v>
      </c>
      <c r="N251" s="0" t="s">
        <v>101</v>
      </c>
      <c r="P251" s="0" t="s">
        <v>102</v>
      </c>
      <c r="Q251" s="0" t="s">
        <v>102</v>
      </c>
      <c r="R251" s="0" t="s">
        <v>113</v>
      </c>
      <c r="S251" s="0" t="s">
        <v>21</v>
      </c>
      <c r="T251" s="0" t="s">
        <v>104</v>
      </c>
      <c r="U251" s="0" t="s">
        <v>368</v>
      </c>
      <c r="W251" s="0" t="s">
        <v>105</v>
      </c>
      <c r="X251" s="0" t="s">
        <v>1512</v>
      </c>
      <c r="Y251" s="0" t="s">
        <v>1513</v>
      </c>
      <c r="Z251" s="0" t="s">
        <v>159</v>
      </c>
      <c r="AA251" s="0" t="s">
        <v>172</v>
      </c>
    </row>
    <row r="252" customFormat="false" ht="15" hidden="false" customHeight="false" outlineLevel="0" collapsed="false">
      <c r="A252" s="0" t="s">
        <v>21</v>
      </c>
      <c r="B252" s="0" t="s">
        <v>1514</v>
      </c>
      <c r="C252" s="0" t="s">
        <v>97</v>
      </c>
      <c r="D252" s="0" t="s">
        <v>1515</v>
      </c>
      <c r="E252" s="0" t="s">
        <v>1516</v>
      </c>
      <c r="G252" s="0" t="s">
        <v>1509</v>
      </c>
      <c r="H252" s="0" t="s">
        <v>1517</v>
      </c>
      <c r="I252" s="0" t="s">
        <v>100</v>
      </c>
      <c r="J252" s="0" t="s">
        <v>100</v>
      </c>
      <c r="K252" s="0" t="s">
        <v>1518</v>
      </c>
      <c r="L252" s="0" t="s">
        <v>101</v>
      </c>
      <c r="M252" s="0" t="s">
        <v>1519</v>
      </c>
      <c r="N252" s="0" t="s">
        <v>101</v>
      </c>
      <c r="P252" s="0" t="s">
        <v>102</v>
      </c>
      <c r="Q252" s="0" t="s">
        <v>102</v>
      </c>
      <c r="R252" s="0" t="s">
        <v>113</v>
      </c>
      <c r="S252" s="0" t="s">
        <v>21</v>
      </c>
      <c r="T252" s="0" t="s">
        <v>104</v>
      </c>
      <c r="U252" s="0" t="s">
        <v>368</v>
      </c>
      <c r="W252" s="0" t="s">
        <v>105</v>
      </c>
      <c r="X252" s="0" t="s">
        <v>1520</v>
      </c>
      <c r="Y252" s="0" t="s">
        <v>1521</v>
      </c>
      <c r="Z252" s="0" t="s">
        <v>159</v>
      </c>
      <c r="AA252" s="0" t="s">
        <v>172</v>
      </c>
    </row>
    <row r="253" customFormat="false" ht="15" hidden="false" customHeight="false" outlineLevel="0" collapsed="false">
      <c r="A253" s="0" t="s">
        <v>21</v>
      </c>
      <c r="B253" s="0" t="s">
        <v>1522</v>
      </c>
      <c r="C253" s="0" t="s">
        <v>97</v>
      </c>
      <c r="D253" s="0" t="s">
        <v>1523</v>
      </c>
      <c r="E253" s="0" t="s">
        <v>1524</v>
      </c>
      <c r="G253" s="0" t="s">
        <v>1509</v>
      </c>
      <c r="H253" s="0" t="s">
        <v>1525</v>
      </c>
      <c r="I253" s="0" t="s">
        <v>100</v>
      </c>
      <c r="J253" s="0" t="s">
        <v>100</v>
      </c>
      <c r="K253" s="0" t="s">
        <v>1526</v>
      </c>
      <c r="L253" s="0" t="s">
        <v>101</v>
      </c>
      <c r="M253" s="0" t="s">
        <v>1527</v>
      </c>
      <c r="N253" s="0" t="s">
        <v>101</v>
      </c>
      <c r="P253" s="0" t="s">
        <v>102</v>
      </c>
      <c r="Q253" s="0" t="s">
        <v>102</v>
      </c>
      <c r="R253" s="0" t="s">
        <v>113</v>
      </c>
      <c r="S253" s="0" t="s">
        <v>21</v>
      </c>
      <c r="T253" s="0" t="s">
        <v>104</v>
      </c>
      <c r="U253" s="0" t="s">
        <v>368</v>
      </c>
      <c r="W253" s="0" t="s">
        <v>105</v>
      </c>
      <c r="X253" s="0" t="s">
        <v>1528</v>
      </c>
      <c r="Y253" s="0" t="s">
        <v>1529</v>
      </c>
      <c r="Z253" s="0" t="s">
        <v>159</v>
      </c>
      <c r="AA253" s="0" t="s">
        <v>172</v>
      </c>
    </row>
    <row r="254" customFormat="false" ht="15" hidden="false" customHeight="false" outlineLevel="0" collapsed="false">
      <c r="A254" s="0" t="s">
        <v>21</v>
      </c>
      <c r="B254" s="0" t="s">
        <v>1530</v>
      </c>
      <c r="C254" s="0" t="s">
        <v>110</v>
      </c>
      <c r="D254" s="0" t="s">
        <v>1531</v>
      </c>
      <c r="E254" s="0" t="s">
        <v>1532</v>
      </c>
      <c r="G254" s="0" t="s">
        <v>1344</v>
      </c>
      <c r="M254" s="0" t="s">
        <v>1533</v>
      </c>
      <c r="N254" s="0" t="s">
        <v>101</v>
      </c>
      <c r="P254" s="0" t="s">
        <v>102</v>
      </c>
      <c r="Q254" s="0" t="s">
        <v>102</v>
      </c>
      <c r="R254" s="0" t="s">
        <v>113</v>
      </c>
      <c r="S254" s="0" t="s">
        <v>21</v>
      </c>
      <c r="T254" s="0" t="s">
        <v>104</v>
      </c>
      <c r="U254" s="0" t="s">
        <v>368</v>
      </c>
      <c r="W254" s="0" t="s">
        <v>105</v>
      </c>
    </row>
    <row r="255" customFormat="false" ht="15" hidden="false" customHeight="false" outlineLevel="0" collapsed="false">
      <c r="A255" s="0" t="s">
        <v>21</v>
      </c>
      <c r="B255" s="0" t="s">
        <v>1534</v>
      </c>
      <c r="C255" s="0" t="s">
        <v>97</v>
      </c>
      <c r="D255" s="0" t="s">
        <v>1535</v>
      </c>
      <c r="E255" s="0" t="s">
        <v>1536</v>
      </c>
      <c r="G255" s="0" t="s">
        <v>1176</v>
      </c>
      <c r="H255" s="0" t="s">
        <v>1537</v>
      </c>
      <c r="I255" s="0" t="s">
        <v>1538</v>
      </c>
      <c r="J255" s="0" t="s">
        <v>1539</v>
      </c>
      <c r="K255" s="0" t="s">
        <v>1540</v>
      </c>
      <c r="L255" s="0" t="s">
        <v>101</v>
      </c>
      <c r="M255" s="0" t="s">
        <v>1538</v>
      </c>
      <c r="N255" s="0" t="s">
        <v>101</v>
      </c>
      <c r="P255" s="0" t="s">
        <v>204</v>
      </c>
      <c r="Q255" s="0" t="s">
        <v>204</v>
      </c>
      <c r="R255" s="0" t="s">
        <v>399</v>
      </c>
      <c r="S255" s="0" t="s">
        <v>21</v>
      </c>
      <c r="T255" s="0" t="s">
        <v>104</v>
      </c>
      <c r="W255" s="0" t="s">
        <v>105</v>
      </c>
      <c r="X255" s="0" t="s">
        <v>1541</v>
      </c>
      <c r="Y255" s="0" t="s">
        <v>1542</v>
      </c>
      <c r="Z255" s="0" t="s">
        <v>159</v>
      </c>
      <c r="AA255" s="0" t="s">
        <v>172</v>
      </c>
    </row>
    <row r="256" customFormat="false" ht="15" hidden="false" customHeight="false" outlineLevel="0" collapsed="false">
      <c r="A256" s="0" t="s">
        <v>21</v>
      </c>
      <c r="B256" s="0" t="s">
        <v>1543</v>
      </c>
      <c r="C256" s="0" t="s">
        <v>97</v>
      </c>
      <c r="D256" s="0" t="s">
        <v>1544</v>
      </c>
      <c r="E256" s="0" t="s">
        <v>1545</v>
      </c>
      <c r="G256" s="0" t="s">
        <v>1176</v>
      </c>
      <c r="H256" s="0" t="s">
        <v>165</v>
      </c>
      <c r="I256" s="0" t="s">
        <v>166</v>
      </c>
      <c r="J256" s="0" t="s">
        <v>167</v>
      </c>
      <c r="K256" s="0" t="s">
        <v>99</v>
      </c>
      <c r="L256" s="0" t="s">
        <v>101</v>
      </c>
      <c r="M256" s="0" t="s">
        <v>166</v>
      </c>
      <c r="N256" s="0" t="s">
        <v>101</v>
      </c>
      <c r="P256" s="0" t="s">
        <v>102</v>
      </c>
      <c r="Q256" s="0" t="s">
        <v>102</v>
      </c>
      <c r="R256" s="0" t="s">
        <v>113</v>
      </c>
      <c r="S256" s="0" t="s">
        <v>21</v>
      </c>
      <c r="T256" s="0" t="s">
        <v>104</v>
      </c>
      <c r="W256" s="0" t="s">
        <v>105</v>
      </c>
      <c r="X256" s="0" t="s">
        <v>169</v>
      </c>
      <c r="Y256" s="0" t="s">
        <v>170</v>
      </c>
      <c r="Z256" s="0" t="s">
        <v>159</v>
      </c>
      <c r="AA256" s="0" t="s">
        <v>172</v>
      </c>
    </row>
    <row r="257" customFormat="false" ht="15" hidden="false" customHeight="false" outlineLevel="0" collapsed="false">
      <c r="A257" s="0" t="s">
        <v>21</v>
      </c>
      <c r="B257" s="0" t="s">
        <v>1546</v>
      </c>
      <c r="C257" s="0" t="s">
        <v>97</v>
      </c>
      <c r="D257" s="0" t="s">
        <v>1547</v>
      </c>
      <c r="E257" s="0" t="s">
        <v>1548</v>
      </c>
      <c r="G257" s="0" t="s">
        <v>1176</v>
      </c>
      <c r="H257" s="0" t="s">
        <v>1549</v>
      </c>
      <c r="I257" s="0" t="s">
        <v>100</v>
      </c>
      <c r="J257" s="0" t="s">
        <v>100</v>
      </c>
      <c r="K257" s="0" t="s">
        <v>1175</v>
      </c>
      <c r="L257" s="0" t="s">
        <v>101</v>
      </c>
      <c r="M257" s="0" t="s">
        <v>1550</v>
      </c>
      <c r="N257" s="0" t="s">
        <v>101</v>
      </c>
      <c r="P257" s="0" t="s">
        <v>102</v>
      </c>
      <c r="Q257" s="0" t="s">
        <v>102</v>
      </c>
      <c r="R257" s="0" t="s">
        <v>113</v>
      </c>
      <c r="S257" s="0" t="s">
        <v>21</v>
      </c>
      <c r="T257" s="0" t="s">
        <v>104</v>
      </c>
      <c r="U257" s="0" t="s">
        <v>368</v>
      </c>
      <c r="W257" s="0" t="s">
        <v>105</v>
      </c>
      <c r="X257" s="0" t="s">
        <v>1551</v>
      </c>
      <c r="Y257" s="0" t="s">
        <v>1552</v>
      </c>
      <c r="Z257" s="0" t="s">
        <v>159</v>
      </c>
      <c r="AA257" s="0" t="s">
        <v>172</v>
      </c>
    </row>
    <row r="258" customFormat="false" ht="15" hidden="false" customHeight="false" outlineLevel="0" collapsed="false">
      <c r="A258" s="0" t="s">
        <v>21</v>
      </c>
      <c r="B258" s="0" t="s">
        <v>1553</v>
      </c>
      <c r="C258" s="0" t="s">
        <v>97</v>
      </c>
      <c r="D258" s="0" t="s">
        <v>1554</v>
      </c>
      <c r="E258" s="0" t="s">
        <v>1555</v>
      </c>
      <c r="G258" s="0" t="s">
        <v>1176</v>
      </c>
      <c r="H258" s="0" t="s">
        <v>1556</v>
      </c>
      <c r="I258" s="0" t="s">
        <v>1557</v>
      </c>
      <c r="J258" s="0" t="s">
        <v>1273</v>
      </c>
      <c r="K258" s="0" t="s">
        <v>1059</v>
      </c>
      <c r="L258" s="0" t="s">
        <v>101</v>
      </c>
      <c r="M258" s="0" t="s">
        <v>1273</v>
      </c>
      <c r="N258" s="0" t="s">
        <v>101</v>
      </c>
      <c r="P258" s="0" t="s">
        <v>102</v>
      </c>
      <c r="Q258" s="0" t="s">
        <v>102</v>
      </c>
      <c r="R258" s="0" t="s">
        <v>113</v>
      </c>
      <c r="S258" s="0" t="s">
        <v>21</v>
      </c>
      <c r="T258" s="0" t="s">
        <v>104</v>
      </c>
      <c r="U258" s="0" t="s">
        <v>368</v>
      </c>
      <c r="W258" s="0" t="s">
        <v>105</v>
      </c>
      <c r="X258" s="0" t="s">
        <v>1558</v>
      </c>
      <c r="Y258" s="0" t="s">
        <v>1559</v>
      </c>
      <c r="Z258" s="0" t="s">
        <v>159</v>
      </c>
      <c r="AA258" s="0" t="s">
        <v>172</v>
      </c>
    </row>
    <row r="259" customFormat="false" ht="15" hidden="false" customHeight="false" outlineLevel="0" collapsed="false">
      <c r="A259" s="0" t="s">
        <v>21</v>
      </c>
      <c r="B259" s="0" t="s">
        <v>1560</v>
      </c>
      <c r="C259" s="0" t="s">
        <v>97</v>
      </c>
      <c r="D259" s="0" t="s">
        <v>1561</v>
      </c>
      <c r="E259" s="0" t="s">
        <v>1562</v>
      </c>
      <c r="G259" s="0" t="s">
        <v>1176</v>
      </c>
      <c r="H259" s="0" t="s">
        <v>1563</v>
      </c>
      <c r="I259" s="0" t="s">
        <v>1564</v>
      </c>
      <c r="J259" s="0" t="s">
        <v>456</v>
      </c>
      <c r="K259" s="0" t="s">
        <v>1565</v>
      </c>
      <c r="L259" s="0" t="s">
        <v>101</v>
      </c>
      <c r="M259" s="0" t="s">
        <v>1564</v>
      </c>
      <c r="N259" s="0" t="s">
        <v>101</v>
      </c>
      <c r="P259" s="0" t="s">
        <v>102</v>
      </c>
      <c r="Q259" s="0" t="s">
        <v>102</v>
      </c>
      <c r="R259" s="0" t="s">
        <v>113</v>
      </c>
      <c r="S259" s="0" t="s">
        <v>21</v>
      </c>
      <c r="T259" s="0" t="s">
        <v>104</v>
      </c>
      <c r="U259" s="0" t="s">
        <v>368</v>
      </c>
      <c r="W259" s="0" t="s">
        <v>105</v>
      </c>
      <c r="X259" s="0" t="s">
        <v>1566</v>
      </c>
      <c r="Y259" s="0" t="s">
        <v>1567</v>
      </c>
      <c r="Z259" s="0" t="s">
        <v>159</v>
      </c>
      <c r="AA259" s="0" t="s">
        <v>172</v>
      </c>
    </row>
    <row r="260" customFormat="false" ht="15" hidden="false" customHeight="false" outlineLevel="0" collapsed="false">
      <c r="A260" s="0" t="s">
        <v>21</v>
      </c>
      <c r="B260" s="0" t="s">
        <v>1568</v>
      </c>
      <c r="C260" s="0" t="s">
        <v>97</v>
      </c>
      <c r="D260" s="0" t="s">
        <v>1569</v>
      </c>
      <c r="E260" s="0" t="s">
        <v>1570</v>
      </c>
      <c r="G260" s="0" t="s">
        <v>1176</v>
      </c>
      <c r="H260" s="0" t="s">
        <v>1571</v>
      </c>
      <c r="I260" s="0" t="s">
        <v>366</v>
      </c>
      <c r="J260" s="0" t="s">
        <v>367</v>
      </c>
      <c r="K260" s="0" t="s">
        <v>1246</v>
      </c>
      <c r="L260" s="0" t="s">
        <v>101</v>
      </c>
      <c r="M260" s="0" t="s">
        <v>366</v>
      </c>
      <c r="N260" s="0" t="s">
        <v>101</v>
      </c>
      <c r="P260" s="0" t="s">
        <v>102</v>
      </c>
      <c r="Q260" s="0" t="s">
        <v>102</v>
      </c>
      <c r="R260" s="0" t="s">
        <v>113</v>
      </c>
      <c r="S260" s="0" t="s">
        <v>21</v>
      </c>
      <c r="T260" s="0" t="s">
        <v>104</v>
      </c>
      <c r="U260" s="0" t="s">
        <v>368</v>
      </c>
      <c r="W260" s="0" t="s">
        <v>105</v>
      </c>
      <c r="X260" s="0" t="s">
        <v>369</v>
      </c>
      <c r="Y260" s="0" t="s">
        <v>370</v>
      </c>
      <c r="Z260" s="0" t="s">
        <v>159</v>
      </c>
      <c r="AA260" s="0" t="s">
        <v>172</v>
      </c>
    </row>
    <row r="261" customFormat="false" ht="15" hidden="false" customHeight="false" outlineLevel="0" collapsed="false">
      <c r="A261" s="0" t="s">
        <v>21</v>
      </c>
      <c r="B261" s="0" t="s">
        <v>1572</v>
      </c>
      <c r="C261" s="0" t="s">
        <v>97</v>
      </c>
      <c r="D261" s="0" t="s">
        <v>1573</v>
      </c>
      <c r="E261" s="0" t="s">
        <v>1573</v>
      </c>
      <c r="G261" s="0" t="s">
        <v>1574</v>
      </c>
      <c r="H261" s="0" t="s">
        <v>1575</v>
      </c>
      <c r="I261" s="0" t="s">
        <v>1576</v>
      </c>
      <c r="J261" s="0" t="s">
        <v>456</v>
      </c>
      <c r="K261" s="0" t="s">
        <v>1577</v>
      </c>
      <c r="L261" s="0" t="s">
        <v>101</v>
      </c>
      <c r="M261" s="0" t="s">
        <v>1576</v>
      </c>
      <c r="N261" s="0" t="s">
        <v>101</v>
      </c>
      <c r="P261" s="0" t="s">
        <v>204</v>
      </c>
      <c r="Q261" s="0" t="s">
        <v>204</v>
      </c>
      <c r="R261" s="0" t="s">
        <v>131</v>
      </c>
      <c r="S261" s="0" t="s">
        <v>21</v>
      </c>
      <c r="T261" s="0" t="s">
        <v>104</v>
      </c>
      <c r="W261" s="0" t="s">
        <v>105</v>
      </c>
      <c r="X261" s="0" t="s">
        <v>1578</v>
      </c>
      <c r="Y261" s="0" t="s">
        <v>1579</v>
      </c>
      <c r="Z261" s="0" t="s">
        <v>134</v>
      </c>
      <c r="AA261" s="0" t="s">
        <v>172</v>
      </c>
    </row>
    <row r="262" customFormat="false" ht="15" hidden="false" customHeight="false" outlineLevel="0" collapsed="false">
      <c r="A262" s="0" t="s">
        <v>21</v>
      </c>
      <c r="B262" s="0" t="s">
        <v>1572</v>
      </c>
      <c r="C262" s="0" t="s">
        <v>97</v>
      </c>
      <c r="D262" s="0" t="s">
        <v>1573</v>
      </c>
      <c r="E262" s="0" t="s">
        <v>1573</v>
      </c>
      <c r="G262" s="0" t="s">
        <v>1574</v>
      </c>
      <c r="H262" s="0" t="s">
        <v>1575</v>
      </c>
      <c r="I262" s="0" t="s">
        <v>1576</v>
      </c>
      <c r="J262" s="0" t="s">
        <v>456</v>
      </c>
      <c r="K262" s="0" t="s">
        <v>1577</v>
      </c>
      <c r="L262" s="0" t="s">
        <v>101</v>
      </c>
      <c r="M262" s="0" t="s">
        <v>1576</v>
      </c>
      <c r="N262" s="0" t="s">
        <v>101</v>
      </c>
      <c r="P262" s="0" t="s">
        <v>554</v>
      </c>
      <c r="Q262" s="0" t="s">
        <v>554</v>
      </c>
      <c r="R262" s="0" t="s">
        <v>554</v>
      </c>
      <c r="S262" s="0" t="s">
        <v>21</v>
      </c>
      <c r="T262" s="0" t="s">
        <v>104</v>
      </c>
      <c r="W262" s="0" t="s">
        <v>183</v>
      </c>
      <c r="X262" s="0" t="s">
        <v>1578</v>
      </c>
      <c r="Y262" s="0" t="s">
        <v>1579</v>
      </c>
      <c r="Z262" s="0" t="s">
        <v>134</v>
      </c>
      <c r="AA262" s="0" t="s">
        <v>172</v>
      </c>
    </row>
    <row r="263" customFormat="false" ht="15" hidden="false" customHeight="false" outlineLevel="0" collapsed="false">
      <c r="A263" s="0" t="s">
        <v>21</v>
      </c>
      <c r="B263" s="0" t="s">
        <v>1580</v>
      </c>
      <c r="C263" s="0" t="s">
        <v>97</v>
      </c>
      <c r="D263" s="0" t="s">
        <v>1581</v>
      </c>
      <c r="E263" s="0" t="s">
        <v>1582</v>
      </c>
      <c r="G263" s="0" t="s">
        <v>1574</v>
      </c>
      <c r="H263" s="0" t="s">
        <v>1583</v>
      </c>
      <c r="I263" s="0" t="s">
        <v>1584</v>
      </c>
      <c r="J263" s="0" t="s">
        <v>421</v>
      </c>
      <c r="K263" s="0" t="s">
        <v>99</v>
      </c>
      <c r="L263" s="0" t="s">
        <v>101</v>
      </c>
      <c r="M263" s="0" t="s">
        <v>1584</v>
      </c>
      <c r="N263" s="0" t="s">
        <v>101</v>
      </c>
      <c r="P263" s="0" t="s">
        <v>102</v>
      </c>
      <c r="Q263" s="0" t="s">
        <v>102</v>
      </c>
      <c r="R263" s="0" t="s">
        <v>131</v>
      </c>
      <c r="S263" s="0" t="s">
        <v>21</v>
      </c>
      <c r="T263" s="0" t="s">
        <v>104</v>
      </c>
      <c r="W263" s="0" t="s">
        <v>105</v>
      </c>
      <c r="X263" s="0" t="s">
        <v>1585</v>
      </c>
      <c r="Y263" s="0" t="s">
        <v>1586</v>
      </c>
      <c r="Z263" s="0" t="s">
        <v>134</v>
      </c>
      <c r="AA263" s="0" t="s">
        <v>172</v>
      </c>
    </row>
    <row r="264" customFormat="false" ht="15" hidden="false" customHeight="false" outlineLevel="0" collapsed="false">
      <c r="A264" s="0" t="s">
        <v>21</v>
      </c>
      <c r="B264" s="0" t="s">
        <v>1587</v>
      </c>
      <c r="C264" s="0" t="s">
        <v>97</v>
      </c>
      <c r="D264" s="0" t="s">
        <v>1588</v>
      </c>
      <c r="E264" s="0" t="s">
        <v>1589</v>
      </c>
      <c r="G264" s="0" t="s">
        <v>1574</v>
      </c>
      <c r="H264" s="0" t="s">
        <v>1590</v>
      </c>
      <c r="I264" s="0" t="s">
        <v>447</v>
      </c>
      <c r="J264" s="0" t="s">
        <v>448</v>
      </c>
      <c r="K264" s="0" t="s">
        <v>1591</v>
      </c>
      <c r="L264" s="0" t="s">
        <v>101</v>
      </c>
      <c r="M264" s="0" t="s">
        <v>447</v>
      </c>
      <c r="N264" s="0" t="s">
        <v>101</v>
      </c>
      <c r="P264" s="0" t="s">
        <v>204</v>
      </c>
      <c r="Q264" s="0" t="s">
        <v>204</v>
      </c>
      <c r="R264" s="0" t="s">
        <v>131</v>
      </c>
      <c r="S264" s="0" t="s">
        <v>21</v>
      </c>
      <c r="T264" s="0" t="s">
        <v>104</v>
      </c>
      <c r="W264" s="0" t="s">
        <v>105</v>
      </c>
      <c r="X264" s="0" t="s">
        <v>1592</v>
      </c>
      <c r="Y264" s="0" t="s">
        <v>1593</v>
      </c>
      <c r="Z264" s="0" t="s">
        <v>134</v>
      </c>
      <c r="AA264" s="0" t="s">
        <v>172</v>
      </c>
    </row>
    <row r="265" customFormat="false" ht="15" hidden="false" customHeight="false" outlineLevel="0" collapsed="false">
      <c r="A265" s="0" t="s">
        <v>21</v>
      </c>
      <c r="B265" s="0" t="s">
        <v>1587</v>
      </c>
      <c r="C265" s="0" t="s">
        <v>97</v>
      </c>
      <c r="D265" s="0" t="s">
        <v>1588</v>
      </c>
      <c r="E265" s="0" t="s">
        <v>1589</v>
      </c>
      <c r="G265" s="0" t="s">
        <v>1574</v>
      </c>
      <c r="H265" s="0" t="s">
        <v>1590</v>
      </c>
      <c r="I265" s="0" t="s">
        <v>447</v>
      </c>
      <c r="J265" s="0" t="s">
        <v>448</v>
      </c>
      <c r="K265" s="0" t="s">
        <v>1591</v>
      </c>
      <c r="L265" s="0" t="s">
        <v>101</v>
      </c>
      <c r="M265" s="0" t="s">
        <v>447</v>
      </c>
      <c r="N265" s="0" t="s">
        <v>101</v>
      </c>
      <c r="P265" s="0" t="s">
        <v>554</v>
      </c>
      <c r="Q265" s="0" t="s">
        <v>554</v>
      </c>
      <c r="R265" s="0" t="s">
        <v>554</v>
      </c>
      <c r="S265" s="0" t="s">
        <v>21</v>
      </c>
      <c r="T265" s="0" t="s">
        <v>104</v>
      </c>
      <c r="W265" s="0" t="s">
        <v>183</v>
      </c>
      <c r="X265" s="0" t="s">
        <v>1592</v>
      </c>
      <c r="Y265" s="0" t="s">
        <v>1593</v>
      </c>
      <c r="Z265" s="0" t="s">
        <v>134</v>
      </c>
      <c r="AA265" s="0" t="s">
        <v>172</v>
      </c>
    </row>
    <row r="266" customFormat="false" ht="15" hidden="false" customHeight="false" outlineLevel="0" collapsed="false">
      <c r="A266" s="0" t="s">
        <v>21</v>
      </c>
      <c r="B266" s="0" t="s">
        <v>1594</v>
      </c>
      <c r="C266" s="0" t="s">
        <v>97</v>
      </c>
      <c r="D266" s="0" t="s">
        <v>1573</v>
      </c>
      <c r="E266" s="0" t="s">
        <v>1573</v>
      </c>
      <c r="G266" s="0" t="s">
        <v>1574</v>
      </c>
      <c r="H266" s="0" t="s">
        <v>1595</v>
      </c>
      <c r="I266" s="0" t="s">
        <v>1356</v>
      </c>
      <c r="J266" s="0" t="s">
        <v>421</v>
      </c>
      <c r="K266" s="0" t="s">
        <v>1596</v>
      </c>
      <c r="L266" s="0" t="s">
        <v>101</v>
      </c>
      <c r="M266" s="0" t="s">
        <v>1356</v>
      </c>
      <c r="N266" s="0" t="s">
        <v>101</v>
      </c>
      <c r="P266" s="0" t="s">
        <v>204</v>
      </c>
      <c r="Q266" s="0" t="s">
        <v>204</v>
      </c>
      <c r="R266" s="0" t="s">
        <v>131</v>
      </c>
      <c r="S266" s="0" t="s">
        <v>21</v>
      </c>
      <c r="T266" s="0" t="s">
        <v>104</v>
      </c>
      <c r="W266" s="0" t="s">
        <v>105</v>
      </c>
      <c r="X266" s="0" t="s">
        <v>1597</v>
      </c>
      <c r="Y266" s="0" t="s">
        <v>1598</v>
      </c>
      <c r="Z266" s="0" t="s">
        <v>134</v>
      </c>
      <c r="AA266" s="0" t="s">
        <v>172</v>
      </c>
    </row>
    <row r="267" customFormat="false" ht="15" hidden="false" customHeight="false" outlineLevel="0" collapsed="false">
      <c r="A267" s="0" t="s">
        <v>21</v>
      </c>
      <c r="B267" s="0" t="s">
        <v>1594</v>
      </c>
      <c r="C267" s="0" t="s">
        <v>97</v>
      </c>
      <c r="D267" s="0" t="s">
        <v>1573</v>
      </c>
      <c r="E267" s="0" t="s">
        <v>1573</v>
      </c>
      <c r="G267" s="0" t="s">
        <v>1574</v>
      </c>
      <c r="H267" s="0" t="s">
        <v>1595</v>
      </c>
      <c r="I267" s="0" t="s">
        <v>1356</v>
      </c>
      <c r="J267" s="0" t="s">
        <v>421</v>
      </c>
      <c r="K267" s="0" t="s">
        <v>1596</v>
      </c>
      <c r="L267" s="0" t="s">
        <v>101</v>
      </c>
      <c r="M267" s="0" t="s">
        <v>1356</v>
      </c>
      <c r="N267" s="0" t="s">
        <v>101</v>
      </c>
      <c r="P267" s="0" t="s">
        <v>554</v>
      </c>
      <c r="Q267" s="0" t="s">
        <v>554</v>
      </c>
      <c r="R267" s="0" t="s">
        <v>554</v>
      </c>
      <c r="S267" s="0" t="s">
        <v>21</v>
      </c>
      <c r="T267" s="0" t="s">
        <v>104</v>
      </c>
      <c r="W267" s="0" t="s">
        <v>183</v>
      </c>
      <c r="X267" s="0" t="s">
        <v>1597</v>
      </c>
      <c r="Y267" s="0" t="s">
        <v>1598</v>
      </c>
      <c r="Z267" s="0" t="s">
        <v>134</v>
      </c>
      <c r="AA267" s="0" t="s">
        <v>172</v>
      </c>
    </row>
    <row r="268" customFormat="false" ht="15" hidden="false" customHeight="false" outlineLevel="0" collapsed="false">
      <c r="A268" s="0" t="s">
        <v>21</v>
      </c>
      <c r="B268" s="0" t="s">
        <v>1599</v>
      </c>
      <c r="C268" s="0" t="s">
        <v>97</v>
      </c>
      <c r="D268" s="0" t="s">
        <v>1573</v>
      </c>
      <c r="E268" s="0" t="s">
        <v>1573</v>
      </c>
      <c r="G268" s="0" t="s">
        <v>1574</v>
      </c>
      <c r="H268" s="0" t="s">
        <v>1600</v>
      </c>
      <c r="I268" s="0" t="s">
        <v>1601</v>
      </c>
      <c r="J268" s="0" t="s">
        <v>1273</v>
      </c>
      <c r="K268" s="0" t="s">
        <v>1602</v>
      </c>
      <c r="L268" s="0" t="s">
        <v>101</v>
      </c>
      <c r="M268" s="0" t="s">
        <v>1372</v>
      </c>
      <c r="N268" s="0" t="s">
        <v>101</v>
      </c>
      <c r="P268" s="0" t="s">
        <v>204</v>
      </c>
      <c r="Q268" s="0" t="s">
        <v>204</v>
      </c>
      <c r="R268" s="0" t="s">
        <v>131</v>
      </c>
      <c r="S268" s="0" t="s">
        <v>21</v>
      </c>
      <c r="T268" s="0" t="s">
        <v>104</v>
      </c>
      <c r="W268" s="0" t="s">
        <v>105</v>
      </c>
      <c r="X268" s="0" t="s">
        <v>1603</v>
      </c>
      <c r="Y268" s="0" t="s">
        <v>1604</v>
      </c>
      <c r="Z268" s="0" t="s">
        <v>134</v>
      </c>
      <c r="AA268" s="0" t="s">
        <v>172</v>
      </c>
    </row>
    <row r="269" customFormat="false" ht="15" hidden="false" customHeight="false" outlineLevel="0" collapsed="false">
      <c r="A269" s="0" t="s">
        <v>21</v>
      </c>
      <c r="B269" s="0" t="s">
        <v>1599</v>
      </c>
      <c r="C269" s="0" t="s">
        <v>97</v>
      </c>
      <c r="D269" s="0" t="s">
        <v>1573</v>
      </c>
      <c r="E269" s="0" t="s">
        <v>1573</v>
      </c>
      <c r="G269" s="0" t="s">
        <v>1574</v>
      </c>
      <c r="H269" s="0" t="s">
        <v>1600</v>
      </c>
      <c r="I269" s="0" t="s">
        <v>1601</v>
      </c>
      <c r="J269" s="0" t="s">
        <v>1273</v>
      </c>
      <c r="K269" s="0" t="s">
        <v>1602</v>
      </c>
      <c r="L269" s="0" t="s">
        <v>101</v>
      </c>
      <c r="M269" s="0" t="s">
        <v>1372</v>
      </c>
      <c r="N269" s="0" t="s">
        <v>101</v>
      </c>
      <c r="P269" s="0" t="s">
        <v>554</v>
      </c>
      <c r="Q269" s="0" t="s">
        <v>554</v>
      </c>
      <c r="R269" s="0" t="s">
        <v>554</v>
      </c>
      <c r="S269" s="0" t="s">
        <v>21</v>
      </c>
      <c r="T269" s="0" t="s">
        <v>104</v>
      </c>
      <c r="W269" s="0" t="s">
        <v>183</v>
      </c>
      <c r="X269" s="0" t="s">
        <v>1603</v>
      </c>
      <c r="Y269" s="0" t="s">
        <v>1604</v>
      </c>
      <c r="Z269" s="0" t="s">
        <v>134</v>
      </c>
      <c r="AA269" s="0" t="s">
        <v>172</v>
      </c>
    </row>
    <row r="270" customFormat="false" ht="15" hidden="false" customHeight="false" outlineLevel="0" collapsed="false">
      <c r="A270" s="0" t="s">
        <v>21</v>
      </c>
      <c r="B270" s="0" t="s">
        <v>1605</v>
      </c>
      <c r="C270" s="0" t="s">
        <v>97</v>
      </c>
      <c r="D270" s="0" t="s">
        <v>1606</v>
      </c>
      <c r="E270" s="0" t="s">
        <v>1607</v>
      </c>
      <c r="G270" s="0" t="s">
        <v>1574</v>
      </c>
      <c r="H270" s="0" t="s">
        <v>1608</v>
      </c>
      <c r="I270" s="0" t="s">
        <v>1372</v>
      </c>
      <c r="J270" s="0" t="s">
        <v>1273</v>
      </c>
      <c r="K270" s="0" t="s">
        <v>1609</v>
      </c>
      <c r="L270" s="0" t="s">
        <v>101</v>
      </c>
      <c r="M270" s="0" t="s">
        <v>1372</v>
      </c>
      <c r="N270" s="0" t="s">
        <v>101</v>
      </c>
      <c r="P270" s="0" t="s">
        <v>204</v>
      </c>
      <c r="Q270" s="0" t="s">
        <v>204</v>
      </c>
      <c r="R270" s="0" t="s">
        <v>131</v>
      </c>
      <c r="S270" s="0" t="s">
        <v>21</v>
      </c>
      <c r="T270" s="0" t="s">
        <v>104</v>
      </c>
      <c r="W270" s="0" t="s">
        <v>105</v>
      </c>
      <c r="X270" s="0" t="s">
        <v>1610</v>
      </c>
      <c r="Y270" s="0" t="s">
        <v>1611</v>
      </c>
      <c r="Z270" s="0" t="s">
        <v>134</v>
      </c>
      <c r="AA270" s="0" t="s">
        <v>172</v>
      </c>
    </row>
    <row r="271" customFormat="false" ht="15" hidden="false" customHeight="false" outlineLevel="0" collapsed="false">
      <c r="A271" s="0" t="s">
        <v>21</v>
      </c>
      <c r="B271" s="0" t="s">
        <v>1605</v>
      </c>
      <c r="C271" s="0" t="s">
        <v>97</v>
      </c>
      <c r="D271" s="0" t="s">
        <v>1606</v>
      </c>
      <c r="E271" s="0" t="s">
        <v>1607</v>
      </c>
      <c r="G271" s="0" t="s">
        <v>1574</v>
      </c>
      <c r="H271" s="0" t="s">
        <v>1608</v>
      </c>
      <c r="I271" s="0" t="s">
        <v>1372</v>
      </c>
      <c r="J271" s="0" t="s">
        <v>1273</v>
      </c>
      <c r="K271" s="0" t="s">
        <v>1609</v>
      </c>
      <c r="L271" s="0" t="s">
        <v>101</v>
      </c>
      <c r="M271" s="0" t="s">
        <v>1372</v>
      </c>
      <c r="N271" s="0" t="s">
        <v>101</v>
      </c>
      <c r="P271" s="0" t="s">
        <v>554</v>
      </c>
      <c r="Q271" s="0" t="s">
        <v>554</v>
      </c>
      <c r="R271" s="0" t="s">
        <v>554</v>
      </c>
      <c r="S271" s="0" t="s">
        <v>21</v>
      </c>
      <c r="T271" s="0" t="s">
        <v>104</v>
      </c>
      <c r="W271" s="0" t="s">
        <v>183</v>
      </c>
      <c r="X271" s="0" t="s">
        <v>1610</v>
      </c>
      <c r="Y271" s="0" t="s">
        <v>1611</v>
      </c>
      <c r="Z271" s="0" t="s">
        <v>134</v>
      </c>
      <c r="AA271" s="0" t="s">
        <v>172</v>
      </c>
    </row>
    <row r="272" customFormat="false" ht="15" hidden="false" customHeight="false" outlineLevel="0" collapsed="false">
      <c r="A272" s="0" t="s">
        <v>21</v>
      </c>
      <c r="B272" s="0" t="s">
        <v>1612</v>
      </c>
      <c r="C272" s="0" t="s">
        <v>97</v>
      </c>
      <c r="D272" s="0" t="s">
        <v>1613</v>
      </c>
      <c r="E272" s="0" t="s">
        <v>1614</v>
      </c>
      <c r="G272" s="0" t="s">
        <v>1574</v>
      </c>
      <c r="H272" s="0" t="s">
        <v>1615</v>
      </c>
      <c r="I272" s="0" t="s">
        <v>1616</v>
      </c>
      <c r="J272" s="0" t="s">
        <v>1273</v>
      </c>
      <c r="K272" s="0" t="s">
        <v>1617</v>
      </c>
      <c r="L272" s="0" t="s">
        <v>101</v>
      </c>
      <c r="M272" s="0" t="s">
        <v>1402</v>
      </c>
      <c r="N272" s="0" t="s">
        <v>101</v>
      </c>
      <c r="P272" s="0" t="s">
        <v>102</v>
      </c>
      <c r="Q272" s="0" t="s">
        <v>102</v>
      </c>
      <c r="R272" s="0" t="s">
        <v>131</v>
      </c>
      <c r="S272" s="0" t="s">
        <v>21</v>
      </c>
      <c r="T272" s="0" t="s">
        <v>104</v>
      </c>
      <c r="W272" s="0" t="s">
        <v>105</v>
      </c>
      <c r="X272" s="0" t="s">
        <v>1618</v>
      </c>
      <c r="Y272" s="0" t="s">
        <v>1619</v>
      </c>
      <c r="Z272" s="0" t="s">
        <v>134</v>
      </c>
      <c r="AA272" s="0" t="s">
        <v>172</v>
      </c>
    </row>
    <row r="273" customFormat="false" ht="15" hidden="false" customHeight="false" outlineLevel="0" collapsed="false">
      <c r="A273" s="0" t="s">
        <v>21</v>
      </c>
      <c r="B273" s="0" t="s">
        <v>1620</v>
      </c>
      <c r="C273" s="0" t="s">
        <v>97</v>
      </c>
      <c r="D273" s="0" t="s">
        <v>1573</v>
      </c>
      <c r="E273" s="0" t="s">
        <v>1573</v>
      </c>
      <c r="G273" s="0" t="s">
        <v>1574</v>
      </c>
      <c r="H273" s="0" t="s">
        <v>1621</v>
      </c>
      <c r="I273" s="0" t="s">
        <v>398</v>
      </c>
      <c r="J273" s="0" t="s">
        <v>112</v>
      </c>
      <c r="K273" s="0" t="s">
        <v>1622</v>
      </c>
      <c r="L273" s="0" t="s">
        <v>101</v>
      </c>
      <c r="M273" s="0" t="s">
        <v>398</v>
      </c>
      <c r="N273" s="0" t="s">
        <v>101</v>
      </c>
      <c r="P273" s="0" t="s">
        <v>204</v>
      </c>
      <c r="Q273" s="0" t="s">
        <v>204</v>
      </c>
      <c r="R273" s="0" t="s">
        <v>131</v>
      </c>
      <c r="S273" s="0" t="s">
        <v>21</v>
      </c>
      <c r="T273" s="0" t="s">
        <v>104</v>
      </c>
      <c r="W273" s="0" t="s">
        <v>105</v>
      </c>
      <c r="X273" s="0" t="s">
        <v>1623</v>
      </c>
      <c r="Y273" s="0" t="s">
        <v>1624</v>
      </c>
      <c r="Z273" s="0" t="s">
        <v>134</v>
      </c>
      <c r="AA273" s="0" t="s">
        <v>172</v>
      </c>
    </row>
    <row r="274" customFormat="false" ht="15" hidden="false" customHeight="false" outlineLevel="0" collapsed="false">
      <c r="A274" s="0" t="s">
        <v>21</v>
      </c>
      <c r="B274" s="0" t="s">
        <v>1620</v>
      </c>
      <c r="C274" s="0" t="s">
        <v>97</v>
      </c>
      <c r="D274" s="0" t="s">
        <v>1573</v>
      </c>
      <c r="E274" s="0" t="s">
        <v>1573</v>
      </c>
      <c r="G274" s="0" t="s">
        <v>1574</v>
      </c>
      <c r="H274" s="0" t="s">
        <v>1621</v>
      </c>
      <c r="I274" s="0" t="s">
        <v>398</v>
      </c>
      <c r="J274" s="0" t="s">
        <v>112</v>
      </c>
      <c r="K274" s="0" t="s">
        <v>1622</v>
      </c>
      <c r="L274" s="0" t="s">
        <v>101</v>
      </c>
      <c r="M274" s="0" t="s">
        <v>398</v>
      </c>
      <c r="N274" s="0" t="s">
        <v>101</v>
      </c>
      <c r="P274" s="0" t="s">
        <v>554</v>
      </c>
      <c r="Q274" s="0" t="s">
        <v>554</v>
      </c>
      <c r="R274" s="0" t="s">
        <v>554</v>
      </c>
      <c r="S274" s="0" t="s">
        <v>21</v>
      </c>
      <c r="T274" s="0" t="s">
        <v>104</v>
      </c>
      <c r="W274" s="0" t="s">
        <v>183</v>
      </c>
      <c r="X274" s="0" t="s">
        <v>1623</v>
      </c>
      <c r="Y274" s="0" t="s">
        <v>1624</v>
      </c>
      <c r="Z274" s="0" t="s">
        <v>134</v>
      </c>
      <c r="AA274" s="0" t="s">
        <v>172</v>
      </c>
    </row>
    <row r="275" customFormat="false" ht="15" hidden="false" customHeight="false" outlineLevel="0" collapsed="false">
      <c r="A275" s="0" t="s">
        <v>21</v>
      </c>
      <c r="B275" s="0" t="s">
        <v>1625</v>
      </c>
      <c r="C275" s="0" t="s">
        <v>97</v>
      </c>
      <c r="D275" s="0" t="s">
        <v>1573</v>
      </c>
      <c r="E275" s="0" t="s">
        <v>1573</v>
      </c>
      <c r="G275" s="0" t="s">
        <v>1574</v>
      </c>
      <c r="H275" s="0" t="s">
        <v>1626</v>
      </c>
      <c r="I275" s="0" t="s">
        <v>1557</v>
      </c>
      <c r="J275" s="0" t="s">
        <v>1273</v>
      </c>
      <c r="K275" s="0" t="s">
        <v>1627</v>
      </c>
      <c r="L275" s="0" t="s">
        <v>101</v>
      </c>
      <c r="M275" s="0" t="s">
        <v>1273</v>
      </c>
      <c r="N275" s="0" t="s">
        <v>101</v>
      </c>
      <c r="P275" s="0" t="s">
        <v>204</v>
      </c>
      <c r="Q275" s="0" t="s">
        <v>204</v>
      </c>
      <c r="R275" s="0" t="s">
        <v>131</v>
      </c>
      <c r="S275" s="0" t="s">
        <v>21</v>
      </c>
      <c r="T275" s="0" t="s">
        <v>104</v>
      </c>
      <c r="W275" s="0" t="s">
        <v>105</v>
      </c>
      <c r="X275" s="0" t="s">
        <v>1628</v>
      </c>
      <c r="Y275" s="0" t="s">
        <v>1629</v>
      </c>
      <c r="Z275" s="0" t="s">
        <v>134</v>
      </c>
      <c r="AA275" s="0" t="s">
        <v>172</v>
      </c>
    </row>
    <row r="276" customFormat="false" ht="15" hidden="false" customHeight="false" outlineLevel="0" collapsed="false">
      <c r="A276" s="0" t="s">
        <v>21</v>
      </c>
      <c r="B276" s="0" t="s">
        <v>1625</v>
      </c>
      <c r="C276" s="0" t="s">
        <v>97</v>
      </c>
      <c r="D276" s="0" t="s">
        <v>1573</v>
      </c>
      <c r="E276" s="0" t="s">
        <v>1573</v>
      </c>
      <c r="G276" s="0" t="s">
        <v>1574</v>
      </c>
      <c r="H276" s="0" t="s">
        <v>1626</v>
      </c>
      <c r="I276" s="0" t="s">
        <v>1557</v>
      </c>
      <c r="J276" s="0" t="s">
        <v>1273</v>
      </c>
      <c r="K276" s="0" t="s">
        <v>1627</v>
      </c>
      <c r="L276" s="0" t="s">
        <v>101</v>
      </c>
      <c r="M276" s="0" t="s">
        <v>1273</v>
      </c>
      <c r="N276" s="0" t="s">
        <v>101</v>
      </c>
      <c r="P276" s="0" t="s">
        <v>554</v>
      </c>
      <c r="Q276" s="0" t="s">
        <v>554</v>
      </c>
      <c r="R276" s="0" t="s">
        <v>554</v>
      </c>
      <c r="S276" s="0" t="s">
        <v>21</v>
      </c>
      <c r="T276" s="0" t="s">
        <v>104</v>
      </c>
      <c r="W276" s="0" t="s">
        <v>183</v>
      </c>
      <c r="X276" s="0" t="s">
        <v>1628</v>
      </c>
      <c r="Y276" s="0" t="s">
        <v>1629</v>
      </c>
      <c r="Z276" s="0" t="s">
        <v>134</v>
      </c>
      <c r="AA276" s="0" t="s">
        <v>172</v>
      </c>
    </row>
    <row r="277" customFormat="false" ht="15" hidden="false" customHeight="false" outlineLevel="0" collapsed="false">
      <c r="A277" s="0" t="s">
        <v>21</v>
      </c>
      <c r="B277" s="0" t="s">
        <v>1630</v>
      </c>
      <c r="C277" s="0" t="s">
        <v>97</v>
      </c>
      <c r="D277" s="0" t="s">
        <v>1573</v>
      </c>
      <c r="E277" s="0" t="s">
        <v>1573</v>
      </c>
      <c r="G277" s="0" t="s">
        <v>1574</v>
      </c>
      <c r="H277" s="0" t="s">
        <v>1631</v>
      </c>
      <c r="I277" s="0" t="s">
        <v>1307</v>
      </c>
      <c r="J277" s="0" t="s">
        <v>456</v>
      </c>
      <c r="K277" s="0" t="s">
        <v>1340</v>
      </c>
      <c r="L277" s="0" t="s">
        <v>101</v>
      </c>
      <c r="M277" s="0" t="s">
        <v>1307</v>
      </c>
      <c r="N277" s="0" t="s">
        <v>101</v>
      </c>
      <c r="P277" s="0" t="s">
        <v>204</v>
      </c>
      <c r="Q277" s="0" t="s">
        <v>204</v>
      </c>
      <c r="R277" s="0" t="s">
        <v>131</v>
      </c>
      <c r="S277" s="0" t="s">
        <v>21</v>
      </c>
      <c r="T277" s="0" t="s">
        <v>104</v>
      </c>
      <c r="W277" s="0" t="s">
        <v>105</v>
      </c>
      <c r="X277" s="0" t="s">
        <v>1632</v>
      </c>
      <c r="Y277" s="0" t="s">
        <v>1633</v>
      </c>
      <c r="Z277" s="0" t="s">
        <v>134</v>
      </c>
      <c r="AA277" s="0" t="s">
        <v>172</v>
      </c>
    </row>
    <row r="278" customFormat="false" ht="15" hidden="false" customHeight="false" outlineLevel="0" collapsed="false">
      <c r="A278" s="0" t="s">
        <v>21</v>
      </c>
      <c r="B278" s="0" t="s">
        <v>1630</v>
      </c>
      <c r="C278" s="0" t="s">
        <v>97</v>
      </c>
      <c r="D278" s="0" t="s">
        <v>1573</v>
      </c>
      <c r="E278" s="0" t="s">
        <v>1573</v>
      </c>
      <c r="G278" s="0" t="s">
        <v>1574</v>
      </c>
      <c r="H278" s="0" t="s">
        <v>1631</v>
      </c>
      <c r="I278" s="0" t="s">
        <v>1307</v>
      </c>
      <c r="J278" s="0" t="s">
        <v>456</v>
      </c>
      <c r="K278" s="0" t="s">
        <v>1340</v>
      </c>
      <c r="L278" s="0" t="s">
        <v>101</v>
      </c>
      <c r="M278" s="0" t="s">
        <v>1307</v>
      </c>
      <c r="N278" s="0" t="s">
        <v>101</v>
      </c>
      <c r="P278" s="0" t="s">
        <v>554</v>
      </c>
      <c r="Q278" s="0" t="s">
        <v>554</v>
      </c>
      <c r="R278" s="0" t="s">
        <v>554</v>
      </c>
      <c r="S278" s="0" t="s">
        <v>21</v>
      </c>
      <c r="T278" s="0" t="s">
        <v>104</v>
      </c>
      <c r="W278" s="0" t="s">
        <v>183</v>
      </c>
      <c r="X278" s="0" t="s">
        <v>1632</v>
      </c>
      <c r="Y278" s="0" t="s">
        <v>1633</v>
      </c>
      <c r="Z278" s="0" t="s">
        <v>134</v>
      </c>
      <c r="AA278" s="0" t="s">
        <v>172</v>
      </c>
    </row>
    <row r="279" customFormat="false" ht="15" hidden="false" customHeight="false" outlineLevel="0" collapsed="false">
      <c r="A279" s="0" t="s">
        <v>21</v>
      </c>
      <c r="B279" s="0" t="s">
        <v>1634</v>
      </c>
      <c r="C279" s="0" t="s">
        <v>97</v>
      </c>
      <c r="D279" s="0" t="s">
        <v>1635</v>
      </c>
      <c r="E279" s="0" t="s">
        <v>1636</v>
      </c>
      <c r="G279" s="0" t="s">
        <v>1637</v>
      </c>
      <c r="H279" s="0" t="s">
        <v>1638</v>
      </c>
      <c r="I279" s="0" t="s">
        <v>437</v>
      </c>
      <c r="J279" s="0" t="s">
        <v>511</v>
      </c>
      <c r="K279" s="0" t="s">
        <v>1639</v>
      </c>
      <c r="L279" s="0" t="s">
        <v>101</v>
      </c>
      <c r="M279" s="0" t="s">
        <v>437</v>
      </c>
      <c r="N279" s="0" t="s">
        <v>101</v>
      </c>
      <c r="P279" s="0" t="s">
        <v>102</v>
      </c>
      <c r="Q279" s="0" t="s">
        <v>102</v>
      </c>
      <c r="R279" s="0" t="s">
        <v>131</v>
      </c>
      <c r="S279" s="0" t="s">
        <v>21</v>
      </c>
      <c r="T279" s="0" t="s">
        <v>104</v>
      </c>
      <c r="W279" s="0" t="s">
        <v>105</v>
      </c>
      <c r="X279" s="0" t="s">
        <v>1640</v>
      </c>
      <c r="Y279" s="0" t="s">
        <v>1641</v>
      </c>
      <c r="Z279" s="0" t="s">
        <v>159</v>
      </c>
      <c r="AA279" s="0" t="s">
        <v>172</v>
      </c>
    </row>
    <row r="280" customFormat="false" ht="15" hidden="false" customHeight="false" outlineLevel="0" collapsed="false">
      <c r="A280" s="0" t="s">
        <v>21</v>
      </c>
      <c r="B280" s="0" t="s">
        <v>1642</v>
      </c>
      <c r="C280" s="0" t="s">
        <v>110</v>
      </c>
      <c r="D280" s="0" t="s">
        <v>1643</v>
      </c>
      <c r="E280" s="0" t="s">
        <v>1643</v>
      </c>
      <c r="G280" s="0" t="s">
        <v>1637</v>
      </c>
      <c r="H280" s="0" t="s">
        <v>1644</v>
      </c>
      <c r="I280" s="0" t="s">
        <v>1564</v>
      </c>
      <c r="J280" s="0" t="s">
        <v>456</v>
      </c>
      <c r="K280" s="0" t="s">
        <v>168</v>
      </c>
      <c r="L280" s="0" t="s">
        <v>101</v>
      </c>
      <c r="M280" s="0" t="s">
        <v>1564</v>
      </c>
      <c r="N280" s="0" t="s">
        <v>101</v>
      </c>
      <c r="P280" s="0" t="s">
        <v>102</v>
      </c>
      <c r="Q280" s="0" t="s">
        <v>102</v>
      </c>
      <c r="R280" s="0" t="s">
        <v>131</v>
      </c>
      <c r="S280" s="0" t="s">
        <v>21</v>
      </c>
      <c r="T280" s="0" t="s">
        <v>104</v>
      </c>
      <c r="W280" s="0" t="s">
        <v>105</v>
      </c>
      <c r="X280" s="0" t="s">
        <v>1645</v>
      </c>
      <c r="Y280" s="0" t="s">
        <v>1646</v>
      </c>
      <c r="Z280" s="0" t="s">
        <v>159</v>
      </c>
      <c r="AA280" s="0" t="s">
        <v>172</v>
      </c>
    </row>
    <row r="281" customFormat="false" ht="15" hidden="false" customHeight="false" outlineLevel="0" collapsed="false">
      <c r="A281" s="0" t="s">
        <v>21</v>
      </c>
      <c r="B281" s="0" t="s">
        <v>1647</v>
      </c>
      <c r="C281" s="0" t="s">
        <v>97</v>
      </c>
      <c r="E281" s="0" t="s">
        <v>1648</v>
      </c>
      <c r="G281" s="0" t="s">
        <v>1649</v>
      </c>
      <c r="H281" s="0" t="s">
        <v>1650</v>
      </c>
      <c r="I281" s="0" t="s">
        <v>1651</v>
      </c>
      <c r="J281" s="0" t="s">
        <v>247</v>
      </c>
      <c r="K281" s="0" t="s">
        <v>1652</v>
      </c>
      <c r="L281" s="0" t="s">
        <v>124</v>
      </c>
      <c r="M281" s="0" t="s">
        <v>247</v>
      </c>
      <c r="N281" s="0" t="s">
        <v>124</v>
      </c>
      <c r="P281" s="0" t="s">
        <v>204</v>
      </c>
      <c r="Q281" s="0" t="s">
        <v>204</v>
      </c>
      <c r="R281" s="0" t="s">
        <v>103</v>
      </c>
      <c r="S281" s="0" t="s">
        <v>21</v>
      </c>
      <c r="T281" s="0" t="s">
        <v>104</v>
      </c>
      <c r="W281" s="0" t="s">
        <v>105</v>
      </c>
      <c r="X281" s="0" t="s">
        <v>1653</v>
      </c>
      <c r="Y281" s="0" t="s">
        <v>1654</v>
      </c>
      <c r="Z281" s="0" t="s">
        <v>134</v>
      </c>
    </row>
    <row r="282" customFormat="false" ht="15" hidden="false" customHeight="false" outlineLevel="0" collapsed="false">
      <c r="A282" s="0" t="s">
        <v>21</v>
      </c>
      <c r="B282" s="0" t="s">
        <v>1655</v>
      </c>
      <c r="C282" s="0" t="s">
        <v>97</v>
      </c>
      <c r="D282" s="0" t="s">
        <v>1656</v>
      </c>
      <c r="E282" s="0" t="s">
        <v>1657</v>
      </c>
      <c r="F282" s="0" t="s">
        <v>1658</v>
      </c>
      <c r="G282" s="0" t="s">
        <v>1659</v>
      </c>
      <c r="H282" s="0" t="s">
        <v>1660</v>
      </c>
      <c r="I282" s="0" t="s">
        <v>1661</v>
      </c>
      <c r="J282" s="0" t="s">
        <v>245</v>
      </c>
      <c r="K282" s="0" t="s">
        <v>1662</v>
      </c>
      <c r="L282" s="0" t="s">
        <v>124</v>
      </c>
      <c r="M282" s="0" t="s">
        <v>247</v>
      </c>
      <c r="N282" s="0" t="s">
        <v>124</v>
      </c>
      <c r="P282" s="0" t="s">
        <v>233</v>
      </c>
      <c r="Q282" s="0" t="s">
        <v>233</v>
      </c>
      <c r="R282" s="0" t="s">
        <v>233</v>
      </c>
      <c r="S282" s="0" t="s">
        <v>21</v>
      </c>
      <c r="T282" s="0" t="s">
        <v>104</v>
      </c>
      <c r="W282" s="0" t="s">
        <v>183</v>
      </c>
      <c r="X282" s="0" t="s">
        <v>1663</v>
      </c>
      <c r="Y282" s="0" t="s">
        <v>1664</v>
      </c>
      <c r="Z282" s="0" t="s">
        <v>195</v>
      </c>
    </row>
    <row r="283" customFormat="false" ht="15" hidden="false" customHeight="false" outlineLevel="0" collapsed="false">
      <c r="A283" s="0" t="s">
        <v>21</v>
      </c>
      <c r="B283" s="0" t="s">
        <v>1655</v>
      </c>
      <c r="C283" s="0" t="s">
        <v>97</v>
      </c>
      <c r="D283" s="0" t="s">
        <v>1656</v>
      </c>
      <c r="E283" s="0" t="s">
        <v>1657</v>
      </c>
      <c r="F283" s="0" t="s">
        <v>1658</v>
      </c>
      <c r="G283" s="0" t="s">
        <v>1659</v>
      </c>
      <c r="H283" s="0" t="s">
        <v>1660</v>
      </c>
      <c r="I283" s="0" t="s">
        <v>1661</v>
      </c>
      <c r="J283" s="0" t="s">
        <v>245</v>
      </c>
      <c r="K283" s="0" t="s">
        <v>1662</v>
      </c>
      <c r="L283" s="0" t="s">
        <v>124</v>
      </c>
      <c r="M283" s="0" t="s">
        <v>247</v>
      </c>
      <c r="N283" s="0" t="s">
        <v>124</v>
      </c>
      <c r="P283" s="0" t="s">
        <v>102</v>
      </c>
      <c r="Q283" s="0" t="s">
        <v>102</v>
      </c>
      <c r="R283" s="0" t="s">
        <v>234</v>
      </c>
      <c r="S283" s="0" t="s">
        <v>21</v>
      </c>
      <c r="T283" s="0" t="s">
        <v>104</v>
      </c>
      <c r="V283" s="0" t="s">
        <v>235</v>
      </c>
      <c r="W283" s="0" t="s">
        <v>105</v>
      </c>
      <c r="X283" s="0" t="s">
        <v>1663</v>
      </c>
      <c r="Y283" s="0" t="s">
        <v>1664</v>
      </c>
      <c r="Z283" s="0" t="s">
        <v>195</v>
      </c>
    </row>
    <row r="284" customFormat="false" ht="15" hidden="false" customHeight="false" outlineLevel="0" collapsed="false">
      <c r="A284" s="0" t="s">
        <v>21</v>
      </c>
      <c r="B284" s="0" t="s">
        <v>1655</v>
      </c>
      <c r="C284" s="0" t="s">
        <v>97</v>
      </c>
      <c r="D284" s="0" t="s">
        <v>1656</v>
      </c>
      <c r="E284" s="0" t="s">
        <v>1657</v>
      </c>
      <c r="F284" s="0" t="s">
        <v>1658</v>
      </c>
      <c r="G284" s="0" t="s">
        <v>1659</v>
      </c>
      <c r="H284" s="0" t="s">
        <v>1660</v>
      </c>
      <c r="I284" s="0" t="s">
        <v>1661</v>
      </c>
      <c r="J284" s="0" t="s">
        <v>245</v>
      </c>
      <c r="K284" s="0" t="s">
        <v>1662</v>
      </c>
      <c r="L284" s="0" t="s">
        <v>124</v>
      </c>
      <c r="M284" s="0" t="s">
        <v>247</v>
      </c>
      <c r="N284" s="0" t="s">
        <v>124</v>
      </c>
      <c r="P284" s="0" t="s">
        <v>236</v>
      </c>
      <c r="Q284" s="0" t="s">
        <v>236</v>
      </c>
      <c r="R284" s="0" t="s">
        <v>237</v>
      </c>
      <c r="S284" s="0" t="s">
        <v>21</v>
      </c>
      <c r="T284" s="0" t="s">
        <v>104</v>
      </c>
      <c r="U284" s="0" t="s">
        <v>238</v>
      </c>
      <c r="W284" s="0" t="s">
        <v>105</v>
      </c>
      <c r="X284" s="0" t="s">
        <v>1663</v>
      </c>
      <c r="Y284" s="0" t="s">
        <v>1664</v>
      </c>
      <c r="Z284" s="0" t="s">
        <v>195</v>
      </c>
    </row>
    <row r="285" customFormat="false" ht="15" hidden="false" customHeight="false" outlineLevel="0" collapsed="false">
      <c r="A285" s="0" t="s">
        <v>21</v>
      </c>
      <c r="B285" s="0" t="s">
        <v>1665</v>
      </c>
      <c r="C285" s="0" t="s">
        <v>771</v>
      </c>
      <c r="D285" s="0" t="s">
        <v>1666</v>
      </c>
      <c r="E285" s="0" t="s">
        <v>1666</v>
      </c>
      <c r="M285" s="0" t="s">
        <v>100</v>
      </c>
      <c r="N285" s="0" t="s">
        <v>101</v>
      </c>
      <c r="P285" s="0" t="s">
        <v>204</v>
      </c>
      <c r="Q285" s="0" t="s">
        <v>204</v>
      </c>
      <c r="R285" s="0" t="s">
        <v>399</v>
      </c>
      <c r="S285" s="0" t="s">
        <v>21</v>
      </c>
      <c r="T285" s="0" t="s">
        <v>104</v>
      </c>
      <c r="W285" s="0" t="s">
        <v>105</v>
      </c>
    </row>
    <row r="286" customFormat="false" ht="15" hidden="false" customHeight="false" outlineLevel="0" collapsed="false">
      <c r="A286" s="0" t="s">
        <v>21</v>
      </c>
      <c r="B286" s="0" t="s">
        <v>1667</v>
      </c>
      <c r="C286" s="0" t="s">
        <v>110</v>
      </c>
      <c r="D286" s="0" t="s">
        <v>1668</v>
      </c>
      <c r="E286" s="0" t="s">
        <v>1669</v>
      </c>
      <c r="H286" s="0" t="s">
        <v>1670</v>
      </c>
      <c r="I286" s="0" t="s">
        <v>1671</v>
      </c>
      <c r="J286" s="0" t="s">
        <v>275</v>
      </c>
      <c r="K286" s="0" t="s">
        <v>1672</v>
      </c>
      <c r="L286" s="0" t="s">
        <v>124</v>
      </c>
      <c r="M286" s="0" t="s">
        <v>178</v>
      </c>
      <c r="N286" s="0" t="s">
        <v>124</v>
      </c>
      <c r="P286" s="0" t="s">
        <v>102</v>
      </c>
      <c r="Q286" s="0" t="s">
        <v>102</v>
      </c>
      <c r="R286" s="0" t="s">
        <v>131</v>
      </c>
      <c r="S286" s="0" t="s">
        <v>21</v>
      </c>
      <c r="T286" s="0" t="s">
        <v>104</v>
      </c>
      <c r="W286" s="0" t="s">
        <v>105</v>
      </c>
      <c r="X286" s="0" t="s">
        <v>1673</v>
      </c>
      <c r="Y286" s="0" t="s">
        <v>1674</v>
      </c>
    </row>
    <row r="287" customFormat="false" ht="15" hidden="false" customHeight="false" outlineLevel="0" collapsed="false">
      <c r="A287" s="0" t="s">
        <v>21</v>
      </c>
      <c r="B287" s="0" t="s">
        <v>1675</v>
      </c>
      <c r="C287" s="0" t="s">
        <v>97</v>
      </c>
      <c r="E287" s="0" t="s">
        <v>1676</v>
      </c>
      <c r="M287" s="0" t="s">
        <v>178</v>
      </c>
      <c r="N287" s="0" t="s">
        <v>124</v>
      </c>
      <c r="P287" s="0" t="s">
        <v>204</v>
      </c>
      <c r="Q287" s="0" t="s">
        <v>204</v>
      </c>
      <c r="R287" s="0" t="s">
        <v>657</v>
      </c>
      <c r="S287" s="0" t="s">
        <v>21</v>
      </c>
      <c r="T287" s="0" t="s">
        <v>104</v>
      </c>
      <c r="W287" s="0" t="s">
        <v>105</v>
      </c>
      <c r="AB287" s="0" t="s">
        <v>539</v>
      </c>
    </row>
    <row r="288" customFormat="false" ht="15" hidden="false" customHeight="false" outlineLevel="0" collapsed="false">
      <c r="A288" s="0" t="s">
        <v>21</v>
      </c>
      <c r="B288" s="0" t="s">
        <v>1677</v>
      </c>
      <c r="C288" s="0" t="s">
        <v>110</v>
      </c>
      <c r="D288" s="0" t="s">
        <v>1678</v>
      </c>
      <c r="E288" s="0" t="s">
        <v>1679</v>
      </c>
      <c r="H288" s="0" t="s">
        <v>1680</v>
      </c>
      <c r="I288" s="0" t="s">
        <v>1681</v>
      </c>
      <c r="J288" s="0" t="s">
        <v>275</v>
      </c>
      <c r="K288" s="0" t="s">
        <v>1682</v>
      </c>
      <c r="L288" s="0" t="s">
        <v>124</v>
      </c>
      <c r="M288" s="0" t="s">
        <v>178</v>
      </c>
      <c r="N288" s="0" t="s">
        <v>124</v>
      </c>
      <c r="P288" s="0" t="s">
        <v>102</v>
      </c>
      <c r="Q288" s="0" t="s">
        <v>102</v>
      </c>
      <c r="R288" s="0" t="s">
        <v>131</v>
      </c>
      <c r="S288" s="0" t="s">
        <v>21</v>
      </c>
      <c r="T288" s="0" t="s">
        <v>104</v>
      </c>
      <c r="W288" s="0" t="s">
        <v>105</v>
      </c>
      <c r="X288" s="0" t="s">
        <v>1683</v>
      </c>
      <c r="Y288" s="0" t="s">
        <v>1684</v>
      </c>
      <c r="AB288" s="0" t="s">
        <v>539</v>
      </c>
    </row>
    <row r="289" customFormat="false" ht="15" hidden="false" customHeight="false" outlineLevel="0" collapsed="false">
      <c r="A289" s="0" t="s">
        <v>21</v>
      </c>
      <c r="B289" s="0" t="s">
        <v>1685</v>
      </c>
      <c r="C289" s="0" t="s">
        <v>97</v>
      </c>
      <c r="E289" s="0" t="s">
        <v>1686</v>
      </c>
      <c r="H289" s="0" t="s">
        <v>1687</v>
      </c>
      <c r="I289" s="0" t="s">
        <v>1688</v>
      </c>
      <c r="J289" s="0" t="s">
        <v>275</v>
      </c>
      <c r="K289" s="0" t="s">
        <v>1689</v>
      </c>
      <c r="L289" s="0" t="s">
        <v>124</v>
      </c>
      <c r="M289" s="0" t="s">
        <v>178</v>
      </c>
      <c r="N289" s="0" t="s">
        <v>124</v>
      </c>
      <c r="P289" s="0" t="s">
        <v>130</v>
      </c>
      <c r="Q289" s="0" t="s">
        <v>130</v>
      </c>
      <c r="R289" s="0" t="s">
        <v>131</v>
      </c>
      <c r="S289" s="0" t="s">
        <v>21</v>
      </c>
      <c r="T289" s="0" t="s">
        <v>104</v>
      </c>
      <c r="W289" s="0" t="s">
        <v>105</v>
      </c>
      <c r="X289" s="0" t="s">
        <v>1690</v>
      </c>
      <c r="Y289" s="0" t="s">
        <v>1691</v>
      </c>
      <c r="AB289" s="0" t="s">
        <v>539</v>
      </c>
    </row>
    <row r="290" customFormat="false" ht="15" hidden="false" customHeight="false" outlineLevel="0" collapsed="false">
      <c r="A290" s="0" t="s">
        <v>21</v>
      </c>
      <c r="B290" s="0" t="s">
        <v>1692</v>
      </c>
      <c r="C290" s="0" t="s">
        <v>110</v>
      </c>
      <c r="D290" s="0" t="s">
        <v>1693</v>
      </c>
      <c r="E290" s="0" t="s">
        <v>1694</v>
      </c>
      <c r="H290" s="0" t="s">
        <v>1695</v>
      </c>
      <c r="I290" s="0" t="s">
        <v>1696</v>
      </c>
      <c r="J290" s="0" t="s">
        <v>275</v>
      </c>
      <c r="K290" s="0" t="s">
        <v>1697</v>
      </c>
      <c r="L290" s="0" t="s">
        <v>124</v>
      </c>
      <c r="M290" s="0" t="s">
        <v>178</v>
      </c>
      <c r="N290" s="0" t="s">
        <v>124</v>
      </c>
      <c r="P290" s="0" t="s">
        <v>102</v>
      </c>
      <c r="Q290" s="0" t="s">
        <v>102</v>
      </c>
      <c r="R290" s="0" t="s">
        <v>131</v>
      </c>
      <c r="S290" s="0" t="s">
        <v>21</v>
      </c>
      <c r="T290" s="0" t="s">
        <v>104</v>
      </c>
      <c r="W290" s="0" t="s">
        <v>105</v>
      </c>
      <c r="X290" s="0" t="s">
        <v>1698</v>
      </c>
      <c r="Y290" s="0" t="s">
        <v>1699</v>
      </c>
    </row>
    <row r="291" customFormat="false" ht="15" hidden="false" customHeight="false" outlineLevel="0" collapsed="false">
      <c r="A291" s="0" t="s">
        <v>21</v>
      </c>
      <c r="B291" s="0" t="s">
        <v>1700</v>
      </c>
      <c r="C291" s="0" t="s">
        <v>110</v>
      </c>
      <c r="D291" s="0" t="s">
        <v>1701</v>
      </c>
      <c r="E291" s="0" t="s">
        <v>1702</v>
      </c>
      <c r="H291" s="0" t="s">
        <v>1703</v>
      </c>
      <c r="I291" s="0" t="s">
        <v>1704</v>
      </c>
      <c r="J291" s="0" t="s">
        <v>275</v>
      </c>
      <c r="K291" s="0" t="s">
        <v>1705</v>
      </c>
      <c r="L291" s="0" t="s">
        <v>124</v>
      </c>
      <c r="M291" s="0" t="s">
        <v>178</v>
      </c>
      <c r="N291" s="0" t="s">
        <v>124</v>
      </c>
      <c r="P291" s="0" t="s">
        <v>102</v>
      </c>
      <c r="Q291" s="0" t="s">
        <v>102</v>
      </c>
      <c r="R291" s="0" t="s">
        <v>131</v>
      </c>
      <c r="S291" s="0" t="s">
        <v>21</v>
      </c>
      <c r="T291" s="0" t="s">
        <v>104</v>
      </c>
      <c r="W291" s="0" t="s">
        <v>105</v>
      </c>
      <c r="X291" s="0" t="s">
        <v>1706</v>
      </c>
      <c r="Y291" s="0" t="s">
        <v>1707</v>
      </c>
    </row>
    <row r="292" customFormat="false" ht="15" hidden="false" customHeight="false" outlineLevel="0" collapsed="false">
      <c r="A292" s="0" t="s">
        <v>21</v>
      </c>
      <c r="B292" s="0" t="s">
        <v>1708</v>
      </c>
      <c r="C292" s="0" t="s">
        <v>97</v>
      </c>
      <c r="E292" s="0" t="s">
        <v>1709</v>
      </c>
      <c r="H292" s="0" t="s">
        <v>1710</v>
      </c>
      <c r="I292" s="0" t="s">
        <v>1711</v>
      </c>
      <c r="K292" s="0" t="s">
        <v>1622</v>
      </c>
      <c r="L292" s="0" t="s">
        <v>101</v>
      </c>
      <c r="M292" s="0" t="s">
        <v>421</v>
      </c>
      <c r="N292" s="0" t="s">
        <v>101</v>
      </c>
      <c r="P292" s="0" t="s">
        <v>204</v>
      </c>
      <c r="Q292" s="0" t="s">
        <v>204</v>
      </c>
      <c r="R292" s="0" t="s">
        <v>657</v>
      </c>
      <c r="S292" s="0" t="s">
        <v>21</v>
      </c>
      <c r="T292" s="0" t="s">
        <v>104</v>
      </c>
      <c r="W292" s="0" t="s">
        <v>105</v>
      </c>
      <c r="X292" s="0" t="s">
        <v>1712</v>
      </c>
      <c r="Y292" s="0" t="s">
        <v>1713</v>
      </c>
      <c r="AB292" s="0" t="s">
        <v>539</v>
      </c>
    </row>
    <row r="293" customFormat="false" ht="15" hidden="false" customHeight="false" outlineLevel="0" collapsed="false">
      <c r="A293" s="0" t="s">
        <v>21</v>
      </c>
      <c r="B293" s="0" t="s">
        <v>1714</v>
      </c>
      <c r="C293" s="0" t="s">
        <v>97</v>
      </c>
      <c r="E293" s="0" t="s">
        <v>1715</v>
      </c>
      <c r="J293" s="0" t="s">
        <v>254</v>
      </c>
      <c r="L293" s="0" t="s">
        <v>124</v>
      </c>
      <c r="M293" s="0" t="s">
        <v>208</v>
      </c>
      <c r="N293" s="0" t="s">
        <v>124</v>
      </c>
      <c r="P293" s="0" t="s">
        <v>130</v>
      </c>
      <c r="Q293" s="0" t="s">
        <v>130</v>
      </c>
      <c r="R293" s="0" t="s">
        <v>131</v>
      </c>
      <c r="S293" s="0" t="s">
        <v>21</v>
      </c>
      <c r="T293" s="0" t="s">
        <v>104</v>
      </c>
      <c r="W293" s="0" t="s">
        <v>105</v>
      </c>
      <c r="AB293" s="0" t="s">
        <v>539</v>
      </c>
    </row>
    <row r="294" customFormat="false" ht="15" hidden="false" customHeight="false" outlineLevel="0" collapsed="false">
      <c r="A294" s="0" t="s">
        <v>21</v>
      </c>
      <c r="B294" s="0" t="s">
        <v>1716</v>
      </c>
      <c r="C294" s="0" t="s">
        <v>97</v>
      </c>
      <c r="E294" s="0" t="s">
        <v>1717</v>
      </c>
      <c r="H294" s="0" t="s">
        <v>1718</v>
      </c>
      <c r="I294" s="0" t="s">
        <v>750</v>
      </c>
      <c r="J294" s="0" t="s">
        <v>275</v>
      </c>
      <c r="K294" s="0" t="s">
        <v>751</v>
      </c>
      <c r="L294" s="0" t="s">
        <v>124</v>
      </c>
      <c r="M294" s="0" t="s">
        <v>178</v>
      </c>
      <c r="N294" s="0" t="s">
        <v>124</v>
      </c>
      <c r="O294" s="0" t="s">
        <v>178</v>
      </c>
      <c r="P294" s="0" t="s">
        <v>204</v>
      </c>
      <c r="Q294" s="0" t="s">
        <v>204</v>
      </c>
      <c r="R294" s="0" t="s">
        <v>131</v>
      </c>
      <c r="S294" s="0" t="s">
        <v>21</v>
      </c>
      <c r="T294" s="0" t="s">
        <v>104</v>
      </c>
      <c r="W294" s="0" t="s">
        <v>105</v>
      </c>
      <c r="AB294" s="0" t="s">
        <v>539</v>
      </c>
    </row>
    <row r="295" customFormat="false" ht="15" hidden="false" customHeight="false" outlineLevel="0" collapsed="false">
      <c r="A295" s="0" t="s">
        <v>21</v>
      </c>
      <c r="B295" s="0" t="s">
        <v>1716</v>
      </c>
      <c r="C295" s="0" t="s">
        <v>97</v>
      </c>
      <c r="E295" s="0" t="s">
        <v>1717</v>
      </c>
      <c r="H295" s="0" t="s">
        <v>1718</v>
      </c>
      <c r="I295" s="0" t="s">
        <v>750</v>
      </c>
      <c r="J295" s="0" t="s">
        <v>275</v>
      </c>
      <c r="K295" s="0" t="s">
        <v>751</v>
      </c>
      <c r="L295" s="0" t="s">
        <v>124</v>
      </c>
      <c r="M295" s="0" t="s">
        <v>178</v>
      </c>
      <c r="N295" s="0" t="s">
        <v>124</v>
      </c>
      <c r="O295" s="0" t="s">
        <v>178</v>
      </c>
      <c r="P295" s="0" t="s">
        <v>554</v>
      </c>
      <c r="Q295" s="0" t="s">
        <v>554</v>
      </c>
      <c r="R295" s="0" t="s">
        <v>554</v>
      </c>
      <c r="S295" s="0" t="s">
        <v>21</v>
      </c>
      <c r="T295" s="0" t="s">
        <v>104</v>
      </c>
      <c r="W295" s="0" t="s">
        <v>183</v>
      </c>
      <c r="AB295" s="0" t="s">
        <v>539</v>
      </c>
    </row>
    <row r="296" customFormat="false" ht="15" hidden="false" customHeight="false" outlineLevel="0" collapsed="false">
      <c r="A296" s="0" t="s">
        <v>21</v>
      </c>
      <c r="B296" s="0" t="s">
        <v>1719</v>
      </c>
      <c r="C296" s="0" t="s">
        <v>97</v>
      </c>
      <c r="E296" s="0" t="s">
        <v>1720</v>
      </c>
      <c r="H296" s="0" t="s">
        <v>1721</v>
      </c>
      <c r="I296" s="0" t="s">
        <v>1722</v>
      </c>
      <c r="J296" s="0" t="s">
        <v>275</v>
      </c>
      <c r="K296" s="0" t="s">
        <v>1723</v>
      </c>
      <c r="L296" s="0" t="s">
        <v>124</v>
      </c>
      <c r="M296" s="0" t="s">
        <v>178</v>
      </c>
      <c r="N296" s="0" t="s">
        <v>124</v>
      </c>
      <c r="P296" s="0" t="s">
        <v>130</v>
      </c>
      <c r="Q296" s="0" t="s">
        <v>130</v>
      </c>
      <c r="R296" s="0" t="s">
        <v>131</v>
      </c>
      <c r="S296" s="0" t="s">
        <v>21</v>
      </c>
      <c r="T296" s="0" t="s">
        <v>104</v>
      </c>
      <c r="W296" s="0" t="s">
        <v>105</v>
      </c>
      <c r="X296" s="0" t="s">
        <v>1724</v>
      </c>
      <c r="Y296" s="0" t="s">
        <v>1725</v>
      </c>
      <c r="AB296" s="0" t="s">
        <v>539</v>
      </c>
    </row>
    <row r="297" customFormat="false" ht="15" hidden="false" customHeight="false" outlineLevel="0" collapsed="false">
      <c r="A297" s="0" t="s">
        <v>21</v>
      </c>
      <c r="B297" s="0" t="s">
        <v>1726</v>
      </c>
      <c r="C297" s="0" t="s">
        <v>97</v>
      </c>
      <c r="E297" s="0" t="s">
        <v>1727</v>
      </c>
      <c r="H297" s="0" t="s">
        <v>1728</v>
      </c>
      <c r="I297" s="0" t="s">
        <v>420</v>
      </c>
      <c r="J297" s="0" t="s">
        <v>275</v>
      </c>
      <c r="K297" s="0" t="s">
        <v>1729</v>
      </c>
      <c r="L297" s="0" t="s">
        <v>124</v>
      </c>
      <c r="M297" s="0" t="s">
        <v>178</v>
      </c>
      <c r="N297" s="0" t="s">
        <v>124</v>
      </c>
      <c r="P297" s="0" t="s">
        <v>204</v>
      </c>
      <c r="Q297" s="0" t="s">
        <v>204</v>
      </c>
      <c r="R297" s="0" t="s">
        <v>131</v>
      </c>
      <c r="S297" s="0" t="s">
        <v>21</v>
      </c>
      <c r="T297" s="0" t="s">
        <v>104</v>
      </c>
      <c r="W297" s="0" t="s">
        <v>105</v>
      </c>
      <c r="X297" s="0" t="s">
        <v>1730</v>
      </c>
      <c r="Y297" s="0" t="s">
        <v>1731</v>
      </c>
      <c r="AB297" s="0" t="s">
        <v>539</v>
      </c>
    </row>
    <row r="298" customFormat="false" ht="15" hidden="false" customHeight="false" outlineLevel="0" collapsed="false">
      <c r="A298" s="0" t="s">
        <v>21</v>
      </c>
      <c r="B298" s="0" t="s">
        <v>1726</v>
      </c>
      <c r="C298" s="0" t="s">
        <v>97</v>
      </c>
      <c r="E298" s="0" t="s">
        <v>1727</v>
      </c>
      <c r="H298" s="0" t="s">
        <v>1728</v>
      </c>
      <c r="I298" s="0" t="s">
        <v>420</v>
      </c>
      <c r="J298" s="0" t="s">
        <v>275</v>
      </c>
      <c r="K298" s="0" t="s">
        <v>1729</v>
      </c>
      <c r="L298" s="0" t="s">
        <v>124</v>
      </c>
      <c r="M298" s="0" t="s">
        <v>178</v>
      </c>
      <c r="N298" s="0" t="s">
        <v>124</v>
      </c>
      <c r="P298" s="0" t="s">
        <v>554</v>
      </c>
      <c r="Q298" s="0" t="s">
        <v>554</v>
      </c>
      <c r="R298" s="0" t="s">
        <v>554</v>
      </c>
      <c r="S298" s="0" t="s">
        <v>21</v>
      </c>
      <c r="T298" s="0" t="s">
        <v>104</v>
      </c>
      <c r="W298" s="0" t="s">
        <v>183</v>
      </c>
      <c r="X298" s="0" t="s">
        <v>1730</v>
      </c>
      <c r="Y298" s="0" t="s">
        <v>1731</v>
      </c>
      <c r="AB298" s="0" t="s">
        <v>539</v>
      </c>
    </row>
    <row r="299" customFormat="false" ht="15" hidden="false" customHeight="false" outlineLevel="0" collapsed="false">
      <c r="A299" s="0" t="s">
        <v>21</v>
      </c>
      <c r="B299" s="0" t="s">
        <v>1732</v>
      </c>
      <c r="C299" s="0" t="s">
        <v>97</v>
      </c>
      <c r="E299" s="0" t="s">
        <v>1733</v>
      </c>
      <c r="H299" s="0" t="s">
        <v>1734</v>
      </c>
      <c r="I299" s="0" t="s">
        <v>1735</v>
      </c>
      <c r="K299" s="0" t="s">
        <v>1736</v>
      </c>
      <c r="L299" s="0" t="s">
        <v>101</v>
      </c>
      <c r="M299" s="0" t="s">
        <v>448</v>
      </c>
      <c r="N299" s="0" t="s">
        <v>101</v>
      </c>
      <c r="P299" s="0" t="s">
        <v>204</v>
      </c>
      <c r="Q299" s="0" t="s">
        <v>204</v>
      </c>
      <c r="R299" s="0" t="s">
        <v>131</v>
      </c>
      <c r="S299" s="0" t="s">
        <v>21</v>
      </c>
      <c r="T299" s="0" t="s">
        <v>104</v>
      </c>
      <c r="W299" s="0" t="s">
        <v>105</v>
      </c>
      <c r="X299" s="0" t="s">
        <v>1737</v>
      </c>
      <c r="Y299" s="0" t="s">
        <v>1738</v>
      </c>
      <c r="AB299" s="0" t="s">
        <v>539</v>
      </c>
    </row>
    <row r="300" customFormat="false" ht="15" hidden="false" customHeight="false" outlineLevel="0" collapsed="false">
      <c r="A300" s="0" t="s">
        <v>21</v>
      </c>
      <c r="B300" s="0" t="s">
        <v>1732</v>
      </c>
      <c r="C300" s="0" t="s">
        <v>97</v>
      </c>
      <c r="E300" s="0" t="s">
        <v>1733</v>
      </c>
      <c r="H300" s="0" t="s">
        <v>1734</v>
      </c>
      <c r="I300" s="0" t="s">
        <v>1735</v>
      </c>
      <c r="K300" s="0" t="s">
        <v>1736</v>
      </c>
      <c r="L300" s="0" t="s">
        <v>101</v>
      </c>
      <c r="M300" s="0" t="s">
        <v>448</v>
      </c>
      <c r="N300" s="0" t="s">
        <v>101</v>
      </c>
      <c r="P300" s="0" t="s">
        <v>554</v>
      </c>
      <c r="Q300" s="0" t="s">
        <v>554</v>
      </c>
      <c r="R300" s="0" t="s">
        <v>554</v>
      </c>
      <c r="S300" s="0" t="s">
        <v>21</v>
      </c>
      <c r="T300" s="0" t="s">
        <v>104</v>
      </c>
      <c r="W300" s="0" t="s">
        <v>183</v>
      </c>
      <c r="X300" s="0" t="s">
        <v>1737</v>
      </c>
      <c r="Y300" s="0" t="s">
        <v>1738</v>
      </c>
      <c r="AB300" s="0" t="s">
        <v>539</v>
      </c>
    </row>
    <row r="301" customFormat="false" ht="15" hidden="false" customHeight="false" outlineLevel="0" collapsed="false">
      <c r="A301" s="0" t="s">
        <v>21</v>
      </c>
      <c r="B301" s="0" t="s">
        <v>1739</v>
      </c>
      <c r="C301" s="0" t="s">
        <v>97</v>
      </c>
      <c r="E301" s="0" t="s">
        <v>1740</v>
      </c>
      <c r="M301" s="0" t="s">
        <v>178</v>
      </c>
      <c r="N301" s="0" t="s">
        <v>124</v>
      </c>
      <c r="P301" s="0" t="s">
        <v>204</v>
      </c>
      <c r="Q301" s="0" t="s">
        <v>204</v>
      </c>
      <c r="R301" s="0" t="s">
        <v>131</v>
      </c>
      <c r="S301" s="0" t="s">
        <v>21</v>
      </c>
      <c r="T301" s="0" t="s">
        <v>104</v>
      </c>
      <c r="W301" s="0" t="s">
        <v>105</v>
      </c>
      <c r="AB301" s="0" t="s">
        <v>539</v>
      </c>
    </row>
    <row r="302" customFormat="false" ht="15" hidden="false" customHeight="false" outlineLevel="0" collapsed="false">
      <c r="A302" s="0" t="s">
        <v>21</v>
      </c>
      <c r="B302" s="0" t="s">
        <v>1739</v>
      </c>
      <c r="C302" s="0" t="s">
        <v>97</v>
      </c>
      <c r="E302" s="0" t="s">
        <v>1740</v>
      </c>
      <c r="M302" s="0" t="s">
        <v>178</v>
      </c>
      <c r="N302" s="0" t="s">
        <v>124</v>
      </c>
      <c r="P302" s="0" t="s">
        <v>554</v>
      </c>
      <c r="Q302" s="0" t="s">
        <v>554</v>
      </c>
      <c r="R302" s="0" t="s">
        <v>554</v>
      </c>
      <c r="S302" s="0" t="s">
        <v>21</v>
      </c>
      <c r="T302" s="0" t="s">
        <v>104</v>
      </c>
      <c r="W302" s="0" t="s">
        <v>183</v>
      </c>
      <c r="AB302" s="0" t="s">
        <v>539</v>
      </c>
    </row>
    <row r="303" customFormat="false" ht="15" hidden="false" customHeight="false" outlineLevel="0" collapsed="false">
      <c r="A303" s="0" t="s">
        <v>21</v>
      </c>
      <c r="B303" s="0" t="s">
        <v>1741</v>
      </c>
      <c r="C303" s="0" t="s">
        <v>97</v>
      </c>
      <c r="D303" s="0" t="s">
        <v>1742</v>
      </c>
      <c r="E303" s="0" t="s">
        <v>1743</v>
      </c>
      <c r="H303" s="0" t="s">
        <v>1744</v>
      </c>
      <c r="I303" s="0" t="s">
        <v>1479</v>
      </c>
      <c r="K303" s="0" t="s">
        <v>1745</v>
      </c>
      <c r="L303" s="0" t="s">
        <v>101</v>
      </c>
      <c r="M303" s="0" t="s">
        <v>100</v>
      </c>
      <c r="N303" s="0" t="s">
        <v>101</v>
      </c>
      <c r="P303" s="0" t="s">
        <v>204</v>
      </c>
      <c r="Q303" s="0" t="s">
        <v>204</v>
      </c>
      <c r="R303" s="0" t="s">
        <v>131</v>
      </c>
      <c r="S303" s="0" t="s">
        <v>21</v>
      </c>
      <c r="T303" s="0" t="s">
        <v>104</v>
      </c>
      <c r="W303" s="0" t="s">
        <v>105</v>
      </c>
      <c r="X303" s="0" t="s">
        <v>1746</v>
      </c>
      <c r="Y303" s="0" t="s">
        <v>1747</v>
      </c>
      <c r="AB303" s="0" t="s">
        <v>539</v>
      </c>
    </row>
    <row r="304" customFormat="false" ht="15" hidden="false" customHeight="false" outlineLevel="0" collapsed="false">
      <c r="A304" s="0" t="s">
        <v>21</v>
      </c>
      <c r="B304" s="0" t="s">
        <v>1741</v>
      </c>
      <c r="C304" s="0" t="s">
        <v>97</v>
      </c>
      <c r="D304" s="0" t="s">
        <v>1742</v>
      </c>
      <c r="E304" s="0" t="s">
        <v>1743</v>
      </c>
      <c r="H304" s="0" t="s">
        <v>1744</v>
      </c>
      <c r="I304" s="0" t="s">
        <v>1479</v>
      </c>
      <c r="K304" s="0" t="s">
        <v>1745</v>
      </c>
      <c r="L304" s="0" t="s">
        <v>101</v>
      </c>
      <c r="M304" s="0" t="s">
        <v>100</v>
      </c>
      <c r="N304" s="0" t="s">
        <v>101</v>
      </c>
      <c r="P304" s="0" t="s">
        <v>554</v>
      </c>
      <c r="Q304" s="0" t="s">
        <v>554</v>
      </c>
      <c r="R304" s="0" t="s">
        <v>554</v>
      </c>
      <c r="S304" s="0" t="s">
        <v>21</v>
      </c>
      <c r="T304" s="0" t="s">
        <v>104</v>
      </c>
      <c r="W304" s="0" t="s">
        <v>183</v>
      </c>
      <c r="X304" s="0" t="s">
        <v>1746</v>
      </c>
      <c r="Y304" s="0" t="s">
        <v>1747</v>
      </c>
      <c r="AB304" s="0" t="s">
        <v>539</v>
      </c>
    </row>
    <row r="305" customFormat="false" ht="15" hidden="false" customHeight="false" outlineLevel="0" collapsed="false">
      <c r="A305" s="0" t="s">
        <v>21</v>
      </c>
      <c r="B305" s="0" t="s">
        <v>1748</v>
      </c>
      <c r="C305" s="0" t="s">
        <v>97</v>
      </c>
      <c r="D305" s="0" t="s">
        <v>1749</v>
      </c>
      <c r="E305" s="0" t="s">
        <v>1750</v>
      </c>
      <c r="H305" s="0" t="s">
        <v>1751</v>
      </c>
      <c r="I305" s="0" t="s">
        <v>1752</v>
      </c>
      <c r="J305" s="0" t="s">
        <v>275</v>
      </c>
      <c r="K305" s="0" t="s">
        <v>1753</v>
      </c>
      <c r="M305" s="0" t="s">
        <v>178</v>
      </c>
      <c r="N305" s="0" t="s">
        <v>124</v>
      </c>
      <c r="P305" s="0" t="s">
        <v>204</v>
      </c>
      <c r="Q305" s="0" t="s">
        <v>204</v>
      </c>
      <c r="R305" s="0" t="s">
        <v>131</v>
      </c>
      <c r="S305" s="0" t="s">
        <v>21</v>
      </c>
      <c r="T305" s="0" t="s">
        <v>104</v>
      </c>
      <c r="W305" s="0" t="s">
        <v>105</v>
      </c>
      <c r="AB305" s="0" t="s">
        <v>539</v>
      </c>
    </row>
    <row r="306" customFormat="false" ht="15" hidden="false" customHeight="false" outlineLevel="0" collapsed="false">
      <c r="A306" s="0" t="s">
        <v>21</v>
      </c>
      <c r="B306" s="0" t="s">
        <v>1748</v>
      </c>
      <c r="C306" s="0" t="s">
        <v>97</v>
      </c>
      <c r="D306" s="0" t="s">
        <v>1749</v>
      </c>
      <c r="E306" s="0" t="s">
        <v>1750</v>
      </c>
      <c r="H306" s="0" t="s">
        <v>1751</v>
      </c>
      <c r="I306" s="0" t="s">
        <v>1752</v>
      </c>
      <c r="J306" s="0" t="s">
        <v>275</v>
      </c>
      <c r="K306" s="0" t="s">
        <v>1753</v>
      </c>
      <c r="M306" s="0" t="s">
        <v>178</v>
      </c>
      <c r="N306" s="0" t="s">
        <v>124</v>
      </c>
      <c r="P306" s="0" t="s">
        <v>554</v>
      </c>
      <c r="Q306" s="0" t="s">
        <v>554</v>
      </c>
      <c r="R306" s="0" t="s">
        <v>554</v>
      </c>
      <c r="S306" s="0" t="s">
        <v>21</v>
      </c>
      <c r="T306" s="0" t="s">
        <v>104</v>
      </c>
      <c r="W306" s="0" t="s">
        <v>183</v>
      </c>
      <c r="AB306" s="0" t="s">
        <v>539</v>
      </c>
    </row>
    <row r="307" customFormat="false" ht="15" hidden="false" customHeight="false" outlineLevel="0" collapsed="false">
      <c r="A307" s="0" t="s">
        <v>21</v>
      </c>
      <c r="B307" s="0" t="s">
        <v>1754</v>
      </c>
      <c r="C307" s="0" t="s">
        <v>97</v>
      </c>
      <c r="E307" s="0" t="s">
        <v>1755</v>
      </c>
      <c r="H307" s="0" t="s">
        <v>1756</v>
      </c>
      <c r="I307" s="0" t="s">
        <v>1757</v>
      </c>
      <c r="J307" s="0" t="s">
        <v>275</v>
      </c>
      <c r="K307" s="0" t="s">
        <v>1758</v>
      </c>
      <c r="L307" s="0" t="s">
        <v>124</v>
      </c>
      <c r="M307" s="0" t="s">
        <v>178</v>
      </c>
      <c r="N307" s="0" t="s">
        <v>124</v>
      </c>
      <c r="P307" s="0" t="s">
        <v>204</v>
      </c>
      <c r="Q307" s="0" t="s">
        <v>204</v>
      </c>
      <c r="R307" s="0" t="s">
        <v>657</v>
      </c>
      <c r="S307" s="0" t="s">
        <v>21</v>
      </c>
      <c r="T307" s="0" t="s">
        <v>104</v>
      </c>
      <c r="W307" s="0" t="s">
        <v>105</v>
      </c>
      <c r="X307" s="0" t="s">
        <v>1759</v>
      </c>
      <c r="Y307" s="0" t="s">
        <v>1760</v>
      </c>
      <c r="AB307" s="0" t="s">
        <v>539</v>
      </c>
    </row>
    <row r="308" customFormat="false" ht="15" hidden="false" customHeight="false" outlineLevel="0" collapsed="false">
      <c r="A308" s="0" t="s">
        <v>21</v>
      </c>
      <c r="B308" s="0" t="s">
        <v>1761</v>
      </c>
      <c r="C308" s="0" t="s">
        <v>97</v>
      </c>
      <c r="E308" s="0" t="s">
        <v>1762</v>
      </c>
      <c r="G308" s="0" t="s">
        <v>1763</v>
      </c>
      <c r="H308" s="0" t="s">
        <v>1764</v>
      </c>
      <c r="I308" s="0" t="s">
        <v>1765</v>
      </c>
      <c r="J308" s="0" t="s">
        <v>1766</v>
      </c>
      <c r="K308" s="0" t="s">
        <v>1767</v>
      </c>
      <c r="L308" s="0" t="s">
        <v>124</v>
      </c>
      <c r="M308" s="0" t="s">
        <v>178</v>
      </c>
      <c r="N308" s="0" t="s">
        <v>124</v>
      </c>
      <c r="O308" s="0" t="s">
        <v>178</v>
      </c>
      <c r="P308" s="0" t="s">
        <v>204</v>
      </c>
      <c r="Q308" s="0" t="s">
        <v>204</v>
      </c>
      <c r="R308" s="0" t="s">
        <v>131</v>
      </c>
      <c r="S308" s="0" t="s">
        <v>21</v>
      </c>
      <c r="T308" s="0" t="s">
        <v>104</v>
      </c>
      <c r="W308" s="0" t="s">
        <v>105</v>
      </c>
      <c r="AB308" s="0" t="s">
        <v>539</v>
      </c>
    </row>
    <row r="309" customFormat="false" ht="15" hidden="false" customHeight="false" outlineLevel="0" collapsed="false">
      <c r="A309" s="0" t="s">
        <v>21</v>
      </c>
      <c r="B309" s="0" t="s">
        <v>1761</v>
      </c>
      <c r="C309" s="0" t="s">
        <v>97</v>
      </c>
      <c r="E309" s="0" t="s">
        <v>1762</v>
      </c>
      <c r="G309" s="0" t="s">
        <v>1763</v>
      </c>
      <c r="H309" s="0" t="s">
        <v>1764</v>
      </c>
      <c r="I309" s="0" t="s">
        <v>1765</v>
      </c>
      <c r="J309" s="0" t="s">
        <v>1766</v>
      </c>
      <c r="K309" s="0" t="s">
        <v>1767</v>
      </c>
      <c r="L309" s="0" t="s">
        <v>124</v>
      </c>
      <c r="M309" s="0" t="s">
        <v>178</v>
      </c>
      <c r="N309" s="0" t="s">
        <v>124</v>
      </c>
      <c r="O309" s="0" t="s">
        <v>178</v>
      </c>
      <c r="P309" s="0" t="s">
        <v>554</v>
      </c>
      <c r="Q309" s="0" t="s">
        <v>554</v>
      </c>
      <c r="R309" s="0" t="s">
        <v>554</v>
      </c>
      <c r="S309" s="0" t="s">
        <v>21</v>
      </c>
      <c r="T309" s="0" t="s">
        <v>104</v>
      </c>
      <c r="W309" s="0" t="s">
        <v>183</v>
      </c>
      <c r="AB309" s="0" t="s">
        <v>539</v>
      </c>
    </row>
    <row r="310" customFormat="false" ht="15" hidden="false" customHeight="false" outlineLevel="0" collapsed="false">
      <c r="A310" s="0" t="s">
        <v>21</v>
      </c>
      <c r="B310" s="0" t="s">
        <v>1768</v>
      </c>
      <c r="C310" s="0" t="s">
        <v>97</v>
      </c>
      <c r="E310" s="0" t="s">
        <v>1769</v>
      </c>
      <c r="H310" s="0" t="s">
        <v>1770</v>
      </c>
      <c r="I310" s="0" t="s">
        <v>1771</v>
      </c>
      <c r="J310" s="0" t="s">
        <v>275</v>
      </c>
      <c r="K310" s="0" t="s">
        <v>1772</v>
      </c>
      <c r="L310" s="0" t="s">
        <v>124</v>
      </c>
      <c r="M310" s="0" t="s">
        <v>178</v>
      </c>
      <c r="N310" s="0" t="s">
        <v>124</v>
      </c>
      <c r="P310" s="0" t="s">
        <v>204</v>
      </c>
      <c r="Q310" s="0" t="s">
        <v>204</v>
      </c>
      <c r="R310" s="0" t="s">
        <v>131</v>
      </c>
      <c r="S310" s="0" t="s">
        <v>21</v>
      </c>
      <c r="T310" s="0" t="s">
        <v>104</v>
      </c>
      <c r="W310" s="0" t="s">
        <v>105</v>
      </c>
      <c r="X310" s="0" t="s">
        <v>1773</v>
      </c>
      <c r="Y310" s="0" t="s">
        <v>1774</v>
      </c>
      <c r="AB310" s="0" t="s">
        <v>539</v>
      </c>
    </row>
    <row r="311" customFormat="false" ht="15" hidden="false" customHeight="false" outlineLevel="0" collapsed="false">
      <c r="A311" s="0" t="s">
        <v>21</v>
      </c>
      <c r="B311" s="0" t="s">
        <v>1768</v>
      </c>
      <c r="C311" s="0" t="s">
        <v>97</v>
      </c>
      <c r="E311" s="0" t="s">
        <v>1769</v>
      </c>
      <c r="H311" s="0" t="s">
        <v>1770</v>
      </c>
      <c r="I311" s="0" t="s">
        <v>1771</v>
      </c>
      <c r="J311" s="0" t="s">
        <v>275</v>
      </c>
      <c r="K311" s="0" t="s">
        <v>1772</v>
      </c>
      <c r="L311" s="0" t="s">
        <v>124</v>
      </c>
      <c r="M311" s="0" t="s">
        <v>178</v>
      </c>
      <c r="N311" s="0" t="s">
        <v>124</v>
      </c>
      <c r="P311" s="0" t="s">
        <v>554</v>
      </c>
      <c r="Q311" s="0" t="s">
        <v>554</v>
      </c>
      <c r="R311" s="0" t="s">
        <v>554</v>
      </c>
      <c r="S311" s="0" t="s">
        <v>21</v>
      </c>
      <c r="T311" s="0" t="s">
        <v>104</v>
      </c>
      <c r="W311" s="0" t="s">
        <v>183</v>
      </c>
      <c r="X311" s="0" t="s">
        <v>1773</v>
      </c>
      <c r="Y311" s="0" t="s">
        <v>1774</v>
      </c>
      <c r="AB311" s="0" t="s">
        <v>539</v>
      </c>
    </row>
    <row r="312" customFormat="false" ht="15" hidden="false" customHeight="false" outlineLevel="0" collapsed="false">
      <c r="A312" s="0" t="s">
        <v>21</v>
      </c>
      <c r="B312" s="0" t="s">
        <v>1775</v>
      </c>
      <c r="C312" s="0" t="s">
        <v>97</v>
      </c>
      <c r="E312" s="0" t="s">
        <v>134</v>
      </c>
      <c r="H312" s="0" t="s">
        <v>1776</v>
      </c>
      <c r="I312" s="0" t="s">
        <v>1777</v>
      </c>
      <c r="K312" s="0" t="s">
        <v>363</v>
      </c>
      <c r="L312" s="0" t="s">
        <v>101</v>
      </c>
      <c r="M312" s="0" t="s">
        <v>456</v>
      </c>
      <c r="N312" s="0" t="s">
        <v>101</v>
      </c>
      <c r="P312" s="0" t="s">
        <v>204</v>
      </c>
      <c r="Q312" s="0" t="s">
        <v>204</v>
      </c>
      <c r="R312" s="0" t="s">
        <v>131</v>
      </c>
      <c r="S312" s="0" t="s">
        <v>21</v>
      </c>
      <c r="T312" s="0" t="s">
        <v>104</v>
      </c>
      <c r="W312" s="0" t="s">
        <v>105</v>
      </c>
      <c r="X312" s="0" t="s">
        <v>1778</v>
      </c>
      <c r="Y312" s="0" t="s">
        <v>1779</v>
      </c>
      <c r="AB312" s="0" t="s">
        <v>1780</v>
      </c>
    </row>
    <row r="313" customFormat="false" ht="15" hidden="false" customHeight="false" outlineLevel="0" collapsed="false">
      <c r="A313" s="0" t="s">
        <v>21</v>
      </c>
      <c r="B313" s="0" t="s">
        <v>1775</v>
      </c>
      <c r="C313" s="0" t="s">
        <v>97</v>
      </c>
      <c r="E313" s="0" t="s">
        <v>134</v>
      </c>
      <c r="H313" s="0" t="s">
        <v>1776</v>
      </c>
      <c r="I313" s="0" t="s">
        <v>1777</v>
      </c>
      <c r="K313" s="0" t="s">
        <v>363</v>
      </c>
      <c r="L313" s="0" t="s">
        <v>101</v>
      </c>
      <c r="M313" s="0" t="s">
        <v>456</v>
      </c>
      <c r="N313" s="0" t="s">
        <v>101</v>
      </c>
      <c r="P313" s="0" t="s">
        <v>554</v>
      </c>
      <c r="Q313" s="0" t="s">
        <v>554</v>
      </c>
      <c r="R313" s="0" t="s">
        <v>554</v>
      </c>
      <c r="S313" s="0" t="s">
        <v>21</v>
      </c>
      <c r="T313" s="0" t="s">
        <v>104</v>
      </c>
      <c r="W313" s="0" t="s">
        <v>183</v>
      </c>
      <c r="X313" s="0" t="s">
        <v>1778</v>
      </c>
      <c r="Y313" s="0" t="s">
        <v>1779</v>
      </c>
      <c r="AB313" s="0" t="s">
        <v>1780</v>
      </c>
    </row>
    <row r="314" customFormat="false" ht="15" hidden="false" customHeight="false" outlineLevel="0" collapsed="false">
      <c r="A314" s="0" t="s">
        <v>21</v>
      </c>
      <c r="B314" s="0" t="s">
        <v>1781</v>
      </c>
      <c r="C314" s="0" t="s">
        <v>97</v>
      </c>
      <c r="E314" s="0" t="s">
        <v>1782</v>
      </c>
      <c r="H314" s="0" t="s">
        <v>1783</v>
      </c>
      <c r="I314" s="0" t="s">
        <v>1784</v>
      </c>
      <c r="J314" s="0" t="s">
        <v>254</v>
      </c>
      <c r="K314" s="0" t="s">
        <v>1785</v>
      </c>
      <c r="L314" s="0" t="s">
        <v>124</v>
      </c>
      <c r="M314" s="0" t="s">
        <v>208</v>
      </c>
      <c r="N314" s="0" t="s">
        <v>124</v>
      </c>
      <c r="P314" s="0" t="s">
        <v>204</v>
      </c>
      <c r="Q314" s="0" t="s">
        <v>204</v>
      </c>
      <c r="R314" s="0" t="s">
        <v>131</v>
      </c>
      <c r="S314" s="0" t="s">
        <v>21</v>
      </c>
      <c r="T314" s="0" t="s">
        <v>104</v>
      </c>
      <c r="W314" s="0" t="s">
        <v>105</v>
      </c>
      <c r="X314" s="0" t="s">
        <v>1786</v>
      </c>
      <c r="Y314" s="0" t="s">
        <v>1787</v>
      </c>
      <c r="AB314" s="0" t="s">
        <v>1780</v>
      </c>
    </row>
    <row r="315" customFormat="false" ht="15" hidden="false" customHeight="false" outlineLevel="0" collapsed="false">
      <c r="A315" s="0" t="s">
        <v>21</v>
      </c>
      <c r="B315" s="0" t="s">
        <v>1781</v>
      </c>
      <c r="C315" s="0" t="s">
        <v>97</v>
      </c>
      <c r="E315" s="0" t="s">
        <v>1782</v>
      </c>
      <c r="H315" s="0" t="s">
        <v>1783</v>
      </c>
      <c r="I315" s="0" t="s">
        <v>1784</v>
      </c>
      <c r="J315" s="0" t="s">
        <v>254</v>
      </c>
      <c r="K315" s="0" t="s">
        <v>1785</v>
      </c>
      <c r="L315" s="0" t="s">
        <v>124</v>
      </c>
      <c r="M315" s="0" t="s">
        <v>208</v>
      </c>
      <c r="N315" s="0" t="s">
        <v>124</v>
      </c>
      <c r="P315" s="0" t="s">
        <v>554</v>
      </c>
      <c r="Q315" s="0" t="s">
        <v>554</v>
      </c>
      <c r="R315" s="0" t="s">
        <v>554</v>
      </c>
      <c r="S315" s="0" t="s">
        <v>21</v>
      </c>
      <c r="T315" s="0" t="s">
        <v>104</v>
      </c>
      <c r="W315" s="0" t="s">
        <v>183</v>
      </c>
      <c r="X315" s="0" t="s">
        <v>1786</v>
      </c>
      <c r="Y315" s="0" t="s">
        <v>1787</v>
      </c>
      <c r="AB315" s="0" t="s">
        <v>1780</v>
      </c>
    </row>
    <row r="316" customFormat="false" ht="15" hidden="false" customHeight="false" outlineLevel="0" collapsed="false">
      <c r="A316" s="0" t="s">
        <v>21</v>
      </c>
      <c r="B316" s="0" t="s">
        <v>1788</v>
      </c>
      <c r="C316" s="0" t="s">
        <v>97</v>
      </c>
      <c r="E316" s="0" t="s">
        <v>1789</v>
      </c>
      <c r="H316" s="0" t="s">
        <v>1790</v>
      </c>
      <c r="I316" s="0" t="s">
        <v>1576</v>
      </c>
      <c r="K316" s="0" t="s">
        <v>1791</v>
      </c>
      <c r="L316" s="0" t="s">
        <v>101</v>
      </c>
      <c r="M316" s="0" t="s">
        <v>456</v>
      </c>
      <c r="N316" s="0" t="s">
        <v>101</v>
      </c>
      <c r="P316" s="0" t="s">
        <v>204</v>
      </c>
      <c r="Q316" s="0" t="s">
        <v>204</v>
      </c>
      <c r="R316" s="0" t="s">
        <v>131</v>
      </c>
      <c r="S316" s="0" t="s">
        <v>21</v>
      </c>
      <c r="T316" s="0" t="s">
        <v>104</v>
      </c>
      <c r="W316" s="0" t="s">
        <v>105</v>
      </c>
      <c r="X316" s="0" t="s">
        <v>1792</v>
      </c>
      <c r="Y316" s="0" t="s">
        <v>1793</v>
      </c>
      <c r="AB316" s="0" t="s">
        <v>1780</v>
      </c>
    </row>
    <row r="317" customFormat="false" ht="15" hidden="false" customHeight="false" outlineLevel="0" collapsed="false">
      <c r="A317" s="0" t="s">
        <v>21</v>
      </c>
      <c r="B317" s="0" t="s">
        <v>1788</v>
      </c>
      <c r="C317" s="0" t="s">
        <v>97</v>
      </c>
      <c r="E317" s="0" t="s">
        <v>1789</v>
      </c>
      <c r="H317" s="0" t="s">
        <v>1790</v>
      </c>
      <c r="I317" s="0" t="s">
        <v>1576</v>
      </c>
      <c r="K317" s="0" t="s">
        <v>1791</v>
      </c>
      <c r="L317" s="0" t="s">
        <v>101</v>
      </c>
      <c r="M317" s="0" t="s">
        <v>456</v>
      </c>
      <c r="N317" s="0" t="s">
        <v>101</v>
      </c>
      <c r="P317" s="0" t="s">
        <v>554</v>
      </c>
      <c r="Q317" s="0" t="s">
        <v>554</v>
      </c>
      <c r="R317" s="0" t="s">
        <v>554</v>
      </c>
      <c r="S317" s="0" t="s">
        <v>21</v>
      </c>
      <c r="T317" s="0" t="s">
        <v>104</v>
      </c>
      <c r="W317" s="0" t="s">
        <v>183</v>
      </c>
      <c r="X317" s="0" t="s">
        <v>1792</v>
      </c>
      <c r="Y317" s="0" t="s">
        <v>1793</v>
      </c>
      <c r="AB317" s="0" t="s">
        <v>1780</v>
      </c>
    </row>
    <row r="318" customFormat="false" ht="15" hidden="false" customHeight="false" outlineLevel="0" collapsed="false">
      <c r="A318" s="0" t="s">
        <v>21</v>
      </c>
      <c r="B318" s="0" t="s">
        <v>1794</v>
      </c>
      <c r="C318" s="0" t="s">
        <v>97</v>
      </c>
      <c r="E318" s="0" t="s">
        <v>1795</v>
      </c>
      <c r="M318" s="0" t="s">
        <v>178</v>
      </c>
      <c r="N318" s="0" t="s">
        <v>124</v>
      </c>
      <c r="P318" s="0" t="s">
        <v>204</v>
      </c>
      <c r="Q318" s="0" t="s">
        <v>204</v>
      </c>
      <c r="R318" s="0" t="s">
        <v>131</v>
      </c>
      <c r="S318" s="0" t="s">
        <v>21</v>
      </c>
      <c r="T318" s="0" t="s">
        <v>104</v>
      </c>
      <c r="W318" s="0" t="s">
        <v>105</v>
      </c>
      <c r="AB318" s="0" t="s">
        <v>539</v>
      </c>
    </row>
    <row r="319" customFormat="false" ht="15" hidden="false" customHeight="false" outlineLevel="0" collapsed="false">
      <c r="A319" s="0" t="s">
        <v>21</v>
      </c>
      <c r="B319" s="0" t="s">
        <v>1794</v>
      </c>
      <c r="C319" s="0" t="s">
        <v>97</v>
      </c>
      <c r="E319" s="0" t="s">
        <v>1795</v>
      </c>
      <c r="M319" s="0" t="s">
        <v>178</v>
      </c>
      <c r="N319" s="0" t="s">
        <v>124</v>
      </c>
      <c r="P319" s="0" t="s">
        <v>554</v>
      </c>
      <c r="Q319" s="0" t="s">
        <v>554</v>
      </c>
      <c r="R319" s="0" t="s">
        <v>554</v>
      </c>
      <c r="S319" s="0" t="s">
        <v>21</v>
      </c>
      <c r="T319" s="0" t="s">
        <v>104</v>
      </c>
      <c r="W319" s="0" t="s">
        <v>183</v>
      </c>
      <c r="AB319" s="0" t="s">
        <v>539</v>
      </c>
    </row>
    <row r="320" customFormat="false" ht="15" hidden="false" customHeight="false" outlineLevel="0" collapsed="false">
      <c r="A320" s="0" t="s">
        <v>21</v>
      </c>
      <c r="B320" s="0" t="s">
        <v>1796</v>
      </c>
      <c r="C320" s="0" t="s">
        <v>97</v>
      </c>
      <c r="E320" s="0" t="s">
        <v>1797</v>
      </c>
      <c r="G320" s="0" t="s">
        <v>1798</v>
      </c>
      <c r="H320" s="0" t="s">
        <v>1799</v>
      </c>
      <c r="I320" s="0" t="s">
        <v>1800</v>
      </c>
      <c r="J320" s="0" t="s">
        <v>275</v>
      </c>
      <c r="K320" s="0" t="s">
        <v>1801</v>
      </c>
      <c r="M320" s="0" t="s">
        <v>178</v>
      </c>
      <c r="N320" s="0" t="s">
        <v>124</v>
      </c>
      <c r="P320" s="0" t="s">
        <v>130</v>
      </c>
      <c r="Q320" s="0" t="s">
        <v>130</v>
      </c>
      <c r="R320" s="0" t="s">
        <v>131</v>
      </c>
      <c r="S320" s="0" t="s">
        <v>21</v>
      </c>
      <c r="T320" s="0" t="s">
        <v>104</v>
      </c>
      <c r="W320" s="0" t="s">
        <v>105</v>
      </c>
      <c r="AB320" s="0" t="s">
        <v>539</v>
      </c>
    </row>
    <row r="321" customFormat="false" ht="15" hidden="false" customHeight="false" outlineLevel="0" collapsed="false">
      <c r="A321" s="0" t="s">
        <v>21</v>
      </c>
      <c r="B321" s="0" t="s">
        <v>1802</v>
      </c>
      <c r="C321" s="0" t="s">
        <v>97</v>
      </c>
      <c r="E321" s="0" t="s">
        <v>1803</v>
      </c>
      <c r="G321" s="0" t="s">
        <v>1804</v>
      </c>
      <c r="H321" s="0" t="s">
        <v>1805</v>
      </c>
      <c r="I321" s="0" t="s">
        <v>1806</v>
      </c>
      <c r="J321" s="0" t="s">
        <v>247</v>
      </c>
      <c r="K321" s="0" t="s">
        <v>1807</v>
      </c>
      <c r="L321" s="0" t="s">
        <v>124</v>
      </c>
      <c r="M321" s="0" t="s">
        <v>247</v>
      </c>
      <c r="N321" s="0" t="s">
        <v>124</v>
      </c>
      <c r="P321" s="0" t="s">
        <v>130</v>
      </c>
      <c r="Q321" s="0" t="s">
        <v>130</v>
      </c>
      <c r="R321" s="0" t="s">
        <v>131</v>
      </c>
      <c r="S321" s="0" t="s">
        <v>21</v>
      </c>
      <c r="T321" s="0" t="s">
        <v>104</v>
      </c>
      <c r="W321" s="0" t="s">
        <v>105</v>
      </c>
      <c r="AB321" s="0" t="s">
        <v>539</v>
      </c>
    </row>
    <row r="322" customFormat="false" ht="15" hidden="false" customHeight="false" outlineLevel="0" collapsed="false">
      <c r="A322" s="0" t="s">
        <v>21</v>
      </c>
      <c r="B322" s="0" t="s">
        <v>1808</v>
      </c>
      <c r="C322" s="0" t="s">
        <v>97</v>
      </c>
      <c r="E322" s="0" t="s">
        <v>1809</v>
      </c>
      <c r="H322" s="0" t="s">
        <v>1810</v>
      </c>
      <c r="I322" s="0" t="s">
        <v>447</v>
      </c>
      <c r="K322" s="0" t="s">
        <v>422</v>
      </c>
      <c r="L322" s="0" t="s">
        <v>101</v>
      </c>
      <c r="M322" s="0" t="s">
        <v>448</v>
      </c>
      <c r="N322" s="0" t="s">
        <v>101</v>
      </c>
      <c r="P322" s="0" t="s">
        <v>204</v>
      </c>
      <c r="Q322" s="0" t="s">
        <v>204</v>
      </c>
      <c r="R322" s="0" t="s">
        <v>131</v>
      </c>
      <c r="S322" s="0" t="s">
        <v>21</v>
      </c>
      <c r="T322" s="0" t="s">
        <v>104</v>
      </c>
      <c r="W322" s="0" t="s">
        <v>105</v>
      </c>
      <c r="X322" s="0" t="s">
        <v>1811</v>
      </c>
      <c r="Y322" s="0" t="s">
        <v>1812</v>
      </c>
      <c r="AB322" s="0" t="s">
        <v>539</v>
      </c>
    </row>
    <row r="323" customFormat="false" ht="15" hidden="false" customHeight="false" outlineLevel="0" collapsed="false">
      <c r="A323" s="0" t="s">
        <v>21</v>
      </c>
      <c r="B323" s="0" t="s">
        <v>1808</v>
      </c>
      <c r="C323" s="0" t="s">
        <v>97</v>
      </c>
      <c r="E323" s="0" t="s">
        <v>1809</v>
      </c>
      <c r="H323" s="0" t="s">
        <v>1810</v>
      </c>
      <c r="I323" s="0" t="s">
        <v>447</v>
      </c>
      <c r="K323" s="0" t="s">
        <v>422</v>
      </c>
      <c r="L323" s="0" t="s">
        <v>101</v>
      </c>
      <c r="M323" s="0" t="s">
        <v>448</v>
      </c>
      <c r="N323" s="0" t="s">
        <v>101</v>
      </c>
      <c r="P323" s="0" t="s">
        <v>554</v>
      </c>
      <c r="Q323" s="0" t="s">
        <v>554</v>
      </c>
      <c r="R323" s="0" t="s">
        <v>554</v>
      </c>
      <c r="S323" s="0" t="s">
        <v>21</v>
      </c>
      <c r="T323" s="0" t="s">
        <v>104</v>
      </c>
      <c r="W323" s="0" t="s">
        <v>183</v>
      </c>
      <c r="X323" s="0" t="s">
        <v>1811</v>
      </c>
      <c r="Y323" s="0" t="s">
        <v>1812</v>
      </c>
      <c r="AB323" s="0" t="s">
        <v>539</v>
      </c>
    </row>
    <row r="324" customFormat="false" ht="15" hidden="false" customHeight="false" outlineLevel="0" collapsed="false">
      <c r="A324" s="0" t="s">
        <v>21</v>
      </c>
      <c r="B324" s="0" t="s">
        <v>1813</v>
      </c>
      <c r="C324" s="0" t="s">
        <v>97</v>
      </c>
      <c r="E324" s="0" t="s">
        <v>1814</v>
      </c>
      <c r="H324" s="0" t="s">
        <v>1815</v>
      </c>
      <c r="I324" s="0" t="s">
        <v>1816</v>
      </c>
      <c r="J324" s="0" t="s">
        <v>157</v>
      </c>
      <c r="K324" s="0" t="s">
        <v>1817</v>
      </c>
      <c r="L324" s="0" t="s">
        <v>124</v>
      </c>
      <c r="M324" s="0" t="s">
        <v>232</v>
      </c>
      <c r="N324" s="0" t="s">
        <v>124</v>
      </c>
      <c r="P324" s="0" t="s">
        <v>204</v>
      </c>
      <c r="Q324" s="0" t="s">
        <v>204</v>
      </c>
      <c r="R324" s="0" t="s">
        <v>131</v>
      </c>
      <c r="S324" s="0" t="s">
        <v>21</v>
      </c>
      <c r="T324" s="0" t="s">
        <v>104</v>
      </c>
      <c r="W324" s="0" t="s">
        <v>105</v>
      </c>
      <c r="X324" s="0" t="s">
        <v>1818</v>
      </c>
      <c r="Y324" s="0" t="s">
        <v>1819</v>
      </c>
      <c r="AB324" s="0" t="s">
        <v>539</v>
      </c>
    </row>
    <row r="325" customFormat="false" ht="15" hidden="false" customHeight="false" outlineLevel="0" collapsed="false">
      <c r="A325" s="0" t="s">
        <v>21</v>
      </c>
      <c r="B325" s="0" t="s">
        <v>1813</v>
      </c>
      <c r="C325" s="0" t="s">
        <v>97</v>
      </c>
      <c r="E325" s="0" t="s">
        <v>1814</v>
      </c>
      <c r="H325" s="0" t="s">
        <v>1815</v>
      </c>
      <c r="I325" s="0" t="s">
        <v>1816</v>
      </c>
      <c r="J325" s="0" t="s">
        <v>157</v>
      </c>
      <c r="K325" s="0" t="s">
        <v>1817</v>
      </c>
      <c r="L325" s="0" t="s">
        <v>124</v>
      </c>
      <c r="M325" s="0" t="s">
        <v>232</v>
      </c>
      <c r="N325" s="0" t="s">
        <v>124</v>
      </c>
      <c r="P325" s="0" t="s">
        <v>554</v>
      </c>
      <c r="Q325" s="0" t="s">
        <v>554</v>
      </c>
      <c r="R325" s="0" t="s">
        <v>554</v>
      </c>
      <c r="S325" s="0" t="s">
        <v>21</v>
      </c>
      <c r="T325" s="0" t="s">
        <v>104</v>
      </c>
      <c r="W325" s="0" t="s">
        <v>183</v>
      </c>
      <c r="X325" s="0" t="s">
        <v>1818</v>
      </c>
      <c r="Y325" s="0" t="s">
        <v>1819</v>
      </c>
      <c r="AB325" s="0" t="s">
        <v>539</v>
      </c>
    </row>
    <row r="326" customFormat="false" ht="15" hidden="false" customHeight="false" outlineLevel="0" collapsed="false">
      <c r="A326" s="0" t="s">
        <v>21</v>
      </c>
      <c r="B326" s="0" t="s">
        <v>1820</v>
      </c>
      <c r="C326" s="0" t="s">
        <v>97</v>
      </c>
      <c r="E326" s="0" t="s">
        <v>1821</v>
      </c>
      <c r="H326" s="0" t="s">
        <v>1822</v>
      </c>
      <c r="I326" s="0" t="s">
        <v>1823</v>
      </c>
      <c r="K326" s="0" t="s">
        <v>1627</v>
      </c>
      <c r="L326" s="0" t="s">
        <v>101</v>
      </c>
      <c r="M326" s="0" t="s">
        <v>456</v>
      </c>
      <c r="N326" s="0" t="s">
        <v>101</v>
      </c>
      <c r="P326" s="0" t="s">
        <v>204</v>
      </c>
      <c r="Q326" s="0" t="s">
        <v>204</v>
      </c>
      <c r="R326" s="0" t="s">
        <v>131</v>
      </c>
      <c r="S326" s="0" t="s">
        <v>21</v>
      </c>
      <c r="T326" s="0" t="s">
        <v>104</v>
      </c>
      <c r="W326" s="0" t="s">
        <v>105</v>
      </c>
      <c r="X326" s="0" t="s">
        <v>1824</v>
      </c>
      <c r="Y326" s="0" t="s">
        <v>1825</v>
      </c>
      <c r="AB326" s="0" t="s">
        <v>539</v>
      </c>
    </row>
    <row r="327" customFormat="false" ht="15" hidden="false" customHeight="false" outlineLevel="0" collapsed="false">
      <c r="A327" s="0" t="s">
        <v>21</v>
      </c>
      <c r="B327" s="0" t="s">
        <v>1820</v>
      </c>
      <c r="C327" s="0" t="s">
        <v>97</v>
      </c>
      <c r="E327" s="0" t="s">
        <v>1821</v>
      </c>
      <c r="H327" s="0" t="s">
        <v>1822</v>
      </c>
      <c r="I327" s="0" t="s">
        <v>1823</v>
      </c>
      <c r="K327" s="0" t="s">
        <v>1627</v>
      </c>
      <c r="L327" s="0" t="s">
        <v>101</v>
      </c>
      <c r="M327" s="0" t="s">
        <v>456</v>
      </c>
      <c r="N327" s="0" t="s">
        <v>101</v>
      </c>
      <c r="P327" s="0" t="s">
        <v>554</v>
      </c>
      <c r="Q327" s="0" t="s">
        <v>554</v>
      </c>
      <c r="R327" s="0" t="s">
        <v>554</v>
      </c>
      <c r="S327" s="0" t="s">
        <v>21</v>
      </c>
      <c r="T327" s="0" t="s">
        <v>104</v>
      </c>
      <c r="W327" s="0" t="s">
        <v>183</v>
      </c>
      <c r="X327" s="0" t="s">
        <v>1824</v>
      </c>
      <c r="Y327" s="0" t="s">
        <v>1825</v>
      </c>
      <c r="AB327" s="0" t="s">
        <v>539</v>
      </c>
    </row>
    <row r="328" customFormat="false" ht="15" hidden="false" customHeight="false" outlineLevel="0" collapsed="false">
      <c r="A328" s="0" t="s">
        <v>21</v>
      </c>
      <c r="B328" s="0" t="s">
        <v>1826</v>
      </c>
      <c r="C328" s="0" t="s">
        <v>97</v>
      </c>
      <c r="E328" s="0" t="s">
        <v>1827</v>
      </c>
      <c r="H328" s="0" t="s">
        <v>1828</v>
      </c>
      <c r="I328" s="0" t="s">
        <v>1372</v>
      </c>
      <c r="K328" s="0" t="s">
        <v>1591</v>
      </c>
      <c r="L328" s="0" t="s">
        <v>101</v>
      </c>
      <c r="M328" s="0" t="s">
        <v>1273</v>
      </c>
      <c r="N328" s="0" t="s">
        <v>101</v>
      </c>
      <c r="P328" s="0" t="s">
        <v>204</v>
      </c>
      <c r="Q328" s="0" t="s">
        <v>204</v>
      </c>
      <c r="R328" s="0" t="s">
        <v>131</v>
      </c>
      <c r="S328" s="0" t="s">
        <v>21</v>
      </c>
      <c r="T328" s="0" t="s">
        <v>104</v>
      </c>
      <c r="W328" s="0" t="s">
        <v>105</v>
      </c>
      <c r="X328" s="0" t="s">
        <v>1829</v>
      </c>
      <c r="Y328" s="0" t="s">
        <v>1830</v>
      </c>
      <c r="AB328" s="0" t="s">
        <v>539</v>
      </c>
    </row>
    <row r="329" customFormat="false" ht="15" hidden="false" customHeight="false" outlineLevel="0" collapsed="false">
      <c r="A329" s="0" t="s">
        <v>21</v>
      </c>
      <c r="B329" s="0" t="s">
        <v>1826</v>
      </c>
      <c r="C329" s="0" t="s">
        <v>97</v>
      </c>
      <c r="E329" s="0" t="s">
        <v>1827</v>
      </c>
      <c r="H329" s="0" t="s">
        <v>1828</v>
      </c>
      <c r="I329" s="0" t="s">
        <v>1372</v>
      </c>
      <c r="K329" s="0" t="s">
        <v>1591</v>
      </c>
      <c r="L329" s="0" t="s">
        <v>101</v>
      </c>
      <c r="M329" s="0" t="s">
        <v>1273</v>
      </c>
      <c r="N329" s="0" t="s">
        <v>101</v>
      </c>
      <c r="P329" s="0" t="s">
        <v>554</v>
      </c>
      <c r="Q329" s="0" t="s">
        <v>554</v>
      </c>
      <c r="R329" s="0" t="s">
        <v>554</v>
      </c>
      <c r="S329" s="0" t="s">
        <v>21</v>
      </c>
      <c r="T329" s="0" t="s">
        <v>104</v>
      </c>
      <c r="W329" s="0" t="s">
        <v>183</v>
      </c>
      <c r="X329" s="0" t="s">
        <v>1829</v>
      </c>
      <c r="Y329" s="0" t="s">
        <v>1830</v>
      </c>
      <c r="AB329" s="0" t="s">
        <v>539</v>
      </c>
    </row>
    <row r="330" customFormat="false" ht="15" hidden="false" customHeight="false" outlineLevel="0" collapsed="false">
      <c r="A330" s="0" t="s">
        <v>21</v>
      </c>
      <c r="B330" s="0" t="s">
        <v>1831</v>
      </c>
      <c r="C330" s="0" t="s">
        <v>97</v>
      </c>
      <c r="E330" s="0" t="s">
        <v>1832</v>
      </c>
      <c r="H330" s="0" t="s">
        <v>1833</v>
      </c>
      <c r="I330" s="0" t="s">
        <v>1834</v>
      </c>
      <c r="J330" s="0" t="s">
        <v>275</v>
      </c>
      <c r="K330" s="0" t="s">
        <v>1835</v>
      </c>
      <c r="L330" s="0" t="s">
        <v>124</v>
      </c>
      <c r="M330" s="0" t="s">
        <v>178</v>
      </c>
      <c r="N330" s="0" t="s">
        <v>124</v>
      </c>
      <c r="P330" s="0" t="s">
        <v>130</v>
      </c>
      <c r="Q330" s="0" t="s">
        <v>130</v>
      </c>
      <c r="R330" s="0" t="s">
        <v>131</v>
      </c>
      <c r="S330" s="0" t="s">
        <v>21</v>
      </c>
      <c r="T330" s="0" t="s">
        <v>104</v>
      </c>
      <c r="W330" s="0" t="s">
        <v>105</v>
      </c>
      <c r="X330" s="0" t="s">
        <v>1836</v>
      </c>
      <c r="Y330" s="0" t="s">
        <v>1837</v>
      </c>
      <c r="AB330" s="0" t="s">
        <v>539</v>
      </c>
    </row>
    <row r="331" customFormat="false" ht="15" hidden="false" customHeight="false" outlineLevel="0" collapsed="false">
      <c r="A331" s="0" t="s">
        <v>21</v>
      </c>
      <c r="B331" s="0" t="s">
        <v>1838</v>
      </c>
      <c r="C331" s="0" t="s">
        <v>97</v>
      </c>
      <c r="E331" s="0" t="s">
        <v>1839</v>
      </c>
      <c r="G331" s="0" t="s">
        <v>1840</v>
      </c>
      <c r="H331" s="0" t="s">
        <v>1841</v>
      </c>
      <c r="I331" s="0" t="s">
        <v>1842</v>
      </c>
      <c r="J331" s="0" t="s">
        <v>275</v>
      </c>
      <c r="K331" s="0" t="s">
        <v>1843</v>
      </c>
      <c r="L331" s="0" t="s">
        <v>124</v>
      </c>
      <c r="M331" s="0" t="s">
        <v>178</v>
      </c>
      <c r="N331" s="0" t="s">
        <v>124</v>
      </c>
      <c r="P331" s="0" t="s">
        <v>204</v>
      </c>
      <c r="Q331" s="0" t="s">
        <v>204</v>
      </c>
      <c r="R331" s="0" t="s">
        <v>131</v>
      </c>
      <c r="S331" s="0" t="s">
        <v>21</v>
      </c>
      <c r="T331" s="0" t="s">
        <v>104</v>
      </c>
      <c r="W331" s="0" t="s">
        <v>105</v>
      </c>
      <c r="X331" s="0" t="s">
        <v>1844</v>
      </c>
      <c r="Y331" s="0" t="s">
        <v>1845</v>
      </c>
      <c r="AB331" s="0" t="s">
        <v>539</v>
      </c>
    </row>
    <row r="332" customFormat="false" ht="15" hidden="false" customHeight="false" outlineLevel="0" collapsed="false">
      <c r="A332" s="0" t="s">
        <v>21</v>
      </c>
      <c r="B332" s="0" t="s">
        <v>1838</v>
      </c>
      <c r="C332" s="0" t="s">
        <v>97</v>
      </c>
      <c r="E332" s="0" t="s">
        <v>1839</v>
      </c>
      <c r="G332" s="0" t="s">
        <v>1840</v>
      </c>
      <c r="H332" s="0" t="s">
        <v>1841</v>
      </c>
      <c r="I332" s="0" t="s">
        <v>1842</v>
      </c>
      <c r="J332" s="0" t="s">
        <v>275</v>
      </c>
      <c r="K332" s="0" t="s">
        <v>1843</v>
      </c>
      <c r="L332" s="0" t="s">
        <v>124</v>
      </c>
      <c r="M332" s="0" t="s">
        <v>178</v>
      </c>
      <c r="N332" s="0" t="s">
        <v>124</v>
      </c>
      <c r="P332" s="0" t="s">
        <v>554</v>
      </c>
      <c r="Q332" s="0" t="s">
        <v>554</v>
      </c>
      <c r="R332" s="0" t="s">
        <v>554</v>
      </c>
      <c r="S332" s="0" t="s">
        <v>21</v>
      </c>
      <c r="T332" s="0" t="s">
        <v>104</v>
      </c>
      <c r="W332" s="0" t="s">
        <v>183</v>
      </c>
      <c r="X332" s="0" t="s">
        <v>1844</v>
      </c>
      <c r="Y332" s="0" t="s">
        <v>1845</v>
      </c>
      <c r="AB332" s="0" t="s">
        <v>539</v>
      </c>
    </row>
    <row r="333" customFormat="false" ht="15" hidden="false" customHeight="false" outlineLevel="0" collapsed="false">
      <c r="A333" s="0" t="s">
        <v>21</v>
      </c>
      <c r="B333" s="0" t="s">
        <v>1846</v>
      </c>
      <c r="C333" s="0" t="s">
        <v>97</v>
      </c>
      <c r="E333" s="0" t="s">
        <v>1847</v>
      </c>
      <c r="H333" s="0" t="s">
        <v>1848</v>
      </c>
      <c r="I333" s="0" t="s">
        <v>1400</v>
      </c>
      <c r="K333" s="0" t="s">
        <v>1385</v>
      </c>
      <c r="L333" s="0" t="s">
        <v>101</v>
      </c>
      <c r="M333" s="0" t="s">
        <v>1273</v>
      </c>
      <c r="N333" s="0" t="s">
        <v>101</v>
      </c>
      <c r="P333" s="0" t="s">
        <v>204</v>
      </c>
      <c r="Q333" s="0" t="s">
        <v>204</v>
      </c>
      <c r="R333" s="0" t="s">
        <v>131</v>
      </c>
      <c r="S333" s="0" t="s">
        <v>21</v>
      </c>
      <c r="T333" s="0" t="s">
        <v>104</v>
      </c>
      <c r="W333" s="0" t="s">
        <v>105</v>
      </c>
      <c r="X333" s="0" t="s">
        <v>1849</v>
      </c>
      <c r="Y333" s="0" t="s">
        <v>1850</v>
      </c>
      <c r="AB333" s="0" t="s">
        <v>539</v>
      </c>
    </row>
    <row r="334" customFormat="false" ht="15" hidden="false" customHeight="false" outlineLevel="0" collapsed="false">
      <c r="A334" s="0" t="s">
        <v>21</v>
      </c>
      <c r="B334" s="0" t="s">
        <v>1846</v>
      </c>
      <c r="C334" s="0" t="s">
        <v>97</v>
      </c>
      <c r="E334" s="0" t="s">
        <v>1847</v>
      </c>
      <c r="H334" s="0" t="s">
        <v>1848</v>
      </c>
      <c r="I334" s="0" t="s">
        <v>1400</v>
      </c>
      <c r="K334" s="0" t="s">
        <v>1385</v>
      </c>
      <c r="L334" s="0" t="s">
        <v>101</v>
      </c>
      <c r="M334" s="0" t="s">
        <v>1273</v>
      </c>
      <c r="N334" s="0" t="s">
        <v>101</v>
      </c>
      <c r="P334" s="0" t="s">
        <v>554</v>
      </c>
      <c r="Q334" s="0" t="s">
        <v>554</v>
      </c>
      <c r="R334" s="0" t="s">
        <v>554</v>
      </c>
      <c r="S334" s="0" t="s">
        <v>21</v>
      </c>
      <c r="T334" s="0" t="s">
        <v>104</v>
      </c>
      <c r="W334" s="0" t="s">
        <v>183</v>
      </c>
      <c r="X334" s="0" t="s">
        <v>1849</v>
      </c>
      <c r="Y334" s="0" t="s">
        <v>1850</v>
      </c>
      <c r="AB334" s="0" t="s">
        <v>539</v>
      </c>
    </row>
    <row r="335" customFormat="false" ht="15" hidden="false" customHeight="false" outlineLevel="0" collapsed="false">
      <c r="A335" s="0" t="s">
        <v>21</v>
      </c>
      <c r="B335" s="0" t="s">
        <v>1851</v>
      </c>
      <c r="C335" s="0" t="s">
        <v>97</v>
      </c>
      <c r="E335" s="0" t="s">
        <v>1852</v>
      </c>
      <c r="H335" s="0" t="s">
        <v>1853</v>
      </c>
      <c r="I335" s="0" t="s">
        <v>894</v>
      </c>
      <c r="J335" s="0" t="s">
        <v>218</v>
      </c>
      <c r="K335" s="0" t="s">
        <v>363</v>
      </c>
      <c r="L335" s="0" t="s">
        <v>124</v>
      </c>
      <c r="M335" s="0" t="s">
        <v>220</v>
      </c>
      <c r="N335" s="0" t="s">
        <v>124</v>
      </c>
      <c r="P335" s="0" t="s">
        <v>204</v>
      </c>
      <c r="Q335" s="0" t="s">
        <v>204</v>
      </c>
      <c r="R335" s="0" t="s">
        <v>131</v>
      </c>
      <c r="S335" s="0" t="s">
        <v>21</v>
      </c>
      <c r="T335" s="0" t="s">
        <v>104</v>
      </c>
      <c r="W335" s="0" t="s">
        <v>105</v>
      </c>
      <c r="X335" s="0" t="s">
        <v>1854</v>
      </c>
      <c r="Y335" s="0" t="s">
        <v>1855</v>
      </c>
      <c r="AB335" s="0" t="s">
        <v>539</v>
      </c>
    </row>
    <row r="336" customFormat="false" ht="15" hidden="false" customHeight="false" outlineLevel="0" collapsed="false">
      <c r="A336" s="0" t="s">
        <v>21</v>
      </c>
      <c r="B336" s="0" t="s">
        <v>1851</v>
      </c>
      <c r="C336" s="0" t="s">
        <v>97</v>
      </c>
      <c r="E336" s="0" t="s">
        <v>1852</v>
      </c>
      <c r="H336" s="0" t="s">
        <v>1853</v>
      </c>
      <c r="I336" s="0" t="s">
        <v>894</v>
      </c>
      <c r="J336" s="0" t="s">
        <v>218</v>
      </c>
      <c r="K336" s="0" t="s">
        <v>363</v>
      </c>
      <c r="L336" s="0" t="s">
        <v>124</v>
      </c>
      <c r="M336" s="0" t="s">
        <v>220</v>
      </c>
      <c r="N336" s="0" t="s">
        <v>124</v>
      </c>
      <c r="P336" s="0" t="s">
        <v>554</v>
      </c>
      <c r="Q336" s="0" t="s">
        <v>554</v>
      </c>
      <c r="R336" s="0" t="s">
        <v>554</v>
      </c>
      <c r="S336" s="0" t="s">
        <v>21</v>
      </c>
      <c r="T336" s="0" t="s">
        <v>104</v>
      </c>
      <c r="W336" s="0" t="s">
        <v>183</v>
      </c>
      <c r="X336" s="0" t="s">
        <v>1854</v>
      </c>
      <c r="Y336" s="0" t="s">
        <v>1855</v>
      </c>
      <c r="AB336" s="0" t="s">
        <v>539</v>
      </c>
    </row>
    <row r="337" customFormat="false" ht="15" hidden="false" customHeight="false" outlineLevel="0" collapsed="false">
      <c r="A337" s="0" t="s">
        <v>21</v>
      </c>
      <c r="B337" s="0" t="s">
        <v>1856</v>
      </c>
      <c r="C337" s="0" t="s">
        <v>97</v>
      </c>
      <c r="E337" s="0" t="s">
        <v>1857</v>
      </c>
      <c r="H337" s="0" t="s">
        <v>1858</v>
      </c>
      <c r="I337" s="0" t="s">
        <v>1859</v>
      </c>
      <c r="J337" s="0" t="s">
        <v>254</v>
      </c>
      <c r="K337" s="0" t="s">
        <v>1860</v>
      </c>
      <c r="L337" s="0" t="s">
        <v>124</v>
      </c>
      <c r="M337" s="0" t="s">
        <v>208</v>
      </c>
      <c r="N337" s="0" t="s">
        <v>124</v>
      </c>
      <c r="P337" s="0" t="s">
        <v>130</v>
      </c>
      <c r="Q337" s="0" t="s">
        <v>130</v>
      </c>
      <c r="R337" s="0" t="s">
        <v>131</v>
      </c>
      <c r="S337" s="0" t="s">
        <v>21</v>
      </c>
      <c r="T337" s="0" t="s">
        <v>104</v>
      </c>
      <c r="W337" s="0" t="s">
        <v>105</v>
      </c>
      <c r="X337" s="0" t="s">
        <v>1861</v>
      </c>
      <c r="Y337" s="0" t="s">
        <v>1862</v>
      </c>
      <c r="AB337" s="0" t="s">
        <v>539</v>
      </c>
    </row>
    <row r="338" customFormat="false" ht="15" hidden="false" customHeight="false" outlineLevel="0" collapsed="false">
      <c r="A338" s="0" t="s">
        <v>21</v>
      </c>
      <c r="B338" s="0" t="s">
        <v>1863</v>
      </c>
      <c r="C338" s="0" t="s">
        <v>97</v>
      </c>
      <c r="E338" s="0" t="s">
        <v>1864</v>
      </c>
      <c r="H338" s="0" t="s">
        <v>1865</v>
      </c>
      <c r="I338" s="0" t="s">
        <v>1866</v>
      </c>
      <c r="J338" s="0" t="s">
        <v>157</v>
      </c>
      <c r="K338" s="0" t="s">
        <v>1081</v>
      </c>
      <c r="L338" s="0" t="s">
        <v>124</v>
      </c>
      <c r="M338" s="0" t="s">
        <v>232</v>
      </c>
      <c r="N338" s="0" t="s">
        <v>124</v>
      </c>
      <c r="P338" s="0" t="s">
        <v>204</v>
      </c>
      <c r="Q338" s="0" t="s">
        <v>204</v>
      </c>
      <c r="R338" s="0" t="s">
        <v>131</v>
      </c>
      <c r="S338" s="0" t="s">
        <v>21</v>
      </c>
      <c r="T338" s="0" t="s">
        <v>104</v>
      </c>
      <c r="W338" s="0" t="s">
        <v>105</v>
      </c>
      <c r="X338" s="0" t="s">
        <v>1867</v>
      </c>
      <c r="Y338" s="0" t="s">
        <v>1868</v>
      </c>
      <c r="AB338" s="0" t="s">
        <v>539</v>
      </c>
    </row>
    <row r="339" customFormat="false" ht="15" hidden="false" customHeight="false" outlineLevel="0" collapsed="false">
      <c r="A339" s="0" t="s">
        <v>21</v>
      </c>
      <c r="B339" s="0" t="s">
        <v>1863</v>
      </c>
      <c r="C339" s="0" t="s">
        <v>97</v>
      </c>
      <c r="E339" s="0" t="s">
        <v>1864</v>
      </c>
      <c r="H339" s="0" t="s">
        <v>1865</v>
      </c>
      <c r="I339" s="0" t="s">
        <v>1866</v>
      </c>
      <c r="J339" s="0" t="s">
        <v>157</v>
      </c>
      <c r="K339" s="0" t="s">
        <v>1081</v>
      </c>
      <c r="L339" s="0" t="s">
        <v>124</v>
      </c>
      <c r="M339" s="0" t="s">
        <v>232</v>
      </c>
      <c r="N339" s="0" t="s">
        <v>124</v>
      </c>
      <c r="P339" s="0" t="s">
        <v>554</v>
      </c>
      <c r="Q339" s="0" t="s">
        <v>554</v>
      </c>
      <c r="R339" s="0" t="s">
        <v>554</v>
      </c>
      <c r="S339" s="0" t="s">
        <v>21</v>
      </c>
      <c r="T339" s="0" t="s">
        <v>104</v>
      </c>
      <c r="W339" s="0" t="s">
        <v>183</v>
      </c>
      <c r="X339" s="0" t="s">
        <v>1867</v>
      </c>
      <c r="Y339" s="0" t="s">
        <v>1868</v>
      </c>
      <c r="AB339" s="0" t="s">
        <v>539</v>
      </c>
    </row>
    <row r="340" customFormat="false" ht="15" hidden="false" customHeight="false" outlineLevel="0" collapsed="false">
      <c r="A340" s="0" t="s">
        <v>21</v>
      </c>
      <c r="B340" s="0" t="s">
        <v>1869</v>
      </c>
      <c r="C340" s="0" t="s">
        <v>97</v>
      </c>
      <c r="E340" s="0" t="s">
        <v>1870</v>
      </c>
      <c r="H340" s="0" t="s">
        <v>1871</v>
      </c>
      <c r="I340" s="0" t="s">
        <v>1872</v>
      </c>
      <c r="J340" s="0" t="s">
        <v>275</v>
      </c>
      <c r="K340" s="0" t="s">
        <v>1873</v>
      </c>
      <c r="L340" s="0" t="s">
        <v>124</v>
      </c>
      <c r="M340" s="0" t="s">
        <v>178</v>
      </c>
      <c r="N340" s="0" t="s">
        <v>124</v>
      </c>
      <c r="P340" s="0" t="s">
        <v>204</v>
      </c>
      <c r="Q340" s="0" t="s">
        <v>204</v>
      </c>
      <c r="R340" s="0" t="s">
        <v>131</v>
      </c>
      <c r="S340" s="0" t="s">
        <v>21</v>
      </c>
      <c r="T340" s="0" t="s">
        <v>104</v>
      </c>
      <c r="W340" s="0" t="s">
        <v>105</v>
      </c>
      <c r="X340" s="0" t="s">
        <v>1874</v>
      </c>
      <c r="Y340" s="0" t="s">
        <v>1875</v>
      </c>
      <c r="AB340" s="0" t="s">
        <v>539</v>
      </c>
    </row>
    <row r="341" customFormat="false" ht="15" hidden="false" customHeight="false" outlineLevel="0" collapsed="false">
      <c r="A341" s="0" t="s">
        <v>21</v>
      </c>
      <c r="B341" s="0" t="s">
        <v>1869</v>
      </c>
      <c r="C341" s="0" t="s">
        <v>97</v>
      </c>
      <c r="E341" s="0" t="s">
        <v>1870</v>
      </c>
      <c r="H341" s="0" t="s">
        <v>1871</v>
      </c>
      <c r="I341" s="0" t="s">
        <v>1872</v>
      </c>
      <c r="J341" s="0" t="s">
        <v>275</v>
      </c>
      <c r="K341" s="0" t="s">
        <v>1873</v>
      </c>
      <c r="L341" s="0" t="s">
        <v>124</v>
      </c>
      <c r="M341" s="0" t="s">
        <v>178</v>
      </c>
      <c r="N341" s="0" t="s">
        <v>124</v>
      </c>
      <c r="P341" s="0" t="s">
        <v>554</v>
      </c>
      <c r="Q341" s="0" t="s">
        <v>554</v>
      </c>
      <c r="R341" s="0" t="s">
        <v>554</v>
      </c>
      <c r="S341" s="0" t="s">
        <v>21</v>
      </c>
      <c r="T341" s="0" t="s">
        <v>104</v>
      </c>
      <c r="W341" s="0" t="s">
        <v>183</v>
      </c>
      <c r="X341" s="0" t="s">
        <v>1874</v>
      </c>
      <c r="Y341" s="0" t="s">
        <v>1875</v>
      </c>
      <c r="AB341" s="0" t="s">
        <v>539</v>
      </c>
    </row>
    <row r="342" customFormat="false" ht="15" hidden="false" customHeight="false" outlineLevel="0" collapsed="false">
      <c r="A342" s="0" t="s">
        <v>21</v>
      </c>
      <c r="B342" s="0" t="s">
        <v>1876</v>
      </c>
      <c r="C342" s="0" t="s">
        <v>97</v>
      </c>
      <c r="E342" s="0" t="s">
        <v>1877</v>
      </c>
      <c r="H342" s="0" t="s">
        <v>1878</v>
      </c>
      <c r="I342" s="0" t="s">
        <v>1616</v>
      </c>
      <c r="K342" s="0" t="s">
        <v>1879</v>
      </c>
      <c r="L342" s="0" t="s">
        <v>101</v>
      </c>
      <c r="M342" s="0" t="s">
        <v>1273</v>
      </c>
      <c r="N342" s="0" t="s">
        <v>101</v>
      </c>
      <c r="P342" s="0" t="s">
        <v>204</v>
      </c>
      <c r="Q342" s="0" t="s">
        <v>204</v>
      </c>
      <c r="R342" s="0" t="s">
        <v>131</v>
      </c>
      <c r="S342" s="0" t="s">
        <v>21</v>
      </c>
      <c r="T342" s="0" t="s">
        <v>104</v>
      </c>
      <c r="W342" s="0" t="s">
        <v>105</v>
      </c>
      <c r="X342" s="0" t="s">
        <v>1880</v>
      </c>
      <c r="Y342" s="0" t="s">
        <v>1881</v>
      </c>
      <c r="AB342" s="0" t="s">
        <v>539</v>
      </c>
    </row>
    <row r="343" customFormat="false" ht="15" hidden="false" customHeight="false" outlineLevel="0" collapsed="false">
      <c r="A343" s="0" t="s">
        <v>21</v>
      </c>
      <c r="B343" s="0" t="s">
        <v>1876</v>
      </c>
      <c r="C343" s="0" t="s">
        <v>97</v>
      </c>
      <c r="E343" s="0" t="s">
        <v>1877</v>
      </c>
      <c r="H343" s="0" t="s">
        <v>1878</v>
      </c>
      <c r="I343" s="0" t="s">
        <v>1616</v>
      </c>
      <c r="K343" s="0" t="s">
        <v>1879</v>
      </c>
      <c r="L343" s="0" t="s">
        <v>101</v>
      </c>
      <c r="M343" s="0" t="s">
        <v>1273</v>
      </c>
      <c r="N343" s="0" t="s">
        <v>101</v>
      </c>
      <c r="P343" s="0" t="s">
        <v>554</v>
      </c>
      <c r="Q343" s="0" t="s">
        <v>554</v>
      </c>
      <c r="R343" s="0" t="s">
        <v>554</v>
      </c>
      <c r="S343" s="0" t="s">
        <v>21</v>
      </c>
      <c r="T343" s="0" t="s">
        <v>104</v>
      </c>
      <c r="W343" s="0" t="s">
        <v>183</v>
      </c>
      <c r="X343" s="0" t="s">
        <v>1880</v>
      </c>
      <c r="Y343" s="0" t="s">
        <v>1881</v>
      </c>
      <c r="AB343" s="0" t="s">
        <v>539</v>
      </c>
    </row>
    <row r="344" customFormat="false" ht="15" hidden="false" customHeight="false" outlineLevel="0" collapsed="false">
      <c r="A344" s="0" t="s">
        <v>21</v>
      </c>
      <c r="B344" s="0" t="s">
        <v>1882</v>
      </c>
      <c r="C344" s="0" t="s">
        <v>97</v>
      </c>
      <c r="E344" s="0" t="s">
        <v>1883</v>
      </c>
      <c r="H344" s="0" t="s">
        <v>1884</v>
      </c>
      <c r="I344" s="0" t="s">
        <v>1885</v>
      </c>
      <c r="K344" s="0" t="s">
        <v>1886</v>
      </c>
      <c r="L344" s="0" t="s">
        <v>101</v>
      </c>
      <c r="M344" s="0" t="s">
        <v>421</v>
      </c>
      <c r="N344" s="0" t="s">
        <v>101</v>
      </c>
      <c r="P344" s="0" t="s">
        <v>204</v>
      </c>
      <c r="Q344" s="0" t="s">
        <v>204</v>
      </c>
      <c r="R344" s="0" t="s">
        <v>131</v>
      </c>
      <c r="S344" s="0" t="s">
        <v>21</v>
      </c>
      <c r="T344" s="0" t="s">
        <v>104</v>
      </c>
      <c r="W344" s="0" t="s">
        <v>105</v>
      </c>
      <c r="X344" s="0" t="s">
        <v>1887</v>
      </c>
      <c r="Y344" s="0" t="s">
        <v>1888</v>
      </c>
      <c r="AB344" s="0" t="s">
        <v>539</v>
      </c>
    </row>
    <row r="345" customFormat="false" ht="15" hidden="false" customHeight="false" outlineLevel="0" collapsed="false">
      <c r="A345" s="0" t="s">
        <v>21</v>
      </c>
      <c r="B345" s="0" t="s">
        <v>1882</v>
      </c>
      <c r="C345" s="0" t="s">
        <v>97</v>
      </c>
      <c r="E345" s="0" t="s">
        <v>1883</v>
      </c>
      <c r="H345" s="0" t="s">
        <v>1884</v>
      </c>
      <c r="I345" s="0" t="s">
        <v>1885</v>
      </c>
      <c r="K345" s="0" t="s">
        <v>1886</v>
      </c>
      <c r="L345" s="0" t="s">
        <v>101</v>
      </c>
      <c r="M345" s="0" t="s">
        <v>421</v>
      </c>
      <c r="N345" s="0" t="s">
        <v>101</v>
      </c>
      <c r="P345" s="0" t="s">
        <v>554</v>
      </c>
      <c r="Q345" s="0" t="s">
        <v>554</v>
      </c>
      <c r="R345" s="0" t="s">
        <v>554</v>
      </c>
      <c r="S345" s="0" t="s">
        <v>21</v>
      </c>
      <c r="T345" s="0" t="s">
        <v>104</v>
      </c>
      <c r="W345" s="0" t="s">
        <v>183</v>
      </c>
      <c r="X345" s="0" t="s">
        <v>1887</v>
      </c>
      <c r="Y345" s="0" t="s">
        <v>1888</v>
      </c>
      <c r="AB345" s="0" t="s">
        <v>539</v>
      </c>
    </row>
    <row r="346" customFormat="false" ht="15" hidden="false" customHeight="false" outlineLevel="0" collapsed="false">
      <c r="A346" s="0" t="s">
        <v>21</v>
      </c>
      <c r="B346" s="0" t="s">
        <v>1889</v>
      </c>
      <c r="C346" s="0" t="s">
        <v>97</v>
      </c>
      <c r="E346" s="0" t="s">
        <v>1890</v>
      </c>
      <c r="H346" s="0" t="s">
        <v>1891</v>
      </c>
      <c r="I346" s="0" t="s">
        <v>1892</v>
      </c>
      <c r="K346" s="0" t="s">
        <v>498</v>
      </c>
      <c r="L346" s="0" t="s">
        <v>101</v>
      </c>
      <c r="M346" s="0" t="s">
        <v>456</v>
      </c>
      <c r="N346" s="0" t="s">
        <v>101</v>
      </c>
      <c r="P346" s="0" t="s">
        <v>204</v>
      </c>
      <c r="Q346" s="0" t="s">
        <v>204</v>
      </c>
      <c r="R346" s="0" t="s">
        <v>131</v>
      </c>
      <c r="S346" s="0" t="s">
        <v>21</v>
      </c>
      <c r="T346" s="0" t="s">
        <v>104</v>
      </c>
      <c r="W346" s="0" t="s">
        <v>105</v>
      </c>
      <c r="X346" s="0" t="s">
        <v>1893</v>
      </c>
      <c r="Y346" s="0" t="s">
        <v>1894</v>
      </c>
      <c r="AB346" s="0" t="s">
        <v>539</v>
      </c>
    </row>
    <row r="347" customFormat="false" ht="15" hidden="false" customHeight="false" outlineLevel="0" collapsed="false">
      <c r="A347" s="0" t="s">
        <v>21</v>
      </c>
      <c r="B347" s="0" t="s">
        <v>1889</v>
      </c>
      <c r="C347" s="0" t="s">
        <v>97</v>
      </c>
      <c r="E347" s="0" t="s">
        <v>1890</v>
      </c>
      <c r="H347" s="0" t="s">
        <v>1891</v>
      </c>
      <c r="I347" s="0" t="s">
        <v>1892</v>
      </c>
      <c r="K347" s="0" t="s">
        <v>498</v>
      </c>
      <c r="L347" s="0" t="s">
        <v>101</v>
      </c>
      <c r="M347" s="0" t="s">
        <v>456</v>
      </c>
      <c r="N347" s="0" t="s">
        <v>101</v>
      </c>
      <c r="P347" s="0" t="s">
        <v>554</v>
      </c>
      <c r="Q347" s="0" t="s">
        <v>554</v>
      </c>
      <c r="R347" s="0" t="s">
        <v>554</v>
      </c>
      <c r="S347" s="0" t="s">
        <v>21</v>
      </c>
      <c r="T347" s="0" t="s">
        <v>104</v>
      </c>
      <c r="W347" s="0" t="s">
        <v>183</v>
      </c>
      <c r="X347" s="0" t="s">
        <v>1893</v>
      </c>
      <c r="Y347" s="0" t="s">
        <v>1894</v>
      </c>
      <c r="AB347" s="0" t="s">
        <v>539</v>
      </c>
    </row>
    <row r="348" customFormat="false" ht="15" hidden="false" customHeight="false" outlineLevel="0" collapsed="false">
      <c r="A348" s="0" t="s">
        <v>21</v>
      </c>
      <c r="B348" s="0" t="s">
        <v>1895</v>
      </c>
      <c r="C348" s="0" t="s">
        <v>97</v>
      </c>
      <c r="E348" s="0" t="s">
        <v>1896</v>
      </c>
      <c r="H348" s="0" t="s">
        <v>1897</v>
      </c>
      <c r="I348" s="0" t="s">
        <v>1898</v>
      </c>
      <c r="K348" s="0" t="s">
        <v>1899</v>
      </c>
      <c r="L348" s="0" t="s">
        <v>101</v>
      </c>
      <c r="M348" s="0" t="s">
        <v>421</v>
      </c>
      <c r="N348" s="0" t="s">
        <v>101</v>
      </c>
      <c r="P348" s="0" t="s">
        <v>204</v>
      </c>
      <c r="Q348" s="0" t="s">
        <v>204</v>
      </c>
      <c r="R348" s="0" t="s">
        <v>131</v>
      </c>
      <c r="S348" s="0" t="s">
        <v>21</v>
      </c>
      <c r="T348" s="0" t="s">
        <v>104</v>
      </c>
      <c r="W348" s="0" t="s">
        <v>105</v>
      </c>
      <c r="X348" s="0" t="s">
        <v>1900</v>
      </c>
      <c r="Y348" s="0" t="s">
        <v>1901</v>
      </c>
      <c r="AB348" s="0" t="s">
        <v>539</v>
      </c>
    </row>
    <row r="349" customFormat="false" ht="15" hidden="false" customHeight="false" outlineLevel="0" collapsed="false">
      <c r="A349" s="0" t="s">
        <v>21</v>
      </c>
      <c r="B349" s="0" t="s">
        <v>1895</v>
      </c>
      <c r="C349" s="0" t="s">
        <v>97</v>
      </c>
      <c r="E349" s="0" t="s">
        <v>1896</v>
      </c>
      <c r="H349" s="0" t="s">
        <v>1897</v>
      </c>
      <c r="I349" s="0" t="s">
        <v>1898</v>
      </c>
      <c r="K349" s="0" t="s">
        <v>1899</v>
      </c>
      <c r="L349" s="0" t="s">
        <v>101</v>
      </c>
      <c r="M349" s="0" t="s">
        <v>421</v>
      </c>
      <c r="N349" s="0" t="s">
        <v>101</v>
      </c>
      <c r="P349" s="0" t="s">
        <v>554</v>
      </c>
      <c r="Q349" s="0" t="s">
        <v>554</v>
      </c>
      <c r="R349" s="0" t="s">
        <v>554</v>
      </c>
      <c r="S349" s="0" t="s">
        <v>21</v>
      </c>
      <c r="T349" s="0" t="s">
        <v>104</v>
      </c>
      <c r="W349" s="0" t="s">
        <v>183</v>
      </c>
      <c r="X349" s="0" t="s">
        <v>1900</v>
      </c>
      <c r="Y349" s="0" t="s">
        <v>1901</v>
      </c>
      <c r="AB349" s="0" t="s">
        <v>539</v>
      </c>
    </row>
    <row r="350" customFormat="false" ht="15" hidden="false" customHeight="false" outlineLevel="0" collapsed="false">
      <c r="A350" s="0" t="s">
        <v>21</v>
      </c>
      <c r="B350" s="0" t="s">
        <v>1902</v>
      </c>
      <c r="C350" s="0" t="s">
        <v>97</v>
      </c>
      <c r="E350" s="0" t="s">
        <v>1903</v>
      </c>
      <c r="H350" s="0" t="s">
        <v>1904</v>
      </c>
      <c r="I350" s="0" t="s">
        <v>1557</v>
      </c>
      <c r="K350" s="0" t="s">
        <v>1879</v>
      </c>
      <c r="L350" s="0" t="s">
        <v>101</v>
      </c>
      <c r="M350" s="0" t="s">
        <v>1273</v>
      </c>
      <c r="N350" s="0" t="s">
        <v>101</v>
      </c>
      <c r="P350" s="0" t="s">
        <v>204</v>
      </c>
      <c r="Q350" s="0" t="s">
        <v>204</v>
      </c>
      <c r="R350" s="0" t="s">
        <v>131</v>
      </c>
      <c r="S350" s="0" t="s">
        <v>21</v>
      </c>
      <c r="T350" s="0" t="s">
        <v>104</v>
      </c>
      <c r="W350" s="0" t="s">
        <v>105</v>
      </c>
      <c r="X350" s="0" t="s">
        <v>1905</v>
      </c>
      <c r="Y350" s="0" t="s">
        <v>1906</v>
      </c>
      <c r="AB350" s="0" t="s">
        <v>539</v>
      </c>
    </row>
    <row r="351" customFormat="false" ht="15" hidden="false" customHeight="false" outlineLevel="0" collapsed="false">
      <c r="A351" s="0" t="s">
        <v>21</v>
      </c>
      <c r="B351" s="0" t="s">
        <v>1902</v>
      </c>
      <c r="C351" s="0" t="s">
        <v>97</v>
      </c>
      <c r="E351" s="0" t="s">
        <v>1903</v>
      </c>
      <c r="H351" s="0" t="s">
        <v>1904</v>
      </c>
      <c r="I351" s="0" t="s">
        <v>1557</v>
      </c>
      <c r="K351" s="0" t="s">
        <v>1879</v>
      </c>
      <c r="L351" s="0" t="s">
        <v>101</v>
      </c>
      <c r="M351" s="0" t="s">
        <v>1273</v>
      </c>
      <c r="N351" s="0" t="s">
        <v>101</v>
      </c>
      <c r="P351" s="0" t="s">
        <v>554</v>
      </c>
      <c r="Q351" s="0" t="s">
        <v>554</v>
      </c>
      <c r="R351" s="0" t="s">
        <v>554</v>
      </c>
      <c r="S351" s="0" t="s">
        <v>21</v>
      </c>
      <c r="T351" s="0" t="s">
        <v>104</v>
      </c>
      <c r="W351" s="0" t="s">
        <v>183</v>
      </c>
      <c r="X351" s="0" t="s">
        <v>1905</v>
      </c>
      <c r="Y351" s="0" t="s">
        <v>1906</v>
      </c>
      <c r="AB351" s="0" t="s">
        <v>539</v>
      </c>
    </row>
    <row r="352" customFormat="false" ht="15" hidden="false" customHeight="false" outlineLevel="0" collapsed="false">
      <c r="A352" s="0" t="s">
        <v>21</v>
      </c>
      <c r="B352" s="0" t="s">
        <v>1907</v>
      </c>
      <c r="C352" s="0" t="s">
        <v>97</v>
      </c>
      <c r="E352" s="0" t="s">
        <v>1908</v>
      </c>
      <c r="H352" s="0" t="s">
        <v>1909</v>
      </c>
      <c r="I352" s="0" t="s">
        <v>1910</v>
      </c>
      <c r="J352" s="0" t="s">
        <v>275</v>
      </c>
      <c r="K352" s="0" t="s">
        <v>1911</v>
      </c>
      <c r="L352" s="0" t="s">
        <v>124</v>
      </c>
      <c r="M352" s="0" t="s">
        <v>178</v>
      </c>
      <c r="N352" s="0" t="s">
        <v>124</v>
      </c>
      <c r="P352" s="0" t="s">
        <v>130</v>
      </c>
      <c r="Q352" s="0" t="s">
        <v>130</v>
      </c>
      <c r="R352" s="0" t="s">
        <v>131</v>
      </c>
      <c r="S352" s="0" t="s">
        <v>21</v>
      </c>
      <c r="T352" s="0" t="s">
        <v>104</v>
      </c>
      <c r="W352" s="0" t="s">
        <v>105</v>
      </c>
      <c r="X352" s="0" t="s">
        <v>1912</v>
      </c>
      <c r="Y352" s="0" t="s">
        <v>1913</v>
      </c>
      <c r="AB352" s="0" t="s">
        <v>539</v>
      </c>
    </row>
    <row r="353" customFormat="false" ht="15" hidden="false" customHeight="false" outlineLevel="0" collapsed="false">
      <c r="A353" s="0" t="s">
        <v>21</v>
      </c>
      <c r="B353" s="0" t="s">
        <v>1914</v>
      </c>
      <c r="C353" s="0" t="s">
        <v>97</v>
      </c>
      <c r="E353" s="0" t="s">
        <v>1915</v>
      </c>
      <c r="H353" s="0" t="s">
        <v>1916</v>
      </c>
      <c r="I353" s="0" t="s">
        <v>1917</v>
      </c>
      <c r="K353" s="0" t="s">
        <v>1918</v>
      </c>
      <c r="L353" s="0" t="s">
        <v>101</v>
      </c>
      <c r="M353" s="0" t="s">
        <v>421</v>
      </c>
      <c r="N353" s="0" t="s">
        <v>101</v>
      </c>
      <c r="P353" s="0" t="s">
        <v>204</v>
      </c>
      <c r="Q353" s="0" t="s">
        <v>204</v>
      </c>
      <c r="R353" s="0" t="s">
        <v>131</v>
      </c>
      <c r="S353" s="0" t="s">
        <v>21</v>
      </c>
      <c r="T353" s="0" t="s">
        <v>104</v>
      </c>
      <c r="W353" s="0" t="s">
        <v>105</v>
      </c>
      <c r="X353" s="0" t="s">
        <v>1919</v>
      </c>
      <c r="Y353" s="0" t="s">
        <v>1920</v>
      </c>
      <c r="AB353" s="0" t="s">
        <v>539</v>
      </c>
    </row>
    <row r="354" customFormat="false" ht="15" hidden="false" customHeight="false" outlineLevel="0" collapsed="false">
      <c r="A354" s="0" t="s">
        <v>21</v>
      </c>
      <c r="B354" s="0" t="s">
        <v>1914</v>
      </c>
      <c r="C354" s="0" t="s">
        <v>97</v>
      </c>
      <c r="E354" s="0" t="s">
        <v>1915</v>
      </c>
      <c r="H354" s="0" t="s">
        <v>1916</v>
      </c>
      <c r="I354" s="0" t="s">
        <v>1917</v>
      </c>
      <c r="K354" s="0" t="s">
        <v>1918</v>
      </c>
      <c r="L354" s="0" t="s">
        <v>101</v>
      </c>
      <c r="M354" s="0" t="s">
        <v>421</v>
      </c>
      <c r="N354" s="0" t="s">
        <v>101</v>
      </c>
      <c r="P354" s="0" t="s">
        <v>554</v>
      </c>
      <c r="Q354" s="0" t="s">
        <v>554</v>
      </c>
      <c r="R354" s="0" t="s">
        <v>554</v>
      </c>
      <c r="S354" s="0" t="s">
        <v>21</v>
      </c>
      <c r="T354" s="0" t="s">
        <v>104</v>
      </c>
      <c r="W354" s="0" t="s">
        <v>183</v>
      </c>
      <c r="X354" s="0" t="s">
        <v>1919</v>
      </c>
      <c r="Y354" s="0" t="s">
        <v>1920</v>
      </c>
      <c r="AB354" s="0" t="s">
        <v>539</v>
      </c>
    </row>
    <row r="355" customFormat="false" ht="15" hidden="false" customHeight="false" outlineLevel="0" collapsed="false">
      <c r="A355" s="0" t="s">
        <v>21</v>
      </c>
      <c r="B355" s="0" t="s">
        <v>1921</v>
      </c>
      <c r="C355" s="0" t="s">
        <v>97</v>
      </c>
      <c r="E355" s="0" t="s">
        <v>1922</v>
      </c>
      <c r="H355" s="0" t="s">
        <v>1923</v>
      </c>
      <c r="I355" s="0" t="s">
        <v>1411</v>
      </c>
      <c r="J355" s="0" t="s">
        <v>275</v>
      </c>
      <c r="K355" s="0" t="s">
        <v>1924</v>
      </c>
      <c r="L355" s="0" t="s">
        <v>124</v>
      </c>
      <c r="M355" s="0" t="s">
        <v>178</v>
      </c>
      <c r="N355" s="0" t="s">
        <v>124</v>
      </c>
      <c r="P355" s="0" t="s">
        <v>130</v>
      </c>
      <c r="Q355" s="0" t="s">
        <v>130</v>
      </c>
      <c r="R355" s="0" t="s">
        <v>131</v>
      </c>
      <c r="S355" s="0" t="s">
        <v>21</v>
      </c>
      <c r="T355" s="0" t="s">
        <v>104</v>
      </c>
      <c r="W355" s="0" t="s">
        <v>105</v>
      </c>
      <c r="X355" s="0" t="s">
        <v>1925</v>
      </c>
      <c r="Y355" s="0" t="s">
        <v>1926</v>
      </c>
      <c r="AB355" s="0" t="s">
        <v>539</v>
      </c>
    </row>
    <row r="356" customFormat="false" ht="15" hidden="false" customHeight="false" outlineLevel="0" collapsed="false">
      <c r="A356" s="0" t="s">
        <v>21</v>
      </c>
      <c r="B356" s="0" t="s">
        <v>1927</v>
      </c>
      <c r="C356" s="0" t="s">
        <v>97</v>
      </c>
      <c r="E356" s="0" t="s">
        <v>1928</v>
      </c>
      <c r="H356" s="0" t="s">
        <v>1929</v>
      </c>
      <c r="I356" s="0" t="s">
        <v>1930</v>
      </c>
      <c r="J356" s="0" t="s">
        <v>254</v>
      </c>
      <c r="K356" s="0" t="s">
        <v>551</v>
      </c>
      <c r="L356" s="0" t="s">
        <v>124</v>
      </c>
      <c r="M356" s="0" t="s">
        <v>208</v>
      </c>
      <c r="N356" s="0" t="s">
        <v>124</v>
      </c>
      <c r="P356" s="0" t="s">
        <v>130</v>
      </c>
      <c r="Q356" s="0" t="s">
        <v>130</v>
      </c>
      <c r="R356" s="0" t="s">
        <v>131</v>
      </c>
      <c r="S356" s="0" t="s">
        <v>21</v>
      </c>
      <c r="T356" s="0" t="s">
        <v>104</v>
      </c>
      <c r="W356" s="0" t="s">
        <v>105</v>
      </c>
      <c r="X356" s="0" t="s">
        <v>1931</v>
      </c>
      <c r="Y356" s="0" t="s">
        <v>1932</v>
      </c>
      <c r="AB356" s="0" t="s">
        <v>539</v>
      </c>
    </row>
    <row r="357" customFormat="false" ht="15" hidden="false" customHeight="false" outlineLevel="0" collapsed="false">
      <c r="A357" s="0" t="s">
        <v>21</v>
      </c>
      <c r="B357" s="0" t="s">
        <v>1933</v>
      </c>
      <c r="C357" s="0" t="s">
        <v>97</v>
      </c>
      <c r="M357" s="0" t="s">
        <v>1934</v>
      </c>
      <c r="N357" s="0" t="s">
        <v>124</v>
      </c>
      <c r="P357" s="0" t="s">
        <v>204</v>
      </c>
      <c r="Q357" s="0" t="s">
        <v>204</v>
      </c>
      <c r="R357" s="0" t="s">
        <v>399</v>
      </c>
      <c r="S357" s="0" t="s">
        <v>21</v>
      </c>
      <c r="T357" s="0" t="s">
        <v>104</v>
      </c>
      <c r="W357" s="0" t="s">
        <v>105</v>
      </c>
    </row>
    <row r="358" customFormat="false" ht="15" hidden="false" customHeight="false" outlineLevel="0" collapsed="false">
      <c r="A358" s="0" t="s">
        <v>21</v>
      </c>
      <c r="B358" s="0" t="s">
        <v>1935</v>
      </c>
      <c r="C358" s="0" t="s">
        <v>97</v>
      </c>
      <c r="D358" s="0" t="s">
        <v>1936</v>
      </c>
      <c r="E358" s="0" t="s">
        <v>1937</v>
      </c>
      <c r="F358" s="0" t="s">
        <v>1938</v>
      </c>
      <c r="H358" s="0" t="s">
        <v>1939</v>
      </c>
      <c r="I358" s="0" t="s">
        <v>1940</v>
      </c>
      <c r="J358" s="0" t="s">
        <v>220</v>
      </c>
      <c r="K358" s="0" t="s">
        <v>1941</v>
      </c>
      <c r="L358" s="0" t="s">
        <v>124</v>
      </c>
      <c r="M358" s="0" t="s">
        <v>220</v>
      </c>
      <c r="N358" s="0" t="s">
        <v>124</v>
      </c>
      <c r="P358" s="0" t="s">
        <v>221</v>
      </c>
      <c r="Q358" s="0" t="s">
        <v>221</v>
      </c>
      <c r="R358" s="0" t="s">
        <v>221</v>
      </c>
      <c r="S358" s="0" t="s">
        <v>21</v>
      </c>
      <c r="T358" s="0" t="s">
        <v>104</v>
      </c>
      <c r="W358" s="0" t="s">
        <v>183</v>
      </c>
      <c r="X358" s="0" t="s">
        <v>1942</v>
      </c>
      <c r="Y358" s="0" t="s">
        <v>1943</v>
      </c>
      <c r="Z358" s="0" t="s">
        <v>350</v>
      </c>
      <c r="AB358" s="0" t="s">
        <v>351</v>
      </c>
    </row>
    <row r="359" customFormat="false" ht="15" hidden="false" customHeight="false" outlineLevel="0" collapsed="false">
      <c r="A359" s="0" t="s">
        <v>21</v>
      </c>
      <c r="B359" s="0" t="s">
        <v>1935</v>
      </c>
      <c r="C359" s="0" t="s">
        <v>97</v>
      </c>
      <c r="D359" s="0" t="s">
        <v>1936</v>
      </c>
      <c r="E359" s="0" t="s">
        <v>1937</v>
      </c>
      <c r="F359" s="0" t="s">
        <v>1938</v>
      </c>
      <c r="H359" s="0" t="s">
        <v>1939</v>
      </c>
      <c r="I359" s="0" t="s">
        <v>1940</v>
      </c>
      <c r="J359" s="0" t="s">
        <v>220</v>
      </c>
      <c r="K359" s="0" t="s">
        <v>1941</v>
      </c>
      <c r="L359" s="0" t="s">
        <v>124</v>
      </c>
      <c r="M359" s="0" t="s">
        <v>220</v>
      </c>
      <c r="N359" s="0" t="s">
        <v>124</v>
      </c>
      <c r="P359" s="0" t="s">
        <v>102</v>
      </c>
      <c r="Q359" s="0" t="s">
        <v>102</v>
      </c>
      <c r="R359" s="0" t="s">
        <v>224</v>
      </c>
      <c r="S359" s="0" t="s">
        <v>21</v>
      </c>
      <c r="T359" s="0" t="s">
        <v>104</v>
      </c>
      <c r="V359" s="0" t="s">
        <v>225</v>
      </c>
      <c r="W359" s="0" t="s">
        <v>105</v>
      </c>
      <c r="X359" s="0" t="s">
        <v>1942</v>
      </c>
      <c r="Y359" s="0" t="s">
        <v>1943</v>
      </c>
      <c r="Z359" s="0" t="s">
        <v>350</v>
      </c>
      <c r="AB359" s="0" t="s">
        <v>351</v>
      </c>
    </row>
    <row r="360" customFormat="false" ht="15" hidden="false" customHeight="false" outlineLevel="0" collapsed="false">
      <c r="A360" s="0" t="s">
        <v>21</v>
      </c>
      <c r="B360" s="0" t="s">
        <v>1935</v>
      </c>
      <c r="C360" s="0" t="s">
        <v>97</v>
      </c>
      <c r="D360" s="0" t="s">
        <v>1936</v>
      </c>
      <c r="E360" s="0" t="s">
        <v>1937</v>
      </c>
      <c r="F360" s="0" t="s">
        <v>1938</v>
      </c>
      <c r="H360" s="0" t="s">
        <v>1939</v>
      </c>
      <c r="I360" s="0" t="s">
        <v>1940</v>
      </c>
      <c r="J360" s="0" t="s">
        <v>220</v>
      </c>
      <c r="K360" s="0" t="s">
        <v>1941</v>
      </c>
      <c r="L360" s="0" t="s">
        <v>124</v>
      </c>
      <c r="M360" s="0" t="s">
        <v>220</v>
      </c>
      <c r="N360" s="0" t="s">
        <v>124</v>
      </c>
      <c r="P360" s="0" t="s">
        <v>130</v>
      </c>
      <c r="Q360" s="0" t="s">
        <v>130</v>
      </c>
      <c r="R360" s="0" t="s">
        <v>226</v>
      </c>
      <c r="S360" s="0" t="s">
        <v>21</v>
      </c>
      <c r="T360" s="0" t="s">
        <v>104</v>
      </c>
      <c r="U360" s="0" t="s">
        <v>227</v>
      </c>
      <c r="W360" s="0" t="s">
        <v>105</v>
      </c>
      <c r="X360" s="0" t="s">
        <v>1942</v>
      </c>
      <c r="Y360" s="0" t="s">
        <v>1943</v>
      </c>
      <c r="Z360" s="0" t="s">
        <v>350</v>
      </c>
      <c r="AB360" s="0" t="s">
        <v>351</v>
      </c>
    </row>
    <row r="361" customFormat="false" ht="15" hidden="false" customHeight="false" outlineLevel="0" collapsed="false">
      <c r="A361" s="0" t="s">
        <v>21</v>
      </c>
      <c r="B361" s="0" t="s">
        <v>1944</v>
      </c>
      <c r="C361" s="0" t="s">
        <v>97</v>
      </c>
      <c r="D361" s="0" t="s">
        <v>1945</v>
      </c>
      <c r="E361" s="0" t="s">
        <v>1946</v>
      </c>
      <c r="H361" s="0" t="s">
        <v>1947</v>
      </c>
      <c r="I361" s="0" t="s">
        <v>1948</v>
      </c>
      <c r="J361" s="0" t="s">
        <v>412</v>
      </c>
      <c r="K361" s="0" t="s">
        <v>322</v>
      </c>
      <c r="L361" s="0" t="s">
        <v>101</v>
      </c>
      <c r="M361" s="0" t="s">
        <v>1221</v>
      </c>
      <c r="N361" s="0" t="s">
        <v>101</v>
      </c>
      <c r="P361" s="0" t="s">
        <v>204</v>
      </c>
      <c r="Q361" s="0" t="s">
        <v>204</v>
      </c>
      <c r="R361" s="0" t="s">
        <v>137</v>
      </c>
      <c r="S361" s="0" t="s">
        <v>21</v>
      </c>
      <c r="T361" s="0" t="s">
        <v>104</v>
      </c>
      <c r="W361" s="0" t="s">
        <v>105</v>
      </c>
      <c r="X361" s="0" t="s">
        <v>1949</v>
      </c>
      <c r="Y361" s="0" t="s">
        <v>1950</v>
      </c>
    </row>
    <row r="362" customFormat="false" ht="15" hidden="false" customHeight="false" outlineLevel="0" collapsed="false">
      <c r="A362" s="0" t="s">
        <v>21</v>
      </c>
      <c r="B362" s="0" t="s">
        <v>1951</v>
      </c>
      <c r="C362" s="0" t="s">
        <v>97</v>
      </c>
      <c r="E362" s="0" t="s">
        <v>1952</v>
      </c>
      <c r="G362" s="0" t="s">
        <v>1953</v>
      </c>
      <c r="M362" s="0" t="s">
        <v>247</v>
      </c>
      <c r="N362" s="0" t="s">
        <v>124</v>
      </c>
      <c r="P362" s="0" t="s">
        <v>204</v>
      </c>
      <c r="Q362" s="0" t="s">
        <v>204</v>
      </c>
      <c r="R362" s="0" t="s">
        <v>131</v>
      </c>
      <c r="S362" s="0" t="s">
        <v>21</v>
      </c>
      <c r="T362" s="0" t="s">
        <v>104</v>
      </c>
      <c r="W362" s="0" t="s">
        <v>105</v>
      </c>
    </row>
    <row r="363" customFormat="false" ht="15" hidden="false" customHeight="false" outlineLevel="0" collapsed="false">
      <c r="A363" s="0" t="s">
        <v>21</v>
      </c>
      <c r="B363" s="0" t="s">
        <v>1951</v>
      </c>
      <c r="C363" s="0" t="s">
        <v>97</v>
      </c>
      <c r="E363" s="0" t="s">
        <v>1952</v>
      </c>
      <c r="G363" s="0" t="s">
        <v>1953</v>
      </c>
      <c r="M363" s="0" t="s">
        <v>247</v>
      </c>
      <c r="N363" s="0" t="s">
        <v>124</v>
      </c>
      <c r="P363" s="0" t="s">
        <v>554</v>
      </c>
      <c r="Q363" s="0" t="s">
        <v>554</v>
      </c>
      <c r="R363" s="0" t="s">
        <v>554</v>
      </c>
      <c r="S363" s="0" t="s">
        <v>21</v>
      </c>
      <c r="T363" s="0" t="s">
        <v>104</v>
      </c>
      <c r="W363" s="0" t="s">
        <v>183</v>
      </c>
    </row>
    <row r="364" customFormat="false" ht="15" hidden="false" customHeight="false" outlineLevel="0" collapsed="false">
      <c r="A364" s="0" t="s">
        <v>21</v>
      </c>
      <c r="B364" s="0" t="s">
        <v>1954</v>
      </c>
      <c r="C364" s="0" t="s">
        <v>97</v>
      </c>
      <c r="E364" s="0" t="s">
        <v>1955</v>
      </c>
      <c r="H364" s="0" t="s">
        <v>1956</v>
      </c>
      <c r="I364" s="0" t="s">
        <v>1957</v>
      </c>
      <c r="J364" s="0" t="s">
        <v>157</v>
      </c>
      <c r="K364" s="0" t="s">
        <v>1081</v>
      </c>
      <c r="L364" s="0" t="s">
        <v>124</v>
      </c>
      <c r="M364" s="0" t="s">
        <v>232</v>
      </c>
      <c r="N364" s="0" t="s">
        <v>124</v>
      </c>
      <c r="P364" s="0" t="s">
        <v>204</v>
      </c>
      <c r="Q364" s="0" t="s">
        <v>204</v>
      </c>
      <c r="R364" s="0" t="s">
        <v>103</v>
      </c>
      <c r="S364" s="0" t="s">
        <v>21</v>
      </c>
      <c r="T364" s="0" t="s">
        <v>104</v>
      </c>
      <c r="W364" s="0" t="s">
        <v>105</v>
      </c>
      <c r="X364" s="0" t="s">
        <v>1958</v>
      </c>
      <c r="Y364" s="0" t="s">
        <v>1959</v>
      </c>
      <c r="AB364" s="0" t="s">
        <v>1960</v>
      </c>
    </row>
    <row r="365" customFormat="false" ht="15" hidden="false" customHeight="false" outlineLevel="0" collapsed="false">
      <c r="A365" s="0" t="s">
        <v>21</v>
      </c>
      <c r="B365" s="0" t="s">
        <v>1961</v>
      </c>
      <c r="C365" s="0" t="s">
        <v>97</v>
      </c>
      <c r="E365" s="0" t="s">
        <v>1962</v>
      </c>
      <c r="G365" s="0" t="s">
        <v>1963</v>
      </c>
      <c r="H365" s="0" t="s">
        <v>1964</v>
      </c>
      <c r="I365" s="0" t="s">
        <v>1965</v>
      </c>
      <c r="J365" s="0" t="s">
        <v>157</v>
      </c>
      <c r="K365" s="0" t="s">
        <v>1966</v>
      </c>
      <c r="L365" s="0" t="s">
        <v>124</v>
      </c>
      <c r="M365" s="0" t="s">
        <v>232</v>
      </c>
      <c r="N365" s="0" t="s">
        <v>124</v>
      </c>
      <c r="P365" s="0" t="s">
        <v>130</v>
      </c>
      <c r="Q365" s="0" t="s">
        <v>130</v>
      </c>
      <c r="R365" s="0" t="s">
        <v>131</v>
      </c>
      <c r="S365" s="0" t="s">
        <v>21</v>
      </c>
      <c r="T365" s="0" t="s">
        <v>104</v>
      </c>
      <c r="W365" s="0" t="s">
        <v>105</v>
      </c>
      <c r="X365" s="0" t="s">
        <v>1967</v>
      </c>
      <c r="Y365" s="0" t="s">
        <v>1968</v>
      </c>
      <c r="Z365" s="0" t="s">
        <v>215</v>
      </c>
    </row>
    <row r="366" customFormat="false" ht="28.35" hidden="false" customHeight="false" outlineLevel="0" collapsed="false">
      <c r="A366" s="0" t="s">
        <v>21</v>
      </c>
      <c r="B366" s="0" t="s">
        <v>1969</v>
      </c>
      <c r="C366" s="0" t="s">
        <v>190</v>
      </c>
      <c r="D366" s="0" t="s">
        <v>1970</v>
      </c>
      <c r="E366" s="0" t="s">
        <v>1971</v>
      </c>
      <c r="G366" s="9" t="s">
        <v>1972</v>
      </c>
      <c r="M366" s="0" t="s">
        <v>247</v>
      </c>
      <c r="N366" s="0" t="s">
        <v>124</v>
      </c>
      <c r="P366" s="0" t="s">
        <v>233</v>
      </c>
      <c r="Q366" s="0" t="s">
        <v>233</v>
      </c>
      <c r="R366" s="0" t="s">
        <v>233</v>
      </c>
      <c r="S366" s="0" t="s">
        <v>21</v>
      </c>
      <c r="T366" s="0" t="s">
        <v>104</v>
      </c>
      <c r="W366" s="0" t="s">
        <v>183</v>
      </c>
      <c r="Z366" s="0" t="s">
        <v>195</v>
      </c>
      <c r="AB366" s="0" t="s">
        <v>1973</v>
      </c>
    </row>
    <row r="367" customFormat="false" ht="28.35" hidden="false" customHeight="false" outlineLevel="0" collapsed="false">
      <c r="A367" s="0" t="s">
        <v>21</v>
      </c>
      <c r="B367" s="0" t="s">
        <v>1969</v>
      </c>
      <c r="C367" s="0" t="s">
        <v>190</v>
      </c>
      <c r="D367" s="0" t="s">
        <v>1970</v>
      </c>
      <c r="E367" s="0" t="s">
        <v>1971</v>
      </c>
      <c r="G367" s="9" t="s">
        <v>1972</v>
      </c>
      <c r="M367" s="0" t="s">
        <v>247</v>
      </c>
      <c r="N367" s="0" t="s">
        <v>124</v>
      </c>
      <c r="P367" s="0" t="s">
        <v>102</v>
      </c>
      <c r="Q367" s="0" t="s">
        <v>102</v>
      </c>
      <c r="R367" s="0" t="s">
        <v>234</v>
      </c>
      <c r="S367" s="0" t="s">
        <v>21</v>
      </c>
      <c r="T367" s="0" t="s">
        <v>104</v>
      </c>
      <c r="V367" s="0" t="s">
        <v>235</v>
      </c>
      <c r="W367" s="0" t="s">
        <v>105</v>
      </c>
      <c r="Z367" s="0" t="s">
        <v>195</v>
      </c>
      <c r="AB367" s="0" t="s">
        <v>1973</v>
      </c>
    </row>
    <row r="368" customFormat="false" ht="28.35" hidden="false" customHeight="false" outlineLevel="0" collapsed="false">
      <c r="A368" s="0" t="s">
        <v>21</v>
      </c>
      <c r="B368" s="0" t="s">
        <v>1969</v>
      </c>
      <c r="C368" s="0" t="s">
        <v>190</v>
      </c>
      <c r="D368" s="0" t="s">
        <v>1970</v>
      </c>
      <c r="E368" s="0" t="s">
        <v>1971</v>
      </c>
      <c r="G368" s="9" t="s">
        <v>1972</v>
      </c>
      <c r="M368" s="0" t="s">
        <v>247</v>
      </c>
      <c r="N368" s="0" t="s">
        <v>124</v>
      </c>
      <c r="P368" s="0" t="s">
        <v>236</v>
      </c>
      <c r="Q368" s="0" t="s">
        <v>236</v>
      </c>
      <c r="R368" s="0" t="s">
        <v>237</v>
      </c>
      <c r="S368" s="0" t="s">
        <v>21</v>
      </c>
      <c r="T368" s="0" t="s">
        <v>104</v>
      </c>
      <c r="U368" s="0" t="s">
        <v>238</v>
      </c>
      <c r="W368" s="0" t="s">
        <v>105</v>
      </c>
      <c r="Z368" s="0" t="s">
        <v>195</v>
      </c>
      <c r="AB368" s="0" t="s">
        <v>1973</v>
      </c>
    </row>
    <row r="369" customFormat="false" ht="15" hidden="false" customHeight="false" outlineLevel="0" collapsed="false">
      <c r="A369" s="0" t="s">
        <v>21</v>
      </c>
      <c r="B369" s="0" t="s">
        <v>1974</v>
      </c>
      <c r="C369" s="0" t="s">
        <v>97</v>
      </c>
      <c r="D369" s="0" t="s">
        <v>848</v>
      </c>
      <c r="E369" s="0" t="s">
        <v>848</v>
      </c>
      <c r="F369" s="0" t="s">
        <v>1975</v>
      </c>
      <c r="H369" s="0" t="s">
        <v>1976</v>
      </c>
      <c r="I369" s="0" t="s">
        <v>1977</v>
      </c>
      <c r="J369" s="0" t="s">
        <v>232</v>
      </c>
      <c r="K369" s="0" t="s">
        <v>1978</v>
      </c>
      <c r="L369" s="0" t="s">
        <v>124</v>
      </c>
      <c r="M369" s="0" t="s">
        <v>232</v>
      </c>
      <c r="N369" s="0" t="s">
        <v>124</v>
      </c>
      <c r="P369" s="0" t="s">
        <v>204</v>
      </c>
      <c r="Q369" s="0" t="s">
        <v>204</v>
      </c>
      <c r="R369" s="0" t="s">
        <v>853</v>
      </c>
      <c r="S369" s="0" t="s">
        <v>21</v>
      </c>
      <c r="T369" s="0" t="s">
        <v>104</v>
      </c>
      <c r="W369" s="0" t="s">
        <v>105</v>
      </c>
      <c r="X369" s="0" t="s">
        <v>1979</v>
      </c>
      <c r="Y369" s="0" t="s">
        <v>1980</v>
      </c>
      <c r="Z369" s="0" t="s">
        <v>350</v>
      </c>
      <c r="AB369" s="0" t="s">
        <v>351</v>
      </c>
    </row>
    <row r="370" customFormat="false" ht="15" hidden="false" customHeight="false" outlineLevel="0" collapsed="false">
      <c r="A370" s="0" t="s">
        <v>21</v>
      </c>
      <c r="B370" s="0" t="s">
        <v>1981</v>
      </c>
      <c r="C370" s="0" t="s">
        <v>97</v>
      </c>
      <c r="E370" s="0" t="s">
        <v>1982</v>
      </c>
      <c r="M370" s="0" t="s">
        <v>598</v>
      </c>
      <c r="N370" s="0" t="s">
        <v>124</v>
      </c>
      <c r="P370" s="0" t="s">
        <v>204</v>
      </c>
      <c r="Q370" s="0" t="s">
        <v>204</v>
      </c>
      <c r="R370" s="0" t="s">
        <v>657</v>
      </c>
      <c r="S370" s="0" t="s">
        <v>21</v>
      </c>
      <c r="T370" s="0" t="s">
        <v>104</v>
      </c>
      <c r="W370" s="0" t="s">
        <v>105</v>
      </c>
    </row>
    <row r="371" customFormat="false" ht="15" hidden="false" customHeight="false" outlineLevel="0" collapsed="false">
      <c r="A371" s="0" t="s">
        <v>21</v>
      </c>
      <c r="B371" s="0" t="s">
        <v>1983</v>
      </c>
      <c r="C371" s="0" t="s">
        <v>174</v>
      </c>
      <c r="D371" s="0" t="s">
        <v>1984</v>
      </c>
      <c r="E371" s="0" t="s">
        <v>1985</v>
      </c>
      <c r="M371" s="0" t="s">
        <v>220</v>
      </c>
      <c r="N371" s="0" t="s">
        <v>124</v>
      </c>
      <c r="P371" s="0" t="s">
        <v>102</v>
      </c>
      <c r="Q371" s="0" t="s">
        <v>102</v>
      </c>
      <c r="R371" s="0" t="s">
        <v>131</v>
      </c>
      <c r="S371" s="0" t="s">
        <v>21</v>
      </c>
      <c r="T371" s="0" t="s">
        <v>104</v>
      </c>
      <c r="W371" s="0" t="s">
        <v>105</v>
      </c>
      <c r="AB371" s="0" t="s">
        <v>1986</v>
      </c>
    </row>
    <row r="372" customFormat="false" ht="15" hidden="false" customHeight="false" outlineLevel="0" collapsed="false">
      <c r="A372" s="0" t="s">
        <v>21</v>
      </c>
      <c r="B372" s="0" t="s">
        <v>1987</v>
      </c>
      <c r="C372" s="0" t="s">
        <v>139</v>
      </c>
      <c r="D372" s="0" t="s">
        <v>1988</v>
      </c>
      <c r="E372" s="0" t="s">
        <v>1989</v>
      </c>
      <c r="M372" s="0" t="s">
        <v>442</v>
      </c>
      <c r="N372" s="0" t="s">
        <v>101</v>
      </c>
      <c r="P372" s="0" t="s">
        <v>102</v>
      </c>
      <c r="Q372" s="0" t="s">
        <v>102</v>
      </c>
      <c r="R372" s="0" t="s">
        <v>144</v>
      </c>
      <c r="S372" s="0" t="s">
        <v>21</v>
      </c>
      <c r="T372" s="0" t="s">
        <v>104</v>
      </c>
      <c r="W372" s="0" t="s">
        <v>105</v>
      </c>
      <c r="Z372" s="0" t="s">
        <v>171</v>
      </c>
    </row>
    <row r="373" customFormat="false" ht="15" hidden="false" customHeight="false" outlineLevel="0" collapsed="false">
      <c r="A373" s="0" t="s">
        <v>21</v>
      </c>
      <c r="B373" s="0" t="s">
        <v>1990</v>
      </c>
      <c r="C373" s="0" t="s">
        <v>139</v>
      </c>
      <c r="E373" s="0" t="s">
        <v>1991</v>
      </c>
      <c r="G373" s="0" t="s">
        <v>1992</v>
      </c>
      <c r="M373" s="0" t="s">
        <v>442</v>
      </c>
      <c r="N373" s="0" t="s">
        <v>101</v>
      </c>
      <c r="P373" s="0" t="s">
        <v>130</v>
      </c>
      <c r="Q373" s="0" t="s">
        <v>130</v>
      </c>
      <c r="R373" s="0" t="s">
        <v>144</v>
      </c>
      <c r="S373" s="0" t="s">
        <v>21</v>
      </c>
      <c r="T373" s="0" t="s">
        <v>104</v>
      </c>
      <c r="W373" s="0" t="s">
        <v>105</v>
      </c>
      <c r="Z373" s="0" t="s">
        <v>171</v>
      </c>
    </row>
    <row r="374" customFormat="false" ht="15" hidden="false" customHeight="false" outlineLevel="0" collapsed="false">
      <c r="A374" s="0" t="s">
        <v>21</v>
      </c>
      <c r="B374" s="0" t="s">
        <v>1993</v>
      </c>
      <c r="C374" s="0" t="s">
        <v>661</v>
      </c>
      <c r="D374" s="0" t="s">
        <v>1994</v>
      </c>
      <c r="E374" s="0" t="s">
        <v>1994</v>
      </c>
      <c r="M374" s="0" t="s">
        <v>178</v>
      </c>
      <c r="N374" s="0" t="s">
        <v>124</v>
      </c>
      <c r="P374" s="0" t="s">
        <v>102</v>
      </c>
      <c r="Q374" s="0" t="s">
        <v>102</v>
      </c>
      <c r="R374" s="0" t="s">
        <v>131</v>
      </c>
      <c r="S374" s="0" t="s">
        <v>21</v>
      </c>
      <c r="T374" s="0" t="s">
        <v>104</v>
      </c>
      <c r="W374" s="0" t="s">
        <v>105</v>
      </c>
      <c r="AB374" s="0" t="s">
        <v>1995</v>
      </c>
    </row>
    <row r="375" customFormat="false" ht="15" hidden="false" customHeight="false" outlineLevel="0" collapsed="false">
      <c r="A375" s="0" t="s">
        <v>21</v>
      </c>
      <c r="B375" s="0" t="s">
        <v>1996</v>
      </c>
      <c r="C375" s="0" t="s">
        <v>674</v>
      </c>
      <c r="E375" s="0" t="s">
        <v>1997</v>
      </c>
      <c r="G375" s="0" t="s">
        <v>1998</v>
      </c>
      <c r="M375" s="0" t="s">
        <v>442</v>
      </c>
      <c r="N375" s="0" t="s">
        <v>101</v>
      </c>
      <c r="P375" s="0" t="s">
        <v>204</v>
      </c>
      <c r="Q375" s="0" t="s">
        <v>204</v>
      </c>
      <c r="R375" s="0" t="s">
        <v>131</v>
      </c>
      <c r="S375" s="0" t="s">
        <v>21</v>
      </c>
      <c r="T375" s="0" t="s">
        <v>104</v>
      </c>
      <c r="W375" s="0" t="s">
        <v>105</v>
      </c>
    </row>
    <row r="376" customFormat="false" ht="15" hidden="false" customHeight="false" outlineLevel="0" collapsed="false">
      <c r="A376" s="0" t="s">
        <v>21</v>
      </c>
      <c r="B376" s="0" t="s">
        <v>1996</v>
      </c>
      <c r="C376" s="0" t="s">
        <v>674</v>
      </c>
      <c r="E376" s="0" t="s">
        <v>1997</v>
      </c>
      <c r="G376" s="0" t="s">
        <v>1998</v>
      </c>
      <c r="M376" s="0" t="s">
        <v>442</v>
      </c>
      <c r="N376" s="0" t="s">
        <v>101</v>
      </c>
      <c r="P376" s="0" t="s">
        <v>554</v>
      </c>
      <c r="Q376" s="0" t="s">
        <v>554</v>
      </c>
      <c r="R376" s="0" t="s">
        <v>554</v>
      </c>
      <c r="S376" s="0" t="s">
        <v>21</v>
      </c>
      <c r="T376" s="0" t="s">
        <v>104</v>
      </c>
      <c r="W376" s="0" t="s">
        <v>183</v>
      </c>
    </row>
    <row r="377" customFormat="false" ht="15" hidden="false" customHeight="false" outlineLevel="0" collapsed="false">
      <c r="A377" s="0" t="s">
        <v>21</v>
      </c>
      <c r="B377" s="0" t="s">
        <v>1999</v>
      </c>
      <c r="C377" s="0" t="s">
        <v>200</v>
      </c>
      <c r="D377" s="0" t="s">
        <v>229</v>
      </c>
      <c r="E377" s="0" t="s">
        <v>229</v>
      </c>
      <c r="M377" s="0" t="s">
        <v>136</v>
      </c>
      <c r="N377" s="0" t="s">
        <v>124</v>
      </c>
      <c r="P377" s="0" t="s">
        <v>233</v>
      </c>
      <c r="Q377" s="0" t="s">
        <v>233</v>
      </c>
      <c r="R377" s="0" t="s">
        <v>233</v>
      </c>
      <c r="S377" s="0" t="s">
        <v>21</v>
      </c>
      <c r="T377" s="0" t="s">
        <v>104</v>
      </c>
      <c r="W377" s="0" t="s">
        <v>183</v>
      </c>
    </row>
    <row r="378" customFormat="false" ht="15" hidden="false" customHeight="false" outlineLevel="0" collapsed="false">
      <c r="A378" s="0" t="s">
        <v>21</v>
      </c>
      <c r="B378" s="0" t="s">
        <v>1999</v>
      </c>
      <c r="C378" s="0" t="s">
        <v>200</v>
      </c>
      <c r="D378" s="0" t="s">
        <v>229</v>
      </c>
      <c r="E378" s="0" t="s">
        <v>229</v>
      </c>
      <c r="M378" s="0" t="s">
        <v>136</v>
      </c>
      <c r="N378" s="0" t="s">
        <v>124</v>
      </c>
      <c r="P378" s="0" t="s">
        <v>102</v>
      </c>
      <c r="Q378" s="0" t="s">
        <v>102</v>
      </c>
      <c r="R378" s="0" t="s">
        <v>234</v>
      </c>
      <c r="S378" s="0" t="s">
        <v>21</v>
      </c>
      <c r="T378" s="0" t="s">
        <v>104</v>
      </c>
      <c r="V378" s="0" t="s">
        <v>235</v>
      </c>
      <c r="W378" s="0" t="s">
        <v>105</v>
      </c>
    </row>
    <row r="379" customFormat="false" ht="15" hidden="false" customHeight="false" outlineLevel="0" collapsed="false">
      <c r="A379" s="0" t="s">
        <v>21</v>
      </c>
      <c r="B379" s="0" t="s">
        <v>1999</v>
      </c>
      <c r="C379" s="0" t="s">
        <v>200</v>
      </c>
      <c r="D379" s="0" t="s">
        <v>229</v>
      </c>
      <c r="E379" s="0" t="s">
        <v>229</v>
      </c>
      <c r="M379" s="0" t="s">
        <v>136</v>
      </c>
      <c r="N379" s="0" t="s">
        <v>124</v>
      </c>
      <c r="P379" s="0" t="s">
        <v>26</v>
      </c>
      <c r="Q379" s="0" t="s">
        <v>26</v>
      </c>
      <c r="R379" s="0" t="s">
        <v>26</v>
      </c>
      <c r="S379" s="0" t="s">
        <v>21</v>
      </c>
      <c r="T379" s="0" t="s">
        <v>104</v>
      </c>
      <c r="W379" s="0" t="s">
        <v>183</v>
      </c>
    </row>
    <row r="380" customFormat="false" ht="15" hidden="false" customHeight="false" outlineLevel="0" collapsed="false">
      <c r="A380" s="0" t="s">
        <v>21</v>
      </c>
      <c r="B380" s="0" t="s">
        <v>1999</v>
      </c>
      <c r="C380" s="0" t="s">
        <v>200</v>
      </c>
      <c r="D380" s="0" t="s">
        <v>229</v>
      </c>
      <c r="E380" s="0" t="s">
        <v>229</v>
      </c>
      <c r="M380" s="0" t="s">
        <v>136</v>
      </c>
      <c r="N380" s="0" t="s">
        <v>124</v>
      </c>
      <c r="P380" s="0" t="s">
        <v>236</v>
      </c>
      <c r="Q380" s="0" t="s">
        <v>236</v>
      </c>
      <c r="R380" s="0" t="s">
        <v>237</v>
      </c>
      <c r="S380" s="0" t="s">
        <v>21</v>
      </c>
      <c r="T380" s="0" t="s">
        <v>104</v>
      </c>
      <c r="U380" s="0" t="s">
        <v>238</v>
      </c>
      <c r="W380" s="0" t="s">
        <v>105</v>
      </c>
    </row>
    <row r="381" customFormat="false" ht="15" hidden="false" customHeight="false" outlineLevel="0" collapsed="false">
      <c r="A381" s="0" t="s">
        <v>21</v>
      </c>
      <c r="B381" s="0" t="s">
        <v>2000</v>
      </c>
      <c r="C381" s="0" t="s">
        <v>200</v>
      </c>
      <c r="D381" s="0" t="s">
        <v>2001</v>
      </c>
      <c r="E381" s="0" t="s">
        <v>2001</v>
      </c>
      <c r="M381" s="0" t="s">
        <v>136</v>
      </c>
      <c r="N381" s="0" t="s">
        <v>124</v>
      </c>
      <c r="P381" s="0" t="s">
        <v>26</v>
      </c>
      <c r="Q381" s="0" t="s">
        <v>26</v>
      </c>
      <c r="R381" s="0" t="s">
        <v>26</v>
      </c>
      <c r="S381" s="0" t="s">
        <v>21</v>
      </c>
      <c r="T381" s="0" t="s">
        <v>104</v>
      </c>
      <c r="W381" s="0" t="s">
        <v>183</v>
      </c>
    </row>
    <row r="382" customFormat="false" ht="15" hidden="false" customHeight="false" outlineLevel="0" collapsed="false">
      <c r="A382" s="0" t="s">
        <v>21</v>
      </c>
      <c r="B382" s="0" t="s">
        <v>2000</v>
      </c>
      <c r="C382" s="0" t="s">
        <v>200</v>
      </c>
      <c r="D382" s="0" t="s">
        <v>2001</v>
      </c>
      <c r="E382" s="0" t="s">
        <v>2001</v>
      </c>
      <c r="M382" s="0" t="s">
        <v>136</v>
      </c>
      <c r="N382" s="0" t="s">
        <v>124</v>
      </c>
      <c r="P382" s="0" t="s">
        <v>236</v>
      </c>
      <c r="Q382" s="0" t="s">
        <v>236</v>
      </c>
      <c r="R382" s="0" t="s">
        <v>103</v>
      </c>
      <c r="S382" s="0" t="s">
        <v>21</v>
      </c>
      <c r="T382" s="0" t="s">
        <v>104</v>
      </c>
      <c r="W382" s="0" t="s">
        <v>105</v>
      </c>
    </row>
    <row r="383" customFormat="false" ht="15" hidden="false" customHeight="false" outlineLevel="0" collapsed="false">
      <c r="A383" s="0" t="s">
        <v>21</v>
      </c>
      <c r="B383" s="0" t="s">
        <v>2002</v>
      </c>
      <c r="C383" s="0" t="s">
        <v>200</v>
      </c>
      <c r="D383" s="0" t="s">
        <v>229</v>
      </c>
      <c r="E383" s="0" t="s">
        <v>229</v>
      </c>
      <c r="M383" s="0" t="s">
        <v>136</v>
      </c>
      <c r="N383" s="0" t="s">
        <v>124</v>
      </c>
      <c r="P383" s="0" t="s">
        <v>233</v>
      </c>
      <c r="Q383" s="0" t="s">
        <v>233</v>
      </c>
      <c r="R383" s="0" t="s">
        <v>233</v>
      </c>
      <c r="S383" s="0" t="s">
        <v>21</v>
      </c>
      <c r="T383" s="0" t="s">
        <v>104</v>
      </c>
      <c r="W383" s="0" t="s">
        <v>183</v>
      </c>
    </row>
    <row r="384" customFormat="false" ht="15" hidden="false" customHeight="false" outlineLevel="0" collapsed="false">
      <c r="A384" s="0" t="s">
        <v>21</v>
      </c>
      <c r="B384" s="0" t="s">
        <v>2002</v>
      </c>
      <c r="C384" s="0" t="s">
        <v>200</v>
      </c>
      <c r="D384" s="0" t="s">
        <v>229</v>
      </c>
      <c r="E384" s="0" t="s">
        <v>229</v>
      </c>
      <c r="M384" s="0" t="s">
        <v>136</v>
      </c>
      <c r="N384" s="0" t="s">
        <v>124</v>
      </c>
      <c r="P384" s="0" t="s">
        <v>102</v>
      </c>
      <c r="Q384" s="0" t="s">
        <v>102</v>
      </c>
      <c r="R384" s="0" t="s">
        <v>234</v>
      </c>
      <c r="S384" s="0" t="s">
        <v>21</v>
      </c>
      <c r="T384" s="0" t="s">
        <v>104</v>
      </c>
      <c r="V384" s="0" t="s">
        <v>235</v>
      </c>
      <c r="W384" s="0" t="s">
        <v>105</v>
      </c>
    </row>
    <row r="385" customFormat="false" ht="15" hidden="false" customHeight="false" outlineLevel="0" collapsed="false">
      <c r="A385" s="0" t="s">
        <v>21</v>
      </c>
      <c r="B385" s="0" t="s">
        <v>2002</v>
      </c>
      <c r="C385" s="0" t="s">
        <v>200</v>
      </c>
      <c r="D385" s="0" t="s">
        <v>229</v>
      </c>
      <c r="E385" s="0" t="s">
        <v>229</v>
      </c>
      <c r="M385" s="0" t="s">
        <v>136</v>
      </c>
      <c r="N385" s="0" t="s">
        <v>124</v>
      </c>
      <c r="P385" s="0" t="s">
        <v>26</v>
      </c>
      <c r="Q385" s="0" t="s">
        <v>26</v>
      </c>
      <c r="R385" s="0" t="s">
        <v>26</v>
      </c>
      <c r="S385" s="0" t="s">
        <v>21</v>
      </c>
      <c r="T385" s="0" t="s">
        <v>104</v>
      </c>
      <c r="W385" s="0" t="s">
        <v>183</v>
      </c>
    </row>
    <row r="386" customFormat="false" ht="15" hidden="false" customHeight="false" outlineLevel="0" collapsed="false">
      <c r="A386" s="0" t="s">
        <v>21</v>
      </c>
      <c r="B386" s="0" t="s">
        <v>2002</v>
      </c>
      <c r="C386" s="0" t="s">
        <v>200</v>
      </c>
      <c r="D386" s="0" t="s">
        <v>229</v>
      </c>
      <c r="E386" s="0" t="s">
        <v>229</v>
      </c>
      <c r="M386" s="0" t="s">
        <v>136</v>
      </c>
      <c r="N386" s="0" t="s">
        <v>124</v>
      </c>
      <c r="P386" s="0" t="s">
        <v>236</v>
      </c>
      <c r="Q386" s="0" t="s">
        <v>236</v>
      </c>
      <c r="R386" s="0" t="s">
        <v>237</v>
      </c>
      <c r="S386" s="0" t="s">
        <v>21</v>
      </c>
      <c r="T386" s="0" t="s">
        <v>104</v>
      </c>
      <c r="U386" s="0" t="s">
        <v>238</v>
      </c>
      <c r="W386" s="0" t="s">
        <v>105</v>
      </c>
    </row>
    <row r="387" customFormat="false" ht="15" hidden="false" customHeight="false" outlineLevel="0" collapsed="false">
      <c r="A387" s="0" t="s">
        <v>21</v>
      </c>
      <c r="B387" s="0" t="s">
        <v>2003</v>
      </c>
      <c r="C387" s="0" t="s">
        <v>200</v>
      </c>
      <c r="D387" s="0" t="s">
        <v>191</v>
      </c>
      <c r="E387" s="0" t="s">
        <v>191</v>
      </c>
      <c r="M387" s="0" t="s">
        <v>136</v>
      </c>
      <c r="N387" s="0" t="s">
        <v>124</v>
      </c>
      <c r="P387" s="0" t="s">
        <v>102</v>
      </c>
      <c r="Q387" s="0" t="s">
        <v>102</v>
      </c>
      <c r="R387" s="0" t="s">
        <v>137</v>
      </c>
      <c r="S387" s="0" t="s">
        <v>21</v>
      </c>
      <c r="T387" s="0" t="s">
        <v>104</v>
      </c>
      <c r="W387" s="0" t="s">
        <v>105</v>
      </c>
    </row>
    <row r="388" customFormat="false" ht="15" hidden="false" customHeight="false" outlineLevel="0" collapsed="false">
      <c r="A388" s="0" t="s">
        <v>21</v>
      </c>
      <c r="B388" s="0" t="s">
        <v>2003</v>
      </c>
      <c r="C388" s="0" t="s">
        <v>200</v>
      </c>
      <c r="D388" s="0" t="s">
        <v>191</v>
      </c>
      <c r="E388" s="0" t="s">
        <v>191</v>
      </c>
      <c r="M388" s="0" t="s">
        <v>136</v>
      </c>
      <c r="N388" s="0" t="s">
        <v>124</v>
      </c>
      <c r="P388" s="0" t="s">
        <v>26</v>
      </c>
      <c r="Q388" s="0" t="s">
        <v>26</v>
      </c>
      <c r="R388" s="0" t="s">
        <v>26</v>
      </c>
      <c r="S388" s="0" t="s">
        <v>21</v>
      </c>
      <c r="T388" s="0" t="s">
        <v>104</v>
      </c>
      <c r="W388" s="0" t="s">
        <v>183</v>
      </c>
    </row>
    <row r="389" customFormat="false" ht="15" hidden="false" customHeight="false" outlineLevel="0" collapsed="false">
      <c r="A389" s="0" t="s">
        <v>21</v>
      </c>
      <c r="B389" s="0" t="s">
        <v>2004</v>
      </c>
      <c r="C389" s="0" t="s">
        <v>200</v>
      </c>
      <c r="D389" s="0" t="s">
        <v>2005</v>
      </c>
      <c r="E389" s="0" t="s">
        <v>2005</v>
      </c>
      <c r="M389" s="0" t="s">
        <v>136</v>
      </c>
      <c r="N389" s="0" t="s">
        <v>124</v>
      </c>
      <c r="P389" s="0" t="s">
        <v>102</v>
      </c>
      <c r="Q389" s="0" t="s">
        <v>102</v>
      </c>
      <c r="R389" s="0" t="s">
        <v>137</v>
      </c>
      <c r="S389" s="0" t="s">
        <v>21</v>
      </c>
      <c r="T389" s="0" t="s">
        <v>104</v>
      </c>
      <c r="W389" s="0" t="s">
        <v>105</v>
      </c>
    </row>
    <row r="390" customFormat="false" ht="15" hidden="false" customHeight="false" outlineLevel="0" collapsed="false">
      <c r="A390" s="0" t="s">
        <v>21</v>
      </c>
      <c r="B390" s="0" t="s">
        <v>2004</v>
      </c>
      <c r="C390" s="0" t="s">
        <v>200</v>
      </c>
      <c r="D390" s="0" t="s">
        <v>2005</v>
      </c>
      <c r="E390" s="0" t="s">
        <v>2005</v>
      </c>
      <c r="M390" s="0" t="s">
        <v>136</v>
      </c>
      <c r="N390" s="0" t="s">
        <v>124</v>
      </c>
      <c r="P390" s="0" t="s">
        <v>26</v>
      </c>
      <c r="Q390" s="0" t="s">
        <v>26</v>
      </c>
      <c r="R390" s="0" t="s">
        <v>26</v>
      </c>
      <c r="S390" s="0" t="s">
        <v>21</v>
      </c>
      <c r="T390" s="0" t="s">
        <v>104</v>
      </c>
      <c r="W390" s="0" t="s">
        <v>183</v>
      </c>
    </row>
    <row r="391" customFormat="false" ht="15" hidden="false" customHeight="false" outlineLevel="0" collapsed="false">
      <c r="A391" s="0" t="s">
        <v>21</v>
      </c>
      <c r="B391" s="0" t="s">
        <v>2006</v>
      </c>
      <c r="C391" s="0" t="s">
        <v>771</v>
      </c>
      <c r="D391" s="0" t="s">
        <v>753</v>
      </c>
      <c r="E391" s="0" t="s">
        <v>753</v>
      </c>
      <c r="M391" s="0" t="s">
        <v>136</v>
      </c>
      <c r="N391" s="0" t="s">
        <v>124</v>
      </c>
      <c r="P391" s="0" t="s">
        <v>102</v>
      </c>
      <c r="Q391" s="0" t="s">
        <v>102</v>
      </c>
      <c r="R391" s="0" t="s">
        <v>113</v>
      </c>
      <c r="S391" s="0" t="s">
        <v>21</v>
      </c>
      <c r="T391" s="0" t="s">
        <v>104</v>
      </c>
      <c r="W391" s="0" t="s">
        <v>105</v>
      </c>
    </row>
    <row r="392" customFormat="false" ht="15" hidden="false" customHeight="false" outlineLevel="0" collapsed="false">
      <c r="A392" s="0" t="s">
        <v>21</v>
      </c>
      <c r="B392" s="0" t="s">
        <v>2006</v>
      </c>
      <c r="C392" s="0" t="s">
        <v>771</v>
      </c>
      <c r="D392" s="0" t="s">
        <v>753</v>
      </c>
      <c r="E392" s="0" t="s">
        <v>753</v>
      </c>
      <c r="M392" s="0" t="s">
        <v>136</v>
      </c>
      <c r="N392" s="0" t="s">
        <v>124</v>
      </c>
      <c r="P392" s="0" t="s">
        <v>26</v>
      </c>
      <c r="Q392" s="0" t="s">
        <v>26</v>
      </c>
      <c r="R392" s="0" t="s">
        <v>26</v>
      </c>
      <c r="S392" s="0" t="s">
        <v>21</v>
      </c>
      <c r="T392" s="0" t="s">
        <v>104</v>
      </c>
      <c r="W392" s="0" t="s">
        <v>183</v>
      </c>
    </row>
    <row r="393" customFormat="false" ht="15" hidden="false" customHeight="false" outlineLevel="0" collapsed="false">
      <c r="A393" s="0" t="s">
        <v>21</v>
      </c>
      <c r="B393" s="0" t="s">
        <v>2007</v>
      </c>
      <c r="C393" s="0" t="s">
        <v>771</v>
      </c>
      <c r="D393" s="0" t="s">
        <v>753</v>
      </c>
      <c r="E393" s="0" t="s">
        <v>753</v>
      </c>
      <c r="M393" s="0" t="s">
        <v>136</v>
      </c>
      <c r="N393" s="0" t="s">
        <v>124</v>
      </c>
      <c r="P393" s="0" t="s">
        <v>102</v>
      </c>
      <c r="Q393" s="0" t="s">
        <v>102</v>
      </c>
      <c r="R393" s="0" t="s">
        <v>113</v>
      </c>
      <c r="S393" s="0" t="s">
        <v>21</v>
      </c>
      <c r="T393" s="0" t="s">
        <v>104</v>
      </c>
      <c r="W393" s="0" t="s">
        <v>105</v>
      </c>
    </row>
    <row r="394" customFormat="false" ht="15" hidden="false" customHeight="false" outlineLevel="0" collapsed="false">
      <c r="A394" s="0" t="s">
        <v>21</v>
      </c>
      <c r="B394" s="0" t="s">
        <v>2007</v>
      </c>
      <c r="C394" s="0" t="s">
        <v>771</v>
      </c>
      <c r="D394" s="0" t="s">
        <v>753</v>
      </c>
      <c r="E394" s="0" t="s">
        <v>753</v>
      </c>
      <c r="M394" s="0" t="s">
        <v>136</v>
      </c>
      <c r="N394" s="0" t="s">
        <v>124</v>
      </c>
      <c r="P394" s="0" t="s">
        <v>26</v>
      </c>
      <c r="Q394" s="0" t="s">
        <v>26</v>
      </c>
      <c r="R394" s="0" t="s">
        <v>26</v>
      </c>
      <c r="S394" s="0" t="s">
        <v>21</v>
      </c>
      <c r="T394" s="0" t="s">
        <v>104</v>
      </c>
      <c r="W394" s="0" t="s">
        <v>183</v>
      </c>
    </row>
    <row r="395" customFormat="false" ht="15" hidden="false" customHeight="false" outlineLevel="0" collapsed="false">
      <c r="A395" s="0" t="s">
        <v>21</v>
      </c>
      <c r="B395" s="0" t="s">
        <v>2008</v>
      </c>
      <c r="C395" s="0" t="s">
        <v>771</v>
      </c>
      <c r="D395" s="0" t="s">
        <v>753</v>
      </c>
      <c r="E395" s="0" t="s">
        <v>753</v>
      </c>
      <c r="M395" s="0" t="s">
        <v>136</v>
      </c>
      <c r="N395" s="0" t="s">
        <v>124</v>
      </c>
      <c r="P395" s="0" t="s">
        <v>102</v>
      </c>
      <c r="Q395" s="0" t="s">
        <v>102</v>
      </c>
      <c r="R395" s="0" t="s">
        <v>113</v>
      </c>
      <c r="S395" s="0" t="s">
        <v>21</v>
      </c>
      <c r="T395" s="0" t="s">
        <v>104</v>
      </c>
      <c r="W395" s="0" t="s">
        <v>105</v>
      </c>
    </row>
    <row r="396" customFormat="false" ht="15" hidden="false" customHeight="false" outlineLevel="0" collapsed="false">
      <c r="A396" s="0" t="s">
        <v>21</v>
      </c>
      <c r="B396" s="0" t="s">
        <v>2008</v>
      </c>
      <c r="C396" s="0" t="s">
        <v>771</v>
      </c>
      <c r="D396" s="0" t="s">
        <v>753</v>
      </c>
      <c r="E396" s="0" t="s">
        <v>753</v>
      </c>
      <c r="M396" s="0" t="s">
        <v>136</v>
      </c>
      <c r="N396" s="0" t="s">
        <v>124</v>
      </c>
      <c r="P396" s="0" t="s">
        <v>26</v>
      </c>
      <c r="Q396" s="0" t="s">
        <v>26</v>
      </c>
      <c r="R396" s="0" t="s">
        <v>26</v>
      </c>
      <c r="S396" s="0" t="s">
        <v>21</v>
      </c>
      <c r="T396" s="0" t="s">
        <v>104</v>
      </c>
      <c r="W396" s="0" t="s">
        <v>183</v>
      </c>
    </row>
    <row r="397" customFormat="false" ht="15" hidden="false" customHeight="false" outlineLevel="0" collapsed="false">
      <c r="A397" s="0" t="s">
        <v>21</v>
      </c>
      <c r="B397" s="0" t="s">
        <v>2009</v>
      </c>
      <c r="C397" s="0" t="s">
        <v>771</v>
      </c>
      <c r="D397" s="0" t="s">
        <v>2010</v>
      </c>
      <c r="E397" s="0" t="s">
        <v>2010</v>
      </c>
      <c r="M397" s="0" t="s">
        <v>136</v>
      </c>
      <c r="N397" s="0" t="s">
        <v>124</v>
      </c>
      <c r="P397" s="0" t="s">
        <v>102</v>
      </c>
      <c r="Q397" s="0" t="s">
        <v>102</v>
      </c>
      <c r="R397" s="0" t="s">
        <v>131</v>
      </c>
      <c r="S397" s="0" t="s">
        <v>21</v>
      </c>
      <c r="T397" s="0" t="s">
        <v>104</v>
      </c>
      <c r="W397" s="0" t="s">
        <v>105</v>
      </c>
    </row>
    <row r="398" customFormat="false" ht="15" hidden="false" customHeight="false" outlineLevel="0" collapsed="false">
      <c r="A398" s="0" t="s">
        <v>21</v>
      </c>
      <c r="B398" s="0" t="s">
        <v>2009</v>
      </c>
      <c r="C398" s="0" t="s">
        <v>771</v>
      </c>
      <c r="D398" s="0" t="s">
        <v>2010</v>
      </c>
      <c r="E398" s="0" t="s">
        <v>2010</v>
      </c>
      <c r="M398" s="0" t="s">
        <v>136</v>
      </c>
      <c r="N398" s="0" t="s">
        <v>124</v>
      </c>
      <c r="P398" s="0" t="s">
        <v>26</v>
      </c>
      <c r="Q398" s="0" t="s">
        <v>26</v>
      </c>
      <c r="R398" s="0" t="s">
        <v>26</v>
      </c>
      <c r="S398" s="0" t="s">
        <v>21</v>
      </c>
      <c r="T398" s="0" t="s">
        <v>104</v>
      </c>
      <c r="W398" s="0" t="s">
        <v>183</v>
      </c>
    </row>
    <row r="399" customFormat="false" ht="15" hidden="false" customHeight="false" outlineLevel="0" collapsed="false">
      <c r="A399" s="0" t="s">
        <v>21</v>
      </c>
      <c r="B399" s="0" t="s">
        <v>2011</v>
      </c>
      <c r="C399" s="0" t="s">
        <v>200</v>
      </c>
      <c r="D399" s="0" t="s">
        <v>2012</v>
      </c>
      <c r="E399" s="0" t="s">
        <v>2012</v>
      </c>
      <c r="M399" s="0" t="s">
        <v>136</v>
      </c>
      <c r="N399" s="0" t="s">
        <v>124</v>
      </c>
      <c r="P399" s="0" t="s">
        <v>102</v>
      </c>
      <c r="Q399" s="0" t="s">
        <v>102</v>
      </c>
      <c r="R399" s="0" t="s">
        <v>144</v>
      </c>
      <c r="S399" s="0" t="s">
        <v>21</v>
      </c>
      <c r="T399" s="0" t="s">
        <v>104</v>
      </c>
      <c r="W399" s="0" t="s">
        <v>105</v>
      </c>
    </row>
    <row r="400" customFormat="false" ht="15" hidden="false" customHeight="false" outlineLevel="0" collapsed="false">
      <c r="A400" s="0" t="s">
        <v>21</v>
      </c>
      <c r="B400" s="0" t="s">
        <v>2011</v>
      </c>
      <c r="C400" s="0" t="s">
        <v>200</v>
      </c>
      <c r="D400" s="0" t="s">
        <v>2012</v>
      </c>
      <c r="E400" s="0" t="s">
        <v>2012</v>
      </c>
      <c r="M400" s="0" t="s">
        <v>136</v>
      </c>
      <c r="N400" s="0" t="s">
        <v>124</v>
      </c>
      <c r="P400" s="0" t="s">
        <v>26</v>
      </c>
      <c r="Q400" s="0" t="s">
        <v>26</v>
      </c>
      <c r="R400" s="0" t="s">
        <v>26</v>
      </c>
      <c r="S400" s="0" t="s">
        <v>21</v>
      </c>
      <c r="T400" s="0" t="s">
        <v>104</v>
      </c>
      <c r="W400" s="0" t="s">
        <v>183</v>
      </c>
    </row>
    <row r="401" customFormat="false" ht="15" hidden="false" customHeight="false" outlineLevel="0" collapsed="false">
      <c r="A401" s="0" t="s">
        <v>21</v>
      </c>
      <c r="B401" s="0" t="s">
        <v>2013</v>
      </c>
      <c r="C401" s="0" t="s">
        <v>200</v>
      </c>
      <c r="D401" s="0" t="s">
        <v>2005</v>
      </c>
      <c r="E401" s="0" t="s">
        <v>2005</v>
      </c>
      <c r="M401" s="0" t="s">
        <v>136</v>
      </c>
      <c r="N401" s="0" t="s">
        <v>124</v>
      </c>
      <c r="P401" s="0" t="s">
        <v>102</v>
      </c>
      <c r="Q401" s="0" t="s">
        <v>102</v>
      </c>
      <c r="R401" s="0" t="s">
        <v>137</v>
      </c>
      <c r="S401" s="0" t="s">
        <v>21</v>
      </c>
      <c r="T401" s="0" t="s">
        <v>104</v>
      </c>
      <c r="W401" s="0" t="s">
        <v>105</v>
      </c>
    </row>
    <row r="402" customFormat="false" ht="15" hidden="false" customHeight="false" outlineLevel="0" collapsed="false">
      <c r="A402" s="0" t="s">
        <v>21</v>
      </c>
      <c r="B402" s="0" t="s">
        <v>2013</v>
      </c>
      <c r="C402" s="0" t="s">
        <v>200</v>
      </c>
      <c r="D402" s="0" t="s">
        <v>2005</v>
      </c>
      <c r="E402" s="0" t="s">
        <v>2005</v>
      </c>
      <c r="M402" s="0" t="s">
        <v>136</v>
      </c>
      <c r="N402" s="0" t="s">
        <v>124</v>
      </c>
      <c r="P402" s="0" t="s">
        <v>26</v>
      </c>
      <c r="Q402" s="0" t="s">
        <v>26</v>
      </c>
      <c r="R402" s="0" t="s">
        <v>26</v>
      </c>
      <c r="S402" s="0" t="s">
        <v>21</v>
      </c>
      <c r="T402" s="0" t="s">
        <v>104</v>
      </c>
      <c r="W402" s="0" t="s">
        <v>183</v>
      </c>
    </row>
    <row r="403" customFormat="false" ht="15" hidden="false" customHeight="false" outlineLevel="0" collapsed="false">
      <c r="A403" s="0" t="s">
        <v>21</v>
      </c>
      <c r="B403" s="0" t="s">
        <v>2014</v>
      </c>
      <c r="C403" s="0" t="s">
        <v>771</v>
      </c>
      <c r="D403" s="0" t="s">
        <v>2015</v>
      </c>
      <c r="E403" s="0" t="s">
        <v>2015</v>
      </c>
      <c r="M403" s="0" t="s">
        <v>136</v>
      </c>
      <c r="N403" s="0" t="s">
        <v>124</v>
      </c>
      <c r="P403" s="0" t="s">
        <v>102</v>
      </c>
      <c r="Q403" s="0" t="s">
        <v>102</v>
      </c>
      <c r="R403" s="0" t="s">
        <v>804</v>
      </c>
      <c r="S403" s="0" t="s">
        <v>21</v>
      </c>
      <c r="T403" s="0" t="s">
        <v>104</v>
      </c>
      <c r="W403" s="0" t="s">
        <v>105</v>
      </c>
    </row>
    <row r="404" customFormat="false" ht="15" hidden="false" customHeight="false" outlineLevel="0" collapsed="false">
      <c r="A404" s="0" t="s">
        <v>21</v>
      </c>
      <c r="B404" s="0" t="s">
        <v>2014</v>
      </c>
      <c r="C404" s="0" t="s">
        <v>771</v>
      </c>
      <c r="D404" s="0" t="s">
        <v>2015</v>
      </c>
      <c r="E404" s="0" t="s">
        <v>2015</v>
      </c>
      <c r="M404" s="0" t="s">
        <v>136</v>
      </c>
      <c r="N404" s="0" t="s">
        <v>124</v>
      </c>
      <c r="P404" s="0" t="s">
        <v>26</v>
      </c>
      <c r="Q404" s="0" t="s">
        <v>26</v>
      </c>
      <c r="R404" s="0" t="s">
        <v>26</v>
      </c>
      <c r="S404" s="0" t="s">
        <v>21</v>
      </c>
      <c r="T404" s="0" t="s">
        <v>104</v>
      </c>
      <c r="W404" s="0" t="s">
        <v>183</v>
      </c>
    </row>
    <row r="405" customFormat="false" ht="15" hidden="false" customHeight="false" outlineLevel="0" collapsed="false">
      <c r="A405" s="0" t="s">
        <v>21</v>
      </c>
      <c r="B405" s="0" t="s">
        <v>2016</v>
      </c>
      <c r="C405" s="0" t="s">
        <v>771</v>
      </c>
      <c r="D405" s="0" t="s">
        <v>2017</v>
      </c>
      <c r="E405" s="0" t="s">
        <v>2017</v>
      </c>
      <c r="M405" s="0" t="s">
        <v>136</v>
      </c>
      <c r="N405" s="0" t="s">
        <v>124</v>
      </c>
      <c r="P405" s="0" t="s">
        <v>102</v>
      </c>
      <c r="Q405" s="0" t="s">
        <v>102</v>
      </c>
      <c r="R405" s="0" t="s">
        <v>804</v>
      </c>
      <c r="S405" s="0" t="s">
        <v>21</v>
      </c>
      <c r="T405" s="0" t="s">
        <v>104</v>
      </c>
      <c r="W405" s="0" t="s">
        <v>105</v>
      </c>
    </row>
    <row r="406" customFormat="false" ht="15" hidden="false" customHeight="false" outlineLevel="0" collapsed="false">
      <c r="A406" s="0" t="s">
        <v>21</v>
      </c>
      <c r="B406" s="0" t="s">
        <v>2016</v>
      </c>
      <c r="C406" s="0" t="s">
        <v>771</v>
      </c>
      <c r="D406" s="0" t="s">
        <v>2017</v>
      </c>
      <c r="E406" s="0" t="s">
        <v>2017</v>
      </c>
      <c r="M406" s="0" t="s">
        <v>136</v>
      </c>
      <c r="N406" s="0" t="s">
        <v>124</v>
      </c>
      <c r="P406" s="0" t="s">
        <v>26</v>
      </c>
      <c r="Q406" s="0" t="s">
        <v>26</v>
      </c>
      <c r="R406" s="0" t="s">
        <v>26</v>
      </c>
      <c r="S406" s="0" t="s">
        <v>21</v>
      </c>
      <c r="T406" s="0" t="s">
        <v>104</v>
      </c>
      <c r="W406" s="0" t="s">
        <v>183</v>
      </c>
    </row>
    <row r="407" customFormat="false" ht="15" hidden="false" customHeight="false" outlineLevel="0" collapsed="false">
      <c r="A407" s="0" t="s">
        <v>21</v>
      </c>
      <c r="B407" s="0" t="s">
        <v>2018</v>
      </c>
      <c r="C407" s="0" t="s">
        <v>771</v>
      </c>
      <c r="D407" s="0" t="s">
        <v>2019</v>
      </c>
      <c r="E407" s="0" t="s">
        <v>2019</v>
      </c>
      <c r="M407" s="0" t="s">
        <v>136</v>
      </c>
      <c r="N407" s="0" t="s">
        <v>124</v>
      </c>
      <c r="P407" s="0" t="s">
        <v>102</v>
      </c>
      <c r="Q407" s="0" t="s">
        <v>102</v>
      </c>
      <c r="R407" s="0" t="s">
        <v>804</v>
      </c>
      <c r="S407" s="0" t="s">
        <v>21</v>
      </c>
      <c r="T407" s="0" t="s">
        <v>104</v>
      </c>
      <c r="W407" s="0" t="s">
        <v>105</v>
      </c>
    </row>
    <row r="408" customFormat="false" ht="15" hidden="false" customHeight="false" outlineLevel="0" collapsed="false">
      <c r="A408" s="0" t="s">
        <v>21</v>
      </c>
      <c r="B408" s="0" t="s">
        <v>2018</v>
      </c>
      <c r="C408" s="0" t="s">
        <v>771</v>
      </c>
      <c r="D408" s="0" t="s">
        <v>2019</v>
      </c>
      <c r="E408" s="0" t="s">
        <v>2019</v>
      </c>
      <c r="M408" s="0" t="s">
        <v>136</v>
      </c>
      <c r="N408" s="0" t="s">
        <v>124</v>
      </c>
      <c r="P408" s="0" t="s">
        <v>26</v>
      </c>
      <c r="Q408" s="0" t="s">
        <v>26</v>
      </c>
      <c r="R408" s="0" t="s">
        <v>26</v>
      </c>
      <c r="S408" s="0" t="s">
        <v>21</v>
      </c>
      <c r="T408" s="0" t="s">
        <v>104</v>
      </c>
      <c r="W408" s="0" t="s">
        <v>183</v>
      </c>
    </row>
    <row r="409" customFormat="false" ht="15" hidden="false" customHeight="false" outlineLevel="0" collapsed="false">
      <c r="A409" s="0" t="s">
        <v>21</v>
      </c>
      <c r="B409" s="0" t="s">
        <v>2020</v>
      </c>
      <c r="C409" s="0" t="s">
        <v>771</v>
      </c>
      <c r="D409" s="0" t="s">
        <v>2021</v>
      </c>
      <c r="E409" s="0" t="s">
        <v>2021</v>
      </c>
      <c r="M409" s="0" t="s">
        <v>136</v>
      </c>
      <c r="N409" s="0" t="s">
        <v>124</v>
      </c>
      <c r="P409" s="0" t="s">
        <v>102</v>
      </c>
      <c r="Q409" s="0" t="s">
        <v>102</v>
      </c>
      <c r="R409" s="0" t="s">
        <v>804</v>
      </c>
      <c r="S409" s="0" t="s">
        <v>21</v>
      </c>
      <c r="T409" s="0" t="s">
        <v>104</v>
      </c>
      <c r="W409" s="0" t="s">
        <v>105</v>
      </c>
    </row>
    <row r="410" customFormat="false" ht="15" hidden="false" customHeight="false" outlineLevel="0" collapsed="false">
      <c r="A410" s="0" t="s">
        <v>21</v>
      </c>
      <c r="B410" s="0" t="s">
        <v>2020</v>
      </c>
      <c r="C410" s="0" t="s">
        <v>771</v>
      </c>
      <c r="D410" s="0" t="s">
        <v>2021</v>
      </c>
      <c r="E410" s="0" t="s">
        <v>2021</v>
      </c>
      <c r="M410" s="0" t="s">
        <v>136</v>
      </c>
      <c r="N410" s="0" t="s">
        <v>124</v>
      </c>
      <c r="P410" s="0" t="s">
        <v>26</v>
      </c>
      <c r="Q410" s="0" t="s">
        <v>26</v>
      </c>
      <c r="R410" s="0" t="s">
        <v>26</v>
      </c>
      <c r="S410" s="0" t="s">
        <v>21</v>
      </c>
      <c r="T410" s="0" t="s">
        <v>104</v>
      </c>
      <c r="W410" s="0" t="s">
        <v>183</v>
      </c>
    </row>
    <row r="411" customFormat="false" ht="15" hidden="false" customHeight="false" outlineLevel="0" collapsed="false">
      <c r="A411" s="0" t="s">
        <v>21</v>
      </c>
      <c r="B411" s="0" t="s">
        <v>2022</v>
      </c>
      <c r="C411" s="0" t="s">
        <v>200</v>
      </c>
      <c r="D411" s="0" t="s">
        <v>2023</v>
      </c>
      <c r="E411" s="0" t="s">
        <v>2023</v>
      </c>
      <c r="M411" s="0" t="s">
        <v>136</v>
      </c>
      <c r="N411" s="0" t="s">
        <v>124</v>
      </c>
      <c r="P411" s="0" t="s">
        <v>102</v>
      </c>
      <c r="Q411" s="0" t="s">
        <v>102</v>
      </c>
      <c r="R411" s="0" t="s">
        <v>144</v>
      </c>
      <c r="S411" s="0" t="s">
        <v>21</v>
      </c>
      <c r="T411" s="0" t="s">
        <v>104</v>
      </c>
      <c r="W411" s="0" t="s">
        <v>105</v>
      </c>
    </row>
    <row r="412" customFormat="false" ht="15" hidden="false" customHeight="false" outlineLevel="0" collapsed="false">
      <c r="A412" s="0" t="s">
        <v>21</v>
      </c>
      <c r="B412" s="0" t="s">
        <v>2022</v>
      </c>
      <c r="C412" s="0" t="s">
        <v>200</v>
      </c>
      <c r="D412" s="0" t="s">
        <v>2023</v>
      </c>
      <c r="E412" s="0" t="s">
        <v>2023</v>
      </c>
      <c r="M412" s="0" t="s">
        <v>136</v>
      </c>
      <c r="N412" s="0" t="s">
        <v>124</v>
      </c>
      <c r="P412" s="0" t="s">
        <v>26</v>
      </c>
      <c r="Q412" s="0" t="s">
        <v>26</v>
      </c>
      <c r="R412" s="0" t="s">
        <v>26</v>
      </c>
      <c r="S412" s="0" t="s">
        <v>21</v>
      </c>
      <c r="T412" s="0" t="s">
        <v>104</v>
      </c>
      <c r="W412" s="0" t="s">
        <v>183</v>
      </c>
    </row>
    <row r="413" customFormat="false" ht="15" hidden="false" customHeight="false" outlineLevel="0" collapsed="false">
      <c r="A413" s="0" t="s">
        <v>21</v>
      </c>
      <c r="B413" s="0" t="s">
        <v>2024</v>
      </c>
      <c r="C413" s="0" t="s">
        <v>771</v>
      </c>
      <c r="D413" s="0" t="s">
        <v>2025</v>
      </c>
      <c r="E413" s="0" t="s">
        <v>2025</v>
      </c>
      <c r="M413" s="0" t="s">
        <v>136</v>
      </c>
      <c r="N413" s="0" t="s">
        <v>124</v>
      </c>
      <c r="P413" s="0" t="s">
        <v>102</v>
      </c>
      <c r="Q413" s="0" t="s">
        <v>102</v>
      </c>
      <c r="R413" s="0" t="s">
        <v>804</v>
      </c>
      <c r="S413" s="0" t="s">
        <v>21</v>
      </c>
      <c r="T413" s="0" t="s">
        <v>104</v>
      </c>
      <c r="W413" s="0" t="s">
        <v>105</v>
      </c>
    </row>
    <row r="414" customFormat="false" ht="15" hidden="false" customHeight="false" outlineLevel="0" collapsed="false">
      <c r="A414" s="0" t="s">
        <v>21</v>
      </c>
      <c r="B414" s="0" t="s">
        <v>2024</v>
      </c>
      <c r="C414" s="0" t="s">
        <v>771</v>
      </c>
      <c r="D414" s="0" t="s">
        <v>2025</v>
      </c>
      <c r="E414" s="0" t="s">
        <v>2025</v>
      </c>
      <c r="M414" s="0" t="s">
        <v>136</v>
      </c>
      <c r="N414" s="0" t="s">
        <v>124</v>
      </c>
      <c r="P414" s="0" t="s">
        <v>26</v>
      </c>
      <c r="Q414" s="0" t="s">
        <v>26</v>
      </c>
      <c r="R414" s="0" t="s">
        <v>26</v>
      </c>
      <c r="S414" s="0" t="s">
        <v>21</v>
      </c>
      <c r="T414" s="0" t="s">
        <v>104</v>
      </c>
      <c r="W414" s="0" t="s">
        <v>183</v>
      </c>
    </row>
    <row r="415" customFormat="false" ht="15" hidden="false" customHeight="false" outlineLevel="0" collapsed="false">
      <c r="A415" s="0" t="s">
        <v>21</v>
      </c>
      <c r="B415" s="0" t="s">
        <v>2026</v>
      </c>
      <c r="C415" s="0" t="s">
        <v>200</v>
      </c>
      <c r="D415" s="0" t="s">
        <v>2027</v>
      </c>
      <c r="E415" s="0" t="s">
        <v>2028</v>
      </c>
      <c r="M415" s="0" t="s">
        <v>136</v>
      </c>
      <c r="N415" s="0" t="s">
        <v>124</v>
      </c>
      <c r="P415" s="0" t="s">
        <v>102</v>
      </c>
      <c r="Q415" s="0" t="s">
        <v>102</v>
      </c>
      <c r="R415" s="0" t="s">
        <v>144</v>
      </c>
      <c r="S415" s="0" t="s">
        <v>21</v>
      </c>
      <c r="T415" s="0" t="s">
        <v>104</v>
      </c>
      <c r="W415" s="0" t="s">
        <v>105</v>
      </c>
    </row>
    <row r="416" customFormat="false" ht="15" hidden="false" customHeight="false" outlineLevel="0" collapsed="false">
      <c r="A416" s="0" t="s">
        <v>21</v>
      </c>
      <c r="B416" s="0" t="s">
        <v>2026</v>
      </c>
      <c r="C416" s="0" t="s">
        <v>200</v>
      </c>
      <c r="D416" s="0" t="s">
        <v>2027</v>
      </c>
      <c r="E416" s="0" t="s">
        <v>2028</v>
      </c>
      <c r="M416" s="0" t="s">
        <v>136</v>
      </c>
      <c r="N416" s="0" t="s">
        <v>124</v>
      </c>
      <c r="P416" s="0" t="s">
        <v>26</v>
      </c>
      <c r="Q416" s="0" t="s">
        <v>26</v>
      </c>
      <c r="R416" s="0" t="s">
        <v>26</v>
      </c>
      <c r="S416" s="0" t="s">
        <v>21</v>
      </c>
      <c r="T416" s="0" t="s">
        <v>104</v>
      </c>
      <c r="W416" s="0" t="s">
        <v>183</v>
      </c>
    </row>
    <row r="417" customFormat="false" ht="15" hidden="false" customHeight="false" outlineLevel="0" collapsed="false">
      <c r="A417" s="0" t="s">
        <v>21</v>
      </c>
      <c r="B417" s="0" t="s">
        <v>2029</v>
      </c>
      <c r="C417" s="0" t="s">
        <v>200</v>
      </c>
      <c r="D417" s="0" t="s">
        <v>2028</v>
      </c>
      <c r="E417" s="0" t="s">
        <v>2028</v>
      </c>
      <c r="M417" s="0" t="s">
        <v>136</v>
      </c>
      <c r="N417" s="0" t="s">
        <v>124</v>
      </c>
      <c r="P417" s="0" t="s">
        <v>102</v>
      </c>
      <c r="Q417" s="0" t="s">
        <v>102</v>
      </c>
      <c r="R417" s="0" t="s">
        <v>144</v>
      </c>
      <c r="S417" s="0" t="s">
        <v>21</v>
      </c>
      <c r="T417" s="0" t="s">
        <v>104</v>
      </c>
      <c r="W417" s="0" t="s">
        <v>105</v>
      </c>
    </row>
    <row r="418" customFormat="false" ht="15" hidden="false" customHeight="false" outlineLevel="0" collapsed="false">
      <c r="A418" s="0" t="s">
        <v>21</v>
      </c>
      <c r="B418" s="0" t="s">
        <v>2029</v>
      </c>
      <c r="C418" s="0" t="s">
        <v>200</v>
      </c>
      <c r="D418" s="0" t="s">
        <v>2028</v>
      </c>
      <c r="E418" s="0" t="s">
        <v>2028</v>
      </c>
      <c r="M418" s="0" t="s">
        <v>136</v>
      </c>
      <c r="N418" s="0" t="s">
        <v>124</v>
      </c>
      <c r="P418" s="0" t="s">
        <v>26</v>
      </c>
      <c r="Q418" s="0" t="s">
        <v>26</v>
      </c>
      <c r="R418" s="0" t="s">
        <v>26</v>
      </c>
      <c r="S418" s="0" t="s">
        <v>21</v>
      </c>
      <c r="T418" s="0" t="s">
        <v>104</v>
      </c>
      <c r="W418" s="0" t="s">
        <v>183</v>
      </c>
    </row>
    <row r="419" customFormat="false" ht="15" hidden="false" customHeight="false" outlineLevel="0" collapsed="false">
      <c r="A419" s="0" t="s">
        <v>21</v>
      </c>
      <c r="B419" s="0" t="s">
        <v>2030</v>
      </c>
      <c r="C419" s="0" t="s">
        <v>771</v>
      </c>
      <c r="D419" s="0" t="s">
        <v>2031</v>
      </c>
      <c r="E419" s="0" t="s">
        <v>2031</v>
      </c>
      <c r="M419" s="0" t="s">
        <v>136</v>
      </c>
      <c r="N419" s="0" t="s">
        <v>124</v>
      </c>
      <c r="P419" s="0" t="s">
        <v>221</v>
      </c>
      <c r="Q419" s="0" t="s">
        <v>221</v>
      </c>
      <c r="R419" s="0" t="s">
        <v>221</v>
      </c>
      <c r="S419" s="0" t="s">
        <v>21</v>
      </c>
      <c r="T419" s="0" t="s">
        <v>104</v>
      </c>
      <c r="W419" s="0" t="s">
        <v>183</v>
      </c>
    </row>
    <row r="420" customFormat="false" ht="15" hidden="false" customHeight="false" outlineLevel="0" collapsed="false">
      <c r="A420" s="0" t="s">
        <v>21</v>
      </c>
      <c r="B420" s="0" t="s">
        <v>2030</v>
      </c>
      <c r="C420" s="0" t="s">
        <v>771</v>
      </c>
      <c r="D420" s="0" t="s">
        <v>2031</v>
      </c>
      <c r="E420" s="0" t="s">
        <v>2031</v>
      </c>
      <c r="M420" s="0" t="s">
        <v>136</v>
      </c>
      <c r="N420" s="0" t="s">
        <v>124</v>
      </c>
      <c r="P420" s="0" t="s">
        <v>102</v>
      </c>
      <c r="Q420" s="0" t="s">
        <v>102</v>
      </c>
      <c r="R420" s="0" t="s">
        <v>224</v>
      </c>
      <c r="S420" s="0" t="s">
        <v>21</v>
      </c>
      <c r="T420" s="0" t="s">
        <v>104</v>
      </c>
      <c r="V420" s="0" t="s">
        <v>225</v>
      </c>
      <c r="W420" s="0" t="s">
        <v>105</v>
      </c>
    </row>
    <row r="421" customFormat="false" ht="15" hidden="false" customHeight="false" outlineLevel="0" collapsed="false">
      <c r="A421" s="0" t="s">
        <v>21</v>
      </c>
      <c r="B421" s="0" t="s">
        <v>2030</v>
      </c>
      <c r="C421" s="0" t="s">
        <v>771</v>
      </c>
      <c r="D421" s="0" t="s">
        <v>2031</v>
      </c>
      <c r="E421" s="0" t="s">
        <v>2031</v>
      </c>
      <c r="M421" s="0" t="s">
        <v>136</v>
      </c>
      <c r="N421" s="0" t="s">
        <v>124</v>
      </c>
      <c r="P421" s="0" t="s">
        <v>26</v>
      </c>
      <c r="Q421" s="0" t="s">
        <v>26</v>
      </c>
      <c r="R421" s="0" t="s">
        <v>26</v>
      </c>
      <c r="S421" s="0" t="s">
        <v>21</v>
      </c>
      <c r="T421" s="0" t="s">
        <v>104</v>
      </c>
      <c r="W421" s="0" t="s">
        <v>183</v>
      </c>
    </row>
    <row r="422" customFormat="false" ht="15" hidden="false" customHeight="false" outlineLevel="0" collapsed="false">
      <c r="A422" s="0" t="s">
        <v>21</v>
      </c>
      <c r="B422" s="0" t="s">
        <v>2030</v>
      </c>
      <c r="C422" s="0" t="s">
        <v>771</v>
      </c>
      <c r="D422" s="0" t="s">
        <v>2031</v>
      </c>
      <c r="E422" s="0" t="s">
        <v>2031</v>
      </c>
      <c r="M422" s="0" t="s">
        <v>136</v>
      </c>
      <c r="N422" s="0" t="s">
        <v>124</v>
      </c>
      <c r="P422" s="0" t="s">
        <v>130</v>
      </c>
      <c r="Q422" s="0" t="s">
        <v>130</v>
      </c>
      <c r="R422" s="0" t="s">
        <v>226</v>
      </c>
      <c r="S422" s="0" t="s">
        <v>21</v>
      </c>
      <c r="T422" s="0" t="s">
        <v>104</v>
      </c>
      <c r="U422" s="0" t="s">
        <v>227</v>
      </c>
      <c r="W422" s="0" t="s">
        <v>105</v>
      </c>
    </row>
    <row r="423" customFormat="false" ht="15" hidden="false" customHeight="false" outlineLevel="0" collapsed="false">
      <c r="A423" s="0" t="s">
        <v>21</v>
      </c>
      <c r="B423" s="0" t="s">
        <v>2032</v>
      </c>
      <c r="C423" s="0" t="s">
        <v>771</v>
      </c>
      <c r="D423" s="0" t="s">
        <v>2031</v>
      </c>
      <c r="E423" s="0" t="s">
        <v>2031</v>
      </c>
      <c r="M423" s="0" t="s">
        <v>136</v>
      </c>
      <c r="N423" s="0" t="s">
        <v>124</v>
      </c>
      <c r="P423" s="0" t="s">
        <v>221</v>
      </c>
      <c r="Q423" s="0" t="s">
        <v>221</v>
      </c>
      <c r="R423" s="0" t="s">
        <v>221</v>
      </c>
      <c r="S423" s="0" t="s">
        <v>21</v>
      </c>
      <c r="T423" s="0" t="s">
        <v>104</v>
      </c>
      <c r="W423" s="0" t="s">
        <v>183</v>
      </c>
    </row>
    <row r="424" customFormat="false" ht="15" hidden="false" customHeight="false" outlineLevel="0" collapsed="false">
      <c r="A424" s="0" t="s">
        <v>21</v>
      </c>
      <c r="B424" s="0" t="s">
        <v>2032</v>
      </c>
      <c r="C424" s="0" t="s">
        <v>771</v>
      </c>
      <c r="D424" s="0" t="s">
        <v>2031</v>
      </c>
      <c r="E424" s="0" t="s">
        <v>2031</v>
      </c>
      <c r="M424" s="0" t="s">
        <v>136</v>
      </c>
      <c r="N424" s="0" t="s">
        <v>124</v>
      </c>
      <c r="P424" s="0" t="s">
        <v>102</v>
      </c>
      <c r="Q424" s="0" t="s">
        <v>102</v>
      </c>
      <c r="R424" s="0" t="s">
        <v>224</v>
      </c>
      <c r="S424" s="0" t="s">
        <v>21</v>
      </c>
      <c r="T424" s="0" t="s">
        <v>104</v>
      </c>
      <c r="V424" s="0" t="s">
        <v>225</v>
      </c>
      <c r="W424" s="0" t="s">
        <v>105</v>
      </c>
    </row>
    <row r="425" customFormat="false" ht="15" hidden="false" customHeight="false" outlineLevel="0" collapsed="false">
      <c r="A425" s="0" t="s">
        <v>21</v>
      </c>
      <c r="B425" s="0" t="s">
        <v>2032</v>
      </c>
      <c r="C425" s="0" t="s">
        <v>771</v>
      </c>
      <c r="D425" s="0" t="s">
        <v>2031</v>
      </c>
      <c r="E425" s="0" t="s">
        <v>2031</v>
      </c>
      <c r="M425" s="0" t="s">
        <v>136</v>
      </c>
      <c r="N425" s="0" t="s">
        <v>124</v>
      </c>
      <c r="P425" s="0" t="s">
        <v>26</v>
      </c>
      <c r="Q425" s="0" t="s">
        <v>26</v>
      </c>
      <c r="R425" s="0" t="s">
        <v>26</v>
      </c>
      <c r="S425" s="0" t="s">
        <v>21</v>
      </c>
      <c r="T425" s="0" t="s">
        <v>104</v>
      </c>
      <c r="W425" s="0" t="s">
        <v>183</v>
      </c>
    </row>
    <row r="426" customFormat="false" ht="15" hidden="false" customHeight="false" outlineLevel="0" collapsed="false">
      <c r="A426" s="0" t="s">
        <v>21</v>
      </c>
      <c r="B426" s="0" t="s">
        <v>2032</v>
      </c>
      <c r="C426" s="0" t="s">
        <v>771</v>
      </c>
      <c r="D426" s="0" t="s">
        <v>2031</v>
      </c>
      <c r="E426" s="0" t="s">
        <v>2031</v>
      </c>
      <c r="M426" s="0" t="s">
        <v>136</v>
      </c>
      <c r="N426" s="0" t="s">
        <v>124</v>
      </c>
      <c r="P426" s="0" t="s">
        <v>130</v>
      </c>
      <c r="Q426" s="0" t="s">
        <v>130</v>
      </c>
      <c r="R426" s="0" t="s">
        <v>226</v>
      </c>
      <c r="S426" s="0" t="s">
        <v>21</v>
      </c>
      <c r="T426" s="0" t="s">
        <v>104</v>
      </c>
      <c r="U426" s="0" t="s">
        <v>227</v>
      </c>
      <c r="W426" s="0" t="s">
        <v>105</v>
      </c>
    </row>
    <row r="427" customFormat="false" ht="15" hidden="false" customHeight="false" outlineLevel="0" collapsed="false">
      <c r="A427" s="0" t="s">
        <v>21</v>
      </c>
      <c r="B427" s="0" t="s">
        <v>2033</v>
      </c>
      <c r="C427" s="0" t="s">
        <v>771</v>
      </c>
      <c r="D427" s="0" t="s">
        <v>2034</v>
      </c>
      <c r="E427" s="0" t="s">
        <v>2034</v>
      </c>
      <c r="M427" s="0" t="s">
        <v>136</v>
      </c>
      <c r="N427" s="0" t="s">
        <v>124</v>
      </c>
      <c r="P427" s="0" t="s">
        <v>221</v>
      </c>
      <c r="Q427" s="0" t="s">
        <v>221</v>
      </c>
      <c r="R427" s="0" t="s">
        <v>221</v>
      </c>
      <c r="S427" s="0" t="s">
        <v>21</v>
      </c>
      <c r="T427" s="0" t="s">
        <v>104</v>
      </c>
      <c r="W427" s="0" t="s">
        <v>183</v>
      </c>
    </row>
    <row r="428" customFormat="false" ht="15" hidden="false" customHeight="false" outlineLevel="0" collapsed="false">
      <c r="A428" s="0" t="s">
        <v>21</v>
      </c>
      <c r="B428" s="0" t="s">
        <v>2033</v>
      </c>
      <c r="C428" s="0" t="s">
        <v>771</v>
      </c>
      <c r="D428" s="0" t="s">
        <v>2034</v>
      </c>
      <c r="E428" s="0" t="s">
        <v>2034</v>
      </c>
      <c r="M428" s="0" t="s">
        <v>136</v>
      </c>
      <c r="N428" s="0" t="s">
        <v>124</v>
      </c>
      <c r="P428" s="0" t="s">
        <v>102</v>
      </c>
      <c r="Q428" s="0" t="s">
        <v>102</v>
      </c>
      <c r="R428" s="0" t="s">
        <v>224</v>
      </c>
      <c r="S428" s="0" t="s">
        <v>21</v>
      </c>
      <c r="T428" s="0" t="s">
        <v>104</v>
      </c>
      <c r="V428" s="0" t="s">
        <v>225</v>
      </c>
      <c r="W428" s="0" t="s">
        <v>105</v>
      </c>
    </row>
    <row r="429" customFormat="false" ht="15" hidden="false" customHeight="false" outlineLevel="0" collapsed="false">
      <c r="A429" s="0" t="s">
        <v>21</v>
      </c>
      <c r="B429" s="0" t="s">
        <v>2033</v>
      </c>
      <c r="C429" s="0" t="s">
        <v>771</v>
      </c>
      <c r="D429" s="0" t="s">
        <v>2034</v>
      </c>
      <c r="E429" s="0" t="s">
        <v>2034</v>
      </c>
      <c r="M429" s="0" t="s">
        <v>136</v>
      </c>
      <c r="N429" s="0" t="s">
        <v>124</v>
      </c>
      <c r="P429" s="0" t="s">
        <v>26</v>
      </c>
      <c r="Q429" s="0" t="s">
        <v>26</v>
      </c>
      <c r="R429" s="0" t="s">
        <v>26</v>
      </c>
      <c r="S429" s="0" t="s">
        <v>21</v>
      </c>
      <c r="T429" s="0" t="s">
        <v>104</v>
      </c>
      <c r="W429" s="0" t="s">
        <v>183</v>
      </c>
    </row>
    <row r="430" customFormat="false" ht="15" hidden="false" customHeight="false" outlineLevel="0" collapsed="false">
      <c r="A430" s="0" t="s">
        <v>21</v>
      </c>
      <c r="B430" s="0" t="s">
        <v>2033</v>
      </c>
      <c r="C430" s="0" t="s">
        <v>771</v>
      </c>
      <c r="D430" s="0" t="s">
        <v>2034</v>
      </c>
      <c r="E430" s="0" t="s">
        <v>2034</v>
      </c>
      <c r="M430" s="0" t="s">
        <v>136</v>
      </c>
      <c r="N430" s="0" t="s">
        <v>124</v>
      </c>
      <c r="P430" s="0" t="s">
        <v>130</v>
      </c>
      <c r="Q430" s="0" t="s">
        <v>130</v>
      </c>
      <c r="R430" s="0" t="s">
        <v>226</v>
      </c>
      <c r="S430" s="0" t="s">
        <v>21</v>
      </c>
      <c r="T430" s="0" t="s">
        <v>104</v>
      </c>
      <c r="U430" s="0" t="s">
        <v>227</v>
      </c>
      <c r="W430" s="0" t="s">
        <v>105</v>
      </c>
    </row>
    <row r="431" customFormat="false" ht="15" hidden="false" customHeight="false" outlineLevel="0" collapsed="false">
      <c r="A431" s="0" t="s">
        <v>21</v>
      </c>
      <c r="B431" s="0" t="s">
        <v>2035</v>
      </c>
      <c r="C431" s="0" t="s">
        <v>200</v>
      </c>
      <c r="D431" s="0" t="s">
        <v>2036</v>
      </c>
      <c r="E431" s="0" t="s">
        <v>2036</v>
      </c>
      <c r="M431" s="0" t="s">
        <v>136</v>
      </c>
      <c r="N431" s="0" t="s">
        <v>124</v>
      </c>
      <c r="P431" s="0" t="s">
        <v>102</v>
      </c>
      <c r="Q431" s="0" t="s">
        <v>102</v>
      </c>
      <c r="R431" s="0" t="s">
        <v>137</v>
      </c>
      <c r="S431" s="0" t="s">
        <v>21</v>
      </c>
      <c r="T431" s="0" t="s">
        <v>104</v>
      </c>
      <c r="W431" s="0" t="s">
        <v>105</v>
      </c>
    </row>
    <row r="432" customFormat="false" ht="15" hidden="false" customHeight="false" outlineLevel="0" collapsed="false">
      <c r="A432" s="0" t="s">
        <v>21</v>
      </c>
      <c r="B432" s="0" t="s">
        <v>2035</v>
      </c>
      <c r="C432" s="0" t="s">
        <v>200</v>
      </c>
      <c r="D432" s="0" t="s">
        <v>2036</v>
      </c>
      <c r="E432" s="0" t="s">
        <v>2036</v>
      </c>
      <c r="M432" s="0" t="s">
        <v>136</v>
      </c>
      <c r="N432" s="0" t="s">
        <v>124</v>
      </c>
      <c r="P432" s="0" t="s">
        <v>26</v>
      </c>
      <c r="Q432" s="0" t="s">
        <v>26</v>
      </c>
      <c r="R432" s="0" t="s">
        <v>26</v>
      </c>
      <c r="S432" s="0" t="s">
        <v>21</v>
      </c>
      <c r="T432" s="0" t="s">
        <v>104</v>
      </c>
      <c r="W432" s="0" t="s">
        <v>183</v>
      </c>
    </row>
    <row r="433" customFormat="false" ht="15" hidden="false" customHeight="false" outlineLevel="0" collapsed="false">
      <c r="A433" s="0" t="s">
        <v>21</v>
      </c>
      <c r="B433" s="0" t="s">
        <v>2037</v>
      </c>
      <c r="C433" s="0" t="s">
        <v>200</v>
      </c>
      <c r="D433" s="0" t="s">
        <v>2005</v>
      </c>
      <c r="E433" s="0" t="s">
        <v>2005</v>
      </c>
      <c r="M433" s="0" t="s">
        <v>136</v>
      </c>
      <c r="N433" s="0" t="s">
        <v>124</v>
      </c>
      <c r="P433" s="0" t="s">
        <v>102</v>
      </c>
      <c r="Q433" s="0" t="s">
        <v>102</v>
      </c>
      <c r="R433" s="0" t="s">
        <v>137</v>
      </c>
      <c r="S433" s="0" t="s">
        <v>21</v>
      </c>
      <c r="T433" s="0" t="s">
        <v>104</v>
      </c>
      <c r="W433" s="0" t="s">
        <v>105</v>
      </c>
    </row>
    <row r="434" customFormat="false" ht="15" hidden="false" customHeight="false" outlineLevel="0" collapsed="false">
      <c r="A434" s="0" t="s">
        <v>21</v>
      </c>
      <c r="B434" s="0" t="s">
        <v>2037</v>
      </c>
      <c r="C434" s="0" t="s">
        <v>200</v>
      </c>
      <c r="D434" s="0" t="s">
        <v>2005</v>
      </c>
      <c r="E434" s="0" t="s">
        <v>2005</v>
      </c>
      <c r="M434" s="0" t="s">
        <v>136</v>
      </c>
      <c r="N434" s="0" t="s">
        <v>124</v>
      </c>
      <c r="P434" s="0" t="s">
        <v>26</v>
      </c>
      <c r="Q434" s="0" t="s">
        <v>26</v>
      </c>
      <c r="R434" s="0" t="s">
        <v>26</v>
      </c>
      <c r="S434" s="0" t="s">
        <v>21</v>
      </c>
      <c r="T434" s="0" t="s">
        <v>104</v>
      </c>
      <c r="W434" s="0" t="s">
        <v>183</v>
      </c>
    </row>
    <row r="435" customFormat="false" ht="15" hidden="false" customHeight="false" outlineLevel="0" collapsed="false">
      <c r="A435" s="0" t="s">
        <v>21</v>
      </c>
      <c r="B435" s="0" t="s">
        <v>2038</v>
      </c>
      <c r="C435" s="0" t="s">
        <v>200</v>
      </c>
      <c r="D435" s="0" t="s">
        <v>2005</v>
      </c>
      <c r="E435" s="0" t="s">
        <v>2005</v>
      </c>
      <c r="M435" s="0" t="s">
        <v>136</v>
      </c>
      <c r="N435" s="0" t="s">
        <v>124</v>
      </c>
      <c r="P435" s="0" t="s">
        <v>102</v>
      </c>
      <c r="Q435" s="0" t="s">
        <v>102</v>
      </c>
      <c r="R435" s="0" t="s">
        <v>137</v>
      </c>
      <c r="S435" s="0" t="s">
        <v>21</v>
      </c>
      <c r="T435" s="0" t="s">
        <v>104</v>
      </c>
      <c r="W435" s="0" t="s">
        <v>105</v>
      </c>
    </row>
    <row r="436" customFormat="false" ht="15" hidden="false" customHeight="false" outlineLevel="0" collapsed="false">
      <c r="A436" s="0" t="s">
        <v>21</v>
      </c>
      <c r="B436" s="0" t="s">
        <v>2038</v>
      </c>
      <c r="C436" s="0" t="s">
        <v>200</v>
      </c>
      <c r="D436" s="0" t="s">
        <v>2005</v>
      </c>
      <c r="E436" s="0" t="s">
        <v>2005</v>
      </c>
      <c r="M436" s="0" t="s">
        <v>136</v>
      </c>
      <c r="N436" s="0" t="s">
        <v>124</v>
      </c>
      <c r="P436" s="0" t="s">
        <v>26</v>
      </c>
      <c r="Q436" s="0" t="s">
        <v>26</v>
      </c>
      <c r="R436" s="0" t="s">
        <v>26</v>
      </c>
      <c r="S436" s="0" t="s">
        <v>21</v>
      </c>
      <c r="T436" s="0" t="s">
        <v>104</v>
      </c>
      <c r="W436" s="0" t="s">
        <v>183</v>
      </c>
    </row>
    <row r="437" customFormat="false" ht="15" hidden="false" customHeight="false" outlineLevel="0" collapsed="false">
      <c r="A437" s="0" t="s">
        <v>21</v>
      </c>
      <c r="B437" s="0" t="s">
        <v>2039</v>
      </c>
      <c r="C437" s="0" t="s">
        <v>771</v>
      </c>
      <c r="D437" s="0" t="s">
        <v>2040</v>
      </c>
      <c r="E437" s="0" t="s">
        <v>2040</v>
      </c>
      <c r="M437" s="0" t="s">
        <v>136</v>
      </c>
      <c r="N437" s="0" t="s">
        <v>124</v>
      </c>
      <c r="P437" s="0" t="s">
        <v>102</v>
      </c>
      <c r="Q437" s="0" t="s">
        <v>102</v>
      </c>
      <c r="R437" s="0" t="s">
        <v>804</v>
      </c>
      <c r="S437" s="0" t="s">
        <v>21</v>
      </c>
      <c r="T437" s="0" t="s">
        <v>104</v>
      </c>
      <c r="W437" s="0" t="s">
        <v>105</v>
      </c>
    </row>
    <row r="438" customFormat="false" ht="15" hidden="false" customHeight="false" outlineLevel="0" collapsed="false">
      <c r="A438" s="0" t="s">
        <v>21</v>
      </c>
      <c r="B438" s="0" t="s">
        <v>2039</v>
      </c>
      <c r="C438" s="0" t="s">
        <v>771</v>
      </c>
      <c r="D438" s="0" t="s">
        <v>2040</v>
      </c>
      <c r="E438" s="0" t="s">
        <v>2040</v>
      </c>
      <c r="M438" s="0" t="s">
        <v>136</v>
      </c>
      <c r="N438" s="0" t="s">
        <v>124</v>
      </c>
      <c r="P438" s="0" t="s">
        <v>26</v>
      </c>
      <c r="Q438" s="0" t="s">
        <v>26</v>
      </c>
      <c r="R438" s="0" t="s">
        <v>26</v>
      </c>
      <c r="S438" s="0" t="s">
        <v>21</v>
      </c>
      <c r="T438" s="0" t="s">
        <v>104</v>
      </c>
      <c r="W438" s="0" t="s">
        <v>183</v>
      </c>
    </row>
    <row r="439" customFormat="false" ht="15" hidden="false" customHeight="false" outlineLevel="0" collapsed="false">
      <c r="A439" s="0" t="s">
        <v>21</v>
      </c>
      <c r="B439" s="0" t="s">
        <v>2041</v>
      </c>
      <c r="C439" s="0" t="s">
        <v>200</v>
      </c>
      <c r="D439" s="0" t="s">
        <v>2042</v>
      </c>
      <c r="E439" s="0" t="s">
        <v>2042</v>
      </c>
      <c r="M439" s="0" t="s">
        <v>136</v>
      </c>
      <c r="N439" s="0" t="s">
        <v>124</v>
      </c>
      <c r="P439" s="0" t="s">
        <v>102</v>
      </c>
      <c r="Q439" s="0" t="s">
        <v>102</v>
      </c>
      <c r="R439" s="0" t="s">
        <v>2043</v>
      </c>
      <c r="S439" s="0" t="s">
        <v>21</v>
      </c>
      <c r="T439" s="0" t="s">
        <v>104</v>
      </c>
      <c r="W439" s="0" t="s">
        <v>105</v>
      </c>
    </row>
    <row r="440" customFormat="false" ht="15" hidden="false" customHeight="false" outlineLevel="0" collapsed="false">
      <c r="A440" s="0" t="s">
        <v>21</v>
      </c>
      <c r="B440" s="0" t="s">
        <v>2041</v>
      </c>
      <c r="C440" s="0" t="s">
        <v>200</v>
      </c>
      <c r="D440" s="0" t="s">
        <v>2042</v>
      </c>
      <c r="E440" s="0" t="s">
        <v>2042</v>
      </c>
      <c r="M440" s="0" t="s">
        <v>136</v>
      </c>
      <c r="N440" s="0" t="s">
        <v>124</v>
      </c>
      <c r="P440" s="0" t="s">
        <v>26</v>
      </c>
      <c r="Q440" s="0" t="s">
        <v>26</v>
      </c>
      <c r="R440" s="0" t="s">
        <v>26</v>
      </c>
      <c r="S440" s="0" t="s">
        <v>21</v>
      </c>
      <c r="T440" s="0" t="s">
        <v>104</v>
      </c>
      <c r="W440" s="0" t="s">
        <v>183</v>
      </c>
    </row>
    <row r="441" customFormat="false" ht="15" hidden="false" customHeight="false" outlineLevel="0" collapsed="false">
      <c r="A441" s="0" t="s">
        <v>21</v>
      </c>
      <c r="B441" s="0" t="s">
        <v>2044</v>
      </c>
      <c r="C441" s="0" t="s">
        <v>200</v>
      </c>
      <c r="D441" s="0" t="s">
        <v>2045</v>
      </c>
      <c r="E441" s="0" t="s">
        <v>2045</v>
      </c>
      <c r="M441" s="0" t="s">
        <v>136</v>
      </c>
      <c r="N441" s="0" t="s">
        <v>124</v>
      </c>
      <c r="P441" s="0" t="s">
        <v>102</v>
      </c>
      <c r="Q441" s="0" t="s">
        <v>102</v>
      </c>
      <c r="R441" s="0" t="s">
        <v>131</v>
      </c>
      <c r="S441" s="0" t="s">
        <v>21</v>
      </c>
      <c r="T441" s="0" t="s">
        <v>104</v>
      </c>
      <c r="W441" s="0" t="s">
        <v>105</v>
      </c>
    </row>
    <row r="442" customFormat="false" ht="15" hidden="false" customHeight="false" outlineLevel="0" collapsed="false">
      <c r="A442" s="0" t="s">
        <v>21</v>
      </c>
      <c r="B442" s="0" t="s">
        <v>2044</v>
      </c>
      <c r="C442" s="0" t="s">
        <v>200</v>
      </c>
      <c r="D442" s="0" t="s">
        <v>2045</v>
      </c>
      <c r="E442" s="0" t="s">
        <v>2045</v>
      </c>
      <c r="M442" s="0" t="s">
        <v>136</v>
      </c>
      <c r="N442" s="0" t="s">
        <v>124</v>
      </c>
      <c r="P442" s="0" t="s">
        <v>26</v>
      </c>
      <c r="Q442" s="0" t="s">
        <v>26</v>
      </c>
      <c r="R442" s="0" t="s">
        <v>26</v>
      </c>
      <c r="S442" s="0" t="s">
        <v>21</v>
      </c>
      <c r="T442" s="0" t="s">
        <v>104</v>
      </c>
      <c r="W442" s="0" t="s">
        <v>183</v>
      </c>
    </row>
    <row r="443" customFormat="false" ht="15" hidden="false" customHeight="false" outlineLevel="0" collapsed="false">
      <c r="A443" s="0" t="s">
        <v>21</v>
      </c>
      <c r="B443" s="0" t="s">
        <v>2046</v>
      </c>
      <c r="C443" s="0" t="s">
        <v>200</v>
      </c>
      <c r="D443" s="0" t="s">
        <v>2045</v>
      </c>
      <c r="E443" s="0" t="s">
        <v>2045</v>
      </c>
      <c r="M443" s="0" t="s">
        <v>136</v>
      </c>
      <c r="N443" s="0" t="s">
        <v>124</v>
      </c>
      <c r="P443" s="0" t="s">
        <v>102</v>
      </c>
      <c r="Q443" s="0" t="s">
        <v>102</v>
      </c>
      <c r="R443" s="0" t="s">
        <v>131</v>
      </c>
      <c r="S443" s="0" t="s">
        <v>21</v>
      </c>
      <c r="T443" s="0" t="s">
        <v>104</v>
      </c>
      <c r="W443" s="0" t="s">
        <v>105</v>
      </c>
    </row>
    <row r="444" customFormat="false" ht="15" hidden="false" customHeight="false" outlineLevel="0" collapsed="false">
      <c r="A444" s="0" t="s">
        <v>21</v>
      </c>
      <c r="B444" s="0" t="s">
        <v>2046</v>
      </c>
      <c r="C444" s="0" t="s">
        <v>200</v>
      </c>
      <c r="D444" s="0" t="s">
        <v>2045</v>
      </c>
      <c r="E444" s="0" t="s">
        <v>2045</v>
      </c>
      <c r="M444" s="0" t="s">
        <v>136</v>
      </c>
      <c r="N444" s="0" t="s">
        <v>124</v>
      </c>
      <c r="P444" s="0" t="s">
        <v>26</v>
      </c>
      <c r="Q444" s="0" t="s">
        <v>26</v>
      </c>
      <c r="R444" s="0" t="s">
        <v>26</v>
      </c>
      <c r="S444" s="0" t="s">
        <v>21</v>
      </c>
      <c r="T444" s="0" t="s">
        <v>104</v>
      </c>
      <c r="W444" s="0" t="s">
        <v>183</v>
      </c>
    </row>
    <row r="445" customFormat="false" ht="15" hidden="false" customHeight="false" outlineLevel="0" collapsed="false">
      <c r="A445" s="0" t="s">
        <v>21</v>
      </c>
      <c r="B445" s="0" t="s">
        <v>2047</v>
      </c>
      <c r="C445" s="0" t="s">
        <v>200</v>
      </c>
      <c r="D445" s="0" t="s">
        <v>2045</v>
      </c>
      <c r="E445" s="0" t="s">
        <v>2045</v>
      </c>
      <c r="M445" s="0" t="s">
        <v>136</v>
      </c>
      <c r="N445" s="0" t="s">
        <v>124</v>
      </c>
      <c r="P445" s="0" t="s">
        <v>102</v>
      </c>
      <c r="Q445" s="0" t="s">
        <v>102</v>
      </c>
      <c r="R445" s="0" t="s">
        <v>131</v>
      </c>
      <c r="S445" s="0" t="s">
        <v>21</v>
      </c>
      <c r="T445" s="0" t="s">
        <v>104</v>
      </c>
      <c r="W445" s="0" t="s">
        <v>105</v>
      </c>
    </row>
    <row r="446" customFormat="false" ht="15" hidden="false" customHeight="false" outlineLevel="0" collapsed="false">
      <c r="A446" s="0" t="s">
        <v>21</v>
      </c>
      <c r="B446" s="0" t="s">
        <v>2047</v>
      </c>
      <c r="C446" s="0" t="s">
        <v>200</v>
      </c>
      <c r="D446" s="0" t="s">
        <v>2045</v>
      </c>
      <c r="E446" s="0" t="s">
        <v>2045</v>
      </c>
      <c r="M446" s="0" t="s">
        <v>136</v>
      </c>
      <c r="N446" s="0" t="s">
        <v>124</v>
      </c>
      <c r="P446" s="0" t="s">
        <v>26</v>
      </c>
      <c r="Q446" s="0" t="s">
        <v>26</v>
      </c>
      <c r="R446" s="0" t="s">
        <v>26</v>
      </c>
      <c r="S446" s="0" t="s">
        <v>21</v>
      </c>
      <c r="T446" s="0" t="s">
        <v>104</v>
      </c>
      <c r="W446" s="0" t="s">
        <v>183</v>
      </c>
    </row>
    <row r="447" customFormat="false" ht="15" hidden="false" customHeight="false" outlineLevel="0" collapsed="false">
      <c r="A447" s="0" t="s">
        <v>21</v>
      </c>
      <c r="B447" s="0" t="s">
        <v>2048</v>
      </c>
      <c r="C447" s="0" t="s">
        <v>200</v>
      </c>
      <c r="D447" s="0" t="s">
        <v>2045</v>
      </c>
      <c r="E447" s="0" t="s">
        <v>2045</v>
      </c>
      <c r="M447" s="0" t="s">
        <v>136</v>
      </c>
      <c r="N447" s="0" t="s">
        <v>124</v>
      </c>
      <c r="P447" s="0" t="s">
        <v>102</v>
      </c>
      <c r="Q447" s="0" t="s">
        <v>102</v>
      </c>
      <c r="R447" s="0" t="s">
        <v>131</v>
      </c>
      <c r="S447" s="0" t="s">
        <v>21</v>
      </c>
      <c r="T447" s="0" t="s">
        <v>104</v>
      </c>
      <c r="W447" s="0" t="s">
        <v>105</v>
      </c>
    </row>
    <row r="448" customFormat="false" ht="15" hidden="false" customHeight="false" outlineLevel="0" collapsed="false">
      <c r="A448" s="0" t="s">
        <v>21</v>
      </c>
      <c r="B448" s="0" t="s">
        <v>2048</v>
      </c>
      <c r="C448" s="0" t="s">
        <v>200</v>
      </c>
      <c r="D448" s="0" t="s">
        <v>2045</v>
      </c>
      <c r="E448" s="0" t="s">
        <v>2045</v>
      </c>
      <c r="M448" s="0" t="s">
        <v>136</v>
      </c>
      <c r="N448" s="0" t="s">
        <v>124</v>
      </c>
      <c r="P448" s="0" t="s">
        <v>26</v>
      </c>
      <c r="Q448" s="0" t="s">
        <v>26</v>
      </c>
      <c r="R448" s="0" t="s">
        <v>26</v>
      </c>
      <c r="S448" s="0" t="s">
        <v>21</v>
      </c>
      <c r="T448" s="0" t="s">
        <v>104</v>
      </c>
      <c r="W448" s="0" t="s">
        <v>183</v>
      </c>
    </row>
    <row r="449" customFormat="false" ht="15" hidden="false" customHeight="false" outlineLevel="0" collapsed="false">
      <c r="A449" s="0" t="s">
        <v>21</v>
      </c>
      <c r="B449" s="0" t="s">
        <v>2049</v>
      </c>
      <c r="C449" s="0" t="s">
        <v>200</v>
      </c>
      <c r="D449" s="0" t="s">
        <v>2045</v>
      </c>
      <c r="E449" s="0" t="s">
        <v>2045</v>
      </c>
      <c r="M449" s="0" t="s">
        <v>136</v>
      </c>
      <c r="N449" s="0" t="s">
        <v>124</v>
      </c>
      <c r="P449" s="0" t="s">
        <v>102</v>
      </c>
      <c r="Q449" s="0" t="s">
        <v>102</v>
      </c>
      <c r="R449" s="0" t="s">
        <v>131</v>
      </c>
      <c r="S449" s="0" t="s">
        <v>21</v>
      </c>
      <c r="T449" s="0" t="s">
        <v>104</v>
      </c>
      <c r="W449" s="0" t="s">
        <v>105</v>
      </c>
    </row>
    <row r="450" customFormat="false" ht="15" hidden="false" customHeight="false" outlineLevel="0" collapsed="false">
      <c r="A450" s="0" t="s">
        <v>21</v>
      </c>
      <c r="B450" s="0" t="s">
        <v>2049</v>
      </c>
      <c r="C450" s="0" t="s">
        <v>200</v>
      </c>
      <c r="D450" s="0" t="s">
        <v>2045</v>
      </c>
      <c r="E450" s="0" t="s">
        <v>2045</v>
      </c>
      <c r="M450" s="0" t="s">
        <v>136</v>
      </c>
      <c r="N450" s="0" t="s">
        <v>124</v>
      </c>
      <c r="P450" s="0" t="s">
        <v>26</v>
      </c>
      <c r="Q450" s="0" t="s">
        <v>26</v>
      </c>
      <c r="R450" s="0" t="s">
        <v>26</v>
      </c>
      <c r="S450" s="0" t="s">
        <v>21</v>
      </c>
      <c r="T450" s="0" t="s">
        <v>104</v>
      </c>
      <c r="W450" s="0" t="s">
        <v>183</v>
      </c>
    </row>
    <row r="451" customFormat="false" ht="15" hidden="false" customHeight="false" outlineLevel="0" collapsed="false">
      <c r="A451" s="0" t="s">
        <v>21</v>
      </c>
      <c r="B451" s="0" t="s">
        <v>2050</v>
      </c>
      <c r="C451" s="0" t="s">
        <v>200</v>
      </c>
      <c r="D451" s="0" t="s">
        <v>2045</v>
      </c>
      <c r="E451" s="0" t="s">
        <v>2045</v>
      </c>
      <c r="M451" s="0" t="s">
        <v>136</v>
      </c>
      <c r="N451" s="0" t="s">
        <v>124</v>
      </c>
      <c r="P451" s="0" t="s">
        <v>102</v>
      </c>
      <c r="Q451" s="0" t="s">
        <v>102</v>
      </c>
      <c r="R451" s="0" t="s">
        <v>131</v>
      </c>
      <c r="S451" s="0" t="s">
        <v>21</v>
      </c>
      <c r="T451" s="0" t="s">
        <v>104</v>
      </c>
      <c r="W451" s="0" t="s">
        <v>105</v>
      </c>
    </row>
    <row r="452" customFormat="false" ht="15" hidden="false" customHeight="false" outlineLevel="0" collapsed="false">
      <c r="A452" s="0" t="s">
        <v>21</v>
      </c>
      <c r="B452" s="0" t="s">
        <v>2050</v>
      </c>
      <c r="C452" s="0" t="s">
        <v>200</v>
      </c>
      <c r="D452" s="0" t="s">
        <v>2045</v>
      </c>
      <c r="E452" s="0" t="s">
        <v>2045</v>
      </c>
      <c r="M452" s="0" t="s">
        <v>136</v>
      </c>
      <c r="N452" s="0" t="s">
        <v>124</v>
      </c>
      <c r="P452" s="0" t="s">
        <v>26</v>
      </c>
      <c r="Q452" s="0" t="s">
        <v>26</v>
      </c>
      <c r="R452" s="0" t="s">
        <v>26</v>
      </c>
      <c r="S452" s="0" t="s">
        <v>21</v>
      </c>
      <c r="T452" s="0" t="s">
        <v>104</v>
      </c>
      <c r="W452" s="0" t="s">
        <v>183</v>
      </c>
    </row>
    <row r="453" customFormat="false" ht="15" hidden="false" customHeight="false" outlineLevel="0" collapsed="false">
      <c r="A453" s="0" t="s">
        <v>21</v>
      </c>
      <c r="B453" s="0" t="s">
        <v>2051</v>
      </c>
      <c r="C453" s="0" t="s">
        <v>200</v>
      </c>
      <c r="D453" s="0" t="s">
        <v>2001</v>
      </c>
      <c r="E453" s="0" t="s">
        <v>2001</v>
      </c>
      <c r="M453" s="0" t="s">
        <v>136</v>
      </c>
      <c r="N453" s="0" t="s">
        <v>124</v>
      </c>
      <c r="P453" s="0" t="s">
        <v>26</v>
      </c>
      <c r="Q453" s="0" t="s">
        <v>26</v>
      </c>
      <c r="R453" s="0" t="s">
        <v>26</v>
      </c>
      <c r="S453" s="0" t="s">
        <v>21</v>
      </c>
      <c r="T453" s="0" t="s">
        <v>104</v>
      </c>
      <c r="W453" s="0" t="s">
        <v>183</v>
      </c>
    </row>
    <row r="454" customFormat="false" ht="15" hidden="false" customHeight="false" outlineLevel="0" collapsed="false">
      <c r="A454" s="0" t="s">
        <v>21</v>
      </c>
      <c r="B454" s="0" t="s">
        <v>2051</v>
      </c>
      <c r="C454" s="0" t="s">
        <v>200</v>
      </c>
      <c r="D454" s="0" t="s">
        <v>2001</v>
      </c>
      <c r="E454" s="0" t="s">
        <v>2001</v>
      </c>
      <c r="M454" s="0" t="s">
        <v>136</v>
      </c>
      <c r="N454" s="0" t="s">
        <v>124</v>
      </c>
      <c r="P454" s="0" t="s">
        <v>236</v>
      </c>
      <c r="Q454" s="0" t="s">
        <v>236</v>
      </c>
      <c r="R454" s="0" t="s">
        <v>103</v>
      </c>
      <c r="S454" s="0" t="s">
        <v>21</v>
      </c>
      <c r="T454" s="0" t="s">
        <v>104</v>
      </c>
      <c r="W454" s="0" t="s">
        <v>105</v>
      </c>
    </row>
    <row r="455" customFormat="false" ht="15" hidden="false" customHeight="false" outlineLevel="0" collapsed="false">
      <c r="A455" s="0" t="s">
        <v>21</v>
      </c>
      <c r="B455" s="0" t="s">
        <v>2052</v>
      </c>
      <c r="C455" s="0" t="s">
        <v>200</v>
      </c>
      <c r="D455" s="0" t="s">
        <v>2001</v>
      </c>
      <c r="E455" s="0" t="s">
        <v>2001</v>
      </c>
      <c r="M455" s="0" t="s">
        <v>136</v>
      </c>
      <c r="N455" s="0" t="s">
        <v>124</v>
      </c>
      <c r="P455" s="0" t="s">
        <v>26</v>
      </c>
      <c r="Q455" s="0" t="s">
        <v>26</v>
      </c>
      <c r="R455" s="0" t="s">
        <v>26</v>
      </c>
      <c r="S455" s="0" t="s">
        <v>21</v>
      </c>
      <c r="T455" s="0" t="s">
        <v>104</v>
      </c>
      <c r="W455" s="0" t="s">
        <v>183</v>
      </c>
    </row>
    <row r="456" customFormat="false" ht="15" hidden="false" customHeight="false" outlineLevel="0" collapsed="false">
      <c r="A456" s="0" t="s">
        <v>21</v>
      </c>
      <c r="B456" s="0" t="s">
        <v>2052</v>
      </c>
      <c r="C456" s="0" t="s">
        <v>200</v>
      </c>
      <c r="D456" s="0" t="s">
        <v>2001</v>
      </c>
      <c r="E456" s="0" t="s">
        <v>2001</v>
      </c>
      <c r="M456" s="0" t="s">
        <v>136</v>
      </c>
      <c r="N456" s="0" t="s">
        <v>124</v>
      </c>
      <c r="P456" s="0" t="s">
        <v>236</v>
      </c>
      <c r="Q456" s="0" t="s">
        <v>236</v>
      </c>
      <c r="R456" s="0" t="s">
        <v>103</v>
      </c>
      <c r="S456" s="0" t="s">
        <v>21</v>
      </c>
      <c r="T456" s="0" t="s">
        <v>104</v>
      </c>
      <c r="W456" s="0" t="s">
        <v>105</v>
      </c>
    </row>
    <row r="457" customFormat="false" ht="15" hidden="false" customHeight="false" outlineLevel="0" collapsed="false">
      <c r="A457" s="0" t="s">
        <v>21</v>
      </c>
      <c r="B457" s="0" t="s">
        <v>2053</v>
      </c>
      <c r="C457" s="0" t="s">
        <v>200</v>
      </c>
      <c r="D457" s="0" t="s">
        <v>2001</v>
      </c>
      <c r="E457" s="0" t="s">
        <v>2001</v>
      </c>
      <c r="M457" s="0" t="s">
        <v>136</v>
      </c>
      <c r="N457" s="0" t="s">
        <v>124</v>
      </c>
      <c r="P457" s="0" t="s">
        <v>26</v>
      </c>
      <c r="Q457" s="0" t="s">
        <v>26</v>
      </c>
      <c r="R457" s="0" t="s">
        <v>26</v>
      </c>
      <c r="S457" s="0" t="s">
        <v>21</v>
      </c>
      <c r="T457" s="0" t="s">
        <v>104</v>
      </c>
      <c r="W457" s="0" t="s">
        <v>183</v>
      </c>
    </row>
    <row r="458" customFormat="false" ht="15" hidden="false" customHeight="false" outlineLevel="0" collapsed="false">
      <c r="A458" s="0" t="s">
        <v>21</v>
      </c>
      <c r="B458" s="0" t="s">
        <v>2053</v>
      </c>
      <c r="C458" s="0" t="s">
        <v>200</v>
      </c>
      <c r="D458" s="0" t="s">
        <v>2001</v>
      </c>
      <c r="E458" s="0" t="s">
        <v>2001</v>
      </c>
      <c r="M458" s="0" t="s">
        <v>136</v>
      </c>
      <c r="N458" s="0" t="s">
        <v>124</v>
      </c>
      <c r="P458" s="0" t="s">
        <v>236</v>
      </c>
      <c r="Q458" s="0" t="s">
        <v>236</v>
      </c>
      <c r="R458" s="0" t="s">
        <v>103</v>
      </c>
      <c r="S458" s="0" t="s">
        <v>21</v>
      </c>
      <c r="T458" s="0" t="s">
        <v>104</v>
      </c>
      <c r="W458" s="0" t="s">
        <v>105</v>
      </c>
    </row>
    <row r="459" customFormat="false" ht="15" hidden="false" customHeight="false" outlineLevel="0" collapsed="false">
      <c r="A459" s="0" t="s">
        <v>21</v>
      </c>
      <c r="B459" s="0" t="s">
        <v>2054</v>
      </c>
      <c r="C459" s="0" t="s">
        <v>200</v>
      </c>
      <c r="D459" s="0" t="s">
        <v>2001</v>
      </c>
      <c r="E459" s="0" t="s">
        <v>2001</v>
      </c>
      <c r="M459" s="0" t="s">
        <v>136</v>
      </c>
      <c r="N459" s="0" t="s">
        <v>124</v>
      </c>
      <c r="P459" s="0" t="s">
        <v>26</v>
      </c>
      <c r="Q459" s="0" t="s">
        <v>26</v>
      </c>
      <c r="R459" s="0" t="s">
        <v>26</v>
      </c>
      <c r="S459" s="0" t="s">
        <v>21</v>
      </c>
      <c r="T459" s="0" t="s">
        <v>104</v>
      </c>
      <c r="W459" s="0" t="s">
        <v>183</v>
      </c>
    </row>
    <row r="460" customFormat="false" ht="15" hidden="false" customHeight="false" outlineLevel="0" collapsed="false">
      <c r="A460" s="0" t="s">
        <v>21</v>
      </c>
      <c r="B460" s="0" t="s">
        <v>2054</v>
      </c>
      <c r="C460" s="0" t="s">
        <v>200</v>
      </c>
      <c r="D460" s="0" t="s">
        <v>2001</v>
      </c>
      <c r="E460" s="0" t="s">
        <v>2001</v>
      </c>
      <c r="M460" s="0" t="s">
        <v>136</v>
      </c>
      <c r="N460" s="0" t="s">
        <v>124</v>
      </c>
      <c r="P460" s="0" t="s">
        <v>236</v>
      </c>
      <c r="Q460" s="0" t="s">
        <v>236</v>
      </c>
      <c r="R460" s="0" t="s">
        <v>103</v>
      </c>
      <c r="S460" s="0" t="s">
        <v>21</v>
      </c>
      <c r="T460" s="0" t="s">
        <v>104</v>
      </c>
      <c r="W460" s="0" t="s">
        <v>105</v>
      </c>
    </row>
    <row r="461" customFormat="false" ht="15" hidden="false" customHeight="false" outlineLevel="0" collapsed="false">
      <c r="A461" s="0" t="s">
        <v>21</v>
      </c>
      <c r="B461" s="0" t="s">
        <v>2055</v>
      </c>
      <c r="C461" s="0" t="s">
        <v>200</v>
      </c>
      <c r="D461" s="0" t="s">
        <v>2001</v>
      </c>
      <c r="E461" s="0" t="s">
        <v>2001</v>
      </c>
      <c r="M461" s="0" t="s">
        <v>136</v>
      </c>
      <c r="N461" s="0" t="s">
        <v>124</v>
      </c>
      <c r="P461" s="0" t="s">
        <v>26</v>
      </c>
      <c r="Q461" s="0" t="s">
        <v>26</v>
      </c>
      <c r="R461" s="0" t="s">
        <v>26</v>
      </c>
      <c r="S461" s="0" t="s">
        <v>21</v>
      </c>
      <c r="T461" s="0" t="s">
        <v>104</v>
      </c>
      <c r="W461" s="0" t="s">
        <v>183</v>
      </c>
    </row>
    <row r="462" customFormat="false" ht="15" hidden="false" customHeight="false" outlineLevel="0" collapsed="false">
      <c r="A462" s="0" t="s">
        <v>21</v>
      </c>
      <c r="B462" s="0" t="s">
        <v>2055</v>
      </c>
      <c r="C462" s="0" t="s">
        <v>200</v>
      </c>
      <c r="D462" s="0" t="s">
        <v>2001</v>
      </c>
      <c r="E462" s="0" t="s">
        <v>2001</v>
      </c>
      <c r="M462" s="0" t="s">
        <v>136</v>
      </c>
      <c r="N462" s="0" t="s">
        <v>124</v>
      </c>
      <c r="P462" s="0" t="s">
        <v>236</v>
      </c>
      <c r="Q462" s="0" t="s">
        <v>236</v>
      </c>
      <c r="R462" s="0" t="s">
        <v>103</v>
      </c>
      <c r="S462" s="0" t="s">
        <v>21</v>
      </c>
      <c r="T462" s="0" t="s">
        <v>104</v>
      </c>
      <c r="W462" s="0" t="s">
        <v>105</v>
      </c>
    </row>
    <row r="463" customFormat="false" ht="15" hidden="false" customHeight="false" outlineLevel="0" collapsed="false">
      <c r="A463" s="0" t="s">
        <v>21</v>
      </c>
      <c r="B463" s="0" t="s">
        <v>2056</v>
      </c>
      <c r="C463" s="0" t="s">
        <v>200</v>
      </c>
      <c r="D463" s="0" t="s">
        <v>2036</v>
      </c>
      <c r="E463" s="0" t="s">
        <v>2036</v>
      </c>
      <c r="M463" s="0" t="s">
        <v>136</v>
      </c>
      <c r="N463" s="0" t="s">
        <v>124</v>
      </c>
      <c r="P463" s="0" t="s">
        <v>102</v>
      </c>
      <c r="Q463" s="0" t="s">
        <v>102</v>
      </c>
      <c r="R463" s="0" t="s">
        <v>137</v>
      </c>
      <c r="S463" s="0" t="s">
        <v>21</v>
      </c>
      <c r="T463" s="0" t="s">
        <v>104</v>
      </c>
      <c r="W463" s="0" t="s">
        <v>105</v>
      </c>
    </row>
    <row r="464" customFormat="false" ht="15" hidden="false" customHeight="false" outlineLevel="0" collapsed="false">
      <c r="A464" s="0" t="s">
        <v>21</v>
      </c>
      <c r="B464" s="0" t="s">
        <v>2056</v>
      </c>
      <c r="C464" s="0" t="s">
        <v>200</v>
      </c>
      <c r="D464" s="0" t="s">
        <v>2036</v>
      </c>
      <c r="E464" s="0" t="s">
        <v>2036</v>
      </c>
      <c r="M464" s="0" t="s">
        <v>136</v>
      </c>
      <c r="N464" s="0" t="s">
        <v>124</v>
      </c>
      <c r="P464" s="0" t="s">
        <v>26</v>
      </c>
      <c r="Q464" s="0" t="s">
        <v>26</v>
      </c>
      <c r="R464" s="0" t="s">
        <v>26</v>
      </c>
      <c r="S464" s="0" t="s">
        <v>21</v>
      </c>
      <c r="T464" s="0" t="s">
        <v>104</v>
      </c>
      <c r="W464" s="0" t="s">
        <v>183</v>
      </c>
    </row>
    <row r="465" customFormat="false" ht="15" hidden="false" customHeight="false" outlineLevel="0" collapsed="false">
      <c r="A465" s="0" t="s">
        <v>21</v>
      </c>
      <c r="B465" s="0" t="s">
        <v>2057</v>
      </c>
      <c r="C465" s="0" t="s">
        <v>200</v>
      </c>
      <c r="D465" s="0" t="s">
        <v>2058</v>
      </c>
      <c r="E465" s="0" t="s">
        <v>2058</v>
      </c>
      <c r="M465" s="0" t="s">
        <v>136</v>
      </c>
      <c r="N465" s="0" t="s">
        <v>124</v>
      </c>
      <c r="P465" s="0" t="s">
        <v>102</v>
      </c>
      <c r="Q465" s="0" t="s">
        <v>102</v>
      </c>
      <c r="R465" s="0" t="s">
        <v>144</v>
      </c>
      <c r="S465" s="0" t="s">
        <v>21</v>
      </c>
      <c r="T465" s="0" t="s">
        <v>104</v>
      </c>
      <c r="W465" s="0" t="s">
        <v>105</v>
      </c>
    </row>
    <row r="466" customFormat="false" ht="15" hidden="false" customHeight="false" outlineLevel="0" collapsed="false">
      <c r="A466" s="0" t="s">
        <v>21</v>
      </c>
      <c r="B466" s="0" t="s">
        <v>2057</v>
      </c>
      <c r="C466" s="0" t="s">
        <v>200</v>
      </c>
      <c r="D466" s="0" t="s">
        <v>2058</v>
      </c>
      <c r="E466" s="0" t="s">
        <v>2058</v>
      </c>
      <c r="M466" s="0" t="s">
        <v>136</v>
      </c>
      <c r="N466" s="0" t="s">
        <v>124</v>
      </c>
      <c r="P466" s="0" t="s">
        <v>26</v>
      </c>
      <c r="Q466" s="0" t="s">
        <v>26</v>
      </c>
      <c r="R466" s="0" t="s">
        <v>26</v>
      </c>
      <c r="S466" s="0" t="s">
        <v>21</v>
      </c>
      <c r="T466" s="0" t="s">
        <v>104</v>
      </c>
      <c r="W466" s="0" t="s">
        <v>183</v>
      </c>
    </row>
    <row r="467" customFormat="false" ht="15" hidden="false" customHeight="false" outlineLevel="0" collapsed="false">
      <c r="A467" s="0" t="s">
        <v>21</v>
      </c>
      <c r="B467" s="0" t="s">
        <v>2059</v>
      </c>
      <c r="C467" s="0" t="s">
        <v>200</v>
      </c>
      <c r="D467" s="0" t="s">
        <v>1198</v>
      </c>
      <c r="E467" s="0" t="s">
        <v>1198</v>
      </c>
      <c r="M467" s="0" t="s">
        <v>136</v>
      </c>
      <c r="N467" s="0" t="s">
        <v>124</v>
      </c>
      <c r="P467" s="0" t="s">
        <v>102</v>
      </c>
      <c r="Q467" s="0" t="s">
        <v>102</v>
      </c>
      <c r="R467" s="0" t="s">
        <v>113</v>
      </c>
      <c r="S467" s="0" t="s">
        <v>21</v>
      </c>
      <c r="T467" s="0" t="s">
        <v>104</v>
      </c>
      <c r="W467" s="0" t="s">
        <v>105</v>
      </c>
    </row>
    <row r="468" customFormat="false" ht="15" hidden="false" customHeight="false" outlineLevel="0" collapsed="false">
      <c r="A468" s="0" t="s">
        <v>21</v>
      </c>
      <c r="B468" s="0" t="s">
        <v>2059</v>
      </c>
      <c r="C468" s="0" t="s">
        <v>200</v>
      </c>
      <c r="D468" s="0" t="s">
        <v>1198</v>
      </c>
      <c r="E468" s="0" t="s">
        <v>1198</v>
      </c>
      <c r="M468" s="0" t="s">
        <v>136</v>
      </c>
      <c r="N468" s="0" t="s">
        <v>124</v>
      </c>
      <c r="P468" s="0" t="s">
        <v>26</v>
      </c>
      <c r="Q468" s="0" t="s">
        <v>26</v>
      </c>
      <c r="R468" s="0" t="s">
        <v>26</v>
      </c>
      <c r="S468" s="0" t="s">
        <v>21</v>
      </c>
      <c r="T468" s="0" t="s">
        <v>104</v>
      </c>
      <c r="W468" s="0" t="s">
        <v>183</v>
      </c>
    </row>
    <row r="469" customFormat="false" ht="15" hidden="false" customHeight="false" outlineLevel="0" collapsed="false">
      <c r="A469" s="0" t="s">
        <v>21</v>
      </c>
      <c r="B469" s="0" t="s">
        <v>2060</v>
      </c>
      <c r="C469" s="0" t="s">
        <v>200</v>
      </c>
      <c r="D469" s="0" t="s">
        <v>2061</v>
      </c>
      <c r="E469" s="0" t="s">
        <v>2061</v>
      </c>
      <c r="M469" s="0" t="s">
        <v>136</v>
      </c>
      <c r="N469" s="0" t="s">
        <v>124</v>
      </c>
      <c r="P469" s="0" t="s">
        <v>102</v>
      </c>
      <c r="Q469" s="0" t="s">
        <v>102</v>
      </c>
      <c r="R469" s="0" t="s">
        <v>131</v>
      </c>
      <c r="S469" s="0" t="s">
        <v>21</v>
      </c>
      <c r="T469" s="0" t="s">
        <v>104</v>
      </c>
      <c r="W469" s="0" t="s">
        <v>105</v>
      </c>
    </row>
    <row r="470" customFormat="false" ht="15" hidden="false" customHeight="false" outlineLevel="0" collapsed="false">
      <c r="A470" s="0" t="s">
        <v>21</v>
      </c>
      <c r="B470" s="0" t="s">
        <v>2060</v>
      </c>
      <c r="C470" s="0" t="s">
        <v>200</v>
      </c>
      <c r="D470" s="0" t="s">
        <v>2061</v>
      </c>
      <c r="E470" s="0" t="s">
        <v>2061</v>
      </c>
      <c r="M470" s="0" t="s">
        <v>136</v>
      </c>
      <c r="N470" s="0" t="s">
        <v>124</v>
      </c>
      <c r="P470" s="0" t="s">
        <v>26</v>
      </c>
      <c r="Q470" s="0" t="s">
        <v>26</v>
      </c>
      <c r="R470" s="0" t="s">
        <v>26</v>
      </c>
      <c r="S470" s="0" t="s">
        <v>21</v>
      </c>
      <c r="T470" s="0" t="s">
        <v>104</v>
      </c>
      <c r="W470" s="0" t="s">
        <v>183</v>
      </c>
    </row>
    <row r="471" customFormat="false" ht="15" hidden="false" customHeight="false" outlineLevel="0" collapsed="false">
      <c r="A471" s="0" t="s">
        <v>21</v>
      </c>
      <c r="B471" s="0" t="s">
        <v>2062</v>
      </c>
      <c r="C471" s="0" t="s">
        <v>200</v>
      </c>
      <c r="D471" s="0" t="s">
        <v>2001</v>
      </c>
      <c r="E471" s="0" t="s">
        <v>2001</v>
      </c>
      <c r="M471" s="0" t="s">
        <v>136</v>
      </c>
      <c r="N471" s="0" t="s">
        <v>124</v>
      </c>
      <c r="P471" s="0" t="s">
        <v>26</v>
      </c>
      <c r="Q471" s="0" t="s">
        <v>26</v>
      </c>
      <c r="R471" s="0" t="s">
        <v>26</v>
      </c>
      <c r="S471" s="0" t="s">
        <v>21</v>
      </c>
      <c r="T471" s="0" t="s">
        <v>104</v>
      </c>
      <c r="W471" s="0" t="s">
        <v>183</v>
      </c>
    </row>
    <row r="472" customFormat="false" ht="15" hidden="false" customHeight="false" outlineLevel="0" collapsed="false">
      <c r="A472" s="0" t="s">
        <v>21</v>
      </c>
      <c r="B472" s="0" t="s">
        <v>2062</v>
      </c>
      <c r="C472" s="0" t="s">
        <v>200</v>
      </c>
      <c r="D472" s="0" t="s">
        <v>2001</v>
      </c>
      <c r="E472" s="0" t="s">
        <v>2001</v>
      </c>
      <c r="M472" s="0" t="s">
        <v>136</v>
      </c>
      <c r="N472" s="0" t="s">
        <v>124</v>
      </c>
      <c r="P472" s="0" t="s">
        <v>236</v>
      </c>
      <c r="Q472" s="0" t="s">
        <v>236</v>
      </c>
      <c r="R472" s="0" t="s">
        <v>103</v>
      </c>
      <c r="S472" s="0" t="s">
        <v>21</v>
      </c>
      <c r="T472" s="0" t="s">
        <v>104</v>
      </c>
      <c r="W472" s="0" t="s">
        <v>105</v>
      </c>
    </row>
    <row r="473" customFormat="false" ht="15" hidden="false" customHeight="false" outlineLevel="0" collapsed="false">
      <c r="A473" s="0" t="s">
        <v>21</v>
      </c>
      <c r="B473" s="0" t="s">
        <v>2063</v>
      </c>
      <c r="C473" s="0" t="s">
        <v>200</v>
      </c>
      <c r="D473" s="0" t="s">
        <v>2005</v>
      </c>
      <c r="E473" s="0" t="s">
        <v>2005</v>
      </c>
      <c r="M473" s="0" t="s">
        <v>136</v>
      </c>
      <c r="N473" s="0" t="s">
        <v>124</v>
      </c>
      <c r="P473" s="0" t="s">
        <v>102</v>
      </c>
      <c r="Q473" s="0" t="s">
        <v>102</v>
      </c>
      <c r="R473" s="0" t="s">
        <v>137</v>
      </c>
      <c r="S473" s="0" t="s">
        <v>21</v>
      </c>
      <c r="T473" s="0" t="s">
        <v>104</v>
      </c>
      <c r="W473" s="0" t="s">
        <v>105</v>
      </c>
    </row>
    <row r="474" customFormat="false" ht="15" hidden="false" customHeight="false" outlineLevel="0" collapsed="false">
      <c r="A474" s="0" t="s">
        <v>21</v>
      </c>
      <c r="B474" s="0" t="s">
        <v>2063</v>
      </c>
      <c r="C474" s="0" t="s">
        <v>200</v>
      </c>
      <c r="D474" s="0" t="s">
        <v>2005</v>
      </c>
      <c r="E474" s="0" t="s">
        <v>2005</v>
      </c>
      <c r="M474" s="0" t="s">
        <v>136</v>
      </c>
      <c r="N474" s="0" t="s">
        <v>124</v>
      </c>
      <c r="P474" s="0" t="s">
        <v>26</v>
      </c>
      <c r="Q474" s="0" t="s">
        <v>26</v>
      </c>
      <c r="R474" s="0" t="s">
        <v>26</v>
      </c>
      <c r="S474" s="0" t="s">
        <v>21</v>
      </c>
      <c r="T474" s="0" t="s">
        <v>104</v>
      </c>
      <c r="W474" s="0" t="s">
        <v>183</v>
      </c>
    </row>
    <row r="475" customFormat="false" ht="15" hidden="false" customHeight="false" outlineLevel="0" collapsed="false">
      <c r="A475" s="0" t="s">
        <v>21</v>
      </c>
      <c r="B475" s="0" t="s">
        <v>2064</v>
      </c>
      <c r="C475" s="0" t="s">
        <v>771</v>
      </c>
      <c r="D475" s="0" t="s">
        <v>753</v>
      </c>
      <c r="E475" s="0" t="s">
        <v>753</v>
      </c>
      <c r="M475" s="0" t="s">
        <v>136</v>
      </c>
      <c r="N475" s="0" t="s">
        <v>124</v>
      </c>
      <c r="P475" s="0" t="s">
        <v>102</v>
      </c>
      <c r="Q475" s="0" t="s">
        <v>102</v>
      </c>
      <c r="R475" s="0" t="s">
        <v>113</v>
      </c>
      <c r="S475" s="0" t="s">
        <v>21</v>
      </c>
      <c r="T475" s="0" t="s">
        <v>104</v>
      </c>
      <c r="W475" s="0" t="s">
        <v>105</v>
      </c>
    </row>
    <row r="476" customFormat="false" ht="15" hidden="false" customHeight="false" outlineLevel="0" collapsed="false">
      <c r="A476" s="0" t="s">
        <v>21</v>
      </c>
      <c r="B476" s="0" t="s">
        <v>2064</v>
      </c>
      <c r="C476" s="0" t="s">
        <v>771</v>
      </c>
      <c r="D476" s="0" t="s">
        <v>753</v>
      </c>
      <c r="E476" s="0" t="s">
        <v>753</v>
      </c>
      <c r="M476" s="0" t="s">
        <v>136</v>
      </c>
      <c r="N476" s="0" t="s">
        <v>124</v>
      </c>
      <c r="P476" s="0" t="s">
        <v>26</v>
      </c>
      <c r="Q476" s="0" t="s">
        <v>26</v>
      </c>
      <c r="R476" s="0" t="s">
        <v>26</v>
      </c>
      <c r="S476" s="0" t="s">
        <v>21</v>
      </c>
      <c r="T476" s="0" t="s">
        <v>104</v>
      </c>
      <c r="W476" s="0" t="s">
        <v>183</v>
      </c>
    </row>
    <row r="477" customFormat="false" ht="15" hidden="false" customHeight="false" outlineLevel="0" collapsed="false">
      <c r="A477" s="0" t="s">
        <v>21</v>
      </c>
      <c r="B477" s="0" t="s">
        <v>2065</v>
      </c>
      <c r="C477" s="0" t="s">
        <v>771</v>
      </c>
      <c r="D477" s="0" t="s">
        <v>753</v>
      </c>
      <c r="E477" s="0" t="s">
        <v>753</v>
      </c>
      <c r="M477" s="0" t="s">
        <v>136</v>
      </c>
      <c r="N477" s="0" t="s">
        <v>124</v>
      </c>
      <c r="P477" s="0" t="s">
        <v>499</v>
      </c>
      <c r="Q477" s="0" t="s">
        <v>499</v>
      </c>
      <c r="R477" s="0" t="s">
        <v>499</v>
      </c>
      <c r="S477" s="0" t="s">
        <v>21</v>
      </c>
      <c r="T477" s="0" t="s">
        <v>104</v>
      </c>
      <c r="W477" s="0" t="s">
        <v>183</v>
      </c>
    </row>
    <row r="478" customFormat="false" ht="15" hidden="false" customHeight="false" outlineLevel="0" collapsed="false">
      <c r="A478" s="0" t="s">
        <v>21</v>
      </c>
      <c r="B478" s="0" t="s">
        <v>2065</v>
      </c>
      <c r="C478" s="0" t="s">
        <v>771</v>
      </c>
      <c r="D478" s="0" t="s">
        <v>753</v>
      </c>
      <c r="E478" s="0" t="s">
        <v>753</v>
      </c>
      <c r="M478" s="0" t="s">
        <v>136</v>
      </c>
      <c r="N478" s="0" t="s">
        <v>124</v>
      </c>
      <c r="P478" s="0" t="s">
        <v>102</v>
      </c>
      <c r="Q478" s="0" t="s">
        <v>102</v>
      </c>
      <c r="R478" s="0" t="s">
        <v>113</v>
      </c>
      <c r="S478" s="0" t="s">
        <v>21</v>
      </c>
      <c r="T478" s="0" t="s">
        <v>104</v>
      </c>
      <c r="W478" s="0" t="s">
        <v>105</v>
      </c>
    </row>
    <row r="479" customFormat="false" ht="15" hidden="false" customHeight="false" outlineLevel="0" collapsed="false">
      <c r="A479" s="0" t="s">
        <v>21</v>
      </c>
      <c r="B479" s="0" t="s">
        <v>2065</v>
      </c>
      <c r="C479" s="0" t="s">
        <v>771</v>
      </c>
      <c r="D479" s="0" t="s">
        <v>753</v>
      </c>
      <c r="E479" s="0" t="s">
        <v>753</v>
      </c>
      <c r="M479" s="0" t="s">
        <v>136</v>
      </c>
      <c r="N479" s="0" t="s">
        <v>124</v>
      </c>
      <c r="P479" s="0" t="s">
        <v>26</v>
      </c>
      <c r="Q479" s="0" t="s">
        <v>26</v>
      </c>
      <c r="R479" s="0" t="s">
        <v>26</v>
      </c>
      <c r="S479" s="0" t="s">
        <v>21</v>
      </c>
      <c r="T479" s="0" t="s">
        <v>104</v>
      </c>
      <c r="W479" s="0" t="s">
        <v>183</v>
      </c>
    </row>
    <row r="480" customFormat="false" ht="15" hidden="false" customHeight="false" outlineLevel="0" collapsed="false">
      <c r="A480" s="0" t="s">
        <v>21</v>
      </c>
      <c r="B480" s="0" t="s">
        <v>2066</v>
      </c>
      <c r="C480" s="0" t="s">
        <v>771</v>
      </c>
      <c r="D480" s="0" t="s">
        <v>753</v>
      </c>
      <c r="E480" s="0" t="s">
        <v>753</v>
      </c>
      <c r="M480" s="0" t="s">
        <v>136</v>
      </c>
      <c r="N480" s="0" t="s">
        <v>124</v>
      </c>
      <c r="P480" s="0" t="s">
        <v>102</v>
      </c>
      <c r="Q480" s="0" t="s">
        <v>102</v>
      </c>
      <c r="R480" s="0" t="s">
        <v>113</v>
      </c>
      <c r="S480" s="0" t="s">
        <v>21</v>
      </c>
      <c r="T480" s="0" t="s">
        <v>104</v>
      </c>
      <c r="W480" s="0" t="s">
        <v>105</v>
      </c>
    </row>
    <row r="481" customFormat="false" ht="15" hidden="false" customHeight="false" outlineLevel="0" collapsed="false">
      <c r="A481" s="0" t="s">
        <v>21</v>
      </c>
      <c r="B481" s="0" t="s">
        <v>2066</v>
      </c>
      <c r="C481" s="0" t="s">
        <v>771</v>
      </c>
      <c r="D481" s="0" t="s">
        <v>753</v>
      </c>
      <c r="E481" s="0" t="s">
        <v>753</v>
      </c>
      <c r="M481" s="0" t="s">
        <v>136</v>
      </c>
      <c r="N481" s="0" t="s">
        <v>124</v>
      </c>
      <c r="P481" s="0" t="s">
        <v>26</v>
      </c>
      <c r="Q481" s="0" t="s">
        <v>26</v>
      </c>
      <c r="R481" s="0" t="s">
        <v>26</v>
      </c>
      <c r="S481" s="0" t="s">
        <v>21</v>
      </c>
      <c r="T481" s="0" t="s">
        <v>104</v>
      </c>
      <c r="W481" s="0" t="s">
        <v>183</v>
      </c>
    </row>
    <row r="482" customFormat="false" ht="15" hidden="false" customHeight="false" outlineLevel="0" collapsed="false">
      <c r="A482" s="0" t="s">
        <v>21</v>
      </c>
      <c r="B482" s="0" t="s">
        <v>2067</v>
      </c>
      <c r="C482" s="0" t="s">
        <v>771</v>
      </c>
      <c r="D482" s="0" t="s">
        <v>2040</v>
      </c>
      <c r="E482" s="0" t="s">
        <v>2040</v>
      </c>
      <c r="M482" s="0" t="s">
        <v>136</v>
      </c>
      <c r="N482" s="0" t="s">
        <v>124</v>
      </c>
      <c r="P482" s="0" t="s">
        <v>102</v>
      </c>
      <c r="Q482" s="0" t="s">
        <v>102</v>
      </c>
      <c r="R482" s="0" t="s">
        <v>804</v>
      </c>
      <c r="S482" s="0" t="s">
        <v>21</v>
      </c>
      <c r="T482" s="0" t="s">
        <v>104</v>
      </c>
      <c r="W482" s="0" t="s">
        <v>105</v>
      </c>
    </row>
    <row r="483" customFormat="false" ht="15" hidden="false" customHeight="false" outlineLevel="0" collapsed="false">
      <c r="A483" s="0" t="s">
        <v>21</v>
      </c>
      <c r="B483" s="0" t="s">
        <v>2067</v>
      </c>
      <c r="C483" s="0" t="s">
        <v>771</v>
      </c>
      <c r="D483" s="0" t="s">
        <v>2040</v>
      </c>
      <c r="E483" s="0" t="s">
        <v>2040</v>
      </c>
      <c r="M483" s="0" t="s">
        <v>136</v>
      </c>
      <c r="N483" s="0" t="s">
        <v>124</v>
      </c>
      <c r="P483" s="0" t="s">
        <v>26</v>
      </c>
      <c r="Q483" s="0" t="s">
        <v>26</v>
      </c>
      <c r="R483" s="0" t="s">
        <v>26</v>
      </c>
      <c r="S483" s="0" t="s">
        <v>21</v>
      </c>
      <c r="T483" s="0" t="s">
        <v>104</v>
      </c>
      <c r="W483" s="0" t="s">
        <v>183</v>
      </c>
    </row>
    <row r="484" customFormat="false" ht="15" hidden="false" customHeight="false" outlineLevel="0" collapsed="false">
      <c r="A484" s="0" t="s">
        <v>21</v>
      </c>
      <c r="B484" s="0" t="s">
        <v>2068</v>
      </c>
      <c r="C484" s="0" t="s">
        <v>200</v>
      </c>
      <c r="D484" s="0" t="s">
        <v>2001</v>
      </c>
      <c r="E484" s="0" t="s">
        <v>2001</v>
      </c>
      <c r="M484" s="0" t="s">
        <v>136</v>
      </c>
      <c r="N484" s="0" t="s">
        <v>124</v>
      </c>
      <c r="P484" s="0" t="s">
        <v>26</v>
      </c>
      <c r="Q484" s="0" t="s">
        <v>26</v>
      </c>
      <c r="R484" s="0" t="s">
        <v>26</v>
      </c>
      <c r="S484" s="0" t="s">
        <v>21</v>
      </c>
      <c r="T484" s="0" t="s">
        <v>104</v>
      </c>
      <c r="W484" s="0" t="s">
        <v>183</v>
      </c>
    </row>
    <row r="485" customFormat="false" ht="15" hidden="false" customHeight="false" outlineLevel="0" collapsed="false">
      <c r="A485" s="0" t="s">
        <v>21</v>
      </c>
      <c r="B485" s="0" t="s">
        <v>2068</v>
      </c>
      <c r="C485" s="0" t="s">
        <v>200</v>
      </c>
      <c r="D485" s="0" t="s">
        <v>2001</v>
      </c>
      <c r="E485" s="0" t="s">
        <v>2001</v>
      </c>
      <c r="M485" s="0" t="s">
        <v>136</v>
      </c>
      <c r="N485" s="0" t="s">
        <v>124</v>
      </c>
      <c r="P485" s="0" t="s">
        <v>236</v>
      </c>
      <c r="Q485" s="0" t="s">
        <v>236</v>
      </c>
      <c r="R485" s="0" t="s">
        <v>103</v>
      </c>
      <c r="S485" s="0" t="s">
        <v>21</v>
      </c>
      <c r="T485" s="0" t="s">
        <v>104</v>
      </c>
      <c r="W485" s="0" t="s">
        <v>105</v>
      </c>
    </row>
    <row r="486" customFormat="false" ht="15" hidden="false" customHeight="false" outlineLevel="0" collapsed="false">
      <c r="A486" s="0" t="s">
        <v>21</v>
      </c>
      <c r="B486" s="0" t="s">
        <v>2069</v>
      </c>
      <c r="C486" s="0" t="s">
        <v>200</v>
      </c>
      <c r="D486" s="0" t="s">
        <v>2010</v>
      </c>
      <c r="E486" s="0" t="s">
        <v>2028</v>
      </c>
      <c r="M486" s="0" t="s">
        <v>136</v>
      </c>
      <c r="N486" s="0" t="s">
        <v>124</v>
      </c>
      <c r="P486" s="0" t="s">
        <v>102</v>
      </c>
      <c r="Q486" s="0" t="s">
        <v>102</v>
      </c>
      <c r="R486" s="0" t="s">
        <v>131</v>
      </c>
      <c r="S486" s="0" t="s">
        <v>21</v>
      </c>
      <c r="T486" s="0" t="s">
        <v>104</v>
      </c>
      <c r="W486" s="0" t="s">
        <v>105</v>
      </c>
    </row>
    <row r="487" customFormat="false" ht="15" hidden="false" customHeight="false" outlineLevel="0" collapsed="false">
      <c r="A487" s="0" t="s">
        <v>21</v>
      </c>
      <c r="B487" s="0" t="s">
        <v>2069</v>
      </c>
      <c r="C487" s="0" t="s">
        <v>200</v>
      </c>
      <c r="D487" s="0" t="s">
        <v>2010</v>
      </c>
      <c r="E487" s="0" t="s">
        <v>2028</v>
      </c>
      <c r="M487" s="0" t="s">
        <v>136</v>
      </c>
      <c r="N487" s="0" t="s">
        <v>124</v>
      </c>
      <c r="P487" s="0" t="s">
        <v>26</v>
      </c>
      <c r="Q487" s="0" t="s">
        <v>26</v>
      </c>
      <c r="R487" s="0" t="s">
        <v>26</v>
      </c>
      <c r="S487" s="0" t="s">
        <v>21</v>
      </c>
      <c r="T487" s="0" t="s">
        <v>104</v>
      </c>
      <c r="W487" s="0" t="s">
        <v>183</v>
      </c>
    </row>
    <row r="488" customFormat="false" ht="15" hidden="false" customHeight="false" outlineLevel="0" collapsed="false">
      <c r="A488" s="0" t="s">
        <v>21</v>
      </c>
      <c r="B488" s="0" t="s">
        <v>2070</v>
      </c>
      <c r="C488" s="0" t="s">
        <v>200</v>
      </c>
      <c r="D488" s="0" t="s">
        <v>2012</v>
      </c>
      <c r="E488" s="0" t="s">
        <v>2012</v>
      </c>
      <c r="M488" s="0" t="s">
        <v>136</v>
      </c>
      <c r="N488" s="0" t="s">
        <v>124</v>
      </c>
      <c r="P488" s="0" t="s">
        <v>102</v>
      </c>
      <c r="Q488" s="0" t="s">
        <v>102</v>
      </c>
      <c r="R488" s="0" t="s">
        <v>144</v>
      </c>
      <c r="S488" s="0" t="s">
        <v>21</v>
      </c>
      <c r="T488" s="0" t="s">
        <v>104</v>
      </c>
      <c r="W488" s="0" t="s">
        <v>105</v>
      </c>
    </row>
    <row r="489" customFormat="false" ht="15" hidden="false" customHeight="false" outlineLevel="0" collapsed="false">
      <c r="A489" s="0" t="s">
        <v>21</v>
      </c>
      <c r="B489" s="0" t="s">
        <v>2070</v>
      </c>
      <c r="C489" s="0" t="s">
        <v>200</v>
      </c>
      <c r="D489" s="0" t="s">
        <v>2012</v>
      </c>
      <c r="E489" s="0" t="s">
        <v>2012</v>
      </c>
      <c r="M489" s="0" t="s">
        <v>136</v>
      </c>
      <c r="N489" s="0" t="s">
        <v>124</v>
      </c>
      <c r="P489" s="0" t="s">
        <v>26</v>
      </c>
      <c r="Q489" s="0" t="s">
        <v>26</v>
      </c>
      <c r="R489" s="0" t="s">
        <v>26</v>
      </c>
      <c r="S489" s="0" t="s">
        <v>21</v>
      </c>
      <c r="T489" s="0" t="s">
        <v>104</v>
      </c>
      <c r="W489" s="0" t="s">
        <v>183</v>
      </c>
    </row>
    <row r="490" customFormat="false" ht="15" hidden="false" customHeight="false" outlineLevel="0" collapsed="false">
      <c r="A490" s="0" t="s">
        <v>21</v>
      </c>
      <c r="B490" s="0" t="s">
        <v>2071</v>
      </c>
      <c r="C490" s="0" t="s">
        <v>771</v>
      </c>
      <c r="D490" s="0" t="s">
        <v>2072</v>
      </c>
      <c r="E490" s="0" t="s">
        <v>2072</v>
      </c>
      <c r="M490" s="0" t="s">
        <v>136</v>
      </c>
      <c r="N490" s="0" t="s">
        <v>124</v>
      </c>
      <c r="P490" s="0" t="s">
        <v>102</v>
      </c>
      <c r="Q490" s="0" t="s">
        <v>102</v>
      </c>
      <c r="R490" s="0" t="s">
        <v>131</v>
      </c>
      <c r="S490" s="0" t="s">
        <v>21</v>
      </c>
      <c r="T490" s="0" t="s">
        <v>104</v>
      </c>
      <c r="W490" s="0" t="s">
        <v>105</v>
      </c>
    </row>
    <row r="491" customFormat="false" ht="15" hidden="false" customHeight="false" outlineLevel="0" collapsed="false">
      <c r="A491" s="0" t="s">
        <v>21</v>
      </c>
      <c r="B491" s="0" t="s">
        <v>2071</v>
      </c>
      <c r="C491" s="0" t="s">
        <v>771</v>
      </c>
      <c r="D491" s="0" t="s">
        <v>2072</v>
      </c>
      <c r="E491" s="0" t="s">
        <v>2072</v>
      </c>
      <c r="M491" s="0" t="s">
        <v>136</v>
      </c>
      <c r="N491" s="0" t="s">
        <v>124</v>
      </c>
      <c r="P491" s="0" t="s">
        <v>26</v>
      </c>
      <c r="Q491" s="0" t="s">
        <v>26</v>
      </c>
      <c r="R491" s="0" t="s">
        <v>26</v>
      </c>
      <c r="S491" s="0" t="s">
        <v>21</v>
      </c>
      <c r="T491" s="0" t="s">
        <v>104</v>
      </c>
      <c r="W491" s="0" t="s">
        <v>183</v>
      </c>
    </row>
    <row r="492" customFormat="false" ht="15" hidden="false" customHeight="false" outlineLevel="0" collapsed="false">
      <c r="A492" s="0" t="s">
        <v>21</v>
      </c>
      <c r="B492" s="0" t="s">
        <v>2073</v>
      </c>
      <c r="C492" s="0" t="s">
        <v>771</v>
      </c>
      <c r="D492" s="0" t="s">
        <v>206</v>
      </c>
      <c r="E492" s="0" t="s">
        <v>206</v>
      </c>
      <c r="M492" s="0" t="s">
        <v>136</v>
      </c>
      <c r="N492" s="0" t="s">
        <v>124</v>
      </c>
      <c r="P492" s="0" t="s">
        <v>102</v>
      </c>
      <c r="Q492" s="0" t="s">
        <v>102</v>
      </c>
      <c r="R492" s="0" t="s">
        <v>131</v>
      </c>
      <c r="S492" s="0" t="s">
        <v>21</v>
      </c>
      <c r="T492" s="0" t="s">
        <v>104</v>
      </c>
      <c r="W492" s="0" t="s">
        <v>105</v>
      </c>
    </row>
    <row r="493" customFormat="false" ht="15" hidden="false" customHeight="false" outlineLevel="0" collapsed="false">
      <c r="A493" s="0" t="s">
        <v>21</v>
      </c>
      <c r="B493" s="0" t="s">
        <v>2073</v>
      </c>
      <c r="C493" s="0" t="s">
        <v>771</v>
      </c>
      <c r="D493" s="0" t="s">
        <v>206</v>
      </c>
      <c r="E493" s="0" t="s">
        <v>206</v>
      </c>
      <c r="M493" s="0" t="s">
        <v>136</v>
      </c>
      <c r="N493" s="0" t="s">
        <v>124</v>
      </c>
      <c r="P493" s="0" t="s">
        <v>26</v>
      </c>
      <c r="Q493" s="0" t="s">
        <v>26</v>
      </c>
      <c r="R493" s="0" t="s">
        <v>26</v>
      </c>
      <c r="S493" s="0" t="s">
        <v>21</v>
      </c>
      <c r="T493" s="0" t="s">
        <v>104</v>
      </c>
      <c r="W493" s="0" t="s">
        <v>183</v>
      </c>
    </row>
    <row r="494" customFormat="false" ht="15" hidden="false" customHeight="false" outlineLevel="0" collapsed="false">
      <c r="A494" s="0" t="s">
        <v>21</v>
      </c>
      <c r="B494" s="0" t="s">
        <v>2074</v>
      </c>
      <c r="C494" s="0" t="s">
        <v>771</v>
      </c>
      <c r="D494" s="0" t="s">
        <v>206</v>
      </c>
      <c r="E494" s="0" t="s">
        <v>206</v>
      </c>
      <c r="M494" s="0" t="s">
        <v>136</v>
      </c>
      <c r="N494" s="0" t="s">
        <v>124</v>
      </c>
      <c r="P494" s="0" t="s">
        <v>102</v>
      </c>
      <c r="Q494" s="0" t="s">
        <v>102</v>
      </c>
      <c r="R494" s="0" t="s">
        <v>131</v>
      </c>
      <c r="S494" s="0" t="s">
        <v>21</v>
      </c>
      <c r="T494" s="0" t="s">
        <v>104</v>
      </c>
      <c r="W494" s="0" t="s">
        <v>105</v>
      </c>
    </row>
    <row r="495" customFormat="false" ht="15" hidden="false" customHeight="false" outlineLevel="0" collapsed="false">
      <c r="A495" s="0" t="s">
        <v>21</v>
      </c>
      <c r="B495" s="0" t="s">
        <v>2074</v>
      </c>
      <c r="C495" s="0" t="s">
        <v>771</v>
      </c>
      <c r="D495" s="0" t="s">
        <v>206</v>
      </c>
      <c r="E495" s="0" t="s">
        <v>206</v>
      </c>
      <c r="M495" s="0" t="s">
        <v>136</v>
      </c>
      <c r="N495" s="0" t="s">
        <v>124</v>
      </c>
      <c r="P495" s="0" t="s">
        <v>26</v>
      </c>
      <c r="Q495" s="0" t="s">
        <v>26</v>
      </c>
      <c r="R495" s="0" t="s">
        <v>26</v>
      </c>
      <c r="S495" s="0" t="s">
        <v>21</v>
      </c>
      <c r="T495" s="0" t="s">
        <v>104</v>
      </c>
      <c r="W495" s="0" t="s">
        <v>183</v>
      </c>
    </row>
    <row r="496" customFormat="false" ht="15" hidden="false" customHeight="false" outlineLevel="0" collapsed="false">
      <c r="A496" s="0" t="s">
        <v>21</v>
      </c>
      <c r="B496" s="0" t="s">
        <v>2075</v>
      </c>
      <c r="C496" s="0" t="s">
        <v>771</v>
      </c>
      <c r="D496" s="0" t="s">
        <v>2076</v>
      </c>
      <c r="E496" s="0" t="s">
        <v>2076</v>
      </c>
      <c r="M496" s="0" t="s">
        <v>136</v>
      </c>
      <c r="N496" s="0" t="s">
        <v>124</v>
      </c>
      <c r="P496" s="0" t="s">
        <v>102</v>
      </c>
      <c r="Q496" s="0" t="s">
        <v>102</v>
      </c>
      <c r="R496" s="0" t="s">
        <v>131</v>
      </c>
      <c r="S496" s="0" t="s">
        <v>21</v>
      </c>
      <c r="T496" s="0" t="s">
        <v>104</v>
      </c>
      <c r="W496" s="0" t="s">
        <v>105</v>
      </c>
    </row>
    <row r="497" customFormat="false" ht="15" hidden="false" customHeight="false" outlineLevel="0" collapsed="false">
      <c r="A497" s="0" t="s">
        <v>21</v>
      </c>
      <c r="B497" s="0" t="s">
        <v>2075</v>
      </c>
      <c r="C497" s="0" t="s">
        <v>771</v>
      </c>
      <c r="D497" s="0" t="s">
        <v>2076</v>
      </c>
      <c r="E497" s="0" t="s">
        <v>2076</v>
      </c>
      <c r="M497" s="0" t="s">
        <v>136</v>
      </c>
      <c r="N497" s="0" t="s">
        <v>124</v>
      </c>
      <c r="P497" s="0" t="s">
        <v>26</v>
      </c>
      <c r="Q497" s="0" t="s">
        <v>26</v>
      </c>
      <c r="R497" s="0" t="s">
        <v>26</v>
      </c>
      <c r="S497" s="0" t="s">
        <v>21</v>
      </c>
      <c r="T497" s="0" t="s">
        <v>104</v>
      </c>
      <c r="W497" s="0" t="s">
        <v>183</v>
      </c>
    </row>
    <row r="498" customFormat="false" ht="15" hidden="false" customHeight="false" outlineLevel="0" collapsed="false">
      <c r="A498" s="0" t="s">
        <v>21</v>
      </c>
      <c r="B498" s="0" t="s">
        <v>2077</v>
      </c>
      <c r="C498" s="0" t="s">
        <v>771</v>
      </c>
      <c r="D498" s="0" t="s">
        <v>2078</v>
      </c>
      <c r="E498" s="0" t="s">
        <v>2078</v>
      </c>
      <c r="M498" s="0" t="s">
        <v>136</v>
      </c>
      <c r="N498" s="0" t="s">
        <v>124</v>
      </c>
      <c r="P498" s="0" t="s">
        <v>102</v>
      </c>
      <c r="Q498" s="0" t="s">
        <v>102</v>
      </c>
      <c r="R498" s="0" t="s">
        <v>131</v>
      </c>
      <c r="S498" s="0" t="s">
        <v>21</v>
      </c>
      <c r="T498" s="0" t="s">
        <v>104</v>
      </c>
      <c r="W498" s="0" t="s">
        <v>105</v>
      </c>
    </row>
    <row r="499" customFormat="false" ht="15" hidden="false" customHeight="false" outlineLevel="0" collapsed="false">
      <c r="A499" s="0" t="s">
        <v>21</v>
      </c>
      <c r="B499" s="0" t="s">
        <v>2077</v>
      </c>
      <c r="C499" s="0" t="s">
        <v>771</v>
      </c>
      <c r="D499" s="0" t="s">
        <v>2078</v>
      </c>
      <c r="E499" s="0" t="s">
        <v>2078</v>
      </c>
      <c r="M499" s="0" t="s">
        <v>136</v>
      </c>
      <c r="N499" s="0" t="s">
        <v>124</v>
      </c>
      <c r="P499" s="0" t="s">
        <v>26</v>
      </c>
      <c r="Q499" s="0" t="s">
        <v>26</v>
      </c>
      <c r="R499" s="0" t="s">
        <v>26</v>
      </c>
      <c r="S499" s="0" t="s">
        <v>21</v>
      </c>
      <c r="T499" s="0" t="s">
        <v>104</v>
      </c>
      <c r="W499" s="0" t="s">
        <v>183</v>
      </c>
    </row>
    <row r="500" customFormat="false" ht="15" hidden="false" customHeight="false" outlineLevel="0" collapsed="false">
      <c r="A500" s="0" t="s">
        <v>21</v>
      </c>
      <c r="B500" s="0" t="s">
        <v>2079</v>
      </c>
      <c r="C500" s="0" t="s">
        <v>771</v>
      </c>
      <c r="D500" s="0" t="s">
        <v>2080</v>
      </c>
      <c r="E500" s="0" t="s">
        <v>2080</v>
      </c>
      <c r="M500" s="0" t="s">
        <v>136</v>
      </c>
      <c r="N500" s="0" t="s">
        <v>124</v>
      </c>
      <c r="P500" s="0" t="s">
        <v>102</v>
      </c>
      <c r="Q500" s="0" t="s">
        <v>102</v>
      </c>
      <c r="R500" s="0" t="s">
        <v>131</v>
      </c>
      <c r="S500" s="0" t="s">
        <v>21</v>
      </c>
      <c r="T500" s="0" t="s">
        <v>104</v>
      </c>
      <c r="W500" s="0" t="s">
        <v>105</v>
      </c>
    </row>
    <row r="501" customFormat="false" ht="15" hidden="false" customHeight="false" outlineLevel="0" collapsed="false">
      <c r="A501" s="0" t="s">
        <v>21</v>
      </c>
      <c r="B501" s="0" t="s">
        <v>2079</v>
      </c>
      <c r="C501" s="0" t="s">
        <v>771</v>
      </c>
      <c r="D501" s="0" t="s">
        <v>2080</v>
      </c>
      <c r="E501" s="0" t="s">
        <v>2080</v>
      </c>
      <c r="M501" s="0" t="s">
        <v>136</v>
      </c>
      <c r="N501" s="0" t="s">
        <v>124</v>
      </c>
      <c r="P501" s="0" t="s">
        <v>26</v>
      </c>
      <c r="Q501" s="0" t="s">
        <v>26</v>
      </c>
      <c r="R501" s="0" t="s">
        <v>26</v>
      </c>
      <c r="S501" s="0" t="s">
        <v>21</v>
      </c>
      <c r="T501" s="0" t="s">
        <v>104</v>
      </c>
      <c r="W501" s="0" t="s">
        <v>183</v>
      </c>
    </row>
    <row r="502" customFormat="false" ht="15" hidden="false" customHeight="false" outlineLevel="0" collapsed="false">
      <c r="A502" s="0" t="s">
        <v>21</v>
      </c>
      <c r="B502" s="0" t="s">
        <v>2081</v>
      </c>
      <c r="C502" s="0" t="s">
        <v>771</v>
      </c>
      <c r="D502" s="0" t="s">
        <v>2082</v>
      </c>
      <c r="E502" s="0" t="s">
        <v>2082</v>
      </c>
      <c r="M502" s="0" t="s">
        <v>136</v>
      </c>
      <c r="N502" s="0" t="s">
        <v>124</v>
      </c>
      <c r="P502" s="0" t="s">
        <v>102</v>
      </c>
      <c r="Q502" s="0" t="s">
        <v>102</v>
      </c>
      <c r="R502" s="0" t="s">
        <v>131</v>
      </c>
      <c r="S502" s="0" t="s">
        <v>21</v>
      </c>
      <c r="T502" s="0" t="s">
        <v>104</v>
      </c>
      <c r="W502" s="0" t="s">
        <v>105</v>
      </c>
    </row>
    <row r="503" customFormat="false" ht="15" hidden="false" customHeight="false" outlineLevel="0" collapsed="false">
      <c r="A503" s="0" t="s">
        <v>21</v>
      </c>
      <c r="B503" s="0" t="s">
        <v>2081</v>
      </c>
      <c r="C503" s="0" t="s">
        <v>771</v>
      </c>
      <c r="D503" s="0" t="s">
        <v>2082</v>
      </c>
      <c r="E503" s="0" t="s">
        <v>2082</v>
      </c>
      <c r="M503" s="0" t="s">
        <v>136</v>
      </c>
      <c r="N503" s="0" t="s">
        <v>124</v>
      </c>
      <c r="P503" s="0" t="s">
        <v>26</v>
      </c>
      <c r="Q503" s="0" t="s">
        <v>26</v>
      </c>
      <c r="R503" s="0" t="s">
        <v>26</v>
      </c>
      <c r="S503" s="0" t="s">
        <v>21</v>
      </c>
      <c r="T503" s="0" t="s">
        <v>104</v>
      </c>
      <c r="W503" s="0" t="s">
        <v>183</v>
      </c>
    </row>
    <row r="504" customFormat="false" ht="15" hidden="false" customHeight="false" outlineLevel="0" collapsed="false">
      <c r="A504" s="0" t="s">
        <v>21</v>
      </c>
      <c r="B504" s="0" t="s">
        <v>2083</v>
      </c>
      <c r="C504" s="0" t="s">
        <v>97</v>
      </c>
      <c r="M504" s="0" t="s">
        <v>136</v>
      </c>
      <c r="N504" s="0" t="s">
        <v>124</v>
      </c>
      <c r="P504" s="0" t="s">
        <v>130</v>
      </c>
      <c r="Q504" s="0" t="s">
        <v>130</v>
      </c>
      <c r="R504" s="0" t="s">
        <v>131</v>
      </c>
      <c r="S504" s="0" t="s">
        <v>21</v>
      </c>
      <c r="T504" s="0" t="s">
        <v>104</v>
      </c>
      <c r="W504" s="0" t="s">
        <v>105</v>
      </c>
      <c r="AB504" s="0" t="s">
        <v>2084</v>
      </c>
    </row>
    <row r="505" customFormat="false" ht="15" hidden="false" customHeight="false" outlineLevel="0" collapsed="false">
      <c r="A505" s="0" t="s">
        <v>21</v>
      </c>
      <c r="B505" s="0" t="s">
        <v>2085</v>
      </c>
      <c r="C505" s="0" t="s">
        <v>97</v>
      </c>
      <c r="M505" s="0" t="s">
        <v>136</v>
      </c>
      <c r="N505" s="0" t="s">
        <v>124</v>
      </c>
      <c r="P505" s="0" t="s">
        <v>130</v>
      </c>
      <c r="Q505" s="0" t="s">
        <v>130</v>
      </c>
      <c r="R505" s="0" t="s">
        <v>804</v>
      </c>
      <c r="S505" s="0" t="s">
        <v>21</v>
      </c>
      <c r="T505" s="0" t="s">
        <v>104</v>
      </c>
      <c r="W505" s="0" t="s">
        <v>105</v>
      </c>
      <c r="AB505" s="0" t="s">
        <v>2084</v>
      </c>
    </row>
    <row r="506" customFormat="false" ht="15" hidden="false" customHeight="false" outlineLevel="0" collapsed="false">
      <c r="A506" s="0" t="s">
        <v>21</v>
      </c>
      <c r="B506" s="0" t="s">
        <v>2086</v>
      </c>
      <c r="C506" s="0" t="s">
        <v>97</v>
      </c>
      <c r="M506" s="0" t="s">
        <v>136</v>
      </c>
      <c r="N506" s="0" t="s">
        <v>124</v>
      </c>
      <c r="P506" s="0" t="s">
        <v>130</v>
      </c>
      <c r="Q506" s="0" t="s">
        <v>130</v>
      </c>
      <c r="R506" s="0" t="s">
        <v>144</v>
      </c>
      <c r="S506" s="0" t="s">
        <v>21</v>
      </c>
      <c r="T506" s="0" t="s">
        <v>104</v>
      </c>
      <c r="W506" s="0" t="s">
        <v>105</v>
      </c>
      <c r="AB506" s="0" t="s">
        <v>2084</v>
      </c>
    </row>
    <row r="507" customFormat="false" ht="15" hidden="false" customHeight="false" outlineLevel="0" collapsed="false">
      <c r="A507" s="0" t="s">
        <v>21</v>
      </c>
      <c r="B507" s="0" t="s">
        <v>2087</v>
      </c>
      <c r="C507" s="0" t="s">
        <v>97</v>
      </c>
      <c r="M507" s="0" t="s">
        <v>136</v>
      </c>
      <c r="N507" s="0" t="s">
        <v>124</v>
      </c>
      <c r="P507" s="0" t="s">
        <v>130</v>
      </c>
      <c r="Q507" s="0" t="s">
        <v>130</v>
      </c>
      <c r="R507" s="0" t="s">
        <v>113</v>
      </c>
      <c r="S507" s="0" t="s">
        <v>21</v>
      </c>
      <c r="T507" s="0" t="s">
        <v>104</v>
      </c>
      <c r="W507" s="0" t="s">
        <v>105</v>
      </c>
      <c r="AB507" s="0" t="s">
        <v>2084</v>
      </c>
    </row>
    <row r="508" customFormat="false" ht="15" hidden="false" customHeight="false" outlineLevel="0" collapsed="false">
      <c r="A508" s="0" t="s">
        <v>21</v>
      </c>
      <c r="B508" s="0" t="s">
        <v>2088</v>
      </c>
      <c r="C508" s="0" t="s">
        <v>97</v>
      </c>
      <c r="M508" s="0" t="s">
        <v>136</v>
      </c>
      <c r="N508" s="0" t="s">
        <v>124</v>
      </c>
      <c r="P508" s="0" t="s">
        <v>130</v>
      </c>
      <c r="Q508" s="0" t="s">
        <v>130</v>
      </c>
      <c r="R508" s="0" t="s">
        <v>137</v>
      </c>
      <c r="S508" s="0" t="s">
        <v>21</v>
      </c>
      <c r="T508" s="0" t="s">
        <v>104</v>
      </c>
      <c r="W508" s="0" t="s">
        <v>105</v>
      </c>
      <c r="AB508" s="0" t="s">
        <v>2084</v>
      </c>
    </row>
    <row r="509" customFormat="false" ht="15" hidden="false" customHeight="false" outlineLevel="0" collapsed="false">
      <c r="A509" s="0" t="s">
        <v>21</v>
      </c>
      <c r="B509" s="0" t="s">
        <v>2089</v>
      </c>
      <c r="C509" s="0" t="s">
        <v>97</v>
      </c>
      <c r="M509" s="0" t="s">
        <v>136</v>
      </c>
      <c r="N509" s="0" t="s">
        <v>124</v>
      </c>
      <c r="P509" s="0" t="s">
        <v>130</v>
      </c>
      <c r="Q509" s="0" t="s">
        <v>130</v>
      </c>
      <c r="R509" s="0" t="s">
        <v>131</v>
      </c>
      <c r="S509" s="0" t="s">
        <v>21</v>
      </c>
      <c r="T509" s="0" t="s">
        <v>104</v>
      </c>
      <c r="W509" s="0" t="s">
        <v>105</v>
      </c>
      <c r="AB509" s="0" t="s">
        <v>2084</v>
      </c>
    </row>
    <row r="510" customFormat="false" ht="15" hidden="false" customHeight="false" outlineLevel="0" collapsed="false">
      <c r="A510" s="0" t="s">
        <v>21</v>
      </c>
      <c r="B510" s="0" t="s">
        <v>2090</v>
      </c>
      <c r="C510" s="0" t="s">
        <v>97</v>
      </c>
      <c r="D510" s="0" t="s">
        <v>2091</v>
      </c>
      <c r="E510" s="0" t="s">
        <v>2092</v>
      </c>
      <c r="F510" s="0" t="s">
        <v>2093</v>
      </c>
      <c r="H510" s="0" t="s">
        <v>2094</v>
      </c>
      <c r="I510" s="0" t="s">
        <v>334</v>
      </c>
      <c r="J510" s="0" t="s">
        <v>254</v>
      </c>
      <c r="K510" s="0" t="s">
        <v>335</v>
      </c>
      <c r="L510" s="0" t="s">
        <v>124</v>
      </c>
      <c r="M510" s="0" t="s">
        <v>208</v>
      </c>
      <c r="N510" s="0" t="s">
        <v>124</v>
      </c>
      <c r="P510" s="0" t="s">
        <v>102</v>
      </c>
      <c r="Q510" s="0" t="s">
        <v>102</v>
      </c>
      <c r="R510" s="0" t="s">
        <v>131</v>
      </c>
      <c r="S510" s="0" t="s">
        <v>21</v>
      </c>
      <c r="T510" s="0" t="s">
        <v>104</v>
      </c>
      <c r="W510" s="0" t="s">
        <v>105</v>
      </c>
      <c r="X510" s="0" t="s">
        <v>2095</v>
      </c>
      <c r="Y510" s="0" t="s">
        <v>2096</v>
      </c>
      <c r="Z510" s="0" t="s">
        <v>195</v>
      </c>
    </row>
    <row r="511" customFormat="false" ht="15" hidden="false" customHeight="false" outlineLevel="0" collapsed="false">
      <c r="A511" s="0" t="s">
        <v>21</v>
      </c>
      <c r="B511" s="0" t="s">
        <v>2097</v>
      </c>
      <c r="C511" s="0" t="s">
        <v>2098</v>
      </c>
      <c r="E511" s="0" t="s">
        <v>2099</v>
      </c>
      <c r="M511" s="0" t="s">
        <v>178</v>
      </c>
      <c r="N511" s="0" t="s">
        <v>124</v>
      </c>
      <c r="P511" s="0" t="s">
        <v>130</v>
      </c>
      <c r="Q511" s="0" t="s">
        <v>130</v>
      </c>
      <c r="R511" s="0" t="s">
        <v>131</v>
      </c>
      <c r="S511" s="0" t="s">
        <v>21</v>
      </c>
      <c r="T511" s="0" t="s">
        <v>104</v>
      </c>
      <c r="W511" s="0" t="s">
        <v>105</v>
      </c>
    </row>
    <row r="512" customFormat="false" ht="15" hidden="false" customHeight="false" outlineLevel="0" collapsed="false">
      <c r="A512" s="0" t="s">
        <v>21</v>
      </c>
      <c r="B512" s="0" t="s">
        <v>2100</v>
      </c>
      <c r="C512" s="0" t="s">
        <v>2098</v>
      </c>
      <c r="E512" s="0" t="s">
        <v>2101</v>
      </c>
      <c r="H512" s="0" t="s">
        <v>2102</v>
      </c>
      <c r="I512" s="0" t="s">
        <v>2103</v>
      </c>
      <c r="J512" s="0" t="s">
        <v>275</v>
      </c>
      <c r="K512" s="0" t="s">
        <v>2104</v>
      </c>
      <c r="L512" s="0" t="s">
        <v>124</v>
      </c>
      <c r="M512" s="0" t="s">
        <v>178</v>
      </c>
      <c r="N512" s="0" t="s">
        <v>124</v>
      </c>
      <c r="P512" s="0" t="s">
        <v>130</v>
      </c>
      <c r="Q512" s="0" t="s">
        <v>130</v>
      </c>
      <c r="R512" s="0" t="s">
        <v>131</v>
      </c>
      <c r="S512" s="0" t="s">
        <v>21</v>
      </c>
      <c r="T512" s="0" t="s">
        <v>104</v>
      </c>
      <c r="W512" s="0" t="s">
        <v>105</v>
      </c>
      <c r="X512" s="0" t="s">
        <v>2105</v>
      </c>
      <c r="Y512" s="0" t="s">
        <v>2106</v>
      </c>
    </row>
    <row r="513" customFormat="false" ht="15" hidden="false" customHeight="false" outlineLevel="0" collapsed="false">
      <c r="A513" s="0" t="s">
        <v>21</v>
      </c>
      <c r="B513" s="0" t="s">
        <v>2107</v>
      </c>
      <c r="C513" s="0" t="s">
        <v>97</v>
      </c>
      <c r="D513" s="0" t="s">
        <v>2108</v>
      </c>
      <c r="E513" s="0" t="s">
        <v>2109</v>
      </c>
      <c r="H513" s="0" t="s">
        <v>654</v>
      </c>
      <c r="I513" s="0" t="s">
        <v>655</v>
      </c>
      <c r="J513" s="0" t="s">
        <v>100</v>
      </c>
      <c r="K513" s="0" t="s">
        <v>168</v>
      </c>
      <c r="L513" s="0" t="s">
        <v>101</v>
      </c>
      <c r="M513" s="0" t="s">
        <v>656</v>
      </c>
      <c r="N513" s="0" t="s">
        <v>101</v>
      </c>
      <c r="P513" s="0" t="s">
        <v>204</v>
      </c>
      <c r="Q513" s="0" t="s">
        <v>204</v>
      </c>
      <c r="R513" s="0" t="s">
        <v>399</v>
      </c>
      <c r="S513" s="0" t="s">
        <v>21</v>
      </c>
      <c r="T513" s="0" t="s">
        <v>104</v>
      </c>
      <c r="W513" s="0" t="s">
        <v>105</v>
      </c>
      <c r="X513" s="0" t="s">
        <v>658</v>
      </c>
      <c r="Y513" s="0" t="s">
        <v>659</v>
      </c>
    </row>
    <row r="514" customFormat="false" ht="15" hidden="false" customHeight="false" outlineLevel="0" collapsed="false">
      <c r="A514" s="0" t="s">
        <v>21</v>
      </c>
      <c r="B514" s="0" t="s">
        <v>2110</v>
      </c>
      <c r="C514" s="0" t="s">
        <v>97</v>
      </c>
      <c r="D514" s="0" t="s">
        <v>2111</v>
      </c>
      <c r="E514" s="0" t="s">
        <v>2112</v>
      </c>
      <c r="G514" s="0" t="s">
        <v>2113</v>
      </c>
      <c r="H514" s="0" t="s">
        <v>2114</v>
      </c>
      <c r="I514" s="0" t="s">
        <v>2115</v>
      </c>
      <c r="J514" s="0" t="s">
        <v>247</v>
      </c>
      <c r="K514" s="0" t="s">
        <v>2116</v>
      </c>
      <c r="L514" s="0" t="s">
        <v>124</v>
      </c>
      <c r="M514" s="0" t="s">
        <v>247</v>
      </c>
      <c r="N514" s="0" t="s">
        <v>124</v>
      </c>
      <c r="P514" s="0" t="s">
        <v>204</v>
      </c>
      <c r="Q514" s="0" t="s">
        <v>204</v>
      </c>
      <c r="R514" s="0" t="s">
        <v>399</v>
      </c>
      <c r="S514" s="0" t="s">
        <v>21</v>
      </c>
      <c r="T514" s="0" t="s">
        <v>104</v>
      </c>
      <c r="W514" s="0" t="s">
        <v>105</v>
      </c>
      <c r="X514" s="0" t="s">
        <v>2117</v>
      </c>
      <c r="Y514" s="0" t="s">
        <v>2118</v>
      </c>
      <c r="Z514" s="0" t="s">
        <v>134</v>
      </c>
    </row>
    <row r="515" customFormat="false" ht="15" hidden="false" customHeight="false" outlineLevel="0" collapsed="false">
      <c r="A515" s="0" t="s">
        <v>21</v>
      </c>
      <c r="B515" s="0" t="s">
        <v>2119</v>
      </c>
      <c r="C515" s="0" t="s">
        <v>139</v>
      </c>
      <c r="D515" s="0" t="s">
        <v>2120</v>
      </c>
      <c r="E515" s="0" t="s">
        <v>2121</v>
      </c>
      <c r="H515" s="0" t="s">
        <v>2122</v>
      </c>
      <c r="I515" s="0" t="s">
        <v>2123</v>
      </c>
      <c r="J515" s="0" t="s">
        <v>157</v>
      </c>
      <c r="K515" s="0" t="s">
        <v>2124</v>
      </c>
      <c r="L515" s="0" t="s">
        <v>124</v>
      </c>
      <c r="M515" s="0" t="s">
        <v>232</v>
      </c>
      <c r="N515" s="0" t="s">
        <v>124</v>
      </c>
      <c r="P515" s="0" t="s">
        <v>102</v>
      </c>
      <c r="Q515" s="0" t="s">
        <v>102</v>
      </c>
      <c r="R515" s="0" t="s">
        <v>137</v>
      </c>
      <c r="S515" s="0" t="s">
        <v>21</v>
      </c>
      <c r="T515" s="0" t="s">
        <v>104</v>
      </c>
      <c r="W515" s="0" t="s">
        <v>105</v>
      </c>
      <c r="Z515" s="0" t="s">
        <v>159</v>
      </c>
      <c r="AB515" s="0" t="s">
        <v>2125</v>
      </c>
    </row>
    <row r="516" customFormat="false" ht="15" hidden="false" customHeight="false" outlineLevel="0" collapsed="false">
      <c r="A516" s="0" t="s">
        <v>21</v>
      </c>
      <c r="B516" s="0" t="s">
        <v>2126</v>
      </c>
      <c r="C516" s="0" t="s">
        <v>97</v>
      </c>
      <c r="D516" s="0" t="s">
        <v>2127</v>
      </c>
      <c r="E516" s="0" t="s">
        <v>2127</v>
      </c>
      <c r="F516" s="0" t="s">
        <v>2128</v>
      </c>
      <c r="G516" s="0" t="s">
        <v>2129</v>
      </c>
      <c r="H516" s="0" t="s">
        <v>2130</v>
      </c>
      <c r="I516" s="0" t="s">
        <v>2131</v>
      </c>
      <c r="J516" s="0" t="s">
        <v>208</v>
      </c>
      <c r="K516" s="0" t="s">
        <v>331</v>
      </c>
      <c r="L516" s="0" t="s">
        <v>124</v>
      </c>
      <c r="M516" s="0" t="s">
        <v>208</v>
      </c>
      <c r="N516" s="0" t="s">
        <v>124</v>
      </c>
      <c r="P516" s="0" t="s">
        <v>102</v>
      </c>
      <c r="Q516" s="0" t="s">
        <v>102</v>
      </c>
      <c r="R516" s="0" t="s">
        <v>804</v>
      </c>
      <c r="S516" s="0" t="s">
        <v>21</v>
      </c>
      <c r="T516" s="0" t="s">
        <v>104</v>
      </c>
      <c r="W516" s="0" t="s">
        <v>105</v>
      </c>
      <c r="X516" s="0" t="s">
        <v>2132</v>
      </c>
      <c r="Y516" s="0" t="s">
        <v>2133</v>
      </c>
      <c r="Z516" s="0" t="s">
        <v>350</v>
      </c>
      <c r="AB516" s="0" t="s">
        <v>2134</v>
      </c>
    </row>
    <row r="517" customFormat="false" ht="15" hidden="false" customHeight="false" outlineLevel="0" collapsed="false">
      <c r="A517" s="0" t="s">
        <v>21</v>
      </c>
      <c r="B517" s="0" t="s">
        <v>2135</v>
      </c>
      <c r="C517" s="0" t="s">
        <v>97</v>
      </c>
      <c r="D517" s="0" t="s">
        <v>2136</v>
      </c>
      <c r="E517" s="0" t="s">
        <v>2137</v>
      </c>
      <c r="F517" s="0" t="s">
        <v>2138</v>
      </c>
      <c r="G517" s="0" t="s">
        <v>2139</v>
      </c>
      <c r="H517" s="0" t="s">
        <v>2140</v>
      </c>
      <c r="I517" s="0" t="s">
        <v>2141</v>
      </c>
      <c r="J517" s="0" t="s">
        <v>218</v>
      </c>
      <c r="K517" s="0" t="s">
        <v>1293</v>
      </c>
      <c r="L517" s="0" t="s">
        <v>124</v>
      </c>
      <c r="M517" s="0" t="s">
        <v>220</v>
      </c>
      <c r="N517" s="0" t="s">
        <v>124</v>
      </c>
      <c r="P517" s="0" t="s">
        <v>233</v>
      </c>
      <c r="Q517" s="0" t="s">
        <v>233</v>
      </c>
      <c r="R517" s="0" t="s">
        <v>233</v>
      </c>
      <c r="S517" s="0" t="s">
        <v>21</v>
      </c>
      <c r="T517" s="0" t="s">
        <v>104</v>
      </c>
      <c r="W517" s="0" t="s">
        <v>183</v>
      </c>
      <c r="X517" s="0" t="s">
        <v>2142</v>
      </c>
      <c r="Y517" s="0" t="s">
        <v>2143</v>
      </c>
      <c r="Z517" s="0" t="s">
        <v>195</v>
      </c>
    </row>
    <row r="518" customFormat="false" ht="15" hidden="false" customHeight="false" outlineLevel="0" collapsed="false">
      <c r="A518" s="0" t="s">
        <v>21</v>
      </c>
      <c r="B518" s="0" t="s">
        <v>2135</v>
      </c>
      <c r="C518" s="0" t="s">
        <v>97</v>
      </c>
      <c r="D518" s="0" t="s">
        <v>2136</v>
      </c>
      <c r="E518" s="0" t="s">
        <v>2137</v>
      </c>
      <c r="F518" s="0" t="s">
        <v>2138</v>
      </c>
      <c r="G518" s="0" t="s">
        <v>2139</v>
      </c>
      <c r="H518" s="0" t="s">
        <v>2140</v>
      </c>
      <c r="I518" s="0" t="s">
        <v>2141</v>
      </c>
      <c r="J518" s="0" t="s">
        <v>218</v>
      </c>
      <c r="K518" s="0" t="s">
        <v>1293</v>
      </c>
      <c r="L518" s="0" t="s">
        <v>124</v>
      </c>
      <c r="M518" s="0" t="s">
        <v>220</v>
      </c>
      <c r="N518" s="0" t="s">
        <v>124</v>
      </c>
      <c r="P518" s="0" t="s">
        <v>102</v>
      </c>
      <c r="Q518" s="0" t="s">
        <v>102</v>
      </c>
      <c r="R518" s="0" t="s">
        <v>234</v>
      </c>
      <c r="S518" s="0" t="s">
        <v>21</v>
      </c>
      <c r="T518" s="0" t="s">
        <v>104</v>
      </c>
      <c r="V518" s="0" t="s">
        <v>235</v>
      </c>
      <c r="W518" s="0" t="s">
        <v>105</v>
      </c>
      <c r="X518" s="0" t="s">
        <v>2142</v>
      </c>
      <c r="Y518" s="0" t="s">
        <v>2143</v>
      </c>
      <c r="Z518" s="0" t="s">
        <v>195</v>
      </c>
    </row>
    <row r="519" customFormat="false" ht="15" hidden="false" customHeight="false" outlineLevel="0" collapsed="false">
      <c r="A519" s="0" t="s">
        <v>21</v>
      </c>
      <c r="B519" s="0" t="s">
        <v>2135</v>
      </c>
      <c r="C519" s="0" t="s">
        <v>97</v>
      </c>
      <c r="D519" s="0" t="s">
        <v>2136</v>
      </c>
      <c r="E519" s="0" t="s">
        <v>2137</v>
      </c>
      <c r="F519" s="0" t="s">
        <v>2138</v>
      </c>
      <c r="G519" s="0" t="s">
        <v>2139</v>
      </c>
      <c r="H519" s="0" t="s">
        <v>2140</v>
      </c>
      <c r="I519" s="0" t="s">
        <v>2141</v>
      </c>
      <c r="J519" s="0" t="s">
        <v>218</v>
      </c>
      <c r="K519" s="0" t="s">
        <v>1293</v>
      </c>
      <c r="L519" s="0" t="s">
        <v>124</v>
      </c>
      <c r="M519" s="0" t="s">
        <v>220</v>
      </c>
      <c r="N519" s="0" t="s">
        <v>124</v>
      </c>
      <c r="P519" s="0" t="s">
        <v>236</v>
      </c>
      <c r="Q519" s="0" t="s">
        <v>236</v>
      </c>
      <c r="R519" s="0" t="s">
        <v>237</v>
      </c>
      <c r="S519" s="0" t="s">
        <v>21</v>
      </c>
      <c r="T519" s="0" t="s">
        <v>104</v>
      </c>
      <c r="U519" s="0" t="s">
        <v>238</v>
      </c>
      <c r="W519" s="0" t="s">
        <v>105</v>
      </c>
      <c r="X519" s="0" t="s">
        <v>2142</v>
      </c>
      <c r="Y519" s="0" t="s">
        <v>2143</v>
      </c>
      <c r="Z519" s="0" t="s">
        <v>195</v>
      </c>
    </row>
    <row r="520" customFormat="false" ht="15" hidden="false" customHeight="false" outlineLevel="0" collapsed="false">
      <c r="A520" s="0" t="s">
        <v>21</v>
      </c>
      <c r="B520" s="0" t="s">
        <v>2144</v>
      </c>
      <c r="C520" s="0" t="s">
        <v>2145</v>
      </c>
      <c r="E520" s="0" t="s">
        <v>2146</v>
      </c>
      <c r="H520" s="0" t="s">
        <v>2147</v>
      </c>
      <c r="I520" s="0" t="s">
        <v>2148</v>
      </c>
      <c r="J520" s="0" t="s">
        <v>232</v>
      </c>
      <c r="K520" s="0" t="s">
        <v>2149</v>
      </c>
      <c r="L520" s="0" t="s">
        <v>124</v>
      </c>
      <c r="M520" s="0" t="s">
        <v>232</v>
      </c>
      <c r="N520" s="0" t="s">
        <v>124</v>
      </c>
      <c r="P520" s="0" t="s">
        <v>204</v>
      </c>
      <c r="Q520" s="0" t="s">
        <v>204</v>
      </c>
      <c r="R520" s="0" t="s">
        <v>399</v>
      </c>
      <c r="S520" s="0" t="s">
        <v>21</v>
      </c>
      <c r="T520" s="0" t="s">
        <v>104</v>
      </c>
      <c r="W520" s="0" t="s">
        <v>105</v>
      </c>
      <c r="X520" s="0" t="s">
        <v>2150</v>
      </c>
      <c r="Y520" s="0" t="s">
        <v>2151</v>
      </c>
      <c r="Z520" s="0" t="s">
        <v>134</v>
      </c>
      <c r="AB520" s="0" t="s">
        <v>2152</v>
      </c>
    </row>
    <row r="521" customFormat="false" ht="15" hidden="false" customHeight="false" outlineLevel="0" collapsed="false">
      <c r="A521" s="0" t="s">
        <v>21</v>
      </c>
      <c r="B521" s="0" t="s">
        <v>2153</v>
      </c>
      <c r="C521" s="0" t="s">
        <v>139</v>
      </c>
      <c r="D521" s="0" t="s">
        <v>2154</v>
      </c>
      <c r="E521" s="0" t="s">
        <v>2155</v>
      </c>
      <c r="H521" s="0" t="s">
        <v>2156</v>
      </c>
      <c r="I521" s="0" t="s">
        <v>2157</v>
      </c>
      <c r="J521" s="0" t="s">
        <v>157</v>
      </c>
      <c r="K521" s="0" t="s">
        <v>956</v>
      </c>
      <c r="M521" s="0" t="s">
        <v>2157</v>
      </c>
      <c r="N521" s="0" t="s">
        <v>124</v>
      </c>
      <c r="P521" s="0" t="s">
        <v>102</v>
      </c>
      <c r="Q521" s="0" t="s">
        <v>102</v>
      </c>
      <c r="R521" s="0" t="s">
        <v>144</v>
      </c>
      <c r="S521" s="0" t="s">
        <v>21</v>
      </c>
      <c r="T521" s="0" t="s">
        <v>104</v>
      </c>
      <c r="W521" s="0" t="s">
        <v>105</v>
      </c>
      <c r="X521" s="0" t="s">
        <v>2158</v>
      </c>
      <c r="Y521" s="0" t="s">
        <v>2159</v>
      </c>
      <c r="Z521" s="0" t="s">
        <v>159</v>
      </c>
      <c r="AB521" s="0" t="s">
        <v>832</v>
      </c>
    </row>
    <row r="522" customFormat="false" ht="15" hidden="false" customHeight="false" outlineLevel="0" collapsed="false">
      <c r="A522" s="0" t="s">
        <v>21</v>
      </c>
      <c r="B522" s="0" t="s">
        <v>2160</v>
      </c>
      <c r="C522" s="0" t="s">
        <v>863</v>
      </c>
      <c r="D522" s="0" t="s">
        <v>2161</v>
      </c>
      <c r="E522" s="0" t="s">
        <v>2162</v>
      </c>
      <c r="G522" s="0" t="s">
        <v>1116</v>
      </c>
      <c r="M522" s="0" t="s">
        <v>143</v>
      </c>
      <c r="N522" s="0" t="s">
        <v>124</v>
      </c>
      <c r="P522" s="0" t="s">
        <v>102</v>
      </c>
      <c r="Q522" s="0" t="s">
        <v>102</v>
      </c>
      <c r="R522" s="0" t="s">
        <v>144</v>
      </c>
      <c r="S522" s="0" t="s">
        <v>21</v>
      </c>
      <c r="T522" s="0" t="s">
        <v>104</v>
      </c>
      <c r="W522" s="0" t="s">
        <v>105</v>
      </c>
    </row>
    <row r="523" customFormat="false" ht="15" hidden="false" customHeight="false" outlineLevel="0" collapsed="false">
      <c r="A523" s="0" t="s">
        <v>21</v>
      </c>
      <c r="B523" s="0" t="s">
        <v>2163</v>
      </c>
      <c r="C523" s="0" t="s">
        <v>863</v>
      </c>
      <c r="D523" s="0" t="s">
        <v>2164</v>
      </c>
      <c r="E523" s="0" t="s">
        <v>2165</v>
      </c>
      <c r="G523" s="0" t="s">
        <v>1116</v>
      </c>
      <c r="M523" s="0" t="s">
        <v>232</v>
      </c>
      <c r="N523" s="0" t="s">
        <v>124</v>
      </c>
      <c r="P523" s="0" t="s">
        <v>102</v>
      </c>
      <c r="Q523" s="0" t="s">
        <v>102</v>
      </c>
      <c r="R523" s="0" t="s">
        <v>144</v>
      </c>
      <c r="S523" s="0" t="s">
        <v>21</v>
      </c>
      <c r="T523" s="0" t="s">
        <v>104</v>
      </c>
      <c r="W523" s="0" t="s">
        <v>105</v>
      </c>
    </row>
    <row r="524" customFormat="false" ht="15" hidden="false" customHeight="false" outlineLevel="0" collapsed="false">
      <c r="A524" s="0" t="s">
        <v>21</v>
      </c>
      <c r="B524" s="0" t="s">
        <v>2166</v>
      </c>
      <c r="C524" s="0" t="s">
        <v>863</v>
      </c>
      <c r="D524" s="0" t="s">
        <v>2167</v>
      </c>
      <c r="E524" s="0" t="s">
        <v>2168</v>
      </c>
      <c r="G524" s="0" t="s">
        <v>1116</v>
      </c>
      <c r="M524" s="0" t="s">
        <v>208</v>
      </c>
      <c r="N524" s="0" t="s">
        <v>124</v>
      </c>
      <c r="P524" s="0" t="s">
        <v>102</v>
      </c>
      <c r="Q524" s="0" t="s">
        <v>102</v>
      </c>
      <c r="R524" s="0" t="s">
        <v>144</v>
      </c>
      <c r="S524" s="0" t="s">
        <v>21</v>
      </c>
      <c r="T524" s="0" t="s">
        <v>104</v>
      </c>
      <c r="W524" s="0" t="s">
        <v>105</v>
      </c>
    </row>
    <row r="525" customFormat="false" ht="15" hidden="false" customHeight="false" outlineLevel="0" collapsed="false">
      <c r="A525" s="0" t="s">
        <v>21</v>
      </c>
      <c r="B525" s="0" t="s">
        <v>2169</v>
      </c>
      <c r="C525" s="0" t="s">
        <v>863</v>
      </c>
      <c r="D525" s="0" t="s">
        <v>2170</v>
      </c>
      <c r="E525" s="0" t="s">
        <v>2171</v>
      </c>
      <c r="G525" s="0" t="s">
        <v>1116</v>
      </c>
      <c r="M525" s="0" t="s">
        <v>220</v>
      </c>
      <c r="N525" s="0" t="s">
        <v>124</v>
      </c>
      <c r="P525" s="0" t="s">
        <v>102</v>
      </c>
      <c r="Q525" s="0" t="s">
        <v>102</v>
      </c>
      <c r="R525" s="0" t="s">
        <v>144</v>
      </c>
      <c r="S525" s="0" t="s">
        <v>21</v>
      </c>
      <c r="T525" s="0" t="s">
        <v>104</v>
      </c>
      <c r="W525" s="0" t="s">
        <v>105</v>
      </c>
    </row>
    <row r="526" customFormat="false" ht="15" hidden="false" customHeight="false" outlineLevel="0" collapsed="false">
      <c r="A526" s="0" t="s">
        <v>21</v>
      </c>
      <c r="B526" s="0" t="s">
        <v>2172</v>
      </c>
      <c r="C526" s="0" t="s">
        <v>863</v>
      </c>
      <c r="D526" s="0" t="s">
        <v>2173</v>
      </c>
      <c r="E526" s="0" t="s">
        <v>2174</v>
      </c>
      <c r="G526" s="0" t="s">
        <v>1116</v>
      </c>
      <c r="M526" s="0" t="s">
        <v>178</v>
      </c>
      <c r="N526" s="0" t="s">
        <v>124</v>
      </c>
      <c r="P526" s="0" t="s">
        <v>102</v>
      </c>
      <c r="Q526" s="0" t="s">
        <v>102</v>
      </c>
      <c r="R526" s="0" t="s">
        <v>144</v>
      </c>
      <c r="S526" s="0" t="s">
        <v>21</v>
      </c>
      <c r="T526" s="0" t="s">
        <v>104</v>
      </c>
      <c r="W526" s="0" t="s">
        <v>105</v>
      </c>
    </row>
    <row r="527" customFormat="false" ht="15" hidden="false" customHeight="false" outlineLevel="0" collapsed="false">
      <c r="A527" s="0" t="s">
        <v>21</v>
      </c>
      <c r="B527" s="0" t="s">
        <v>2175</v>
      </c>
      <c r="C527" s="0" t="s">
        <v>863</v>
      </c>
      <c r="D527" s="0" t="s">
        <v>2176</v>
      </c>
      <c r="E527" s="0" t="s">
        <v>2177</v>
      </c>
      <c r="G527" s="0" t="s">
        <v>1116</v>
      </c>
      <c r="M527" s="0" t="s">
        <v>247</v>
      </c>
      <c r="N527" s="0" t="s">
        <v>124</v>
      </c>
      <c r="P527" s="0" t="s">
        <v>102</v>
      </c>
      <c r="Q527" s="0" t="s">
        <v>102</v>
      </c>
      <c r="R527" s="0" t="s">
        <v>144</v>
      </c>
      <c r="S527" s="0" t="s">
        <v>21</v>
      </c>
      <c r="T527" s="0" t="s">
        <v>104</v>
      </c>
      <c r="W527" s="0" t="s">
        <v>105</v>
      </c>
    </row>
    <row r="528" customFormat="false" ht="15" hidden="false" customHeight="false" outlineLevel="0" collapsed="false">
      <c r="A528" s="0" t="s">
        <v>21</v>
      </c>
      <c r="B528" s="0" t="s">
        <v>2178</v>
      </c>
      <c r="C528" s="0" t="s">
        <v>97</v>
      </c>
      <c r="D528" s="0" t="s">
        <v>2179</v>
      </c>
      <c r="E528" s="0" t="s">
        <v>2180</v>
      </c>
      <c r="G528" s="0" t="s">
        <v>2181</v>
      </c>
      <c r="H528" s="0" t="s">
        <v>2182</v>
      </c>
      <c r="I528" s="0" t="s">
        <v>100</v>
      </c>
      <c r="J528" s="0" t="s">
        <v>100</v>
      </c>
      <c r="K528" s="0" t="s">
        <v>1179</v>
      </c>
      <c r="L528" s="0" t="s">
        <v>101</v>
      </c>
      <c r="M528" s="0" t="s">
        <v>2183</v>
      </c>
      <c r="N528" s="0" t="s">
        <v>101</v>
      </c>
      <c r="P528" s="0" t="s">
        <v>102</v>
      </c>
      <c r="Q528" s="0" t="s">
        <v>102</v>
      </c>
      <c r="R528" s="0" t="s">
        <v>113</v>
      </c>
      <c r="S528" s="0" t="s">
        <v>21</v>
      </c>
      <c r="T528" s="0" t="s">
        <v>104</v>
      </c>
      <c r="U528" s="0" t="s">
        <v>368</v>
      </c>
      <c r="W528" s="0" t="s">
        <v>105</v>
      </c>
      <c r="X528" s="0" t="s">
        <v>2184</v>
      </c>
      <c r="Y528" s="0" t="s">
        <v>2185</v>
      </c>
      <c r="Z528" s="0" t="s">
        <v>134</v>
      </c>
      <c r="AA528" s="0" t="s">
        <v>172</v>
      </c>
    </row>
    <row r="529" customFormat="false" ht="15" hidden="false" customHeight="false" outlineLevel="0" collapsed="false">
      <c r="A529" s="0" t="s">
        <v>21</v>
      </c>
      <c r="B529" s="0" t="s">
        <v>2186</v>
      </c>
      <c r="C529" s="0" t="s">
        <v>116</v>
      </c>
      <c r="D529" s="0" t="s">
        <v>2187</v>
      </c>
      <c r="M529" s="0" t="s">
        <v>232</v>
      </c>
      <c r="N529" s="0" t="s">
        <v>124</v>
      </c>
      <c r="P529" s="0" t="s">
        <v>204</v>
      </c>
      <c r="Q529" s="0" t="s">
        <v>204</v>
      </c>
      <c r="R529" s="0" t="s">
        <v>137</v>
      </c>
      <c r="S529" s="0" t="s">
        <v>21</v>
      </c>
      <c r="T529" s="0" t="s">
        <v>104</v>
      </c>
      <c r="W529" s="0" t="s">
        <v>105</v>
      </c>
    </row>
    <row r="530" customFormat="false" ht="15" hidden="false" customHeight="false" outlineLevel="0" collapsed="false">
      <c r="A530" s="0" t="s">
        <v>21</v>
      </c>
      <c r="B530" s="0" t="s">
        <v>2188</v>
      </c>
      <c r="C530" s="0" t="s">
        <v>139</v>
      </c>
      <c r="D530" s="0" t="s">
        <v>2189</v>
      </c>
      <c r="E530" s="0" t="s">
        <v>2189</v>
      </c>
      <c r="M530" s="0" t="s">
        <v>220</v>
      </c>
      <c r="N530" s="0" t="s">
        <v>124</v>
      </c>
      <c r="P530" s="0" t="s">
        <v>102</v>
      </c>
      <c r="Q530" s="0" t="s">
        <v>102</v>
      </c>
      <c r="R530" s="0" t="s">
        <v>144</v>
      </c>
      <c r="S530" s="0" t="s">
        <v>21</v>
      </c>
      <c r="T530" s="0" t="s">
        <v>104</v>
      </c>
      <c r="W530" s="0" t="s">
        <v>105</v>
      </c>
    </row>
    <row r="531" customFormat="false" ht="15" hidden="false" customHeight="false" outlineLevel="0" collapsed="false">
      <c r="A531" s="0" t="s">
        <v>21</v>
      </c>
      <c r="B531" s="0" t="s">
        <v>2190</v>
      </c>
      <c r="C531" s="0" t="s">
        <v>174</v>
      </c>
      <c r="D531" s="0" t="s">
        <v>2191</v>
      </c>
      <c r="F531" s="0" t="s">
        <v>2192</v>
      </c>
      <c r="M531" s="0" t="s">
        <v>143</v>
      </c>
      <c r="N531" s="0" t="s">
        <v>124</v>
      </c>
      <c r="P531" s="0" t="s">
        <v>102</v>
      </c>
      <c r="Q531" s="0" t="s">
        <v>102</v>
      </c>
      <c r="R531" s="0" t="s">
        <v>131</v>
      </c>
      <c r="S531" s="0" t="s">
        <v>21</v>
      </c>
      <c r="T531" s="0" t="s">
        <v>104</v>
      </c>
      <c r="W531" s="0" t="s">
        <v>105</v>
      </c>
      <c r="AB531" s="0" t="s">
        <v>2084</v>
      </c>
    </row>
    <row r="532" customFormat="false" ht="15" hidden="false" customHeight="false" outlineLevel="0" collapsed="false">
      <c r="A532" s="0" t="s">
        <v>21</v>
      </c>
      <c r="B532" s="0" t="s">
        <v>2193</v>
      </c>
      <c r="C532" s="0" t="s">
        <v>174</v>
      </c>
      <c r="D532" s="0" t="s">
        <v>2194</v>
      </c>
      <c r="G532" s="0" t="s">
        <v>2195</v>
      </c>
      <c r="M532" s="0" t="s">
        <v>232</v>
      </c>
      <c r="N532" s="0" t="s">
        <v>124</v>
      </c>
      <c r="P532" s="0" t="s">
        <v>130</v>
      </c>
      <c r="Q532" s="0" t="s">
        <v>130</v>
      </c>
      <c r="R532" s="0" t="s">
        <v>131</v>
      </c>
      <c r="S532" s="0" t="s">
        <v>21</v>
      </c>
      <c r="T532" s="0" t="s">
        <v>104</v>
      </c>
      <c r="W532" s="0" t="s">
        <v>105</v>
      </c>
      <c r="AB532" s="0" t="s">
        <v>2196</v>
      </c>
    </row>
    <row r="533" customFormat="false" ht="15" hidden="false" customHeight="false" outlineLevel="0" collapsed="false">
      <c r="A533" s="0" t="s">
        <v>21</v>
      </c>
      <c r="B533" s="0" t="s">
        <v>2197</v>
      </c>
      <c r="C533" s="0" t="s">
        <v>97</v>
      </c>
      <c r="D533" s="0" t="s">
        <v>2198</v>
      </c>
      <c r="E533" s="0" t="s">
        <v>2199</v>
      </c>
      <c r="H533" s="0" t="s">
        <v>654</v>
      </c>
      <c r="I533" s="0" t="s">
        <v>655</v>
      </c>
      <c r="J533" s="0" t="s">
        <v>100</v>
      </c>
      <c r="K533" s="0" t="s">
        <v>168</v>
      </c>
      <c r="L533" s="0" t="s">
        <v>101</v>
      </c>
      <c r="M533" s="0" t="s">
        <v>656</v>
      </c>
      <c r="N533" s="0" t="s">
        <v>101</v>
      </c>
      <c r="P533" s="0" t="s">
        <v>204</v>
      </c>
      <c r="Q533" s="0" t="s">
        <v>204</v>
      </c>
      <c r="R533" s="0" t="s">
        <v>399</v>
      </c>
      <c r="S533" s="0" t="s">
        <v>21</v>
      </c>
      <c r="T533" s="0" t="s">
        <v>104</v>
      </c>
      <c r="W533" s="0" t="s">
        <v>105</v>
      </c>
      <c r="X533" s="0" t="s">
        <v>658</v>
      </c>
      <c r="Y533" s="0" t="s">
        <v>659</v>
      </c>
    </row>
    <row r="534" customFormat="false" ht="15" hidden="false" customHeight="false" outlineLevel="0" collapsed="false">
      <c r="A534" s="0" t="s">
        <v>21</v>
      </c>
      <c r="B534" s="0" t="s">
        <v>2200</v>
      </c>
      <c r="C534" s="0" t="s">
        <v>97</v>
      </c>
      <c r="D534" s="0" t="s">
        <v>2201</v>
      </c>
      <c r="E534" s="0" t="s">
        <v>2202</v>
      </c>
      <c r="G534" s="0" t="s">
        <v>2203</v>
      </c>
      <c r="H534" s="0" t="s">
        <v>1264</v>
      </c>
      <c r="I534" s="0" t="s">
        <v>1265</v>
      </c>
      <c r="J534" s="0" t="s">
        <v>1265</v>
      </c>
      <c r="K534" s="0" t="s">
        <v>1252</v>
      </c>
      <c r="L534" s="0" t="s">
        <v>101</v>
      </c>
      <c r="M534" s="0" t="s">
        <v>1265</v>
      </c>
      <c r="N534" s="0" t="s">
        <v>101</v>
      </c>
      <c r="P534" s="0" t="s">
        <v>102</v>
      </c>
      <c r="Q534" s="0" t="s">
        <v>102</v>
      </c>
      <c r="R534" s="0" t="s">
        <v>137</v>
      </c>
      <c r="S534" s="0" t="s">
        <v>21</v>
      </c>
      <c r="T534" s="0" t="s">
        <v>104</v>
      </c>
      <c r="W534" s="0" t="s">
        <v>105</v>
      </c>
      <c r="X534" s="0" t="s">
        <v>2204</v>
      </c>
      <c r="Y534" s="0" t="s">
        <v>2205</v>
      </c>
      <c r="AB534" s="0" t="s">
        <v>832</v>
      </c>
    </row>
    <row r="535" customFormat="false" ht="15" hidden="false" customHeight="false" outlineLevel="0" collapsed="false">
      <c r="A535" s="0" t="s">
        <v>21</v>
      </c>
      <c r="B535" s="0" t="s">
        <v>2206</v>
      </c>
      <c r="C535" s="0" t="s">
        <v>931</v>
      </c>
      <c r="D535" s="0" t="s">
        <v>2207</v>
      </c>
      <c r="F535" s="0" t="s">
        <v>2208</v>
      </c>
      <c r="M535" s="0" t="s">
        <v>156</v>
      </c>
      <c r="N535" s="0" t="s">
        <v>124</v>
      </c>
      <c r="P535" s="0" t="s">
        <v>102</v>
      </c>
      <c r="Q535" s="0" t="s">
        <v>102</v>
      </c>
      <c r="R535" s="0" t="s">
        <v>137</v>
      </c>
      <c r="S535" s="0" t="s">
        <v>21</v>
      </c>
      <c r="T535" s="0" t="s">
        <v>104</v>
      </c>
      <c r="W535" s="0" t="s">
        <v>105</v>
      </c>
    </row>
    <row r="536" customFormat="false" ht="15" hidden="false" customHeight="false" outlineLevel="0" collapsed="false">
      <c r="A536" s="0" t="s">
        <v>21</v>
      </c>
      <c r="B536" s="0" t="s">
        <v>2209</v>
      </c>
      <c r="C536" s="0" t="s">
        <v>139</v>
      </c>
      <c r="D536" s="0" t="s">
        <v>2210</v>
      </c>
      <c r="E536" s="0" t="s">
        <v>2210</v>
      </c>
      <c r="H536" s="0" t="s">
        <v>2211</v>
      </c>
      <c r="I536" s="0" t="s">
        <v>262</v>
      </c>
      <c r="J536" s="0" t="s">
        <v>254</v>
      </c>
      <c r="K536" s="0" t="s">
        <v>2212</v>
      </c>
      <c r="M536" s="0" t="s">
        <v>262</v>
      </c>
      <c r="N536" s="0" t="s">
        <v>124</v>
      </c>
      <c r="P536" s="0" t="s">
        <v>204</v>
      </c>
      <c r="Q536" s="0" t="s">
        <v>204</v>
      </c>
      <c r="R536" s="0" t="s">
        <v>137</v>
      </c>
      <c r="S536" s="0" t="s">
        <v>21</v>
      </c>
      <c r="T536" s="0" t="s">
        <v>104</v>
      </c>
      <c r="W536" s="0" t="s">
        <v>105</v>
      </c>
      <c r="Z536" s="0" t="s">
        <v>159</v>
      </c>
    </row>
    <row r="537" customFormat="false" ht="15" hidden="false" customHeight="false" outlineLevel="0" collapsed="false">
      <c r="A537" s="0" t="s">
        <v>21</v>
      </c>
      <c r="B537" s="0" t="s">
        <v>2213</v>
      </c>
      <c r="C537" s="0" t="s">
        <v>97</v>
      </c>
      <c r="D537" s="0" t="s">
        <v>2214</v>
      </c>
      <c r="E537" s="0" t="s">
        <v>2214</v>
      </c>
      <c r="F537" s="0" t="s">
        <v>596</v>
      </c>
      <c r="G537" s="0" t="s">
        <v>2215</v>
      </c>
      <c r="H537" s="0" t="s">
        <v>2216</v>
      </c>
      <c r="I537" s="0" t="s">
        <v>2217</v>
      </c>
      <c r="J537" s="0" t="s">
        <v>157</v>
      </c>
      <c r="K537" s="0" t="s">
        <v>2218</v>
      </c>
      <c r="L537" s="0" t="s">
        <v>124</v>
      </c>
      <c r="M537" s="0" t="s">
        <v>232</v>
      </c>
      <c r="N537" s="0" t="s">
        <v>124</v>
      </c>
      <c r="P537" s="0" t="s">
        <v>204</v>
      </c>
      <c r="Q537" s="0" t="s">
        <v>204</v>
      </c>
      <c r="R537" s="0" t="s">
        <v>131</v>
      </c>
      <c r="S537" s="0" t="s">
        <v>21</v>
      </c>
      <c r="T537" s="0" t="s">
        <v>104</v>
      </c>
      <c r="W537" s="0" t="s">
        <v>105</v>
      </c>
      <c r="X537" s="0" t="s">
        <v>2219</v>
      </c>
      <c r="Y537" s="0" t="s">
        <v>2220</v>
      </c>
      <c r="Z537" s="0" t="s">
        <v>134</v>
      </c>
      <c r="AB537" s="0" t="s">
        <v>2221</v>
      </c>
    </row>
    <row r="538" customFormat="false" ht="15" hidden="false" customHeight="false" outlineLevel="0" collapsed="false">
      <c r="A538" s="0" t="s">
        <v>21</v>
      </c>
      <c r="B538" s="0" t="s">
        <v>2213</v>
      </c>
      <c r="C538" s="0" t="s">
        <v>97</v>
      </c>
      <c r="D538" s="0" t="s">
        <v>2214</v>
      </c>
      <c r="E538" s="0" t="s">
        <v>2214</v>
      </c>
      <c r="F538" s="0" t="s">
        <v>596</v>
      </c>
      <c r="G538" s="0" t="s">
        <v>2215</v>
      </c>
      <c r="H538" s="0" t="s">
        <v>2216</v>
      </c>
      <c r="I538" s="0" t="s">
        <v>2217</v>
      </c>
      <c r="J538" s="0" t="s">
        <v>157</v>
      </c>
      <c r="K538" s="0" t="s">
        <v>2218</v>
      </c>
      <c r="L538" s="0" t="s">
        <v>124</v>
      </c>
      <c r="M538" s="0" t="s">
        <v>232</v>
      </c>
      <c r="N538" s="0" t="s">
        <v>124</v>
      </c>
      <c r="P538" s="0" t="s">
        <v>554</v>
      </c>
      <c r="Q538" s="0" t="s">
        <v>554</v>
      </c>
      <c r="R538" s="0" t="s">
        <v>554</v>
      </c>
      <c r="S538" s="0" t="s">
        <v>21</v>
      </c>
      <c r="T538" s="0" t="s">
        <v>104</v>
      </c>
      <c r="W538" s="0" t="s">
        <v>183</v>
      </c>
      <c r="X538" s="0" t="s">
        <v>2219</v>
      </c>
      <c r="Y538" s="0" t="s">
        <v>2220</v>
      </c>
      <c r="Z538" s="0" t="s">
        <v>134</v>
      </c>
      <c r="AB538" s="0" t="s">
        <v>2221</v>
      </c>
    </row>
    <row r="539" customFormat="false" ht="15" hidden="false" customHeight="false" outlineLevel="0" collapsed="false">
      <c r="A539" s="0" t="s">
        <v>21</v>
      </c>
      <c r="B539" s="0" t="s">
        <v>2222</v>
      </c>
      <c r="C539" s="0" t="s">
        <v>97</v>
      </c>
      <c r="D539" s="0" t="s">
        <v>2223</v>
      </c>
      <c r="E539" s="0" t="s">
        <v>2223</v>
      </c>
      <c r="G539" s="0" t="s">
        <v>2224</v>
      </c>
      <c r="H539" s="0" t="s">
        <v>2216</v>
      </c>
      <c r="I539" s="0" t="s">
        <v>2225</v>
      </c>
      <c r="J539" s="0" t="s">
        <v>157</v>
      </c>
      <c r="K539" s="0" t="s">
        <v>2218</v>
      </c>
      <c r="L539" s="0" t="s">
        <v>124</v>
      </c>
      <c r="M539" s="0" t="s">
        <v>232</v>
      </c>
      <c r="N539" s="0" t="s">
        <v>124</v>
      </c>
      <c r="P539" s="0" t="s">
        <v>102</v>
      </c>
      <c r="Q539" s="0" t="s">
        <v>102</v>
      </c>
      <c r="R539" s="0" t="s">
        <v>137</v>
      </c>
      <c r="S539" s="0" t="s">
        <v>21</v>
      </c>
      <c r="T539" s="0" t="s">
        <v>104</v>
      </c>
      <c r="W539" s="0" t="s">
        <v>105</v>
      </c>
      <c r="X539" s="0" t="s">
        <v>2219</v>
      </c>
      <c r="Y539" s="0" t="s">
        <v>2220</v>
      </c>
      <c r="Z539" s="0" t="s">
        <v>134</v>
      </c>
    </row>
    <row r="540" customFormat="false" ht="15" hidden="false" customHeight="false" outlineLevel="0" collapsed="false">
      <c r="A540" s="0" t="s">
        <v>21</v>
      </c>
      <c r="B540" s="0" t="s">
        <v>2226</v>
      </c>
      <c r="C540" s="0" t="s">
        <v>863</v>
      </c>
      <c r="D540" s="0" t="s">
        <v>2227</v>
      </c>
      <c r="E540" s="0" t="s">
        <v>2228</v>
      </c>
      <c r="G540" s="0" t="s">
        <v>1116</v>
      </c>
      <c r="M540" s="0" t="s">
        <v>143</v>
      </c>
      <c r="N540" s="0" t="s">
        <v>124</v>
      </c>
      <c r="P540" s="0" t="s">
        <v>102</v>
      </c>
      <c r="Q540" s="0" t="s">
        <v>102</v>
      </c>
      <c r="R540" s="0" t="s">
        <v>144</v>
      </c>
      <c r="S540" s="0" t="s">
        <v>21</v>
      </c>
      <c r="T540" s="0" t="s">
        <v>104</v>
      </c>
      <c r="W540" s="0" t="s">
        <v>105</v>
      </c>
      <c r="AB540" s="0" t="s">
        <v>235</v>
      </c>
    </row>
    <row r="541" customFormat="false" ht="15" hidden="false" customHeight="false" outlineLevel="0" collapsed="false">
      <c r="A541" s="0" t="s">
        <v>21</v>
      </c>
      <c r="B541" s="0" t="s">
        <v>2229</v>
      </c>
      <c r="C541" s="0" t="s">
        <v>863</v>
      </c>
      <c r="D541" s="0" t="s">
        <v>2227</v>
      </c>
      <c r="E541" s="0" t="s">
        <v>2230</v>
      </c>
      <c r="G541" s="0" t="s">
        <v>1116</v>
      </c>
      <c r="M541" s="0" t="s">
        <v>232</v>
      </c>
      <c r="N541" s="0" t="s">
        <v>124</v>
      </c>
      <c r="P541" s="0" t="s">
        <v>102</v>
      </c>
      <c r="Q541" s="0" t="s">
        <v>102</v>
      </c>
      <c r="R541" s="0" t="s">
        <v>144</v>
      </c>
      <c r="S541" s="0" t="s">
        <v>21</v>
      </c>
      <c r="T541" s="0" t="s">
        <v>104</v>
      </c>
      <c r="W541" s="0" t="s">
        <v>105</v>
      </c>
    </row>
    <row r="542" customFormat="false" ht="15" hidden="false" customHeight="false" outlineLevel="0" collapsed="false">
      <c r="A542" s="0" t="s">
        <v>21</v>
      </c>
      <c r="B542" s="0" t="s">
        <v>2231</v>
      </c>
      <c r="C542" s="0" t="s">
        <v>863</v>
      </c>
      <c r="D542" s="0" t="s">
        <v>2227</v>
      </c>
      <c r="E542" s="0" t="s">
        <v>2232</v>
      </c>
      <c r="G542" s="0" t="s">
        <v>1116</v>
      </c>
      <c r="M542" s="0" t="s">
        <v>881</v>
      </c>
      <c r="N542" s="0" t="s">
        <v>124</v>
      </c>
      <c r="P542" s="0" t="s">
        <v>102</v>
      </c>
      <c r="Q542" s="0" t="s">
        <v>102</v>
      </c>
      <c r="R542" s="0" t="s">
        <v>144</v>
      </c>
      <c r="S542" s="0" t="s">
        <v>21</v>
      </c>
      <c r="T542" s="0" t="s">
        <v>104</v>
      </c>
      <c r="W542" s="0" t="s">
        <v>105</v>
      </c>
    </row>
    <row r="543" customFormat="false" ht="15" hidden="false" customHeight="false" outlineLevel="0" collapsed="false">
      <c r="A543" s="0" t="s">
        <v>21</v>
      </c>
      <c r="B543" s="0" t="s">
        <v>2233</v>
      </c>
      <c r="C543" s="0" t="s">
        <v>863</v>
      </c>
      <c r="D543" s="0" t="s">
        <v>2227</v>
      </c>
      <c r="E543" s="0" t="s">
        <v>2234</v>
      </c>
      <c r="G543" s="0" t="s">
        <v>1116</v>
      </c>
      <c r="M543" s="0" t="s">
        <v>208</v>
      </c>
      <c r="N543" s="0" t="s">
        <v>124</v>
      </c>
      <c r="P543" s="0" t="s">
        <v>102</v>
      </c>
      <c r="Q543" s="0" t="s">
        <v>102</v>
      </c>
      <c r="R543" s="0" t="s">
        <v>144</v>
      </c>
      <c r="S543" s="0" t="s">
        <v>21</v>
      </c>
      <c r="T543" s="0" t="s">
        <v>104</v>
      </c>
      <c r="W543" s="0" t="s">
        <v>105</v>
      </c>
    </row>
    <row r="544" customFormat="false" ht="15" hidden="false" customHeight="false" outlineLevel="0" collapsed="false">
      <c r="A544" s="0" t="s">
        <v>21</v>
      </c>
      <c r="B544" s="0" t="s">
        <v>2235</v>
      </c>
      <c r="C544" s="0" t="s">
        <v>863</v>
      </c>
      <c r="D544" s="0" t="s">
        <v>2227</v>
      </c>
      <c r="E544" s="0" t="s">
        <v>2236</v>
      </c>
      <c r="G544" s="0" t="s">
        <v>1116</v>
      </c>
      <c r="M544" s="0" t="s">
        <v>220</v>
      </c>
      <c r="N544" s="0" t="s">
        <v>124</v>
      </c>
      <c r="P544" s="0" t="s">
        <v>102</v>
      </c>
      <c r="Q544" s="0" t="s">
        <v>102</v>
      </c>
      <c r="R544" s="0" t="s">
        <v>144</v>
      </c>
      <c r="S544" s="0" t="s">
        <v>21</v>
      </c>
      <c r="T544" s="0" t="s">
        <v>104</v>
      </c>
      <c r="W544" s="0" t="s">
        <v>105</v>
      </c>
    </row>
    <row r="545" customFormat="false" ht="15" hidden="false" customHeight="false" outlineLevel="0" collapsed="false">
      <c r="A545" s="0" t="s">
        <v>21</v>
      </c>
      <c r="B545" s="0" t="s">
        <v>2237</v>
      </c>
      <c r="C545" s="0" t="s">
        <v>863</v>
      </c>
      <c r="D545" s="0" t="s">
        <v>2227</v>
      </c>
      <c r="E545" s="0" t="s">
        <v>2238</v>
      </c>
      <c r="G545" s="0" t="s">
        <v>1116</v>
      </c>
      <c r="M545" s="0" t="s">
        <v>121</v>
      </c>
      <c r="N545" s="0" t="s">
        <v>124</v>
      </c>
      <c r="P545" s="0" t="s">
        <v>102</v>
      </c>
      <c r="Q545" s="0" t="s">
        <v>102</v>
      </c>
      <c r="R545" s="0" t="s">
        <v>144</v>
      </c>
      <c r="S545" s="0" t="s">
        <v>21</v>
      </c>
      <c r="T545" s="0" t="s">
        <v>104</v>
      </c>
      <c r="W545" s="0" t="s">
        <v>105</v>
      </c>
      <c r="AB545" s="0" t="s">
        <v>235</v>
      </c>
    </row>
    <row r="546" customFormat="false" ht="15" hidden="false" customHeight="false" outlineLevel="0" collapsed="false">
      <c r="A546" s="0" t="s">
        <v>21</v>
      </c>
      <c r="B546" s="0" t="s">
        <v>2239</v>
      </c>
      <c r="C546" s="0" t="s">
        <v>863</v>
      </c>
      <c r="D546" s="0" t="s">
        <v>2227</v>
      </c>
      <c r="E546" s="0" t="s">
        <v>2240</v>
      </c>
      <c r="G546" s="0" t="s">
        <v>1116</v>
      </c>
      <c r="M546" s="0" t="s">
        <v>178</v>
      </c>
      <c r="N546" s="0" t="s">
        <v>124</v>
      </c>
      <c r="P546" s="0" t="s">
        <v>102</v>
      </c>
      <c r="Q546" s="0" t="s">
        <v>102</v>
      </c>
      <c r="R546" s="0" t="s">
        <v>144</v>
      </c>
      <c r="S546" s="0" t="s">
        <v>21</v>
      </c>
      <c r="T546" s="0" t="s">
        <v>104</v>
      </c>
      <c r="W546" s="0" t="s">
        <v>105</v>
      </c>
    </row>
    <row r="547" customFormat="false" ht="15" hidden="false" customHeight="false" outlineLevel="0" collapsed="false">
      <c r="A547" s="0" t="s">
        <v>21</v>
      </c>
      <c r="B547" s="0" t="s">
        <v>2241</v>
      </c>
      <c r="C547" s="0" t="s">
        <v>97</v>
      </c>
      <c r="D547" s="0" t="s">
        <v>2227</v>
      </c>
      <c r="E547" s="0" t="s">
        <v>2242</v>
      </c>
      <c r="G547" s="0" t="s">
        <v>1116</v>
      </c>
      <c r="M547" s="0" t="s">
        <v>247</v>
      </c>
      <c r="N547" s="0" t="s">
        <v>124</v>
      </c>
      <c r="P547" s="0" t="s">
        <v>102</v>
      </c>
      <c r="Q547" s="0" t="s">
        <v>102</v>
      </c>
      <c r="R547" s="0" t="s">
        <v>144</v>
      </c>
      <c r="S547" s="0" t="s">
        <v>21</v>
      </c>
      <c r="T547" s="0" t="s">
        <v>104</v>
      </c>
      <c r="W547" s="0" t="s">
        <v>105</v>
      </c>
      <c r="AB547" s="0" t="s">
        <v>235</v>
      </c>
    </row>
    <row r="548" customFormat="false" ht="15" hidden="false" customHeight="false" outlineLevel="0" collapsed="false">
      <c r="A548" s="0" t="s">
        <v>21</v>
      </c>
      <c r="B548" s="0" t="s">
        <v>2243</v>
      </c>
      <c r="C548" s="0" t="s">
        <v>174</v>
      </c>
      <c r="D548" s="0" t="s">
        <v>2244</v>
      </c>
      <c r="E548" s="0" t="s">
        <v>2245</v>
      </c>
      <c r="M548" s="0" t="s">
        <v>2246</v>
      </c>
      <c r="N548" s="0" t="s">
        <v>124</v>
      </c>
      <c r="P548" s="0" t="s">
        <v>102</v>
      </c>
      <c r="Q548" s="0" t="s">
        <v>102</v>
      </c>
      <c r="R548" s="0" t="s">
        <v>131</v>
      </c>
      <c r="S548" s="0" t="s">
        <v>21</v>
      </c>
      <c r="T548" s="0" t="s">
        <v>104</v>
      </c>
      <c r="U548" s="0" t="s">
        <v>2247</v>
      </c>
      <c r="W548" s="0" t="s">
        <v>105</v>
      </c>
      <c r="AB548" s="0" t="s">
        <v>2248</v>
      </c>
    </row>
    <row r="549" customFormat="false" ht="15" hidden="false" customHeight="false" outlineLevel="0" collapsed="false">
      <c r="A549" s="0" t="s">
        <v>21</v>
      </c>
      <c r="B549" s="0" t="s">
        <v>2249</v>
      </c>
      <c r="C549" s="0" t="s">
        <v>863</v>
      </c>
      <c r="D549" s="0" t="s">
        <v>2250</v>
      </c>
      <c r="E549" s="0" t="s">
        <v>2251</v>
      </c>
      <c r="M549" s="0" t="s">
        <v>143</v>
      </c>
      <c r="N549" s="0" t="s">
        <v>124</v>
      </c>
      <c r="P549" s="0" t="s">
        <v>233</v>
      </c>
      <c r="Q549" s="0" t="s">
        <v>233</v>
      </c>
      <c r="R549" s="0" t="s">
        <v>233</v>
      </c>
      <c r="S549" s="0" t="s">
        <v>21</v>
      </c>
      <c r="T549" s="0" t="s">
        <v>104</v>
      </c>
      <c r="W549" s="0" t="s">
        <v>183</v>
      </c>
    </row>
    <row r="550" customFormat="false" ht="15" hidden="false" customHeight="false" outlineLevel="0" collapsed="false">
      <c r="A550" s="0" t="s">
        <v>21</v>
      </c>
      <c r="B550" s="0" t="s">
        <v>2249</v>
      </c>
      <c r="C550" s="0" t="s">
        <v>863</v>
      </c>
      <c r="D550" s="0" t="s">
        <v>2250</v>
      </c>
      <c r="E550" s="0" t="s">
        <v>2251</v>
      </c>
      <c r="M550" s="0" t="s">
        <v>143</v>
      </c>
      <c r="N550" s="0" t="s">
        <v>124</v>
      </c>
      <c r="P550" s="0" t="s">
        <v>102</v>
      </c>
      <c r="Q550" s="0" t="s">
        <v>102</v>
      </c>
      <c r="R550" s="0" t="s">
        <v>234</v>
      </c>
      <c r="S550" s="0" t="s">
        <v>21</v>
      </c>
      <c r="T550" s="0" t="s">
        <v>104</v>
      </c>
      <c r="V550" s="0" t="s">
        <v>235</v>
      </c>
      <c r="W550" s="0" t="s">
        <v>105</v>
      </c>
    </row>
    <row r="551" customFormat="false" ht="15" hidden="false" customHeight="false" outlineLevel="0" collapsed="false">
      <c r="A551" s="0" t="s">
        <v>21</v>
      </c>
      <c r="B551" s="0" t="s">
        <v>2249</v>
      </c>
      <c r="C551" s="0" t="s">
        <v>863</v>
      </c>
      <c r="D551" s="0" t="s">
        <v>2250</v>
      </c>
      <c r="E551" s="0" t="s">
        <v>2251</v>
      </c>
      <c r="M551" s="0" t="s">
        <v>143</v>
      </c>
      <c r="N551" s="0" t="s">
        <v>124</v>
      </c>
      <c r="P551" s="0" t="s">
        <v>236</v>
      </c>
      <c r="Q551" s="0" t="s">
        <v>236</v>
      </c>
      <c r="R551" s="0" t="s">
        <v>237</v>
      </c>
      <c r="S551" s="0" t="s">
        <v>21</v>
      </c>
      <c r="T551" s="0" t="s">
        <v>104</v>
      </c>
      <c r="U551" s="0" t="s">
        <v>238</v>
      </c>
      <c r="W551" s="0" t="s">
        <v>105</v>
      </c>
    </row>
    <row r="552" customFormat="false" ht="15" hidden="false" customHeight="false" outlineLevel="0" collapsed="false">
      <c r="A552" s="0" t="s">
        <v>21</v>
      </c>
      <c r="B552" s="0" t="s">
        <v>2252</v>
      </c>
      <c r="C552" s="0" t="s">
        <v>863</v>
      </c>
      <c r="D552" s="0" t="s">
        <v>2253</v>
      </c>
      <c r="E552" s="0" t="s">
        <v>2254</v>
      </c>
      <c r="M552" s="0" t="s">
        <v>232</v>
      </c>
      <c r="N552" s="0" t="s">
        <v>124</v>
      </c>
      <c r="P552" s="0" t="s">
        <v>233</v>
      </c>
      <c r="Q552" s="0" t="s">
        <v>233</v>
      </c>
      <c r="R552" s="0" t="s">
        <v>233</v>
      </c>
      <c r="S552" s="0" t="s">
        <v>21</v>
      </c>
      <c r="T552" s="0" t="s">
        <v>104</v>
      </c>
      <c r="W552" s="0" t="s">
        <v>183</v>
      </c>
    </row>
    <row r="553" customFormat="false" ht="15" hidden="false" customHeight="false" outlineLevel="0" collapsed="false">
      <c r="A553" s="0" t="s">
        <v>21</v>
      </c>
      <c r="B553" s="0" t="s">
        <v>2252</v>
      </c>
      <c r="C553" s="0" t="s">
        <v>863</v>
      </c>
      <c r="D553" s="0" t="s">
        <v>2253</v>
      </c>
      <c r="E553" s="0" t="s">
        <v>2254</v>
      </c>
      <c r="M553" s="0" t="s">
        <v>232</v>
      </c>
      <c r="N553" s="0" t="s">
        <v>124</v>
      </c>
      <c r="P553" s="0" t="s">
        <v>102</v>
      </c>
      <c r="Q553" s="0" t="s">
        <v>102</v>
      </c>
      <c r="R553" s="0" t="s">
        <v>234</v>
      </c>
      <c r="S553" s="0" t="s">
        <v>21</v>
      </c>
      <c r="T553" s="0" t="s">
        <v>104</v>
      </c>
      <c r="V553" s="0" t="s">
        <v>235</v>
      </c>
      <c r="W553" s="0" t="s">
        <v>105</v>
      </c>
    </row>
    <row r="554" customFormat="false" ht="15" hidden="false" customHeight="false" outlineLevel="0" collapsed="false">
      <c r="A554" s="0" t="s">
        <v>21</v>
      </c>
      <c r="B554" s="0" t="s">
        <v>2252</v>
      </c>
      <c r="C554" s="0" t="s">
        <v>863</v>
      </c>
      <c r="D554" s="0" t="s">
        <v>2253</v>
      </c>
      <c r="E554" s="0" t="s">
        <v>2254</v>
      </c>
      <c r="M554" s="0" t="s">
        <v>232</v>
      </c>
      <c r="N554" s="0" t="s">
        <v>124</v>
      </c>
      <c r="P554" s="0" t="s">
        <v>236</v>
      </c>
      <c r="Q554" s="0" t="s">
        <v>236</v>
      </c>
      <c r="R554" s="0" t="s">
        <v>237</v>
      </c>
      <c r="S554" s="0" t="s">
        <v>21</v>
      </c>
      <c r="T554" s="0" t="s">
        <v>104</v>
      </c>
      <c r="U554" s="0" t="s">
        <v>238</v>
      </c>
      <c r="W554" s="0" t="s">
        <v>105</v>
      </c>
    </row>
    <row r="555" customFormat="false" ht="15" hidden="false" customHeight="false" outlineLevel="0" collapsed="false">
      <c r="A555" s="0" t="s">
        <v>21</v>
      </c>
      <c r="B555" s="0" t="s">
        <v>2255</v>
      </c>
      <c r="C555" s="0" t="s">
        <v>863</v>
      </c>
      <c r="D555" s="0" t="s">
        <v>2256</v>
      </c>
      <c r="E555" s="0" t="s">
        <v>2257</v>
      </c>
      <c r="M555" s="0" t="s">
        <v>881</v>
      </c>
      <c r="N555" s="0" t="s">
        <v>124</v>
      </c>
      <c r="P555" s="0" t="s">
        <v>233</v>
      </c>
      <c r="Q555" s="0" t="s">
        <v>233</v>
      </c>
      <c r="R555" s="0" t="s">
        <v>233</v>
      </c>
      <c r="S555" s="0" t="s">
        <v>21</v>
      </c>
      <c r="T555" s="0" t="s">
        <v>104</v>
      </c>
      <c r="W555" s="0" t="s">
        <v>183</v>
      </c>
    </row>
    <row r="556" customFormat="false" ht="15" hidden="false" customHeight="false" outlineLevel="0" collapsed="false">
      <c r="A556" s="0" t="s">
        <v>21</v>
      </c>
      <c r="B556" s="0" t="s">
        <v>2255</v>
      </c>
      <c r="C556" s="0" t="s">
        <v>863</v>
      </c>
      <c r="D556" s="0" t="s">
        <v>2256</v>
      </c>
      <c r="E556" s="0" t="s">
        <v>2257</v>
      </c>
      <c r="M556" s="0" t="s">
        <v>881</v>
      </c>
      <c r="N556" s="0" t="s">
        <v>124</v>
      </c>
      <c r="P556" s="0" t="s">
        <v>102</v>
      </c>
      <c r="Q556" s="0" t="s">
        <v>102</v>
      </c>
      <c r="R556" s="0" t="s">
        <v>234</v>
      </c>
      <c r="S556" s="0" t="s">
        <v>21</v>
      </c>
      <c r="T556" s="0" t="s">
        <v>104</v>
      </c>
      <c r="V556" s="0" t="s">
        <v>235</v>
      </c>
      <c r="W556" s="0" t="s">
        <v>105</v>
      </c>
    </row>
    <row r="557" customFormat="false" ht="15" hidden="false" customHeight="false" outlineLevel="0" collapsed="false">
      <c r="A557" s="0" t="s">
        <v>21</v>
      </c>
      <c r="B557" s="0" t="s">
        <v>2255</v>
      </c>
      <c r="C557" s="0" t="s">
        <v>863</v>
      </c>
      <c r="D557" s="0" t="s">
        <v>2256</v>
      </c>
      <c r="E557" s="0" t="s">
        <v>2257</v>
      </c>
      <c r="M557" s="0" t="s">
        <v>881</v>
      </c>
      <c r="N557" s="0" t="s">
        <v>124</v>
      </c>
      <c r="P557" s="0" t="s">
        <v>236</v>
      </c>
      <c r="Q557" s="0" t="s">
        <v>236</v>
      </c>
      <c r="R557" s="0" t="s">
        <v>237</v>
      </c>
      <c r="S557" s="0" t="s">
        <v>21</v>
      </c>
      <c r="T557" s="0" t="s">
        <v>104</v>
      </c>
      <c r="U557" s="0" t="s">
        <v>238</v>
      </c>
      <c r="W557" s="0" t="s">
        <v>105</v>
      </c>
    </row>
    <row r="558" customFormat="false" ht="15" hidden="false" customHeight="false" outlineLevel="0" collapsed="false">
      <c r="A558" s="0" t="s">
        <v>21</v>
      </c>
      <c r="B558" s="0" t="s">
        <v>2258</v>
      </c>
      <c r="C558" s="0" t="s">
        <v>863</v>
      </c>
      <c r="D558" s="0" t="s">
        <v>2259</v>
      </c>
      <c r="E558" s="0" t="s">
        <v>2260</v>
      </c>
      <c r="M558" s="0" t="s">
        <v>208</v>
      </c>
      <c r="N558" s="0" t="s">
        <v>124</v>
      </c>
      <c r="P558" s="0" t="s">
        <v>233</v>
      </c>
      <c r="Q558" s="0" t="s">
        <v>233</v>
      </c>
      <c r="R558" s="0" t="s">
        <v>233</v>
      </c>
      <c r="S558" s="0" t="s">
        <v>21</v>
      </c>
      <c r="T558" s="0" t="s">
        <v>104</v>
      </c>
      <c r="W558" s="0" t="s">
        <v>183</v>
      </c>
    </row>
    <row r="559" customFormat="false" ht="15" hidden="false" customHeight="false" outlineLevel="0" collapsed="false">
      <c r="A559" s="0" t="s">
        <v>21</v>
      </c>
      <c r="B559" s="0" t="s">
        <v>2258</v>
      </c>
      <c r="C559" s="0" t="s">
        <v>863</v>
      </c>
      <c r="D559" s="0" t="s">
        <v>2259</v>
      </c>
      <c r="E559" s="0" t="s">
        <v>2260</v>
      </c>
      <c r="M559" s="0" t="s">
        <v>208</v>
      </c>
      <c r="N559" s="0" t="s">
        <v>124</v>
      </c>
      <c r="P559" s="0" t="s">
        <v>102</v>
      </c>
      <c r="Q559" s="0" t="s">
        <v>102</v>
      </c>
      <c r="R559" s="0" t="s">
        <v>234</v>
      </c>
      <c r="S559" s="0" t="s">
        <v>21</v>
      </c>
      <c r="T559" s="0" t="s">
        <v>104</v>
      </c>
      <c r="V559" s="0" t="s">
        <v>235</v>
      </c>
      <c r="W559" s="0" t="s">
        <v>105</v>
      </c>
    </row>
    <row r="560" customFormat="false" ht="15" hidden="false" customHeight="false" outlineLevel="0" collapsed="false">
      <c r="A560" s="0" t="s">
        <v>21</v>
      </c>
      <c r="B560" s="0" t="s">
        <v>2258</v>
      </c>
      <c r="C560" s="0" t="s">
        <v>863</v>
      </c>
      <c r="D560" s="0" t="s">
        <v>2259</v>
      </c>
      <c r="E560" s="0" t="s">
        <v>2260</v>
      </c>
      <c r="M560" s="0" t="s">
        <v>208</v>
      </c>
      <c r="N560" s="0" t="s">
        <v>124</v>
      </c>
      <c r="P560" s="0" t="s">
        <v>236</v>
      </c>
      <c r="Q560" s="0" t="s">
        <v>236</v>
      </c>
      <c r="R560" s="0" t="s">
        <v>237</v>
      </c>
      <c r="S560" s="0" t="s">
        <v>21</v>
      </c>
      <c r="T560" s="0" t="s">
        <v>104</v>
      </c>
      <c r="U560" s="0" t="s">
        <v>238</v>
      </c>
      <c r="W560" s="0" t="s">
        <v>105</v>
      </c>
    </row>
    <row r="561" customFormat="false" ht="15" hidden="false" customHeight="false" outlineLevel="0" collapsed="false">
      <c r="A561" s="0" t="s">
        <v>21</v>
      </c>
      <c r="B561" s="0" t="s">
        <v>2261</v>
      </c>
      <c r="C561" s="0" t="s">
        <v>863</v>
      </c>
      <c r="D561" s="0" t="s">
        <v>2262</v>
      </c>
      <c r="E561" s="0" t="s">
        <v>2263</v>
      </c>
      <c r="M561" s="0" t="s">
        <v>121</v>
      </c>
      <c r="N561" s="0" t="s">
        <v>124</v>
      </c>
      <c r="P561" s="0" t="s">
        <v>233</v>
      </c>
      <c r="Q561" s="0" t="s">
        <v>233</v>
      </c>
      <c r="R561" s="0" t="s">
        <v>233</v>
      </c>
      <c r="S561" s="0" t="s">
        <v>21</v>
      </c>
      <c r="T561" s="0" t="s">
        <v>104</v>
      </c>
      <c r="W561" s="0" t="s">
        <v>183</v>
      </c>
    </row>
    <row r="562" customFormat="false" ht="15" hidden="false" customHeight="false" outlineLevel="0" collapsed="false">
      <c r="A562" s="0" t="s">
        <v>21</v>
      </c>
      <c r="B562" s="0" t="s">
        <v>2261</v>
      </c>
      <c r="C562" s="0" t="s">
        <v>863</v>
      </c>
      <c r="D562" s="0" t="s">
        <v>2262</v>
      </c>
      <c r="E562" s="0" t="s">
        <v>2263</v>
      </c>
      <c r="M562" s="0" t="s">
        <v>121</v>
      </c>
      <c r="N562" s="0" t="s">
        <v>124</v>
      </c>
      <c r="P562" s="0" t="s">
        <v>102</v>
      </c>
      <c r="Q562" s="0" t="s">
        <v>102</v>
      </c>
      <c r="R562" s="0" t="s">
        <v>234</v>
      </c>
      <c r="S562" s="0" t="s">
        <v>21</v>
      </c>
      <c r="T562" s="0" t="s">
        <v>104</v>
      </c>
      <c r="V562" s="0" t="s">
        <v>235</v>
      </c>
      <c r="W562" s="0" t="s">
        <v>105</v>
      </c>
    </row>
    <row r="563" customFormat="false" ht="15" hidden="false" customHeight="false" outlineLevel="0" collapsed="false">
      <c r="A563" s="0" t="s">
        <v>21</v>
      </c>
      <c r="B563" s="0" t="s">
        <v>2261</v>
      </c>
      <c r="C563" s="0" t="s">
        <v>863</v>
      </c>
      <c r="D563" s="0" t="s">
        <v>2262</v>
      </c>
      <c r="E563" s="0" t="s">
        <v>2263</v>
      </c>
      <c r="M563" s="0" t="s">
        <v>121</v>
      </c>
      <c r="N563" s="0" t="s">
        <v>124</v>
      </c>
      <c r="P563" s="0" t="s">
        <v>236</v>
      </c>
      <c r="Q563" s="0" t="s">
        <v>236</v>
      </c>
      <c r="R563" s="0" t="s">
        <v>237</v>
      </c>
      <c r="S563" s="0" t="s">
        <v>21</v>
      </c>
      <c r="T563" s="0" t="s">
        <v>104</v>
      </c>
      <c r="U563" s="0" t="s">
        <v>238</v>
      </c>
      <c r="W563" s="0" t="s">
        <v>105</v>
      </c>
    </row>
    <row r="564" customFormat="false" ht="15" hidden="false" customHeight="false" outlineLevel="0" collapsed="false">
      <c r="A564" s="0" t="s">
        <v>21</v>
      </c>
      <c r="B564" s="0" t="s">
        <v>2264</v>
      </c>
      <c r="C564" s="0" t="s">
        <v>863</v>
      </c>
      <c r="D564" s="0" t="s">
        <v>2265</v>
      </c>
      <c r="E564" s="0" t="s">
        <v>2266</v>
      </c>
      <c r="M564" s="0" t="s">
        <v>178</v>
      </c>
      <c r="N564" s="0" t="s">
        <v>124</v>
      </c>
      <c r="P564" s="0" t="s">
        <v>233</v>
      </c>
      <c r="Q564" s="0" t="s">
        <v>233</v>
      </c>
      <c r="R564" s="0" t="s">
        <v>233</v>
      </c>
      <c r="S564" s="0" t="s">
        <v>21</v>
      </c>
      <c r="T564" s="0" t="s">
        <v>104</v>
      </c>
      <c r="W564" s="0" t="s">
        <v>183</v>
      </c>
    </row>
    <row r="565" customFormat="false" ht="15" hidden="false" customHeight="false" outlineLevel="0" collapsed="false">
      <c r="A565" s="0" t="s">
        <v>21</v>
      </c>
      <c r="B565" s="0" t="s">
        <v>2264</v>
      </c>
      <c r="C565" s="0" t="s">
        <v>863</v>
      </c>
      <c r="D565" s="0" t="s">
        <v>2265</v>
      </c>
      <c r="E565" s="0" t="s">
        <v>2266</v>
      </c>
      <c r="M565" s="0" t="s">
        <v>178</v>
      </c>
      <c r="N565" s="0" t="s">
        <v>124</v>
      </c>
      <c r="P565" s="0" t="s">
        <v>102</v>
      </c>
      <c r="Q565" s="0" t="s">
        <v>102</v>
      </c>
      <c r="R565" s="0" t="s">
        <v>234</v>
      </c>
      <c r="S565" s="0" t="s">
        <v>21</v>
      </c>
      <c r="T565" s="0" t="s">
        <v>104</v>
      </c>
      <c r="V565" s="0" t="s">
        <v>235</v>
      </c>
      <c r="W565" s="0" t="s">
        <v>105</v>
      </c>
    </row>
    <row r="566" customFormat="false" ht="15" hidden="false" customHeight="false" outlineLevel="0" collapsed="false">
      <c r="A566" s="0" t="s">
        <v>21</v>
      </c>
      <c r="B566" s="0" t="s">
        <v>2264</v>
      </c>
      <c r="C566" s="0" t="s">
        <v>863</v>
      </c>
      <c r="D566" s="0" t="s">
        <v>2265</v>
      </c>
      <c r="E566" s="0" t="s">
        <v>2266</v>
      </c>
      <c r="M566" s="0" t="s">
        <v>178</v>
      </c>
      <c r="N566" s="0" t="s">
        <v>124</v>
      </c>
      <c r="P566" s="0" t="s">
        <v>236</v>
      </c>
      <c r="Q566" s="0" t="s">
        <v>236</v>
      </c>
      <c r="R566" s="0" t="s">
        <v>237</v>
      </c>
      <c r="S566" s="0" t="s">
        <v>21</v>
      </c>
      <c r="T566" s="0" t="s">
        <v>104</v>
      </c>
      <c r="U566" s="0" t="s">
        <v>238</v>
      </c>
      <c r="W566" s="0" t="s">
        <v>105</v>
      </c>
    </row>
    <row r="567" customFormat="false" ht="15" hidden="false" customHeight="false" outlineLevel="0" collapsed="false">
      <c r="A567" s="0" t="s">
        <v>21</v>
      </c>
      <c r="B567" s="0" t="s">
        <v>2267</v>
      </c>
      <c r="C567" s="0" t="s">
        <v>863</v>
      </c>
      <c r="D567" s="0" t="s">
        <v>2268</v>
      </c>
      <c r="E567" s="0" t="s">
        <v>2269</v>
      </c>
      <c r="M567" s="0" t="s">
        <v>247</v>
      </c>
      <c r="N567" s="0" t="s">
        <v>124</v>
      </c>
      <c r="P567" s="0" t="s">
        <v>233</v>
      </c>
      <c r="Q567" s="0" t="s">
        <v>233</v>
      </c>
      <c r="R567" s="0" t="s">
        <v>233</v>
      </c>
      <c r="S567" s="0" t="s">
        <v>21</v>
      </c>
      <c r="T567" s="0" t="s">
        <v>104</v>
      </c>
      <c r="W567" s="0" t="s">
        <v>183</v>
      </c>
    </row>
    <row r="568" customFormat="false" ht="15" hidden="false" customHeight="false" outlineLevel="0" collapsed="false">
      <c r="A568" s="0" t="s">
        <v>21</v>
      </c>
      <c r="B568" s="0" t="s">
        <v>2267</v>
      </c>
      <c r="C568" s="0" t="s">
        <v>863</v>
      </c>
      <c r="D568" s="0" t="s">
        <v>2268</v>
      </c>
      <c r="E568" s="0" t="s">
        <v>2269</v>
      </c>
      <c r="M568" s="0" t="s">
        <v>247</v>
      </c>
      <c r="N568" s="0" t="s">
        <v>124</v>
      </c>
      <c r="P568" s="0" t="s">
        <v>102</v>
      </c>
      <c r="Q568" s="0" t="s">
        <v>102</v>
      </c>
      <c r="R568" s="0" t="s">
        <v>234</v>
      </c>
      <c r="S568" s="0" t="s">
        <v>21</v>
      </c>
      <c r="T568" s="0" t="s">
        <v>104</v>
      </c>
      <c r="V568" s="0" t="s">
        <v>235</v>
      </c>
      <c r="W568" s="0" t="s">
        <v>105</v>
      </c>
    </row>
    <row r="569" customFormat="false" ht="15" hidden="false" customHeight="false" outlineLevel="0" collapsed="false">
      <c r="A569" s="0" t="s">
        <v>21</v>
      </c>
      <c r="B569" s="0" t="s">
        <v>2267</v>
      </c>
      <c r="C569" s="0" t="s">
        <v>863</v>
      </c>
      <c r="D569" s="0" t="s">
        <v>2268</v>
      </c>
      <c r="E569" s="0" t="s">
        <v>2269</v>
      </c>
      <c r="M569" s="0" t="s">
        <v>247</v>
      </c>
      <c r="N569" s="0" t="s">
        <v>124</v>
      </c>
      <c r="P569" s="0" t="s">
        <v>236</v>
      </c>
      <c r="Q569" s="0" t="s">
        <v>236</v>
      </c>
      <c r="R569" s="0" t="s">
        <v>237</v>
      </c>
      <c r="S569" s="0" t="s">
        <v>21</v>
      </c>
      <c r="T569" s="0" t="s">
        <v>104</v>
      </c>
      <c r="U569" s="0" t="s">
        <v>238</v>
      </c>
      <c r="W569" s="0" t="s">
        <v>105</v>
      </c>
    </row>
    <row r="570" customFormat="false" ht="15" hidden="false" customHeight="false" outlineLevel="0" collapsed="false">
      <c r="A570" s="0" t="s">
        <v>21</v>
      </c>
      <c r="B570" s="0" t="s">
        <v>2270</v>
      </c>
      <c r="C570" s="0" t="s">
        <v>174</v>
      </c>
      <c r="D570" s="0" t="s">
        <v>2271</v>
      </c>
      <c r="E570" s="0" t="s">
        <v>2272</v>
      </c>
      <c r="M570" s="0" t="s">
        <v>2273</v>
      </c>
      <c r="N570" s="0" t="s">
        <v>124</v>
      </c>
      <c r="P570" s="0" t="s">
        <v>102</v>
      </c>
      <c r="Q570" s="0" t="s">
        <v>102</v>
      </c>
      <c r="R570" s="0" t="s">
        <v>131</v>
      </c>
      <c r="S570" s="0" t="s">
        <v>21</v>
      </c>
      <c r="T570" s="0" t="s">
        <v>104</v>
      </c>
      <c r="W570" s="0" t="s">
        <v>105</v>
      </c>
      <c r="AA570" s="0" t="s">
        <v>2274</v>
      </c>
      <c r="AB570" s="0" t="s">
        <v>2275</v>
      </c>
    </row>
    <row r="571" customFormat="false" ht="15" hidden="false" customHeight="false" outlineLevel="0" collapsed="false">
      <c r="A571" s="0" t="s">
        <v>21</v>
      </c>
      <c r="B571" s="0" t="s">
        <v>2276</v>
      </c>
      <c r="C571" s="0" t="s">
        <v>97</v>
      </c>
      <c r="D571" s="0" t="s">
        <v>2277</v>
      </c>
      <c r="E571" s="0" t="s">
        <v>2278</v>
      </c>
      <c r="H571" s="0" t="s">
        <v>2279</v>
      </c>
      <c r="I571" s="0" t="s">
        <v>2280</v>
      </c>
      <c r="J571" s="0" t="s">
        <v>2281</v>
      </c>
      <c r="K571" s="0" t="s">
        <v>2282</v>
      </c>
      <c r="L571" s="0" t="s">
        <v>124</v>
      </c>
      <c r="M571" s="0" t="s">
        <v>881</v>
      </c>
      <c r="N571" s="0" t="s">
        <v>124</v>
      </c>
      <c r="P571" s="0" t="s">
        <v>346</v>
      </c>
      <c r="Q571" s="0" t="s">
        <v>346</v>
      </c>
      <c r="R571" s="0" t="s">
        <v>2283</v>
      </c>
      <c r="S571" s="0" t="s">
        <v>21</v>
      </c>
      <c r="T571" s="0" t="s">
        <v>104</v>
      </c>
      <c r="W571" s="0" t="s">
        <v>105</v>
      </c>
      <c r="X571" s="0" t="s">
        <v>2284</v>
      </c>
      <c r="Y571" s="0" t="s">
        <v>2285</v>
      </c>
      <c r="Z571" s="0" t="s">
        <v>134</v>
      </c>
      <c r="AB571" s="0" t="s">
        <v>820</v>
      </c>
    </row>
    <row r="572" customFormat="false" ht="15" hidden="false" customHeight="false" outlineLevel="0" collapsed="false">
      <c r="A572" s="0" t="s">
        <v>21</v>
      </c>
      <c r="B572" s="0" t="s">
        <v>2286</v>
      </c>
      <c r="C572" s="0" t="s">
        <v>863</v>
      </c>
      <c r="D572" s="0" t="s">
        <v>2287</v>
      </c>
      <c r="E572" s="0" t="s">
        <v>2288</v>
      </c>
      <c r="M572" s="0" t="s">
        <v>247</v>
      </c>
      <c r="N572" s="0" t="s">
        <v>124</v>
      </c>
      <c r="P572" s="0" t="s">
        <v>221</v>
      </c>
      <c r="Q572" s="0" t="s">
        <v>221</v>
      </c>
      <c r="R572" s="0" t="s">
        <v>221</v>
      </c>
      <c r="S572" s="0" t="s">
        <v>21</v>
      </c>
      <c r="T572" s="0" t="s">
        <v>104</v>
      </c>
      <c r="W572" s="0" t="s">
        <v>183</v>
      </c>
    </row>
    <row r="573" customFormat="false" ht="15" hidden="false" customHeight="false" outlineLevel="0" collapsed="false">
      <c r="A573" s="0" t="s">
        <v>21</v>
      </c>
      <c r="B573" s="0" t="s">
        <v>2286</v>
      </c>
      <c r="C573" s="0" t="s">
        <v>863</v>
      </c>
      <c r="D573" s="0" t="s">
        <v>2287</v>
      </c>
      <c r="E573" s="0" t="s">
        <v>2288</v>
      </c>
      <c r="M573" s="0" t="s">
        <v>247</v>
      </c>
      <c r="N573" s="0" t="s">
        <v>124</v>
      </c>
      <c r="P573" s="0" t="s">
        <v>102</v>
      </c>
      <c r="Q573" s="0" t="s">
        <v>102</v>
      </c>
      <c r="R573" s="0" t="s">
        <v>224</v>
      </c>
      <c r="S573" s="0" t="s">
        <v>21</v>
      </c>
      <c r="T573" s="0" t="s">
        <v>104</v>
      </c>
      <c r="V573" s="0" t="s">
        <v>225</v>
      </c>
      <c r="W573" s="0" t="s">
        <v>105</v>
      </c>
    </row>
    <row r="574" customFormat="false" ht="15" hidden="false" customHeight="false" outlineLevel="0" collapsed="false">
      <c r="A574" s="0" t="s">
        <v>21</v>
      </c>
      <c r="B574" s="0" t="s">
        <v>2286</v>
      </c>
      <c r="C574" s="0" t="s">
        <v>863</v>
      </c>
      <c r="D574" s="0" t="s">
        <v>2287</v>
      </c>
      <c r="E574" s="0" t="s">
        <v>2288</v>
      </c>
      <c r="M574" s="0" t="s">
        <v>247</v>
      </c>
      <c r="N574" s="0" t="s">
        <v>124</v>
      </c>
      <c r="P574" s="0" t="s">
        <v>130</v>
      </c>
      <c r="Q574" s="0" t="s">
        <v>130</v>
      </c>
      <c r="R574" s="0" t="s">
        <v>226</v>
      </c>
      <c r="S574" s="0" t="s">
        <v>21</v>
      </c>
      <c r="T574" s="0" t="s">
        <v>104</v>
      </c>
      <c r="U574" s="0" t="s">
        <v>227</v>
      </c>
      <c r="W574" s="0" t="s">
        <v>105</v>
      </c>
    </row>
    <row r="575" customFormat="false" ht="15" hidden="false" customHeight="false" outlineLevel="0" collapsed="false">
      <c r="A575" s="0" t="s">
        <v>21</v>
      </c>
      <c r="B575" s="0" t="s">
        <v>2289</v>
      </c>
      <c r="C575" s="0" t="s">
        <v>661</v>
      </c>
      <c r="D575" s="0" t="s">
        <v>2290</v>
      </c>
      <c r="E575" s="0" t="s">
        <v>2291</v>
      </c>
      <c r="G575" s="0" t="s">
        <v>2292</v>
      </c>
      <c r="M575" s="0" t="s">
        <v>442</v>
      </c>
      <c r="N575" s="0" t="s">
        <v>101</v>
      </c>
      <c r="P575" s="0" t="s">
        <v>204</v>
      </c>
      <c r="Q575" s="0" t="s">
        <v>204</v>
      </c>
      <c r="R575" s="0" t="s">
        <v>399</v>
      </c>
      <c r="S575" s="0" t="s">
        <v>21</v>
      </c>
      <c r="T575" s="0" t="s">
        <v>104</v>
      </c>
      <c r="W575" s="0" t="s">
        <v>105</v>
      </c>
      <c r="Z575" s="0" t="s">
        <v>134</v>
      </c>
    </row>
    <row r="576" customFormat="false" ht="15" hidden="false" customHeight="false" outlineLevel="0" collapsed="false">
      <c r="A576" s="0" t="s">
        <v>21</v>
      </c>
      <c r="B576" s="0" t="s">
        <v>2293</v>
      </c>
      <c r="C576" s="0" t="s">
        <v>97</v>
      </c>
      <c r="D576" s="0" t="s">
        <v>2294</v>
      </c>
      <c r="E576" s="0" t="s">
        <v>2295</v>
      </c>
      <c r="M576" s="0" t="s">
        <v>100</v>
      </c>
      <c r="N576" s="0" t="s">
        <v>101</v>
      </c>
      <c r="P576" s="0" t="s">
        <v>102</v>
      </c>
      <c r="Q576" s="0" t="s">
        <v>102</v>
      </c>
      <c r="R576" s="0" t="s">
        <v>113</v>
      </c>
      <c r="S576" s="0" t="s">
        <v>21</v>
      </c>
      <c r="T576" s="0" t="s">
        <v>104</v>
      </c>
      <c r="U576" s="0" t="s">
        <v>368</v>
      </c>
      <c r="W576" s="0" t="s">
        <v>105</v>
      </c>
    </row>
    <row r="577" customFormat="false" ht="15" hidden="false" customHeight="false" outlineLevel="0" collapsed="false">
      <c r="A577" s="0" t="s">
        <v>21</v>
      </c>
      <c r="B577" s="0" t="s">
        <v>2296</v>
      </c>
      <c r="C577" s="0" t="s">
        <v>97</v>
      </c>
      <c r="D577" s="0" t="s">
        <v>2297</v>
      </c>
      <c r="E577" s="0" t="s">
        <v>2298</v>
      </c>
      <c r="H577" s="0" t="s">
        <v>157</v>
      </c>
      <c r="I577" s="0" t="s">
        <v>157</v>
      </c>
      <c r="J577" s="0" t="s">
        <v>157</v>
      </c>
      <c r="M577" s="0" t="s">
        <v>156</v>
      </c>
      <c r="N577" s="0" t="s">
        <v>124</v>
      </c>
      <c r="P577" s="0" t="s">
        <v>221</v>
      </c>
      <c r="Q577" s="0" t="s">
        <v>221</v>
      </c>
      <c r="R577" s="0" t="s">
        <v>221</v>
      </c>
      <c r="S577" s="0" t="s">
        <v>21</v>
      </c>
      <c r="T577" s="0" t="s">
        <v>104</v>
      </c>
      <c r="W577" s="0" t="s">
        <v>183</v>
      </c>
      <c r="X577" s="0" t="s">
        <v>2299</v>
      </c>
      <c r="Y577" s="0" t="s">
        <v>2300</v>
      </c>
      <c r="Z577" s="0" t="s">
        <v>134</v>
      </c>
    </row>
    <row r="578" customFormat="false" ht="15" hidden="false" customHeight="false" outlineLevel="0" collapsed="false">
      <c r="A578" s="0" t="s">
        <v>21</v>
      </c>
      <c r="B578" s="0" t="s">
        <v>2296</v>
      </c>
      <c r="C578" s="0" t="s">
        <v>97</v>
      </c>
      <c r="D578" s="0" t="s">
        <v>2297</v>
      </c>
      <c r="E578" s="0" t="s">
        <v>2298</v>
      </c>
      <c r="H578" s="0" t="s">
        <v>157</v>
      </c>
      <c r="I578" s="0" t="s">
        <v>157</v>
      </c>
      <c r="J578" s="0" t="s">
        <v>157</v>
      </c>
      <c r="M578" s="0" t="s">
        <v>156</v>
      </c>
      <c r="N578" s="0" t="s">
        <v>124</v>
      </c>
      <c r="P578" s="0" t="s">
        <v>102</v>
      </c>
      <c r="Q578" s="0" t="s">
        <v>102</v>
      </c>
      <c r="R578" s="0" t="s">
        <v>224</v>
      </c>
      <c r="S578" s="0" t="s">
        <v>21</v>
      </c>
      <c r="T578" s="0" t="s">
        <v>104</v>
      </c>
      <c r="V578" s="0" t="s">
        <v>225</v>
      </c>
      <c r="W578" s="0" t="s">
        <v>105</v>
      </c>
      <c r="X578" s="0" t="s">
        <v>2299</v>
      </c>
      <c r="Y578" s="0" t="s">
        <v>2300</v>
      </c>
      <c r="Z578" s="0" t="s">
        <v>134</v>
      </c>
    </row>
    <row r="579" customFormat="false" ht="15" hidden="false" customHeight="false" outlineLevel="0" collapsed="false">
      <c r="A579" s="0" t="s">
        <v>21</v>
      </c>
      <c r="B579" s="0" t="s">
        <v>2296</v>
      </c>
      <c r="C579" s="0" t="s">
        <v>97</v>
      </c>
      <c r="D579" s="0" t="s">
        <v>2297</v>
      </c>
      <c r="E579" s="0" t="s">
        <v>2298</v>
      </c>
      <c r="H579" s="0" t="s">
        <v>157</v>
      </c>
      <c r="I579" s="0" t="s">
        <v>157</v>
      </c>
      <c r="J579" s="0" t="s">
        <v>157</v>
      </c>
      <c r="M579" s="0" t="s">
        <v>156</v>
      </c>
      <c r="N579" s="0" t="s">
        <v>124</v>
      </c>
      <c r="P579" s="0" t="s">
        <v>130</v>
      </c>
      <c r="Q579" s="0" t="s">
        <v>130</v>
      </c>
      <c r="R579" s="0" t="s">
        <v>226</v>
      </c>
      <c r="S579" s="0" t="s">
        <v>21</v>
      </c>
      <c r="T579" s="0" t="s">
        <v>104</v>
      </c>
      <c r="U579" s="0" t="s">
        <v>227</v>
      </c>
      <c r="W579" s="0" t="s">
        <v>105</v>
      </c>
      <c r="X579" s="0" t="s">
        <v>2299</v>
      </c>
      <c r="Y579" s="0" t="s">
        <v>2300</v>
      </c>
      <c r="Z579" s="0" t="s">
        <v>134</v>
      </c>
    </row>
    <row r="580" customFormat="false" ht="15" hidden="false" customHeight="false" outlineLevel="0" collapsed="false">
      <c r="A580" s="0" t="s">
        <v>21</v>
      </c>
      <c r="B580" s="0" t="s">
        <v>2301</v>
      </c>
      <c r="C580" s="0" t="s">
        <v>110</v>
      </c>
      <c r="D580" s="0" t="s">
        <v>2302</v>
      </c>
      <c r="E580" s="0" t="s">
        <v>648</v>
      </c>
      <c r="H580" s="0" t="s">
        <v>885</v>
      </c>
      <c r="I580" s="0" t="s">
        <v>886</v>
      </c>
      <c r="J580" s="0" t="s">
        <v>254</v>
      </c>
      <c r="K580" s="0" t="s">
        <v>2303</v>
      </c>
      <c r="L580" s="0" t="s">
        <v>124</v>
      </c>
      <c r="M580" s="0" t="s">
        <v>886</v>
      </c>
      <c r="N580" s="0" t="s">
        <v>124</v>
      </c>
      <c r="P580" s="0" t="s">
        <v>221</v>
      </c>
      <c r="Q580" s="0" t="s">
        <v>221</v>
      </c>
      <c r="R580" s="0" t="s">
        <v>221</v>
      </c>
      <c r="S580" s="0" t="s">
        <v>21</v>
      </c>
      <c r="T580" s="0" t="s">
        <v>104</v>
      </c>
      <c r="W580" s="0" t="s">
        <v>183</v>
      </c>
      <c r="X580" s="0" t="s">
        <v>2304</v>
      </c>
      <c r="Y580" s="0" t="s">
        <v>2305</v>
      </c>
      <c r="Z580" s="0" t="s">
        <v>134</v>
      </c>
    </row>
    <row r="581" customFormat="false" ht="15" hidden="false" customHeight="false" outlineLevel="0" collapsed="false">
      <c r="A581" s="0" t="s">
        <v>21</v>
      </c>
      <c r="B581" s="0" t="s">
        <v>2301</v>
      </c>
      <c r="C581" s="0" t="s">
        <v>110</v>
      </c>
      <c r="D581" s="0" t="s">
        <v>2302</v>
      </c>
      <c r="E581" s="0" t="s">
        <v>648</v>
      </c>
      <c r="H581" s="0" t="s">
        <v>885</v>
      </c>
      <c r="I581" s="0" t="s">
        <v>886</v>
      </c>
      <c r="J581" s="0" t="s">
        <v>254</v>
      </c>
      <c r="K581" s="0" t="s">
        <v>2303</v>
      </c>
      <c r="L581" s="0" t="s">
        <v>124</v>
      </c>
      <c r="M581" s="0" t="s">
        <v>886</v>
      </c>
      <c r="N581" s="0" t="s">
        <v>124</v>
      </c>
      <c r="P581" s="0" t="s">
        <v>102</v>
      </c>
      <c r="Q581" s="0" t="s">
        <v>102</v>
      </c>
      <c r="R581" s="0" t="s">
        <v>224</v>
      </c>
      <c r="S581" s="0" t="s">
        <v>21</v>
      </c>
      <c r="T581" s="0" t="s">
        <v>104</v>
      </c>
      <c r="V581" s="0" t="s">
        <v>225</v>
      </c>
      <c r="W581" s="0" t="s">
        <v>105</v>
      </c>
      <c r="X581" s="0" t="s">
        <v>2304</v>
      </c>
      <c r="Y581" s="0" t="s">
        <v>2305</v>
      </c>
      <c r="Z581" s="0" t="s">
        <v>134</v>
      </c>
    </row>
    <row r="582" customFormat="false" ht="15" hidden="false" customHeight="false" outlineLevel="0" collapsed="false">
      <c r="A582" s="0" t="s">
        <v>21</v>
      </c>
      <c r="B582" s="0" t="s">
        <v>2301</v>
      </c>
      <c r="C582" s="0" t="s">
        <v>110</v>
      </c>
      <c r="D582" s="0" t="s">
        <v>2302</v>
      </c>
      <c r="E582" s="0" t="s">
        <v>648</v>
      </c>
      <c r="H582" s="0" t="s">
        <v>885</v>
      </c>
      <c r="I582" s="0" t="s">
        <v>886</v>
      </c>
      <c r="J582" s="0" t="s">
        <v>254</v>
      </c>
      <c r="K582" s="0" t="s">
        <v>2303</v>
      </c>
      <c r="L582" s="0" t="s">
        <v>124</v>
      </c>
      <c r="M582" s="0" t="s">
        <v>886</v>
      </c>
      <c r="N582" s="0" t="s">
        <v>124</v>
      </c>
      <c r="P582" s="0" t="s">
        <v>130</v>
      </c>
      <c r="Q582" s="0" t="s">
        <v>130</v>
      </c>
      <c r="R582" s="0" t="s">
        <v>226</v>
      </c>
      <c r="S582" s="0" t="s">
        <v>21</v>
      </c>
      <c r="T582" s="0" t="s">
        <v>104</v>
      </c>
      <c r="U582" s="0" t="s">
        <v>227</v>
      </c>
      <c r="W582" s="0" t="s">
        <v>105</v>
      </c>
      <c r="X582" s="0" t="s">
        <v>2304</v>
      </c>
      <c r="Y582" s="0" t="s">
        <v>2305</v>
      </c>
      <c r="Z582" s="0" t="s">
        <v>134</v>
      </c>
    </row>
    <row r="583" customFormat="false" ht="15" hidden="false" customHeight="false" outlineLevel="0" collapsed="false">
      <c r="A583" s="0" t="s">
        <v>21</v>
      </c>
      <c r="B583" s="0" t="s">
        <v>2306</v>
      </c>
      <c r="C583" s="0" t="s">
        <v>110</v>
      </c>
      <c r="D583" s="0" t="s">
        <v>2307</v>
      </c>
      <c r="M583" s="0" t="s">
        <v>208</v>
      </c>
      <c r="N583" s="0" t="s">
        <v>124</v>
      </c>
      <c r="P583" s="0" t="s">
        <v>102</v>
      </c>
      <c r="Q583" s="0" t="s">
        <v>102</v>
      </c>
      <c r="R583" s="0" t="s">
        <v>113</v>
      </c>
      <c r="S583" s="0" t="s">
        <v>21</v>
      </c>
      <c r="T583" s="0" t="s">
        <v>104</v>
      </c>
      <c r="W583" s="0" t="s">
        <v>105</v>
      </c>
      <c r="AB583" s="0" t="s">
        <v>2308</v>
      </c>
    </row>
    <row r="584" customFormat="false" ht="15" hidden="false" customHeight="false" outlineLevel="0" collapsed="false">
      <c r="A584" s="0" t="s">
        <v>21</v>
      </c>
      <c r="B584" s="0" t="s">
        <v>2309</v>
      </c>
      <c r="C584" s="0" t="s">
        <v>372</v>
      </c>
      <c r="D584" s="0" t="s">
        <v>2310</v>
      </c>
      <c r="E584" s="0" t="s">
        <v>2311</v>
      </c>
      <c r="G584" s="0" t="s">
        <v>2312</v>
      </c>
      <c r="H584" s="0" t="s">
        <v>2313</v>
      </c>
      <c r="I584" s="0" t="s">
        <v>2314</v>
      </c>
      <c r="J584" s="0" t="s">
        <v>245</v>
      </c>
      <c r="K584" s="0" t="s">
        <v>2315</v>
      </c>
      <c r="L584" s="0" t="s">
        <v>124</v>
      </c>
      <c r="M584" s="0" t="s">
        <v>247</v>
      </c>
      <c r="N584" s="0" t="s">
        <v>124</v>
      </c>
      <c r="P584" s="0" t="s">
        <v>379</v>
      </c>
      <c r="Q584" s="0" t="s">
        <v>379</v>
      </c>
      <c r="R584" s="0" t="s">
        <v>379</v>
      </c>
      <c r="S584" s="0" t="s">
        <v>21</v>
      </c>
      <c r="T584" s="0" t="s">
        <v>104</v>
      </c>
      <c r="W584" s="0" t="s">
        <v>183</v>
      </c>
      <c r="X584" s="0" t="s">
        <v>2316</v>
      </c>
      <c r="Y584" s="0" t="s">
        <v>2317</v>
      </c>
      <c r="Z584" s="0" t="s">
        <v>382</v>
      </c>
      <c r="AB584" s="0" t="s">
        <v>760</v>
      </c>
    </row>
    <row r="585" customFormat="false" ht="15" hidden="false" customHeight="false" outlineLevel="0" collapsed="false">
      <c r="A585" s="0" t="s">
        <v>21</v>
      </c>
      <c r="B585" s="0" t="s">
        <v>2309</v>
      </c>
      <c r="C585" s="0" t="s">
        <v>372</v>
      </c>
      <c r="D585" s="0" t="s">
        <v>2310</v>
      </c>
      <c r="E585" s="0" t="s">
        <v>2311</v>
      </c>
      <c r="G585" s="0" t="s">
        <v>2312</v>
      </c>
      <c r="H585" s="0" t="s">
        <v>2313</v>
      </c>
      <c r="I585" s="0" t="s">
        <v>2314</v>
      </c>
      <c r="J585" s="0" t="s">
        <v>245</v>
      </c>
      <c r="K585" s="0" t="s">
        <v>2315</v>
      </c>
      <c r="L585" s="0" t="s">
        <v>124</v>
      </c>
      <c r="M585" s="0" t="s">
        <v>247</v>
      </c>
      <c r="N585" s="0" t="s">
        <v>124</v>
      </c>
      <c r="P585" s="0" t="s">
        <v>102</v>
      </c>
      <c r="Q585" s="0" t="s">
        <v>102</v>
      </c>
      <c r="R585" s="0" t="s">
        <v>113</v>
      </c>
      <c r="S585" s="0" t="s">
        <v>21</v>
      </c>
      <c r="T585" s="0" t="s">
        <v>104</v>
      </c>
      <c r="W585" s="0" t="s">
        <v>105</v>
      </c>
      <c r="X585" s="0" t="s">
        <v>2316</v>
      </c>
      <c r="Y585" s="0" t="s">
        <v>2317</v>
      </c>
      <c r="Z585" s="0" t="s">
        <v>382</v>
      </c>
      <c r="AB585" s="0" t="s">
        <v>760</v>
      </c>
    </row>
    <row r="586" customFormat="false" ht="15" hidden="false" customHeight="false" outlineLevel="0" collapsed="false">
      <c r="A586" s="0" t="s">
        <v>21</v>
      </c>
      <c r="B586" s="0" t="s">
        <v>2318</v>
      </c>
      <c r="C586" s="0" t="s">
        <v>139</v>
      </c>
      <c r="D586" s="0" t="s">
        <v>2319</v>
      </c>
      <c r="E586" s="0" t="s">
        <v>2319</v>
      </c>
      <c r="H586" s="0" t="s">
        <v>2320</v>
      </c>
      <c r="I586" s="0" t="s">
        <v>2321</v>
      </c>
      <c r="J586" s="0" t="s">
        <v>245</v>
      </c>
      <c r="M586" s="0" t="s">
        <v>2322</v>
      </c>
      <c r="N586" s="0" t="s">
        <v>124</v>
      </c>
      <c r="P586" s="0" t="s">
        <v>221</v>
      </c>
      <c r="Q586" s="0" t="s">
        <v>221</v>
      </c>
      <c r="R586" s="0" t="s">
        <v>221</v>
      </c>
      <c r="S586" s="0" t="s">
        <v>21</v>
      </c>
      <c r="T586" s="0" t="s">
        <v>104</v>
      </c>
      <c r="W586" s="0" t="s">
        <v>183</v>
      </c>
      <c r="AB586" s="0" t="s">
        <v>235</v>
      </c>
    </row>
    <row r="587" customFormat="false" ht="15" hidden="false" customHeight="false" outlineLevel="0" collapsed="false">
      <c r="A587" s="0" t="s">
        <v>21</v>
      </c>
      <c r="B587" s="0" t="s">
        <v>2318</v>
      </c>
      <c r="C587" s="0" t="s">
        <v>139</v>
      </c>
      <c r="D587" s="0" t="s">
        <v>2319</v>
      </c>
      <c r="E587" s="0" t="s">
        <v>2319</v>
      </c>
      <c r="H587" s="0" t="s">
        <v>2320</v>
      </c>
      <c r="I587" s="0" t="s">
        <v>2321</v>
      </c>
      <c r="J587" s="0" t="s">
        <v>245</v>
      </c>
      <c r="M587" s="0" t="s">
        <v>2322</v>
      </c>
      <c r="N587" s="0" t="s">
        <v>124</v>
      </c>
      <c r="P587" s="0" t="s">
        <v>102</v>
      </c>
      <c r="Q587" s="0" t="s">
        <v>102</v>
      </c>
      <c r="R587" s="0" t="s">
        <v>224</v>
      </c>
      <c r="S587" s="0" t="s">
        <v>21</v>
      </c>
      <c r="T587" s="0" t="s">
        <v>104</v>
      </c>
      <c r="V587" s="0" t="s">
        <v>225</v>
      </c>
      <c r="W587" s="0" t="s">
        <v>105</v>
      </c>
      <c r="AB587" s="0" t="s">
        <v>235</v>
      </c>
    </row>
    <row r="588" customFormat="false" ht="15" hidden="false" customHeight="false" outlineLevel="0" collapsed="false">
      <c r="A588" s="0" t="s">
        <v>21</v>
      </c>
      <c r="B588" s="0" t="s">
        <v>2318</v>
      </c>
      <c r="C588" s="0" t="s">
        <v>139</v>
      </c>
      <c r="D588" s="0" t="s">
        <v>2319</v>
      </c>
      <c r="E588" s="0" t="s">
        <v>2319</v>
      </c>
      <c r="H588" s="0" t="s">
        <v>2320</v>
      </c>
      <c r="I588" s="0" t="s">
        <v>2321</v>
      </c>
      <c r="J588" s="0" t="s">
        <v>245</v>
      </c>
      <c r="M588" s="0" t="s">
        <v>2322</v>
      </c>
      <c r="N588" s="0" t="s">
        <v>124</v>
      </c>
      <c r="P588" s="0" t="s">
        <v>130</v>
      </c>
      <c r="Q588" s="0" t="s">
        <v>130</v>
      </c>
      <c r="R588" s="0" t="s">
        <v>226</v>
      </c>
      <c r="S588" s="0" t="s">
        <v>21</v>
      </c>
      <c r="T588" s="0" t="s">
        <v>104</v>
      </c>
      <c r="U588" s="0" t="s">
        <v>227</v>
      </c>
      <c r="W588" s="0" t="s">
        <v>105</v>
      </c>
      <c r="AB588" s="0" t="s">
        <v>235</v>
      </c>
    </row>
    <row r="589" customFormat="false" ht="15" hidden="false" customHeight="false" outlineLevel="0" collapsed="false">
      <c r="A589" s="0" t="s">
        <v>21</v>
      </c>
      <c r="B589" s="0" t="s">
        <v>2323</v>
      </c>
      <c r="C589" s="0" t="s">
        <v>97</v>
      </c>
      <c r="D589" s="0" t="s">
        <v>2324</v>
      </c>
      <c r="E589" s="0" t="s">
        <v>2325</v>
      </c>
      <c r="M589" s="0" t="s">
        <v>208</v>
      </c>
      <c r="N589" s="0" t="s">
        <v>124</v>
      </c>
      <c r="P589" s="0" t="s">
        <v>102</v>
      </c>
      <c r="Q589" s="0" t="s">
        <v>102</v>
      </c>
      <c r="R589" s="0" t="s">
        <v>137</v>
      </c>
      <c r="S589" s="0" t="s">
        <v>21</v>
      </c>
      <c r="T589" s="0" t="s">
        <v>104</v>
      </c>
      <c r="W589" s="0" t="s">
        <v>105</v>
      </c>
      <c r="AB589" s="0" t="s">
        <v>2326</v>
      </c>
    </row>
    <row r="590" customFormat="false" ht="15" hidden="false" customHeight="false" outlineLevel="0" collapsed="false">
      <c r="A590" s="0" t="s">
        <v>21</v>
      </c>
      <c r="B590" s="0" t="s">
        <v>2327</v>
      </c>
      <c r="C590" s="0" t="s">
        <v>110</v>
      </c>
      <c r="D590" s="0" t="s">
        <v>2328</v>
      </c>
      <c r="E590" s="0" t="s">
        <v>2329</v>
      </c>
      <c r="G590" s="0" t="s">
        <v>2330</v>
      </c>
      <c r="H590" s="0" t="s">
        <v>2331</v>
      </c>
      <c r="I590" s="0" t="s">
        <v>2332</v>
      </c>
      <c r="J590" s="0" t="s">
        <v>245</v>
      </c>
      <c r="K590" s="0" t="s">
        <v>2333</v>
      </c>
      <c r="L590" s="0" t="s">
        <v>124</v>
      </c>
      <c r="M590" s="0" t="s">
        <v>247</v>
      </c>
      <c r="N590" s="0" t="s">
        <v>124</v>
      </c>
      <c r="P590" s="0" t="s">
        <v>204</v>
      </c>
      <c r="Q590" s="0" t="s">
        <v>204</v>
      </c>
      <c r="R590" s="0" t="s">
        <v>399</v>
      </c>
      <c r="S590" s="0" t="s">
        <v>21</v>
      </c>
      <c r="T590" s="0" t="s">
        <v>104</v>
      </c>
      <c r="W590" s="0" t="s">
        <v>105</v>
      </c>
      <c r="X590" s="0" t="s">
        <v>2334</v>
      </c>
      <c r="Y590" s="0" t="s">
        <v>2335</v>
      </c>
      <c r="Z590" s="0" t="s">
        <v>134</v>
      </c>
      <c r="AB590" s="0" t="s">
        <v>760</v>
      </c>
    </row>
    <row r="591" customFormat="false" ht="15" hidden="false" customHeight="false" outlineLevel="0" collapsed="false">
      <c r="A591" s="0" t="s">
        <v>21</v>
      </c>
      <c r="B591" s="0" t="s">
        <v>2336</v>
      </c>
      <c r="C591" s="0" t="s">
        <v>97</v>
      </c>
      <c r="D591" s="0" t="s">
        <v>2337</v>
      </c>
      <c r="E591" s="0" t="s">
        <v>2337</v>
      </c>
      <c r="F591" s="0" t="s">
        <v>2338</v>
      </c>
      <c r="H591" s="0" t="s">
        <v>2339</v>
      </c>
      <c r="I591" s="0" t="s">
        <v>2340</v>
      </c>
      <c r="J591" s="0" t="s">
        <v>232</v>
      </c>
      <c r="K591" s="0" t="s">
        <v>2341</v>
      </c>
      <c r="L591" s="0" t="s">
        <v>124</v>
      </c>
      <c r="M591" s="0" t="s">
        <v>232</v>
      </c>
      <c r="N591" s="0" t="s">
        <v>124</v>
      </c>
      <c r="P591" s="0" t="s">
        <v>102</v>
      </c>
      <c r="Q591" s="0" t="s">
        <v>102</v>
      </c>
      <c r="R591" s="0" t="s">
        <v>804</v>
      </c>
      <c r="S591" s="0" t="s">
        <v>21</v>
      </c>
      <c r="T591" s="0" t="s">
        <v>104</v>
      </c>
      <c r="W591" s="0" t="s">
        <v>105</v>
      </c>
      <c r="X591" s="0" t="s">
        <v>2342</v>
      </c>
      <c r="Y591" s="0" t="s">
        <v>2343</v>
      </c>
      <c r="Z591" s="0" t="s">
        <v>350</v>
      </c>
      <c r="AB591" s="0" t="s">
        <v>351</v>
      </c>
    </row>
    <row r="592" customFormat="false" ht="15" hidden="false" customHeight="false" outlineLevel="0" collapsed="false">
      <c r="A592" s="0" t="s">
        <v>21</v>
      </c>
      <c r="B592" s="0" t="s">
        <v>2344</v>
      </c>
      <c r="C592" s="0" t="s">
        <v>97</v>
      </c>
      <c r="D592" s="0" t="s">
        <v>2345</v>
      </c>
      <c r="E592" s="0" t="s">
        <v>2345</v>
      </c>
      <c r="H592" s="0" t="s">
        <v>2346</v>
      </c>
      <c r="I592" s="0" t="s">
        <v>2347</v>
      </c>
      <c r="J592" s="0" t="s">
        <v>245</v>
      </c>
      <c r="K592" s="0" t="s">
        <v>2348</v>
      </c>
      <c r="L592" s="0" t="s">
        <v>124</v>
      </c>
      <c r="M592" s="0" t="s">
        <v>247</v>
      </c>
      <c r="N592" s="0" t="s">
        <v>124</v>
      </c>
      <c r="P592" s="0" t="s">
        <v>221</v>
      </c>
      <c r="Q592" s="0" t="s">
        <v>221</v>
      </c>
      <c r="R592" s="0" t="s">
        <v>221</v>
      </c>
      <c r="S592" s="0" t="s">
        <v>21</v>
      </c>
      <c r="T592" s="0" t="s">
        <v>104</v>
      </c>
      <c r="W592" s="0" t="s">
        <v>183</v>
      </c>
      <c r="X592" s="0" t="s">
        <v>2349</v>
      </c>
      <c r="Y592" s="0" t="s">
        <v>2350</v>
      </c>
      <c r="Z592" s="0" t="s">
        <v>134</v>
      </c>
      <c r="AB592" s="0" t="s">
        <v>820</v>
      </c>
    </row>
    <row r="593" customFormat="false" ht="15" hidden="false" customHeight="false" outlineLevel="0" collapsed="false">
      <c r="A593" s="0" t="s">
        <v>21</v>
      </c>
      <c r="B593" s="0" t="s">
        <v>2344</v>
      </c>
      <c r="C593" s="0" t="s">
        <v>97</v>
      </c>
      <c r="D593" s="0" t="s">
        <v>2345</v>
      </c>
      <c r="E593" s="0" t="s">
        <v>2345</v>
      </c>
      <c r="H593" s="0" t="s">
        <v>2346</v>
      </c>
      <c r="I593" s="0" t="s">
        <v>2347</v>
      </c>
      <c r="J593" s="0" t="s">
        <v>245</v>
      </c>
      <c r="K593" s="0" t="s">
        <v>2348</v>
      </c>
      <c r="L593" s="0" t="s">
        <v>124</v>
      </c>
      <c r="M593" s="0" t="s">
        <v>247</v>
      </c>
      <c r="N593" s="0" t="s">
        <v>124</v>
      </c>
      <c r="P593" s="0" t="s">
        <v>102</v>
      </c>
      <c r="Q593" s="0" t="s">
        <v>102</v>
      </c>
      <c r="R593" s="0" t="s">
        <v>224</v>
      </c>
      <c r="S593" s="0" t="s">
        <v>21</v>
      </c>
      <c r="T593" s="0" t="s">
        <v>104</v>
      </c>
      <c r="V593" s="0" t="s">
        <v>225</v>
      </c>
      <c r="W593" s="0" t="s">
        <v>105</v>
      </c>
      <c r="X593" s="0" t="s">
        <v>2349</v>
      </c>
      <c r="Y593" s="0" t="s">
        <v>2350</v>
      </c>
      <c r="Z593" s="0" t="s">
        <v>134</v>
      </c>
      <c r="AB593" s="0" t="s">
        <v>820</v>
      </c>
    </row>
    <row r="594" customFormat="false" ht="15" hidden="false" customHeight="false" outlineLevel="0" collapsed="false">
      <c r="A594" s="0" t="s">
        <v>21</v>
      </c>
      <c r="B594" s="0" t="s">
        <v>2344</v>
      </c>
      <c r="C594" s="0" t="s">
        <v>97</v>
      </c>
      <c r="D594" s="0" t="s">
        <v>2345</v>
      </c>
      <c r="E594" s="0" t="s">
        <v>2345</v>
      </c>
      <c r="H594" s="0" t="s">
        <v>2346</v>
      </c>
      <c r="I594" s="0" t="s">
        <v>2347</v>
      </c>
      <c r="J594" s="0" t="s">
        <v>245</v>
      </c>
      <c r="K594" s="0" t="s">
        <v>2348</v>
      </c>
      <c r="L594" s="0" t="s">
        <v>124</v>
      </c>
      <c r="M594" s="0" t="s">
        <v>247</v>
      </c>
      <c r="N594" s="0" t="s">
        <v>124</v>
      </c>
      <c r="P594" s="0" t="s">
        <v>130</v>
      </c>
      <c r="Q594" s="0" t="s">
        <v>130</v>
      </c>
      <c r="R594" s="0" t="s">
        <v>226</v>
      </c>
      <c r="S594" s="0" t="s">
        <v>21</v>
      </c>
      <c r="T594" s="0" t="s">
        <v>104</v>
      </c>
      <c r="U594" s="0" t="s">
        <v>227</v>
      </c>
      <c r="W594" s="0" t="s">
        <v>105</v>
      </c>
      <c r="X594" s="0" t="s">
        <v>2349</v>
      </c>
      <c r="Y594" s="0" t="s">
        <v>2350</v>
      </c>
      <c r="Z594" s="0" t="s">
        <v>134</v>
      </c>
      <c r="AB594" s="0" t="s">
        <v>820</v>
      </c>
    </row>
    <row r="595" customFormat="false" ht="15" hidden="false" customHeight="false" outlineLevel="0" collapsed="false">
      <c r="A595" s="0" t="s">
        <v>21</v>
      </c>
      <c r="B595" s="0" t="s">
        <v>2351</v>
      </c>
      <c r="C595" s="0" t="s">
        <v>97</v>
      </c>
      <c r="D595" s="0" t="s">
        <v>2352</v>
      </c>
      <c r="E595" s="0" t="s">
        <v>2353</v>
      </c>
      <c r="G595" s="0" t="s">
        <v>2354</v>
      </c>
      <c r="H595" s="0" t="s">
        <v>403</v>
      </c>
      <c r="I595" s="0" t="s">
        <v>100</v>
      </c>
      <c r="J595" s="0" t="s">
        <v>100</v>
      </c>
      <c r="K595" s="0" t="s">
        <v>1179</v>
      </c>
      <c r="L595" s="0" t="s">
        <v>101</v>
      </c>
      <c r="M595" s="0" t="s">
        <v>405</v>
      </c>
      <c r="N595" s="0" t="s">
        <v>101</v>
      </c>
      <c r="P595" s="0" t="s">
        <v>102</v>
      </c>
      <c r="Q595" s="0" t="s">
        <v>102</v>
      </c>
      <c r="R595" s="0" t="s">
        <v>113</v>
      </c>
      <c r="S595" s="0" t="s">
        <v>21</v>
      </c>
      <c r="T595" s="0" t="s">
        <v>104</v>
      </c>
      <c r="U595" s="0" t="s">
        <v>368</v>
      </c>
      <c r="W595" s="0" t="s">
        <v>105</v>
      </c>
      <c r="X595" s="0" t="s">
        <v>406</v>
      </c>
      <c r="Y595" s="0" t="s">
        <v>407</v>
      </c>
      <c r="Z595" s="0" t="s">
        <v>195</v>
      </c>
      <c r="AA595" s="0" t="s">
        <v>172</v>
      </c>
    </row>
    <row r="596" customFormat="false" ht="15" hidden="false" customHeight="false" outlineLevel="0" collapsed="false">
      <c r="A596" s="0" t="s">
        <v>21</v>
      </c>
      <c r="B596" s="0" t="s">
        <v>2355</v>
      </c>
      <c r="C596" s="0" t="s">
        <v>97</v>
      </c>
      <c r="D596" s="0" t="s">
        <v>2356</v>
      </c>
      <c r="E596" s="0" t="s">
        <v>2357</v>
      </c>
      <c r="G596" s="0" t="s">
        <v>2354</v>
      </c>
      <c r="H596" s="0" t="s">
        <v>1194</v>
      </c>
      <c r="I596" s="0" t="s">
        <v>437</v>
      </c>
      <c r="J596" s="0" t="s">
        <v>511</v>
      </c>
      <c r="K596" s="0" t="s">
        <v>498</v>
      </c>
      <c r="L596" s="0" t="s">
        <v>101</v>
      </c>
      <c r="M596" s="0" t="s">
        <v>437</v>
      </c>
      <c r="N596" s="0" t="s">
        <v>101</v>
      </c>
      <c r="P596" s="0" t="s">
        <v>102</v>
      </c>
      <c r="Q596" s="0" t="s">
        <v>102</v>
      </c>
      <c r="R596" s="0" t="s">
        <v>113</v>
      </c>
      <c r="S596" s="0" t="s">
        <v>21</v>
      </c>
      <c r="T596" s="0" t="s">
        <v>104</v>
      </c>
      <c r="U596" s="0" t="s">
        <v>368</v>
      </c>
      <c r="W596" s="0" t="s">
        <v>105</v>
      </c>
      <c r="X596" s="0" t="s">
        <v>1195</v>
      </c>
      <c r="Y596" s="0" t="s">
        <v>1196</v>
      </c>
      <c r="Z596" s="0" t="s">
        <v>195</v>
      </c>
      <c r="AA596" s="0" t="s">
        <v>172</v>
      </c>
    </row>
    <row r="597" customFormat="false" ht="15" hidden="false" customHeight="false" outlineLevel="0" collapsed="false">
      <c r="A597" s="0" t="s">
        <v>21</v>
      </c>
      <c r="B597" s="0" t="s">
        <v>2358</v>
      </c>
      <c r="C597" s="0" t="s">
        <v>97</v>
      </c>
      <c r="D597" s="0" t="s">
        <v>2359</v>
      </c>
      <c r="E597" s="0" t="s">
        <v>2360</v>
      </c>
      <c r="G597" s="0" t="s">
        <v>2354</v>
      </c>
      <c r="H597" s="0" t="s">
        <v>1194</v>
      </c>
      <c r="I597" s="0" t="s">
        <v>437</v>
      </c>
      <c r="J597" s="0" t="s">
        <v>511</v>
      </c>
      <c r="K597" s="0" t="s">
        <v>431</v>
      </c>
      <c r="L597" s="0" t="s">
        <v>101</v>
      </c>
      <c r="M597" s="0" t="s">
        <v>437</v>
      </c>
      <c r="N597" s="0" t="s">
        <v>101</v>
      </c>
      <c r="P597" s="0" t="s">
        <v>102</v>
      </c>
      <c r="Q597" s="0" t="s">
        <v>102</v>
      </c>
      <c r="R597" s="0" t="s">
        <v>113</v>
      </c>
      <c r="S597" s="0" t="s">
        <v>21</v>
      </c>
      <c r="T597" s="0" t="s">
        <v>104</v>
      </c>
      <c r="U597" s="0" t="s">
        <v>368</v>
      </c>
      <c r="W597" s="0" t="s">
        <v>105</v>
      </c>
      <c r="X597" s="0" t="s">
        <v>1195</v>
      </c>
      <c r="Y597" s="0" t="s">
        <v>1196</v>
      </c>
      <c r="Z597" s="0" t="s">
        <v>195</v>
      </c>
      <c r="AA597" s="0" t="s">
        <v>172</v>
      </c>
    </row>
    <row r="598" customFormat="false" ht="15" hidden="false" customHeight="false" outlineLevel="0" collapsed="false">
      <c r="A598" s="0" t="s">
        <v>21</v>
      </c>
      <c r="B598" s="0" t="s">
        <v>2361</v>
      </c>
      <c r="C598" s="0" t="s">
        <v>97</v>
      </c>
      <c r="D598" s="0" t="s">
        <v>2362</v>
      </c>
      <c r="E598" s="0" t="s">
        <v>2363</v>
      </c>
      <c r="G598" s="0" t="s">
        <v>2354</v>
      </c>
      <c r="H598" s="0" t="s">
        <v>532</v>
      </c>
      <c r="I598" s="0" t="s">
        <v>398</v>
      </c>
      <c r="J598" s="0" t="s">
        <v>112</v>
      </c>
      <c r="K598" s="0" t="s">
        <v>168</v>
      </c>
      <c r="L598" s="0" t="s">
        <v>101</v>
      </c>
      <c r="M598" s="0" t="s">
        <v>398</v>
      </c>
      <c r="N598" s="0" t="s">
        <v>101</v>
      </c>
      <c r="P598" s="0" t="s">
        <v>102</v>
      </c>
      <c r="Q598" s="0" t="s">
        <v>102</v>
      </c>
      <c r="R598" s="0" t="s">
        <v>113</v>
      </c>
      <c r="S598" s="0" t="s">
        <v>21</v>
      </c>
      <c r="T598" s="0" t="s">
        <v>104</v>
      </c>
      <c r="U598" s="0" t="s">
        <v>368</v>
      </c>
      <c r="W598" s="0" t="s">
        <v>105</v>
      </c>
      <c r="X598" s="0" t="s">
        <v>534</v>
      </c>
      <c r="Y598" s="0" t="s">
        <v>535</v>
      </c>
      <c r="Z598" s="0" t="s">
        <v>195</v>
      </c>
      <c r="AA598" s="0" t="s">
        <v>172</v>
      </c>
    </row>
    <row r="599" customFormat="false" ht="15" hidden="false" customHeight="false" outlineLevel="0" collapsed="false">
      <c r="A599" s="0" t="s">
        <v>21</v>
      </c>
      <c r="B599" s="0" t="s">
        <v>2364</v>
      </c>
      <c r="C599" s="0" t="s">
        <v>97</v>
      </c>
      <c r="D599" s="0" t="s">
        <v>2365</v>
      </c>
      <c r="E599" s="0" t="s">
        <v>2366</v>
      </c>
      <c r="G599" s="0" t="s">
        <v>2354</v>
      </c>
      <c r="H599" s="0" t="s">
        <v>455</v>
      </c>
      <c r="I599" s="0" t="s">
        <v>456</v>
      </c>
      <c r="J599" s="0" t="s">
        <v>456</v>
      </c>
      <c r="K599" s="0" t="s">
        <v>533</v>
      </c>
      <c r="L599" s="0" t="s">
        <v>101</v>
      </c>
      <c r="M599" s="0" t="s">
        <v>456</v>
      </c>
      <c r="N599" s="0" t="s">
        <v>101</v>
      </c>
      <c r="P599" s="0" t="s">
        <v>102</v>
      </c>
      <c r="Q599" s="0" t="s">
        <v>102</v>
      </c>
      <c r="R599" s="0" t="s">
        <v>113</v>
      </c>
      <c r="S599" s="0" t="s">
        <v>21</v>
      </c>
      <c r="T599" s="0" t="s">
        <v>104</v>
      </c>
      <c r="U599" s="0" t="s">
        <v>368</v>
      </c>
      <c r="W599" s="0" t="s">
        <v>105</v>
      </c>
      <c r="X599" s="0" t="s">
        <v>458</v>
      </c>
      <c r="Y599" s="0" t="s">
        <v>459</v>
      </c>
      <c r="Z599" s="0" t="s">
        <v>195</v>
      </c>
      <c r="AA599" s="0" t="s">
        <v>172</v>
      </c>
    </row>
    <row r="600" customFormat="false" ht="15" hidden="false" customHeight="false" outlineLevel="0" collapsed="false">
      <c r="A600" s="0" t="s">
        <v>21</v>
      </c>
      <c r="B600" s="0" t="s">
        <v>2367</v>
      </c>
      <c r="C600" s="0" t="s">
        <v>110</v>
      </c>
      <c r="D600" s="0" t="s">
        <v>2368</v>
      </c>
      <c r="E600" s="0" t="s">
        <v>2369</v>
      </c>
      <c r="H600" s="0" t="s">
        <v>2370</v>
      </c>
      <c r="I600" s="0" t="s">
        <v>2371</v>
      </c>
      <c r="J600" s="0" t="s">
        <v>157</v>
      </c>
      <c r="K600" s="0" t="s">
        <v>2372</v>
      </c>
      <c r="L600" s="0" t="s">
        <v>124</v>
      </c>
      <c r="M600" s="0" t="s">
        <v>232</v>
      </c>
      <c r="N600" s="0" t="s">
        <v>124</v>
      </c>
      <c r="P600" s="0" t="s">
        <v>102</v>
      </c>
      <c r="Q600" s="0" t="s">
        <v>102</v>
      </c>
      <c r="R600" s="0" t="s">
        <v>113</v>
      </c>
      <c r="S600" s="0" t="s">
        <v>21</v>
      </c>
      <c r="T600" s="0" t="s">
        <v>104</v>
      </c>
      <c r="W600" s="0" t="s">
        <v>105</v>
      </c>
      <c r="X600" s="0" t="s">
        <v>2373</v>
      </c>
      <c r="Y600" s="0" t="s">
        <v>2374</v>
      </c>
      <c r="Z600" s="0" t="s">
        <v>134</v>
      </c>
    </row>
    <row r="601" customFormat="false" ht="15" hidden="false" customHeight="false" outlineLevel="0" collapsed="false">
      <c r="A601" s="0" t="s">
        <v>21</v>
      </c>
      <c r="B601" s="0" t="s">
        <v>2375</v>
      </c>
      <c r="C601" s="0" t="s">
        <v>395</v>
      </c>
      <c r="D601" s="0" t="s">
        <v>2376</v>
      </c>
      <c r="E601" s="0" t="s">
        <v>2377</v>
      </c>
      <c r="H601" s="0" t="s">
        <v>157</v>
      </c>
      <c r="I601" s="0" t="s">
        <v>157</v>
      </c>
      <c r="J601" s="0" t="s">
        <v>157</v>
      </c>
      <c r="M601" s="0" t="s">
        <v>232</v>
      </c>
      <c r="N601" s="0" t="s">
        <v>124</v>
      </c>
      <c r="P601" s="0" t="s">
        <v>236</v>
      </c>
      <c r="Q601" s="0" t="s">
        <v>236</v>
      </c>
      <c r="R601" s="0" t="s">
        <v>957</v>
      </c>
      <c r="S601" s="0" t="s">
        <v>21</v>
      </c>
      <c r="T601" s="0" t="s">
        <v>104</v>
      </c>
      <c r="V601" s="0" t="s">
        <v>820</v>
      </c>
      <c r="W601" s="0" t="s">
        <v>105</v>
      </c>
      <c r="Z601" s="0" t="s">
        <v>1147</v>
      </c>
    </row>
    <row r="602" customFormat="false" ht="15" hidden="false" customHeight="false" outlineLevel="0" collapsed="false">
      <c r="A602" s="0" t="s">
        <v>21</v>
      </c>
      <c r="B602" s="0" t="s">
        <v>2378</v>
      </c>
      <c r="C602" s="0" t="s">
        <v>395</v>
      </c>
      <c r="D602" s="0" t="s">
        <v>1139</v>
      </c>
      <c r="E602" s="0" t="s">
        <v>2379</v>
      </c>
      <c r="H602" s="0" t="s">
        <v>254</v>
      </c>
      <c r="I602" s="0" t="s">
        <v>254</v>
      </c>
      <c r="J602" s="0" t="s">
        <v>254</v>
      </c>
      <c r="M602" s="0" t="s">
        <v>208</v>
      </c>
      <c r="N602" s="0" t="s">
        <v>124</v>
      </c>
      <c r="P602" s="0" t="s">
        <v>236</v>
      </c>
      <c r="Q602" s="0" t="s">
        <v>236</v>
      </c>
      <c r="R602" s="0" t="s">
        <v>957</v>
      </c>
      <c r="S602" s="0" t="s">
        <v>21</v>
      </c>
      <c r="T602" s="0" t="s">
        <v>104</v>
      </c>
      <c r="V602" s="0" t="s">
        <v>820</v>
      </c>
      <c r="W602" s="0" t="s">
        <v>105</v>
      </c>
      <c r="Z602" s="0" t="s">
        <v>1147</v>
      </c>
    </row>
    <row r="603" customFormat="false" ht="15" hidden="false" customHeight="false" outlineLevel="0" collapsed="false">
      <c r="A603" s="0" t="s">
        <v>21</v>
      </c>
      <c r="B603" s="0" t="s">
        <v>2380</v>
      </c>
      <c r="C603" s="0" t="s">
        <v>395</v>
      </c>
      <c r="D603" s="0" t="s">
        <v>1139</v>
      </c>
      <c r="E603" s="0" t="s">
        <v>2381</v>
      </c>
      <c r="H603" s="0" t="s">
        <v>218</v>
      </c>
      <c r="I603" s="0" t="s">
        <v>218</v>
      </c>
      <c r="J603" s="0" t="s">
        <v>218</v>
      </c>
      <c r="M603" s="0" t="s">
        <v>220</v>
      </c>
      <c r="N603" s="0" t="s">
        <v>124</v>
      </c>
      <c r="P603" s="0" t="s">
        <v>236</v>
      </c>
      <c r="Q603" s="0" t="s">
        <v>236</v>
      </c>
      <c r="R603" s="0" t="s">
        <v>957</v>
      </c>
      <c r="S603" s="0" t="s">
        <v>21</v>
      </c>
      <c r="T603" s="0" t="s">
        <v>104</v>
      </c>
      <c r="V603" s="0" t="s">
        <v>820</v>
      </c>
      <c r="W603" s="0" t="s">
        <v>105</v>
      </c>
      <c r="Z603" s="0" t="s">
        <v>1147</v>
      </c>
    </row>
    <row r="604" customFormat="false" ht="15" hidden="false" customHeight="false" outlineLevel="0" collapsed="false">
      <c r="A604" s="0" t="s">
        <v>21</v>
      </c>
      <c r="B604" s="0" t="s">
        <v>2382</v>
      </c>
      <c r="C604" s="0" t="s">
        <v>395</v>
      </c>
      <c r="D604" s="0" t="s">
        <v>1139</v>
      </c>
      <c r="E604" s="0" t="s">
        <v>2383</v>
      </c>
      <c r="H604" s="0" t="s">
        <v>275</v>
      </c>
      <c r="I604" s="0" t="s">
        <v>275</v>
      </c>
      <c r="J604" s="0" t="s">
        <v>275</v>
      </c>
      <c r="M604" s="0" t="s">
        <v>178</v>
      </c>
      <c r="N604" s="0" t="s">
        <v>124</v>
      </c>
      <c r="P604" s="0" t="s">
        <v>236</v>
      </c>
      <c r="Q604" s="0" t="s">
        <v>236</v>
      </c>
      <c r="R604" s="0" t="s">
        <v>957</v>
      </c>
      <c r="S604" s="0" t="s">
        <v>21</v>
      </c>
      <c r="T604" s="0" t="s">
        <v>104</v>
      </c>
      <c r="V604" s="0" t="s">
        <v>820</v>
      </c>
      <c r="W604" s="0" t="s">
        <v>105</v>
      </c>
      <c r="Z604" s="0" t="s">
        <v>1147</v>
      </c>
    </row>
    <row r="605" customFormat="false" ht="15" hidden="false" customHeight="false" outlineLevel="0" collapsed="false">
      <c r="A605" s="0" t="s">
        <v>21</v>
      </c>
      <c r="B605" s="0" t="s">
        <v>2384</v>
      </c>
      <c r="C605" s="0" t="s">
        <v>395</v>
      </c>
      <c r="D605" s="0" t="s">
        <v>1139</v>
      </c>
      <c r="E605" s="0" t="s">
        <v>2385</v>
      </c>
      <c r="H605" s="0" t="s">
        <v>245</v>
      </c>
      <c r="I605" s="0" t="s">
        <v>245</v>
      </c>
      <c r="J605" s="0" t="s">
        <v>245</v>
      </c>
      <c r="M605" s="0" t="s">
        <v>247</v>
      </c>
      <c r="N605" s="0" t="s">
        <v>124</v>
      </c>
      <c r="P605" s="0" t="s">
        <v>236</v>
      </c>
      <c r="Q605" s="0" t="s">
        <v>236</v>
      </c>
      <c r="R605" s="0" t="s">
        <v>957</v>
      </c>
      <c r="S605" s="0" t="s">
        <v>21</v>
      </c>
      <c r="T605" s="0" t="s">
        <v>104</v>
      </c>
      <c r="V605" s="0" t="s">
        <v>820</v>
      </c>
      <c r="W605" s="0" t="s">
        <v>105</v>
      </c>
      <c r="Z605" s="0" t="s">
        <v>1147</v>
      </c>
    </row>
    <row r="606" customFormat="false" ht="15" hidden="false" customHeight="false" outlineLevel="0" collapsed="false">
      <c r="A606" s="0" t="s">
        <v>21</v>
      </c>
      <c r="B606" s="0" t="s">
        <v>2386</v>
      </c>
      <c r="C606" s="0" t="s">
        <v>190</v>
      </c>
      <c r="D606" s="0" t="s">
        <v>1139</v>
      </c>
      <c r="E606" s="0" t="s">
        <v>2387</v>
      </c>
      <c r="G606" s="0" t="s">
        <v>1141</v>
      </c>
      <c r="H606" s="0" t="s">
        <v>2388</v>
      </c>
      <c r="I606" s="0" t="s">
        <v>2389</v>
      </c>
      <c r="J606" s="0" t="s">
        <v>254</v>
      </c>
      <c r="K606" s="0" t="s">
        <v>2390</v>
      </c>
      <c r="M606" s="0" t="s">
        <v>208</v>
      </c>
      <c r="N606" s="0" t="s">
        <v>124</v>
      </c>
      <c r="P606" s="0" t="s">
        <v>236</v>
      </c>
      <c r="Q606" s="0" t="s">
        <v>236</v>
      </c>
      <c r="R606" s="0" t="s">
        <v>957</v>
      </c>
      <c r="S606" s="0" t="s">
        <v>21</v>
      </c>
      <c r="T606" s="0" t="s">
        <v>104</v>
      </c>
      <c r="V606" s="0" t="s">
        <v>539</v>
      </c>
      <c r="W606" s="0" t="s">
        <v>105</v>
      </c>
      <c r="Z606" s="0" t="s">
        <v>159</v>
      </c>
    </row>
    <row r="607" customFormat="false" ht="15" hidden="false" customHeight="false" outlineLevel="0" collapsed="false">
      <c r="A607" s="0" t="s">
        <v>21</v>
      </c>
      <c r="B607" s="0" t="s">
        <v>2391</v>
      </c>
      <c r="C607" s="0" t="s">
        <v>190</v>
      </c>
      <c r="D607" s="0" t="s">
        <v>2392</v>
      </c>
      <c r="E607" s="0" t="s">
        <v>2393</v>
      </c>
      <c r="G607" s="0" t="s">
        <v>2394</v>
      </c>
      <c r="H607" s="0" t="s">
        <v>2395</v>
      </c>
      <c r="I607" s="0" t="s">
        <v>2396</v>
      </c>
      <c r="J607" s="0" t="s">
        <v>157</v>
      </c>
      <c r="K607" s="0" t="s">
        <v>1164</v>
      </c>
      <c r="M607" s="0" t="s">
        <v>232</v>
      </c>
      <c r="N607" s="0" t="s">
        <v>124</v>
      </c>
      <c r="P607" s="0" t="s">
        <v>204</v>
      </c>
      <c r="Q607" s="0" t="s">
        <v>204</v>
      </c>
      <c r="R607" s="0" t="s">
        <v>657</v>
      </c>
      <c r="S607" s="0" t="s">
        <v>21</v>
      </c>
      <c r="T607" s="0" t="s">
        <v>104</v>
      </c>
      <c r="W607" s="0" t="s">
        <v>105</v>
      </c>
      <c r="Z607" s="0" t="s">
        <v>159</v>
      </c>
    </row>
    <row r="608" customFormat="false" ht="15" hidden="false" customHeight="false" outlineLevel="0" collapsed="false">
      <c r="A608" s="0" t="s">
        <v>21</v>
      </c>
      <c r="B608" s="0" t="s">
        <v>2397</v>
      </c>
      <c r="C608" s="0" t="s">
        <v>395</v>
      </c>
      <c r="D608" s="0" t="s">
        <v>1139</v>
      </c>
      <c r="E608" s="0" t="s">
        <v>2398</v>
      </c>
      <c r="G608" s="0" t="s">
        <v>2399</v>
      </c>
      <c r="H608" s="0" t="s">
        <v>2400</v>
      </c>
      <c r="I608" s="0" t="s">
        <v>2401</v>
      </c>
      <c r="J608" s="0" t="s">
        <v>275</v>
      </c>
      <c r="K608" s="0" t="s">
        <v>2402</v>
      </c>
      <c r="M608" s="0" t="s">
        <v>2403</v>
      </c>
      <c r="N608" s="0" t="s">
        <v>124</v>
      </c>
      <c r="P608" s="0" t="s">
        <v>236</v>
      </c>
      <c r="Q608" s="0" t="s">
        <v>236</v>
      </c>
      <c r="R608" s="0" t="s">
        <v>957</v>
      </c>
      <c r="S608" s="0" t="s">
        <v>21</v>
      </c>
      <c r="T608" s="0" t="s">
        <v>104</v>
      </c>
      <c r="U608" s="0" t="s">
        <v>368</v>
      </c>
      <c r="V608" s="0" t="s">
        <v>820</v>
      </c>
      <c r="W608" s="0" t="s">
        <v>105</v>
      </c>
      <c r="X608" s="0" t="s">
        <v>2404</v>
      </c>
      <c r="Y608" s="0" t="s">
        <v>2405</v>
      </c>
      <c r="Z608" s="0" t="s">
        <v>1147</v>
      </c>
    </row>
    <row r="609" customFormat="false" ht="15" hidden="false" customHeight="false" outlineLevel="0" collapsed="false">
      <c r="A609" s="0" t="s">
        <v>21</v>
      </c>
      <c r="B609" s="0" t="s">
        <v>2406</v>
      </c>
      <c r="C609" s="0" t="s">
        <v>395</v>
      </c>
      <c r="D609" s="0" t="s">
        <v>2407</v>
      </c>
      <c r="E609" s="0" t="s">
        <v>2408</v>
      </c>
      <c r="G609" s="0" t="s">
        <v>2409</v>
      </c>
      <c r="H609" s="0" t="s">
        <v>2410</v>
      </c>
      <c r="I609" s="0" t="s">
        <v>750</v>
      </c>
      <c r="J609" s="0" t="s">
        <v>275</v>
      </c>
      <c r="K609" s="0" t="s">
        <v>751</v>
      </c>
      <c r="L609" s="0" t="s">
        <v>124</v>
      </c>
      <c r="M609" s="0" t="s">
        <v>178</v>
      </c>
      <c r="N609" s="0" t="s">
        <v>124</v>
      </c>
      <c r="P609" s="0" t="s">
        <v>236</v>
      </c>
      <c r="Q609" s="0" t="s">
        <v>236</v>
      </c>
      <c r="R609" s="0" t="s">
        <v>957</v>
      </c>
      <c r="S609" s="0" t="s">
        <v>21</v>
      </c>
      <c r="T609" s="0" t="s">
        <v>104</v>
      </c>
      <c r="V609" s="0" t="s">
        <v>820</v>
      </c>
      <c r="W609" s="0" t="s">
        <v>105</v>
      </c>
      <c r="X609" s="0" t="s">
        <v>2411</v>
      </c>
      <c r="Y609" s="0" t="s">
        <v>2412</v>
      </c>
      <c r="Z609" s="0" t="s">
        <v>1147</v>
      </c>
    </row>
    <row r="610" customFormat="false" ht="15" hidden="false" customHeight="false" outlineLevel="0" collapsed="false">
      <c r="A610" s="0" t="s">
        <v>21</v>
      </c>
      <c r="B610" s="0" t="s">
        <v>2413</v>
      </c>
      <c r="C610" s="0" t="s">
        <v>395</v>
      </c>
      <c r="D610" s="0" t="s">
        <v>2414</v>
      </c>
      <c r="E610" s="0" t="s">
        <v>2415</v>
      </c>
      <c r="G610" s="0" t="s">
        <v>2394</v>
      </c>
      <c r="H610" s="0" t="s">
        <v>2416</v>
      </c>
      <c r="I610" s="0" t="s">
        <v>2417</v>
      </c>
      <c r="J610" s="0" t="s">
        <v>254</v>
      </c>
      <c r="K610" s="0" t="s">
        <v>2418</v>
      </c>
      <c r="M610" s="0" t="s">
        <v>208</v>
      </c>
      <c r="N610" s="0" t="s">
        <v>124</v>
      </c>
      <c r="P610" s="0" t="s">
        <v>236</v>
      </c>
      <c r="Q610" s="0" t="s">
        <v>236</v>
      </c>
      <c r="R610" s="0" t="s">
        <v>957</v>
      </c>
      <c r="S610" s="0" t="s">
        <v>21</v>
      </c>
      <c r="T610" s="0" t="s">
        <v>104</v>
      </c>
      <c r="V610" s="0" t="s">
        <v>820</v>
      </c>
      <c r="W610" s="0" t="s">
        <v>105</v>
      </c>
      <c r="X610" s="0" t="s">
        <v>2419</v>
      </c>
      <c r="Y610" s="0" t="s">
        <v>2420</v>
      </c>
      <c r="Z610" s="0" t="s">
        <v>1147</v>
      </c>
      <c r="AA610" s="0" t="s">
        <v>807</v>
      </c>
    </row>
    <row r="611" customFormat="false" ht="15" hidden="false" customHeight="false" outlineLevel="0" collapsed="false">
      <c r="A611" s="0" t="s">
        <v>21</v>
      </c>
      <c r="B611" s="0" t="s">
        <v>2421</v>
      </c>
      <c r="C611" s="0" t="s">
        <v>395</v>
      </c>
      <c r="D611" s="0" t="s">
        <v>2422</v>
      </c>
      <c r="E611" s="0" t="s">
        <v>2423</v>
      </c>
      <c r="G611" s="0" t="s">
        <v>2394</v>
      </c>
      <c r="H611" s="0" t="s">
        <v>2424</v>
      </c>
      <c r="I611" s="0" t="s">
        <v>2425</v>
      </c>
      <c r="J611" s="0" t="s">
        <v>2281</v>
      </c>
      <c r="K611" s="0" t="s">
        <v>1034</v>
      </c>
      <c r="L611" s="0" t="s">
        <v>124</v>
      </c>
      <c r="M611" s="0" t="s">
        <v>881</v>
      </c>
      <c r="N611" s="0" t="s">
        <v>124</v>
      </c>
      <c r="P611" s="0" t="s">
        <v>236</v>
      </c>
      <c r="Q611" s="0" t="s">
        <v>236</v>
      </c>
      <c r="R611" s="0" t="s">
        <v>957</v>
      </c>
      <c r="S611" s="0" t="s">
        <v>21</v>
      </c>
      <c r="T611" s="0" t="s">
        <v>104</v>
      </c>
      <c r="V611" s="0" t="s">
        <v>820</v>
      </c>
      <c r="W611" s="0" t="s">
        <v>105</v>
      </c>
      <c r="X611" s="0" t="s">
        <v>2426</v>
      </c>
      <c r="Y611" s="0" t="s">
        <v>2427</v>
      </c>
      <c r="Z611" s="0" t="s">
        <v>1147</v>
      </c>
    </row>
    <row r="612" customFormat="false" ht="15" hidden="false" customHeight="false" outlineLevel="0" collapsed="false">
      <c r="A612" s="0" t="s">
        <v>21</v>
      </c>
      <c r="B612" s="0" t="s">
        <v>2428</v>
      </c>
      <c r="C612" s="0" t="s">
        <v>395</v>
      </c>
      <c r="D612" s="0" t="s">
        <v>2429</v>
      </c>
      <c r="E612" s="0" t="s">
        <v>2430</v>
      </c>
      <c r="G612" s="0" t="s">
        <v>2394</v>
      </c>
      <c r="H612" s="0" t="s">
        <v>2431</v>
      </c>
      <c r="I612" s="0" t="s">
        <v>2432</v>
      </c>
      <c r="J612" s="0" t="s">
        <v>218</v>
      </c>
      <c r="K612" s="0" t="s">
        <v>2433</v>
      </c>
      <c r="M612" s="0" t="s">
        <v>220</v>
      </c>
      <c r="N612" s="0" t="s">
        <v>124</v>
      </c>
      <c r="P612" s="0" t="s">
        <v>236</v>
      </c>
      <c r="Q612" s="0" t="s">
        <v>236</v>
      </c>
      <c r="R612" s="0" t="s">
        <v>957</v>
      </c>
      <c r="S612" s="0" t="s">
        <v>21</v>
      </c>
      <c r="T612" s="0" t="s">
        <v>104</v>
      </c>
      <c r="V612" s="0" t="s">
        <v>820</v>
      </c>
      <c r="W612" s="0" t="s">
        <v>105</v>
      </c>
      <c r="X612" s="0" t="s">
        <v>2434</v>
      </c>
      <c r="Y612" s="0" t="s">
        <v>2435</v>
      </c>
      <c r="Z612" s="0" t="s">
        <v>1147</v>
      </c>
    </row>
    <row r="613" customFormat="false" ht="15" hidden="false" customHeight="false" outlineLevel="0" collapsed="false">
      <c r="A613" s="0" t="s">
        <v>21</v>
      </c>
      <c r="B613" s="0" t="s">
        <v>2436</v>
      </c>
      <c r="C613" s="0" t="s">
        <v>190</v>
      </c>
      <c r="D613" s="0" t="s">
        <v>2437</v>
      </c>
      <c r="E613" s="0" t="s">
        <v>2438</v>
      </c>
      <c r="G613" s="0" t="s">
        <v>2394</v>
      </c>
      <c r="H613" s="0" t="s">
        <v>2439</v>
      </c>
      <c r="I613" s="0" t="s">
        <v>474</v>
      </c>
      <c r="J613" s="0" t="s">
        <v>275</v>
      </c>
      <c r="K613" s="0" t="s">
        <v>2440</v>
      </c>
      <c r="M613" s="0" t="s">
        <v>178</v>
      </c>
      <c r="N613" s="0" t="s">
        <v>124</v>
      </c>
      <c r="P613" s="0" t="s">
        <v>204</v>
      </c>
      <c r="Q613" s="0" t="s">
        <v>204</v>
      </c>
      <c r="R613" s="0" t="s">
        <v>657</v>
      </c>
      <c r="S613" s="0" t="s">
        <v>21</v>
      </c>
      <c r="T613" s="0" t="s">
        <v>104</v>
      </c>
      <c r="V613" s="0" t="s">
        <v>539</v>
      </c>
      <c r="W613" s="0" t="s">
        <v>105</v>
      </c>
      <c r="Z613" s="0" t="s">
        <v>159</v>
      </c>
    </row>
    <row r="614" customFormat="false" ht="15" hidden="false" customHeight="false" outlineLevel="0" collapsed="false">
      <c r="A614" s="0" t="s">
        <v>21</v>
      </c>
      <c r="B614" s="0" t="s">
        <v>2441</v>
      </c>
      <c r="C614" s="0" t="s">
        <v>190</v>
      </c>
      <c r="D614" s="0" t="s">
        <v>1139</v>
      </c>
      <c r="E614" s="0" t="s">
        <v>2442</v>
      </c>
      <c r="G614" s="0" t="s">
        <v>1141</v>
      </c>
      <c r="H614" s="0" t="s">
        <v>2443</v>
      </c>
      <c r="I614" s="0" t="s">
        <v>2444</v>
      </c>
      <c r="J614" s="0" t="s">
        <v>254</v>
      </c>
      <c r="K614" s="0" t="s">
        <v>2445</v>
      </c>
      <c r="M614" s="0" t="s">
        <v>208</v>
      </c>
      <c r="N614" s="0" t="s">
        <v>124</v>
      </c>
      <c r="P614" s="0" t="s">
        <v>236</v>
      </c>
      <c r="Q614" s="0" t="s">
        <v>236</v>
      </c>
      <c r="R614" s="0" t="s">
        <v>957</v>
      </c>
      <c r="S614" s="0" t="s">
        <v>21</v>
      </c>
      <c r="T614" s="0" t="s">
        <v>104</v>
      </c>
      <c r="V614" s="0" t="s">
        <v>539</v>
      </c>
      <c r="W614" s="0" t="s">
        <v>105</v>
      </c>
      <c r="Z614" s="0" t="s">
        <v>159</v>
      </c>
    </row>
    <row r="615" customFormat="false" ht="15" hidden="false" customHeight="false" outlineLevel="0" collapsed="false">
      <c r="A615" s="0" t="s">
        <v>21</v>
      </c>
      <c r="B615" s="0" t="s">
        <v>2446</v>
      </c>
      <c r="C615" s="0" t="s">
        <v>190</v>
      </c>
      <c r="D615" s="0" t="s">
        <v>1139</v>
      </c>
      <c r="E615" s="0" t="s">
        <v>2447</v>
      </c>
      <c r="G615" s="0" t="s">
        <v>1141</v>
      </c>
      <c r="H615" s="0" t="s">
        <v>2448</v>
      </c>
      <c r="I615" s="0" t="s">
        <v>2449</v>
      </c>
      <c r="J615" s="0" t="s">
        <v>157</v>
      </c>
      <c r="K615" s="0" t="s">
        <v>2450</v>
      </c>
      <c r="M615" s="0" t="s">
        <v>232</v>
      </c>
      <c r="N615" s="0" t="s">
        <v>124</v>
      </c>
      <c r="P615" s="0" t="s">
        <v>236</v>
      </c>
      <c r="Q615" s="0" t="s">
        <v>236</v>
      </c>
      <c r="R615" s="0" t="s">
        <v>957</v>
      </c>
      <c r="S615" s="0" t="s">
        <v>21</v>
      </c>
      <c r="T615" s="0" t="s">
        <v>104</v>
      </c>
      <c r="V615" s="0" t="s">
        <v>539</v>
      </c>
      <c r="W615" s="0" t="s">
        <v>105</v>
      </c>
      <c r="Z615" s="0" t="s">
        <v>159</v>
      </c>
    </row>
    <row r="616" customFormat="false" ht="15" hidden="false" customHeight="false" outlineLevel="0" collapsed="false">
      <c r="A616" s="0" t="s">
        <v>21</v>
      </c>
      <c r="B616" s="0" t="s">
        <v>2451</v>
      </c>
      <c r="C616" s="0" t="s">
        <v>395</v>
      </c>
      <c r="D616" s="0" t="s">
        <v>2452</v>
      </c>
      <c r="E616" s="0" t="s">
        <v>2453</v>
      </c>
      <c r="G616" s="0" t="s">
        <v>2394</v>
      </c>
      <c r="H616" s="0" t="s">
        <v>2454</v>
      </c>
      <c r="I616" s="0" t="s">
        <v>2455</v>
      </c>
      <c r="J616" s="0" t="s">
        <v>245</v>
      </c>
      <c r="K616" s="0" t="s">
        <v>2456</v>
      </c>
      <c r="M616" s="0" t="s">
        <v>247</v>
      </c>
      <c r="N616" s="0" t="s">
        <v>124</v>
      </c>
      <c r="P616" s="0" t="s">
        <v>236</v>
      </c>
      <c r="Q616" s="0" t="s">
        <v>236</v>
      </c>
      <c r="R616" s="0" t="s">
        <v>957</v>
      </c>
      <c r="S616" s="0" t="s">
        <v>21</v>
      </c>
      <c r="T616" s="0" t="s">
        <v>104</v>
      </c>
      <c r="V616" s="0" t="s">
        <v>820</v>
      </c>
      <c r="W616" s="0" t="s">
        <v>105</v>
      </c>
      <c r="X616" s="0" t="s">
        <v>2457</v>
      </c>
      <c r="Y616" s="0" t="s">
        <v>2458</v>
      </c>
      <c r="Z616" s="0" t="s">
        <v>1147</v>
      </c>
    </row>
    <row r="617" customFormat="false" ht="15" hidden="false" customHeight="false" outlineLevel="0" collapsed="false">
      <c r="A617" s="0" t="s">
        <v>21</v>
      </c>
      <c r="B617" s="0" t="s">
        <v>2459</v>
      </c>
      <c r="C617" s="0" t="s">
        <v>190</v>
      </c>
      <c r="D617" s="0" t="s">
        <v>1139</v>
      </c>
      <c r="H617" s="0" t="s">
        <v>2460</v>
      </c>
      <c r="I617" s="0" t="s">
        <v>2461</v>
      </c>
      <c r="J617" s="0" t="s">
        <v>157</v>
      </c>
      <c r="K617" s="0" t="s">
        <v>2462</v>
      </c>
      <c r="L617" s="0" t="s">
        <v>124</v>
      </c>
      <c r="M617" s="0" t="s">
        <v>232</v>
      </c>
      <c r="N617" s="0" t="s">
        <v>124</v>
      </c>
      <c r="P617" s="0" t="s">
        <v>236</v>
      </c>
      <c r="Q617" s="0" t="s">
        <v>236</v>
      </c>
      <c r="R617" s="0" t="s">
        <v>957</v>
      </c>
      <c r="S617" s="0" t="s">
        <v>21</v>
      </c>
      <c r="T617" s="0" t="s">
        <v>104</v>
      </c>
      <c r="V617" s="0" t="s">
        <v>539</v>
      </c>
      <c r="W617" s="0" t="s">
        <v>105</v>
      </c>
      <c r="Z617" s="0" t="s">
        <v>159</v>
      </c>
    </row>
    <row r="618" customFormat="false" ht="15" hidden="false" customHeight="false" outlineLevel="0" collapsed="false">
      <c r="A618" s="0" t="s">
        <v>21</v>
      </c>
      <c r="B618" s="0" t="s">
        <v>2463</v>
      </c>
      <c r="C618" s="0" t="s">
        <v>395</v>
      </c>
      <c r="D618" s="0" t="s">
        <v>2464</v>
      </c>
      <c r="E618" s="0" t="s">
        <v>2465</v>
      </c>
      <c r="G618" s="0" t="s">
        <v>1141</v>
      </c>
      <c r="H618" s="0" t="s">
        <v>2466</v>
      </c>
      <c r="I618" s="0" t="s">
        <v>2467</v>
      </c>
      <c r="J618" s="0" t="s">
        <v>157</v>
      </c>
      <c r="K618" s="0" t="s">
        <v>2462</v>
      </c>
      <c r="M618" s="0" t="s">
        <v>232</v>
      </c>
      <c r="N618" s="0" t="s">
        <v>124</v>
      </c>
      <c r="P618" s="0" t="s">
        <v>236</v>
      </c>
      <c r="Q618" s="0" t="s">
        <v>236</v>
      </c>
      <c r="R618" s="0" t="s">
        <v>957</v>
      </c>
      <c r="S618" s="0" t="s">
        <v>21</v>
      </c>
      <c r="T618" s="0" t="s">
        <v>104</v>
      </c>
      <c r="V618" s="0" t="s">
        <v>820</v>
      </c>
      <c r="W618" s="0" t="s">
        <v>105</v>
      </c>
      <c r="X618" s="0" t="s">
        <v>2468</v>
      </c>
      <c r="Y618" s="0" t="s">
        <v>2469</v>
      </c>
      <c r="Z618" s="0" t="s">
        <v>1147</v>
      </c>
    </row>
    <row r="619" customFormat="false" ht="15" hidden="false" customHeight="false" outlineLevel="0" collapsed="false">
      <c r="A619" s="0" t="s">
        <v>21</v>
      </c>
      <c r="B619" s="0" t="s">
        <v>2470</v>
      </c>
      <c r="C619" s="0" t="s">
        <v>395</v>
      </c>
      <c r="D619" s="0" t="s">
        <v>2471</v>
      </c>
      <c r="E619" s="0" t="s">
        <v>2472</v>
      </c>
      <c r="G619" s="0" t="s">
        <v>2394</v>
      </c>
      <c r="H619" s="0" t="s">
        <v>2473</v>
      </c>
      <c r="I619" s="0" t="s">
        <v>2474</v>
      </c>
      <c r="J619" s="0" t="s">
        <v>275</v>
      </c>
      <c r="K619" s="0" t="s">
        <v>2475</v>
      </c>
      <c r="M619" s="0" t="s">
        <v>178</v>
      </c>
      <c r="N619" s="0" t="s">
        <v>124</v>
      </c>
      <c r="P619" s="0" t="s">
        <v>236</v>
      </c>
      <c r="Q619" s="0" t="s">
        <v>236</v>
      </c>
      <c r="R619" s="0" t="s">
        <v>957</v>
      </c>
      <c r="S619" s="0" t="s">
        <v>21</v>
      </c>
      <c r="T619" s="0" t="s">
        <v>104</v>
      </c>
      <c r="V619" s="0" t="s">
        <v>820</v>
      </c>
      <c r="W619" s="0" t="s">
        <v>105</v>
      </c>
      <c r="X619" s="0" t="s">
        <v>2476</v>
      </c>
      <c r="Y619" s="0" t="s">
        <v>2477</v>
      </c>
      <c r="Z619" s="0" t="s">
        <v>1147</v>
      </c>
    </row>
    <row r="620" customFormat="false" ht="15" hidden="false" customHeight="false" outlineLevel="0" collapsed="false">
      <c r="A620" s="0" t="s">
        <v>21</v>
      </c>
      <c r="B620" s="0" t="s">
        <v>2478</v>
      </c>
      <c r="C620" s="0" t="s">
        <v>395</v>
      </c>
      <c r="D620" s="0" t="s">
        <v>2479</v>
      </c>
      <c r="E620" s="0" t="s">
        <v>2480</v>
      </c>
      <c r="G620" s="0" t="s">
        <v>2394</v>
      </c>
      <c r="H620" s="0" t="s">
        <v>2481</v>
      </c>
      <c r="I620" s="0" t="s">
        <v>2482</v>
      </c>
      <c r="J620" s="0" t="s">
        <v>157</v>
      </c>
      <c r="K620" s="0" t="s">
        <v>2483</v>
      </c>
      <c r="M620" s="0" t="s">
        <v>232</v>
      </c>
      <c r="N620" s="0" t="s">
        <v>124</v>
      </c>
      <c r="P620" s="0" t="s">
        <v>236</v>
      </c>
      <c r="Q620" s="0" t="s">
        <v>236</v>
      </c>
      <c r="R620" s="0" t="s">
        <v>957</v>
      </c>
      <c r="S620" s="0" t="s">
        <v>21</v>
      </c>
      <c r="T620" s="0" t="s">
        <v>104</v>
      </c>
      <c r="V620" s="0" t="s">
        <v>820</v>
      </c>
      <c r="W620" s="0" t="s">
        <v>105</v>
      </c>
      <c r="X620" s="0" t="s">
        <v>2484</v>
      </c>
      <c r="Y620" s="0" t="s">
        <v>2485</v>
      </c>
      <c r="Z620" s="0" t="s">
        <v>1147</v>
      </c>
    </row>
    <row r="621" customFormat="false" ht="15" hidden="false" customHeight="false" outlineLevel="0" collapsed="false">
      <c r="A621" s="0" t="s">
        <v>21</v>
      </c>
      <c r="B621" s="0" t="s">
        <v>2486</v>
      </c>
      <c r="C621" s="0" t="s">
        <v>395</v>
      </c>
      <c r="D621" s="0" t="s">
        <v>2487</v>
      </c>
      <c r="E621" s="0" t="s">
        <v>2488</v>
      </c>
      <c r="G621" s="0" t="s">
        <v>2394</v>
      </c>
      <c r="H621" s="0" t="s">
        <v>2489</v>
      </c>
      <c r="I621" s="0" t="s">
        <v>2490</v>
      </c>
      <c r="J621" s="0" t="s">
        <v>157</v>
      </c>
      <c r="K621" s="0" t="s">
        <v>2491</v>
      </c>
      <c r="M621" s="0" t="s">
        <v>232</v>
      </c>
      <c r="N621" s="0" t="s">
        <v>124</v>
      </c>
      <c r="P621" s="0" t="s">
        <v>236</v>
      </c>
      <c r="Q621" s="0" t="s">
        <v>236</v>
      </c>
      <c r="R621" s="0" t="s">
        <v>957</v>
      </c>
      <c r="S621" s="0" t="s">
        <v>21</v>
      </c>
      <c r="T621" s="0" t="s">
        <v>104</v>
      </c>
      <c r="V621" s="0" t="s">
        <v>820</v>
      </c>
      <c r="W621" s="0" t="s">
        <v>105</v>
      </c>
      <c r="X621" s="0" t="s">
        <v>2492</v>
      </c>
      <c r="Y621" s="0" t="s">
        <v>2493</v>
      </c>
      <c r="Z621" s="0" t="s">
        <v>1147</v>
      </c>
    </row>
    <row r="622" customFormat="false" ht="15" hidden="false" customHeight="false" outlineLevel="0" collapsed="false">
      <c r="A622" s="0" t="s">
        <v>21</v>
      </c>
      <c r="B622" s="0" t="s">
        <v>2494</v>
      </c>
      <c r="C622" s="0" t="s">
        <v>395</v>
      </c>
      <c r="D622" s="0" t="s">
        <v>2495</v>
      </c>
      <c r="E622" s="0" t="s">
        <v>2496</v>
      </c>
      <c r="G622" s="0" t="s">
        <v>2394</v>
      </c>
      <c r="H622" s="0" t="s">
        <v>2497</v>
      </c>
      <c r="I622" s="0" t="s">
        <v>2498</v>
      </c>
      <c r="J622" s="0" t="s">
        <v>157</v>
      </c>
      <c r="K622" s="0" t="s">
        <v>2149</v>
      </c>
      <c r="M622" s="0" t="s">
        <v>232</v>
      </c>
      <c r="N622" s="0" t="s">
        <v>124</v>
      </c>
      <c r="P622" s="0" t="s">
        <v>236</v>
      </c>
      <c r="Q622" s="0" t="s">
        <v>236</v>
      </c>
      <c r="R622" s="0" t="s">
        <v>957</v>
      </c>
      <c r="S622" s="0" t="s">
        <v>21</v>
      </c>
      <c r="T622" s="0" t="s">
        <v>104</v>
      </c>
      <c r="V622" s="0" t="s">
        <v>820</v>
      </c>
      <c r="W622" s="0" t="s">
        <v>105</v>
      </c>
      <c r="X622" s="0" t="s">
        <v>2499</v>
      </c>
      <c r="Y622" s="0" t="s">
        <v>2500</v>
      </c>
      <c r="Z622" s="0" t="s">
        <v>1147</v>
      </c>
      <c r="AA622" s="0" t="s">
        <v>807</v>
      </c>
    </row>
    <row r="623" customFormat="false" ht="15" hidden="false" customHeight="false" outlineLevel="0" collapsed="false">
      <c r="A623" s="0" t="s">
        <v>21</v>
      </c>
      <c r="B623" s="0" t="s">
        <v>2501</v>
      </c>
      <c r="C623" s="0" t="s">
        <v>190</v>
      </c>
      <c r="D623" s="0" t="s">
        <v>1139</v>
      </c>
      <c r="H623" s="0" t="s">
        <v>2502</v>
      </c>
      <c r="I623" s="0" t="s">
        <v>2503</v>
      </c>
      <c r="J623" s="0" t="s">
        <v>218</v>
      </c>
      <c r="K623" s="0" t="s">
        <v>1251</v>
      </c>
      <c r="L623" s="0" t="s">
        <v>124</v>
      </c>
      <c r="M623" s="0" t="s">
        <v>220</v>
      </c>
      <c r="N623" s="0" t="s">
        <v>124</v>
      </c>
      <c r="P623" s="0" t="s">
        <v>236</v>
      </c>
      <c r="Q623" s="0" t="s">
        <v>236</v>
      </c>
      <c r="R623" s="0" t="s">
        <v>957</v>
      </c>
      <c r="S623" s="0" t="s">
        <v>21</v>
      </c>
      <c r="T623" s="0" t="s">
        <v>104</v>
      </c>
      <c r="V623" s="0" t="s">
        <v>539</v>
      </c>
      <c r="W623" s="0" t="s">
        <v>105</v>
      </c>
      <c r="Z623" s="0" t="s">
        <v>159</v>
      </c>
    </row>
    <row r="624" customFormat="false" ht="15" hidden="false" customHeight="false" outlineLevel="0" collapsed="false">
      <c r="A624" s="0" t="s">
        <v>21</v>
      </c>
      <c r="B624" s="0" t="s">
        <v>2504</v>
      </c>
      <c r="C624" s="0" t="s">
        <v>97</v>
      </c>
      <c r="D624" s="0" t="s">
        <v>1139</v>
      </c>
      <c r="E624" s="0" t="s">
        <v>2505</v>
      </c>
      <c r="M624" s="0" t="s">
        <v>143</v>
      </c>
      <c r="N624" s="0" t="s">
        <v>124</v>
      </c>
      <c r="P624" s="0" t="s">
        <v>236</v>
      </c>
      <c r="Q624" s="0" t="s">
        <v>236</v>
      </c>
      <c r="R624" s="0" t="s">
        <v>957</v>
      </c>
      <c r="S624" s="0" t="s">
        <v>21</v>
      </c>
      <c r="T624" s="0" t="s">
        <v>104</v>
      </c>
      <c r="U624" s="0" t="s">
        <v>368</v>
      </c>
      <c r="V624" s="0" t="s">
        <v>820</v>
      </c>
      <c r="W624" s="0" t="s">
        <v>105</v>
      </c>
    </row>
    <row r="625" customFormat="false" ht="15" hidden="false" customHeight="false" outlineLevel="0" collapsed="false">
      <c r="A625" s="0" t="s">
        <v>21</v>
      </c>
      <c r="B625" s="0" t="s">
        <v>2506</v>
      </c>
      <c r="C625" s="0" t="s">
        <v>97</v>
      </c>
      <c r="D625" s="0" t="s">
        <v>1139</v>
      </c>
      <c r="E625" s="0" t="s">
        <v>2507</v>
      </c>
      <c r="M625" s="0" t="s">
        <v>232</v>
      </c>
      <c r="N625" s="0" t="s">
        <v>124</v>
      </c>
      <c r="P625" s="0" t="s">
        <v>236</v>
      </c>
      <c r="Q625" s="0" t="s">
        <v>236</v>
      </c>
      <c r="R625" s="0" t="s">
        <v>957</v>
      </c>
      <c r="S625" s="0" t="s">
        <v>21</v>
      </c>
      <c r="T625" s="0" t="s">
        <v>104</v>
      </c>
      <c r="U625" s="0" t="s">
        <v>368</v>
      </c>
      <c r="V625" s="0" t="s">
        <v>820</v>
      </c>
      <c r="W625" s="0" t="s">
        <v>105</v>
      </c>
    </row>
    <row r="626" customFormat="false" ht="15" hidden="false" customHeight="false" outlineLevel="0" collapsed="false">
      <c r="A626" s="0" t="s">
        <v>21</v>
      </c>
      <c r="B626" s="0" t="s">
        <v>2508</v>
      </c>
      <c r="C626" s="0" t="s">
        <v>97</v>
      </c>
      <c r="D626" s="0" t="s">
        <v>1139</v>
      </c>
      <c r="E626" s="0" t="s">
        <v>2509</v>
      </c>
      <c r="M626" s="0" t="s">
        <v>881</v>
      </c>
      <c r="N626" s="0" t="s">
        <v>124</v>
      </c>
      <c r="P626" s="0" t="s">
        <v>236</v>
      </c>
      <c r="Q626" s="0" t="s">
        <v>236</v>
      </c>
      <c r="R626" s="0" t="s">
        <v>957</v>
      </c>
      <c r="S626" s="0" t="s">
        <v>21</v>
      </c>
      <c r="T626" s="0" t="s">
        <v>104</v>
      </c>
      <c r="V626" s="0" t="s">
        <v>820</v>
      </c>
      <c r="W626" s="0" t="s">
        <v>105</v>
      </c>
    </row>
    <row r="627" customFormat="false" ht="15" hidden="false" customHeight="false" outlineLevel="0" collapsed="false">
      <c r="A627" s="0" t="s">
        <v>21</v>
      </c>
      <c r="B627" s="0" t="s">
        <v>2510</v>
      </c>
      <c r="C627" s="0" t="s">
        <v>97</v>
      </c>
      <c r="D627" s="0" t="s">
        <v>1139</v>
      </c>
      <c r="E627" s="0" t="s">
        <v>2511</v>
      </c>
      <c r="M627" s="0" t="s">
        <v>208</v>
      </c>
      <c r="N627" s="0" t="s">
        <v>124</v>
      </c>
      <c r="P627" s="0" t="s">
        <v>236</v>
      </c>
      <c r="Q627" s="0" t="s">
        <v>236</v>
      </c>
      <c r="R627" s="0" t="s">
        <v>957</v>
      </c>
      <c r="S627" s="0" t="s">
        <v>21</v>
      </c>
      <c r="T627" s="0" t="s">
        <v>104</v>
      </c>
      <c r="U627" s="0" t="s">
        <v>368</v>
      </c>
      <c r="V627" s="0" t="s">
        <v>820</v>
      </c>
      <c r="W627" s="0" t="s">
        <v>105</v>
      </c>
    </row>
    <row r="628" customFormat="false" ht="15" hidden="false" customHeight="false" outlineLevel="0" collapsed="false">
      <c r="A628" s="0" t="s">
        <v>21</v>
      </c>
      <c r="B628" s="0" t="s">
        <v>2512</v>
      </c>
      <c r="C628" s="0" t="s">
        <v>97</v>
      </c>
      <c r="D628" s="0" t="s">
        <v>1139</v>
      </c>
      <c r="E628" s="0" t="s">
        <v>2513</v>
      </c>
      <c r="M628" s="0" t="s">
        <v>220</v>
      </c>
      <c r="N628" s="0" t="s">
        <v>124</v>
      </c>
      <c r="P628" s="0" t="s">
        <v>236</v>
      </c>
      <c r="Q628" s="0" t="s">
        <v>236</v>
      </c>
      <c r="R628" s="0" t="s">
        <v>957</v>
      </c>
      <c r="S628" s="0" t="s">
        <v>21</v>
      </c>
      <c r="T628" s="0" t="s">
        <v>104</v>
      </c>
      <c r="U628" s="0" t="s">
        <v>368</v>
      </c>
      <c r="V628" s="0" t="s">
        <v>820</v>
      </c>
      <c r="W628" s="0" t="s">
        <v>105</v>
      </c>
    </row>
    <row r="629" customFormat="false" ht="15" hidden="false" customHeight="false" outlineLevel="0" collapsed="false">
      <c r="A629" s="0" t="s">
        <v>21</v>
      </c>
      <c r="B629" s="0" t="s">
        <v>2514</v>
      </c>
      <c r="C629" s="0" t="s">
        <v>97</v>
      </c>
      <c r="D629" s="0" t="s">
        <v>1139</v>
      </c>
      <c r="E629" s="0" t="s">
        <v>2515</v>
      </c>
      <c r="M629" s="0" t="s">
        <v>121</v>
      </c>
      <c r="N629" s="0" t="s">
        <v>124</v>
      </c>
      <c r="P629" s="0" t="s">
        <v>236</v>
      </c>
      <c r="Q629" s="0" t="s">
        <v>236</v>
      </c>
      <c r="R629" s="0" t="s">
        <v>957</v>
      </c>
      <c r="S629" s="0" t="s">
        <v>21</v>
      </c>
      <c r="T629" s="0" t="s">
        <v>104</v>
      </c>
      <c r="U629" s="0" t="s">
        <v>368</v>
      </c>
      <c r="V629" s="0" t="s">
        <v>820</v>
      </c>
      <c r="W629" s="0" t="s">
        <v>105</v>
      </c>
    </row>
    <row r="630" customFormat="false" ht="15" hidden="false" customHeight="false" outlineLevel="0" collapsed="false">
      <c r="A630" s="0" t="s">
        <v>21</v>
      </c>
      <c r="B630" s="0" t="s">
        <v>2516</v>
      </c>
      <c r="C630" s="0" t="s">
        <v>97</v>
      </c>
      <c r="D630" s="0" t="s">
        <v>1139</v>
      </c>
      <c r="E630" s="0" t="s">
        <v>2517</v>
      </c>
      <c r="M630" s="0" t="s">
        <v>178</v>
      </c>
      <c r="N630" s="0" t="s">
        <v>124</v>
      </c>
      <c r="P630" s="0" t="s">
        <v>236</v>
      </c>
      <c r="Q630" s="0" t="s">
        <v>236</v>
      </c>
      <c r="R630" s="0" t="s">
        <v>957</v>
      </c>
      <c r="S630" s="0" t="s">
        <v>21</v>
      </c>
      <c r="T630" s="0" t="s">
        <v>104</v>
      </c>
      <c r="U630" s="0" t="s">
        <v>368</v>
      </c>
      <c r="V630" s="0" t="s">
        <v>820</v>
      </c>
      <c r="W630" s="0" t="s">
        <v>105</v>
      </c>
    </row>
    <row r="631" customFormat="false" ht="15" hidden="false" customHeight="false" outlineLevel="0" collapsed="false">
      <c r="A631" s="0" t="s">
        <v>21</v>
      </c>
      <c r="B631" s="0" t="s">
        <v>2518</v>
      </c>
      <c r="C631" s="0" t="s">
        <v>97</v>
      </c>
      <c r="D631" s="0" t="s">
        <v>1139</v>
      </c>
      <c r="E631" s="0" t="s">
        <v>2519</v>
      </c>
      <c r="M631" s="0" t="s">
        <v>247</v>
      </c>
      <c r="N631" s="0" t="s">
        <v>124</v>
      </c>
      <c r="P631" s="0" t="s">
        <v>236</v>
      </c>
      <c r="Q631" s="0" t="s">
        <v>236</v>
      </c>
      <c r="R631" s="0" t="s">
        <v>957</v>
      </c>
      <c r="S631" s="0" t="s">
        <v>21</v>
      </c>
      <c r="T631" s="0" t="s">
        <v>104</v>
      </c>
      <c r="U631" s="0" t="s">
        <v>368</v>
      </c>
      <c r="V631" s="0" t="s">
        <v>820</v>
      </c>
      <c r="W631" s="0" t="s">
        <v>105</v>
      </c>
    </row>
    <row r="632" customFormat="false" ht="15" hidden="false" customHeight="false" outlineLevel="0" collapsed="false">
      <c r="A632" s="0" t="s">
        <v>21</v>
      </c>
      <c r="B632" s="0" t="s">
        <v>2520</v>
      </c>
      <c r="C632" s="0" t="s">
        <v>97</v>
      </c>
      <c r="D632" s="0" t="s">
        <v>2521</v>
      </c>
      <c r="E632" s="0" t="s">
        <v>2522</v>
      </c>
      <c r="M632" s="0" t="s">
        <v>656</v>
      </c>
      <c r="N632" s="0" t="s">
        <v>101</v>
      </c>
      <c r="P632" s="0" t="s">
        <v>102</v>
      </c>
      <c r="Q632" s="0" t="s">
        <v>102</v>
      </c>
      <c r="R632" s="0" t="s">
        <v>144</v>
      </c>
      <c r="S632" s="0" t="s">
        <v>21</v>
      </c>
      <c r="T632" s="0" t="s">
        <v>104</v>
      </c>
      <c r="W632" s="0" t="s">
        <v>105</v>
      </c>
      <c r="AB632" s="0" t="s">
        <v>2523</v>
      </c>
    </row>
    <row r="633" customFormat="false" ht="15" hidden="false" customHeight="false" outlineLevel="0" collapsed="false">
      <c r="A633" s="0" t="s">
        <v>21</v>
      </c>
      <c r="B633" s="0" t="s">
        <v>2524</v>
      </c>
      <c r="C633" s="0" t="s">
        <v>97</v>
      </c>
      <c r="D633" s="0" t="s">
        <v>2525</v>
      </c>
      <c r="E633" s="0" t="s">
        <v>2526</v>
      </c>
      <c r="M633" s="0" t="s">
        <v>656</v>
      </c>
      <c r="N633" s="0" t="s">
        <v>101</v>
      </c>
      <c r="P633" s="0" t="s">
        <v>102</v>
      </c>
      <c r="Q633" s="0" t="s">
        <v>102</v>
      </c>
      <c r="R633" s="0" t="s">
        <v>144</v>
      </c>
      <c r="S633" s="0" t="s">
        <v>21</v>
      </c>
      <c r="T633" s="0" t="s">
        <v>104</v>
      </c>
      <c r="W633" s="0" t="s">
        <v>105</v>
      </c>
      <c r="AB633" s="0" t="s">
        <v>2523</v>
      </c>
    </row>
    <row r="634" customFormat="false" ht="15" hidden="false" customHeight="false" outlineLevel="0" collapsed="false">
      <c r="A634" s="0" t="s">
        <v>21</v>
      </c>
      <c r="B634" s="0" t="s">
        <v>2527</v>
      </c>
      <c r="C634" s="0" t="s">
        <v>97</v>
      </c>
      <c r="D634" s="0" t="s">
        <v>2528</v>
      </c>
      <c r="E634" s="0" t="s">
        <v>2529</v>
      </c>
      <c r="F634" s="0" t="s">
        <v>2529</v>
      </c>
      <c r="M634" s="0" t="s">
        <v>456</v>
      </c>
      <c r="N634" s="0" t="s">
        <v>101</v>
      </c>
      <c r="P634" s="0" t="s">
        <v>102</v>
      </c>
      <c r="Q634" s="0" t="s">
        <v>102</v>
      </c>
      <c r="R634" s="0" t="s">
        <v>144</v>
      </c>
      <c r="S634" s="0" t="s">
        <v>21</v>
      </c>
      <c r="T634" s="0" t="s">
        <v>104</v>
      </c>
      <c r="W634" s="0" t="s">
        <v>105</v>
      </c>
      <c r="AB634" s="0" t="s">
        <v>2523</v>
      </c>
    </row>
    <row r="635" customFormat="false" ht="15" hidden="false" customHeight="false" outlineLevel="0" collapsed="false">
      <c r="A635" s="0" t="s">
        <v>21</v>
      </c>
      <c r="B635" s="0" t="s">
        <v>2530</v>
      </c>
      <c r="C635" s="0" t="s">
        <v>110</v>
      </c>
      <c r="D635" s="0" t="s">
        <v>2531</v>
      </c>
      <c r="E635" s="0" t="s">
        <v>2532</v>
      </c>
      <c r="G635" s="0" t="s">
        <v>2533</v>
      </c>
      <c r="H635" s="0" t="s">
        <v>2534</v>
      </c>
      <c r="I635" s="0" t="s">
        <v>2535</v>
      </c>
      <c r="J635" s="0" t="s">
        <v>218</v>
      </c>
      <c r="K635" s="0" t="s">
        <v>2536</v>
      </c>
      <c r="L635" s="0" t="s">
        <v>124</v>
      </c>
      <c r="M635" s="0" t="s">
        <v>220</v>
      </c>
      <c r="N635" s="0" t="s">
        <v>124</v>
      </c>
      <c r="P635" s="0" t="s">
        <v>102</v>
      </c>
      <c r="Q635" s="0" t="s">
        <v>102</v>
      </c>
      <c r="R635" s="0" t="s">
        <v>113</v>
      </c>
      <c r="S635" s="0" t="s">
        <v>21</v>
      </c>
      <c r="T635" s="0" t="s">
        <v>104</v>
      </c>
      <c r="W635" s="0" t="s">
        <v>105</v>
      </c>
      <c r="X635" s="0" t="s">
        <v>2537</v>
      </c>
      <c r="Y635" s="0" t="s">
        <v>2538</v>
      </c>
      <c r="Z635" s="0" t="s">
        <v>134</v>
      </c>
      <c r="AB635" s="0" t="s">
        <v>760</v>
      </c>
    </row>
    <row r="636" customFormat="false" ht="15" hidden="false" customHeight="false" outlineLevel="0" collapsed="false">
      <c r="A636" s="0" t="s">
        <v>21</v>
      </c>
      <c r="B636" s="0" t="s">
        <v>2539</v>
      </c>
      <c r="C636" s="0" t="s">
        <v>200</v>
      </c>
      <c r="D636" s="0" t="s">
        <v>2540</v>
      </c>
      <c r="E636" s="0" t="s">
        <v>2541</v>
      </c>
      <c r="G636" s="0" t="s">
        <v>2542</v>
      </c>
      <c r="H636" s="0" t="s">
        <v>2543</v>
      </c>
      <c r="I636" s="0" t="s">
        <v>598</v>
      </c>
      <c r="J636" s="0" t="s">
        <v>275</v>
      </c>
      <c r="K636" s="0" t="s">
        <v>606</v>
      </c>
      <c r="L636" s="0" t="s">
        <v>124</v>
      </c>
      <c r="M636" s="0" t="s">
        <v>178</v>
      </c>
      <c r="N636" s="0" t="s">
        <v>124</v>
      </c>
      <c r="P636" s="0" t="s">
        <v>102</v>
      </c>
      <c r="Q636" s="0" t="s">
        <v>102</v>
      </c>
      <c r="R636" s="0" t="s">
        <v>144</v>
      </c>
      <c r="S636" s="0" t="s">
        <v>21</v>
      </c>
      <c r="T636" s="0" t="s">
        <v>104</v>
      </c>
      <c r="W636" s="0" t="s">
        <v>105</v>
      </c>
      <c r="X636" s="0" t="s">
        <v>2544</v>
      </c>
      <c r="Y636" s="0" t="s">
        <v>2545</v>
      </c>
      <c r="Z636" s="0" t="s">
        <v>2546</v>
      </c>
      <c r="AB636" s="0" t="s">
        <v>209</v>
      </c>
    </row>
    <row r="637" customFormat="false" ht="15" hidden="false" customHeight="false" outlineLevel="0" collapsed="false">
      <c r="A637" s="0" t="s">
        <v>21</v>
      </c>
      <c r="B637" s="0" t="s">
        <v>2547</v>
      </c>
      <c r="C637" s="0" t="s">
        <v>1067</v>
      </c>
      <c r="D637" s="0" t="s">
        <v>2548</v>
      </c>
      <c r="E637" s="0" t="s">
        <v>2549</v>
      </c>
      <c r="H637" s="0" t="s">
        <v>2550</v>
      </c>
      <c r="I637" s="0" t="s">
        <v>2551</v>
      </c>
      <c r="J637" s="0" t="s">
        <v>218</v>
      </c>
      <c r="K637" s="0" t="s">
        <v>1251</v>
      </c>
      <c r="L637" s="0" t="s">
        <v>124</v>
      </c>
      <c r="M637" s="0" t="s">
        <v>220</v>
      </c>
      <c r="N637" s="0" t="s">
        <v>124</v>
      </c>
      <c r="P637" s="0" t="s">
        <v>204</v>
      </c>
      <c r="Q637" s="0" t="s">
        <v>204</v>
      </c>
      <c r="R637" s="0" t="s">
        <v>657</v>
      </c>
      <c r="S637" s="0" t="s">
        <v>21</v>
      </c>
      <c r="T637" s="0" t="s">
        <v>104</v>
      </c>
      <c r="V637" s="0" t="s">
        <v>351</v>
      </c>
      <c r="W637" s="0" t="s">
        <v>105</v>
      </c>
      <c r="X637" s="0" t="s">
        <v>2552</v>
      </c>
      <c r="Y637" s="0" t="s">
        <v>2553</v>
      </c>
      <c r="Z637" s="0" t="s">
        <v>2546</v>
      </c>
    </row>
    <row r="638" customFormat="false" ht="15" hidden="false" customHeight="false" outlineLevel="0" collapsed="false">
      <c r="A638" s="0" t="s">
        <v>21</v>
      </c>
      <c r="B638" s="0" t="s">
        <v>2554</v>
      </c>
      <c r="C638" s="0" t="s">
        <v>200</v>
      </c>
      <c r="D638" s="0" t="s">
        <v>2540</v>
      </c>
      <c r="E638" s="0" t="s">
        <v>2555</v>
      </c>
      <c r="H638" s="0" t="s">
        <v>2556</v>
      </c>
      <c r="I638" s="0" t="s">
        <v>2557</v>
      </c>
      <c r="J638" s="0" t="s">
        <v>218</v>
      </c>
      <c r="K638" s="0" t="s">
        <v>1555</v>
      </c>
      <c r="L638" s="0" t="s">
        <v>124</v>
      </c>
      <c r="M638" s="0" t="s">
        <v>220</v>
      </c>
      <c r="N638" s="0" t="s">
        <v>124</v>
      </c>
      <c r="P638" s="0" t="s">
        <v>102</v>
      </c>
      <c r="Q638" s="0" t="s">
        <v>102</v>
      </c>
      <c r="R638" s="0" t="s">
        <v>144</v>
      </c>
      <c r="S638" s="0" t="s">
        <v>21</v>
      </c>
      <c r="T638" s="0" t="s">
        <v>104</v>
      </c>
      <c r="W638" s="0" t="s">
        <v>105</v>
      </c>
      <c r="X638" s="0" t="s">
        <v>2558</v>
      </c>
      <c r="Y638" s="0" t="s">
        <v>2559</v>
      </c>
      <c r="Z638" s="0" t="s">
        <v>2546</v>
      </c>
    </row>
    <row r="639" customFormat="false" ht="15" hidden="false" customHeight="false" outlineLevel="0" collapsed="false">
      <c r="A639" s="0" t="s">
        <v>21</v>
      </c>
      <c r="B639" s="0" t="s">
        <v>2560</v>
      </c>
      <c r="C639" s="0" t="s">
        <v>139</v>
      </c>
      <c r="D639" s="0" t="s">
        <v>2561</v>
      </c>
      <c r="E639" s="0" t="s">
        <v>2561</v>
      </c>
      <c r="G639" s="0" t="s">
        <v>2562</v>
      </c>
      <c r="M639" s="0" t="s">
        <v>247</v>
      </c>
      <c r="N639" s="0" t="s">
        <v>124</v>
      </c>
      <c r="P639" s="0" t="s">
        <v>102</v>
      </c>
      <c r="Q639" s="0" t="s">
        <v>102</v>
      </c>
      <c r="R639" s="0" t="s">
        <v>113</v>
      </c>
      <c r="S639" s="0" t="s">
        <v>21</v>
      </c>
      <c r="T639" s="0" t="s">
        <v>104</v>
      </c>
      <c r="W639" s="0" t="s">
        <v>105</v>
      </c>
      <c r="AB639" s="0" t="s">
        <v>2563</v>
      </c>
    </row>
    <row r="640" customFormat="false" ht="15" hidden="false" customHeight="false" outlineLevel="0" collapsed="false">
      <c r="A640" s="0" t="s">
        <v>21</v>
      </c>
      <c r="B640" s="0" t="s">
        <v>2564</v>
      </c>
      <c r="C640" s="0" t="s">
        <v>97</v>
      </c>
      <c r="D640" s="0" t="s">
        <v>2565</v>
      </c>
      <c r="E640" s="0" t="s">
        <v>2566</v>
      </c>
      <c r="H640" s="0" t="s">
        <v>2567</v>
      </c>
      <c r="I640" s="0" t="s">
        <v>2568</v>
      </c>
      <c r="J640" s="0" t="s">
        <v>220</v>
      </c>
      <c r="K640" s="0" t="s">
        <v>2569</v>
      </c>
      <c r="L640" s="0" t="s">
        <v>124</v>
      </c>
      <c r="M640" s="0" t="s">
        <v>220</v>
      </c>
      <c r="N640" s="0" t="s">
        <v>124</v>
      </c>
      <c r="P640" s="0" t="s">
        <v>204</v>
      </c>
      <c r="Q640" s="0" t="s">
        <v>204</v>
      </c>
      <c r="R640" s="0" t="s">
        <v>399</v>
      </c>
      <c r="S640" s="0" t="s">
        <v>21</v>
      </c>
      <c r="T640" s="0" t="s">
        <v>104</v>
      </c>
      <c r="W640" s="0" t="s">
        <v>105</v>
      </c>
      <c r="X640" s="0" t="s">
        <v>2570</v>
      </c>
      <c r="Y640" s="0" t="s">
        <v>2571</v>
      </c>
      <c r="Z640" s="0" t="s">
        <v>134</v>
      </c>
    </row>
    <row r="641" customFormat="false" ht="15" hidden="false" customHeight="false" outlineLevel="0" collapsed="false">
      <c r="A641" s="0" t="s">
        <v>21</v>
      </c>
      <c r="B641" s="0" t="s">
        <v>2572</v>
      </c>
      <c r="C641" s="0" t="s">
        <v>200</v>
      </c>
      <c r="D641" s="0" t="s">
        <v>2573</v>
      </c>
      <c r="E641" s="0" t="s">
        <v>2573</v>
      </c>
      <c r="M641" s="0" t="s">
        <v>247</v>
      </c>
      <c r="N641" s="0" t="s">
        <v>124</v>
      </c>
      <c r="P641" s="0" t="s">
        <v>130</v>
      </c>
      <c r="Q641" s="0" t="s">
        <v>130</v>
      </c>
      <c r="R641" s="0" t="s">
        <v>467</v>
      </c>
      <c r="S641" s="0" t="s">
        <v>21</v>
      </c>
      <c r="T641" s="0" t="s">
        <v>104</v>
      </c>
      <c r="W641" s="0" t="s">
        <v>105</v>
      </c>
      <c r="AB641" s="0" t="s">
        <v>2574</v>
      </c>
    </row>
    <row r="642" customFormat="false" ht="15" hidden="false" customHeight="false" outlineLevel="0" collapsed="false">
      <c r="A642" s="0" t="s">
        <v>21</v>
      </c>
      <c r="B642" s="0" t="s">
        <v>2575</v>
      </c>
      <c r="C642" s="0" t="s">
        <v>97</v>
      </c>
      <c r="D642" s="0" t="s">
        <v>2576</v>
      </c>
      <c r="E642" s="0" t="s">
        <v>2576</v>
      </c>
      <c r="F642" s="0" t="s">
        <v>2577</v>
      </c>
      <c r="G642" s="0" t="s">
        <v>2578</v>
      </c>
      <c r="H642" s="0" t="s">
        <v>2579</v>
      </c>
      <c r="I642" s="0" t="s">
        <v>2580</v>
      </c>
      <c r="J642" s="0" t="s">
        <v>247</v>
      </c>
      <c r="K642" s="0" t="s">
        <v>2581</v>
      </c>
      <c r="L642" s="0" t="s">
        <v>124</v>
      </c>
      <c r="M642" s="0" t="s">
        <v>247</v>
      </c>
      <c r="N642" s="0" t="s">
        <v>124</v>
      </c>
      <c r="P642" s="0" t="s">
        <v>102</v>
      </c>
      <c r="Q642" s="0" t="s">
        <v>102</v>
      </c>
      <c r="R642" s="0" t="s">
        <v>804</v>
      </c>
      <c r="S642" s="0" t="s">
        <v>21</v>
      </c>
      <c r="T642" s="0" t="s">
        <v>104</v>
      </c>
      <c r="W642" s="0" t="s">
        <v>105</v>
      </c>
      <c r="X642" s="0" t="s">
        <v>2582</v>
      </c>
      <c r="Y642" s="0" t="s">
        <v>2583</v>
      </c>
      <c r="Z642" s="0" t="s">
        <v>350</v>
      </c>
      <c r="AB642" s="0" t="s">
        <v>351</v>
      </c>
    </row>
    <row r="643" customFormat="false" ht="41.75" hidden="false" customHeight="false" outlineLevel="0" collapsed="false">
      <c r="A643" s="0" t="s">
        <v>21</v>
      </c>
      <c r="B643" s="0" t="s">
        <v>2584</v>
      </c>
      <c r="C643" s="0" t="s">
        <v>110</v>
      </c>
      <c r="D643" s="0" t="s">
        <v>2585</v>
      </c>
      <c r="E643" s="0" t="s">
        <v>2586</v>
      </c>
      <c r="G643" s="9" t="s">
        <v>2587</v>
      </c>
      <c r="H643" s="0" t="s">
        <v>2588</v>
      </c>
      <c r="I643" s="0" t="s">
        <v>2580</v>
      </c>
      <c r="J643" s="0" t="s">
        <v>245</v>
      </c>
      <c r="K643" s="0" t="s">
        <v>2581</v>
      </c>
      <c r="L643" s="0" t="s">
        <v>124</v>
      </c>
      <c r="M643" s="0" t="s">
        <v>247</v>
      </c>
      <c r="N643" s="0" t="s">
        <v>124</v>
      </c>
      <c r="P643" s="0" t="s">
        <v>102</v>
      </c>
      <c r="Q643" s="0" t="s">
        <v>102</v>
      </c>
      <c r="R643" s="0" t="s">
        <v>113</v>
      </c>
      <c r="S643" s="0" t="s">
        <v>21</v>
      </c>
      <c r="T643" s="0" t="s">
        <v>104</v>
      </c>
      <c r="W643" s="0" t="s">
        <v>105</v>
      </c>
      <c r="X643" s="0" t="s">
        <v>2589</v>
      </c>
      <c r="Y643" s="0" t="s">
        <v>2590</v>
      </c>
      <c r="Z643" s="0" t="s">
        <v>134</v>
      </c>
      <c r="AB643" s="0" t="s">
        <v>820</v>
      </c>
    </row>
    <row r="644" customFormat="false" ht="15" hidden="false" customHeight="false" outlineLevel="0" collapsed="false">
      <c r="A644" s="0" t="s">
        <v>21</v>
      </c>
      <c r="B644" s="0" t="s">
        <v>2591</v>
      </c>
      <c r="C644" s="0" t="s">
        <v>2145</v>
      </c>
      <c r="D644" s="0" t="s">
        <v>2592</v>
      </c>
      <c r="G644" s="0" t="s">
        <v>2593</v>
      </c>
      <c r="M644" s="0" t="s">
        <v>2594</v>
      </c>
      <c r="N644" s="0" t="s">
        <v>124</v>
      </c>
      <c r="P644" s="0" t="s">
        <v>102</v>
      </c>
      <c r="Q644" s="0" t="s">
        <v>102</v>
      </c>
      <c r="R644" s="0" t="s">
        <v>131</v>
      </c>
      <c r="S644" s="0" t="s">
        <v>21</v>
      </c>
      <c r="T644" s="0" t="s">
        <v>104</v>
      </c>
      <c r="W644" s="0" t="s">
        <v>105</v>
      </c>
      <c r="AB644" s="0" t="s">
        <v>209</v>
      </c>
    </row>
    <row r="645" customFormat="false" ht="15" hidden="false" customHeight="false" outlineLevel="0" collapsed="false">
      <c r="A645" s="0" t="s">
        <v>21</v>
      </c>
      <c r="B645" s="0" t="s">
        <v>2595</v>
      </c>
      <c r="C645" s="0" t="s">
        <v>174</v>
      </c>
      <c r="D645" s="0" t="s">
        <v>2596</v>
      </c>
      <c r="E645" s="0" t="s">
        <v>2597</v>
      </c>
      <c r="G645" s="0" t="s">
        <v>2598</v>
      </c>
      <c r="M645" s="0" t="s">
        <v>208</v>
      </c>
      <c r="N645" s="0" t="s">
        <v>124</v>
      </c>
      <c r="P645" s="0" t="s">
        <v>102</v>
      </c>
      <c r="Q645" s="0" t="s">
        <v>102</v>
      </c>
      <c r="R645" s="0" t="s">
        <v>131</v>
      </c>
      <c r="S645" s="0" t="s">
        <v>21</v>
      </c>
      <c r="T645" s="0" t="s">
        <v>104</v>
      </c>
      <c r="W645" s="0" t="s">
        <v>105</v>
      </c>
      <c r="AA645" s="0" t="s">
        <v>2599</v>
      </c>
      <c r="AB645" s="0" t="s">
        <v>2600</v>
      </c>
    </row>
    <row r="646" customFormat="false" ht="15" hidden="false" customHeight="false" outlineLevel="0" collapsed="false">
      <c r="A646" s="0" t="s">
        <v>21</v>
      </c>
      <c r="B646" s="0" t="s">
        <v>2601</v>
      </c>
      <c r="C646" s="0" t="s">
        <v>97</v>
      </c>
      <c r="D646" s="0" t="s">
        <v>932</v>
      </c>
      <c r="E646" s="0" t="s">
        <v>2602</v>
      </c>
      <c r="F646" s="0" t="s">
        <v>571</v>
      </c>
      <c r="G646" s="0" t="s">
        <v>2603</v>
      </c>
      <c r="H646" s="0" t="s">
        <v>2604</v>
      </c>
      <c r="I646" s="0" t="s">
        <v>598</v>
      </c>
      <c r="J646" s="0" t="s">
        <v>178</v>
      </c>
      <c r="K646" s="0" t="s">
        <v>599</v>
      </c>
      <c r="L646" s="0" t="s">
        <v>124</v>
      </c>
      <c r="M646" s="0" t="s">
        <v>178</v>
      </c>
      <c r="N646" s="0" t="s">
        <v>124</v>
      </c>
      <c r="P646" s="0" t="s">
        <v>102</v>
      </c>
      <c r="Q646" s="0" t="s">
        <v>102</v>
      </c>
      <c r="R646" s="0" t="s">
        <v>137</v>
      </c>
      <c r="S646" s="0" t="s">
        <v>21</v>
      </c>
      <c r="T646" s="0" t="s">
        <v>104</v>
      </c>
      <c r="W646" s="0" t="s">
        <v>105</v>
      </c>
      <c r="X646" s="0" t="s">
        <v>2605</v>
      </c>
      <c r="Y646" s="0" t="s">
        <v>2606</v>
      </c>
      <c r="Z646" s="0" t="s">
        <v>159</v>
      </c>
    </row>
    <row r="647" customFormat="false" ht="15" hidden="false" customHeight="false" outlineLevel="0" collapsed="false">
      <c r="A647" s="0" t="s">
        <v>21</v>
      </c>
      <c r="B647" s="0" t="s">
        <v>2607</v>
      </c>
      <c r="C647" s="0" t="s">
        <v>97</v>
      </c>
      <c r="E647" s="0" t="s">
        <v>2608</v>
      </c>
      <c r="H647" s="0" t="s">
        <v>2609</v>
      </c>
      <c r="I647" s="0" t="s">
        <v>2610</v>
      </c>
      <c r="J647" s="0" t="s">
        <v>178</v>
      </c>
      <c r="K647" s="0" t="s">
        <v>2611</v>
      </c>
      <c r="L647" s="0" t="s">
        <v>124</v>
      </c>
      <c r="M647" s="0" t="s">
        <v>178</v>
      </c>
      <c r="N647" s="0" t="s">
        <v>124</v>
      </c>
      <c r="P647" s="0" t="s">
        <v>204</v>
      </c>
      <c r="Q647" s="0" t="s">
        <v>204</v>
      </c>
      <c r="R647" s="0" t="s">
        <v>399</v>
      </c>
      <c r="S647" s="0" t="s">
        <v>21</v>
      </c>
      <c r="T647" s="0" t="s">
        <v>104</v>
      </c>
      <c r="W647" s="0" t="s">
        <v>105</v>
      </c>
      <c r="X647" s="0" t="s">
        <v>2612</v>
      </c>
      <c r="Y647" s="0" t="s">
        <v>2613</v>
      </c>
      <c r="Z647" s="0" t="s">
        <v>134</v>
      </c>
    </row>
    <row r="648" customFormat="false" ht="15" hidden="false" customHeight="false" outlineLevel="0" collapsed="false">
      <c r="A648" s="0" t="s">
        <v>21</v>
      </c>
      <c r="B648" s="0" t="s">
        <v>2614</v>
      </c>
      <c r="C648" s="0" t="s">
        <v>97</v>
      </c>
      <c r="E648" s="0" t="s">
        <v>2615</v>
      </c>
      <c r="M648" s="0" t="s">
        <v>2616</v>
      </c>
      <c r="N648" s="0" t="s">
        <v>124</v>
      </c>
      <c r="P648" s="0" t="s">
        <v>346</v>
      </c>
      <c r="Q648" s="0" t="s">
        <v>346</v>
      </c>
      <c r="R648" s="0" t="s">
        <v>2617</v>
      </c>
      <c r="S648" s="0" t="s">
        <v>21</v>
      </c>
      <c r="T648" s="0" t="s">
        <v>104</v>
      </c>
      <c r="W648" s="0" t="s">
        <v>105</v>
      </c>
    </row>
    <row r="649" customFormat="false" ht="15" hidden="false" customHeight="false" outlineLevel="0" collapsed="false">
      <c r="A649" s="0" t="s">
        <v>21</v>
      </c>
      <c r="B649" s="0" t="s">
        <v>2618</v>
      </c>
      <c r="C649" s="0" t="s">
        <v>97</v>
      </c>
      <c r="E649" s="0" t="s">
        <v>2619</v>
      </c>
      <c r="M649" s="0" t="s">
        <v>355</v>
      </c>
      <c r="N649" s="0" t="s">
        <v>124</v>
      </c>
      <c r="P649" s="0" t="s">
        <v>346</v>
      </c>
      <c r="Q649" s="0" t="s">
        <v>346</v>
      </c>
      <c r="R649" s="0" t="s">
        <v>2617</v>
      </c>
      <c r="S649" s="0" t="s">
        <v>21</v>
      </c>
      <c r="T649" s="0" t="s">
        <v>104</v>
      </c>
      <c r="W649" s="0" t="s">
        <v>105</v>
      </c>
    </row>
    <row r="650" customFormat="false" ht="15" hidden="false" customHeight="false" outlineLevel="0" collapsed="false">
      <c r="A650" s="0" t="s">
        <v>21</v>
      </c>
      <c r="B650" s="0" t="s">
        <v>2620</v>
      </c>
      <c r="C650" s="0" t="s">
        <v>97</v>
      </c>
      <c r="E650" s="0" t="s">
        <v>2621</v>
      </c>
      <c r="M650" s="0" t="s">
        <v>2616</v>
      </c>
      <c r="N650" s="0" t="s">
        <v>124</v>
      </c>
      <c r="P650" s="0" t="s">
        <v>346</v>
      </c>
      <c r="Q650" s="0" t="s">
        <v>346</v>
      </c>
      <c r="R650" s="0" t="s">
        <v>2617</v>
      </c>
      <c r="S650" s="0" t="s">
        <v>21</v>
      </c>
      <c r="T650" s="0" t="s">
        <v>104</v>
      </c>
      <c r="W650" s="0" t="s">
        <v>105</v>
      </c>
    </row>
    <row r="651" customFormat="false" ht="15" hidden="false" customHeight="false" outlineLevel="0" collapsed="false">
      <c r="A651" s="0" t="s">
        <v>21</v>
      </c>
      <c r="B651" s="0" t="s">
        <v>2622</v>
      </c>
      <c r="C651" s="0" t="s">
        <v>97</v>
      </c>
      <c r="E651" s="0" t="s">
        <v>613</v>
      </c>
      <c r="M651" s="0" t="s">
        <v>1151</v>
      </c>
      <c r="N651" s="0" t="s">
        <v>124</v>
      </c>
      <c r="P651" s="0" t="s">
        <v>130</v>
      </c>
      <c r="Q651" s="0" t="s">
        <v>130</v>
      </c>
      <c r="R651" s="0" t="s">
        <v>467</v>
      </c>
      <c r="S651" s="0" t="s">
        <v>21</v>
      </c>
      <c r="T651" s="0" t="s">
        <v>104</v>
      </c>
      <c r="W651" s="0" t="s">
        <v>105</v>
      </c>
    </row>
    <row r="652" customFormat="false" ht="15" hidden="false" customHeight="false" outlineLevel="0" collapsed="false">
      <c r="A652" s="0" t="s">
        <v>21</v>
      </c>
      <c r="B652" s="0" t="s">
        <v>2623</v>
      </c>
      <c r="C652" s="0" t="s">
        <v>97</v>
      </c>
      <c r="D652" s="0" t="s">
        <v>2624</v>
      </c>
      <c r="E652" s="0" t="s">
        <v>2625</v>
      </c>
      <c r="M652" s="0" t="s">
        <v>2626</v>
      </c>
      <c r="N652" s="0" t="s">
        <v>124</v>
      </c>
      <c r="P652" s="0" t="s">
        <v>346</v>
      </c>
      <c r="Q652" s="0" t="s">
        <v>346</v>
      </c>
      <c r="R652" s="0" t="s">
        <v>2617</v>
      </c>
      <c r="S652" s="0" t="s">
        <v>21</v>
      </c>
      <c r="T652" s="0" t="s">
        <v>104</v>
      </c>
      <c r="W652" s="0" t="s">
        <v>105</v>
      </c>
    </row>
    <row r="653" customFormat="false" ht="15" hidden="false" customHeight="false" outlineLevel="0" collapsed="false">
      <c r="A653" s="0" t="s">
        <v>21</v>
      </c>
      <c r="B653" s="0" t="s">
        <v>2627</v>
      </c>
      <c r="C653" s="0" t="s">
        <v>97</v>
      </c>
      <c r="D653" s="0" t="s">
        <v>2628</v>
      </c>
      <c r="E653" s="0" t="s">
        <v>2629</v>
      </c>
      <c r="H653" s="0" t="s">
        <v>654</v>
      </c>
      <c r="I653" s="0" t="s">
        <v>655</v>
      </c>
      <c r="J653" s="0" t="s">
        <v>100</v>
      </c>
      <c r="K653" s="0" t="s">
        <v>168</v>
      </c>
      <c r="L653" s="0" t="s">
        <v>101</v>
      </c>
      <c r="M653" s="0" t="s">
        <v>656</v>
      </c>
      <c r="N653" s="0" t="s">
        <v>101</v>
      </c>
      <c r="P653" s="0" t="s">
        <v>204</v>
      </c>
      <c r="Q653" s="0" t="s">
        <v>204</v>
      </c>
      <c r="R653" s="0" t="s">
        <v>399</v>
      </c>
      <c r="S653" s="0" t="s">
        <v>21</v>
      </c>
      <c r="T653" s="0" t="s">
        <v>104</v>
      </c>
      <c r="W653" s="0" t="s">
        <v>105</v>
      </c>
      <c r="X653" s="0" t="s">
        <v>658</v>
      </c>
      <c r="Y653" s="0" t="s">
        <v>659</v>
      </c>
    </row>
    <row r="654" customFormat="false" ht="15" hidden="false" customHeight="false" outlineLevel="0" collapsed="false">
      <c r="A654" s="0" t="s">
        <v>21</v>
      </c>
      <c r="B654" s="0" t="s">
        <v>2630</v>
      </c>
      <c r="C654" s="0" t="s">
        <v>97</v>
      </c>
      <c r="D654" s="0" t="s">
        <v>2631</v>
      </c>
      <c r="E654" s="0" t="s">
        <v>2632</v>
      </c>
      <c r="F654" s="0" t="s">
        <v>2633</v>
      </c>
      <c r="H654" s="0" t="s">
        <v>2634</v>
      </c>
      <c r="I654" s="0" t="s">
        <v>2635</v>
      </c>
      <c r="J654" s="0" t="s">
        <v>232</v>
      </c>
      <c r="K654" s="0" t="s">
        <v>2636</v>
      </c>
      <c r="L654" s="0" t="s">
        <v>124</v>
      </c>
      <c r="M654" s="0" t="s">
        <v>232</v>
      </c>
      <c r="N654" s="0" t="s">
        <v>124</v>
      </c>
      <c r="P654" s="0" t="s">
        <v>346</v>
      </c>
      <c r="Q654" s="0" t="s">
        <v>346</v>
      </c>
      <c r="R654" s="0" t="s">
        <v>103</v>
      </c>
      <c r="S654" s="0" t="s">
        <v>21</v>
      </c>
      <c r="T654" s="0" t="s">
        <v>104</v>
      </c>
      <c r="W654" s="0" t="s">
        <v>105</v>
      </c>
      <c r="X654" s="0" t="s">
        <v>2637</v>
      </c>
      <c r="Y654" s="0" t="s">
        <v>2638</v>
      </c>
      <c r="Z654" s="0" t="s">
        <v>1047</v>
      </c>
    </row>
    <row r="655" customFormat="false" ht="15" hidden="false" customHeight="false" outlineLevel="0" collapsed="false">
      <c r="A655" s="0" t="s">
        <v>21</v>
      </c>
      <c r="B655" s="0" t="s">
        <v>2639</v>
      </c>
      <c r="C655" s="0" t="s">
        <v>931</v>
      </c>
      <c r="E655" s="0" t="s">
        <v>2640</v>
      </c>
      <c r="F655" s="0" t="s">
        <v>2641</v>
      </c>
      <c r="H655" s="0" t="s">
        <v>2642</v>
      </c>
      <c r="I655" s="0" t="s">
        <v>2643</v>
      </c>
      <c r="J655" s="0" t="s">
        <v>254</v>
      </c>
      <c r="K655" s="0" t="s">
        <v>2644</v>
      </c>
      <c r="L655" s="0" t="s">
        <v>124</v>
      </c>
      <c r="M655" s="0" t="s">
        <v>208</v>
      </c>
      <c r="N655" s="0" t="s">
        <v>124</v>
      </c>
      <c r="P655" s="0" t="s">
        <v>346</v>
      </c>
      <c r="Q655" s="0" t="s">
        <v>346</v>
      </c>
      <c r="R655" s="0" t="s">
        <v>103</v>
      </c>
      <c r="S655" s="0" t="s">
        <v>21</v>
      </c>
      <c r="T655" s="0" t="s">
        <v>104</v>
      </c>
      <c r="W655" s="0" t="s">
        <v>105</v>
      </c>
      <c r="X655" s="0" t="s">
        <v>2645</v>
      </c>
      <c r="Y655" s="0" t="s">
        <v>2646</v>
      </c>
      <c r="Z655" s="0" t="s">
        <v>1047</v>
      </c>
      <c r="AB655" s="0" t="s">
        <v>303</v>
      </c>
    </row>
    <row r="656" customFormat="false" ht="15" hidden="false" customHeight="false" outlineLevel="0" collapsed="false">
      <c r="A656" s="0" t="s">
        <v>21</v>
      </c>
      <c r="B656" s="0" t="s">
        <v>2647</v>
      </c>
      <c r="C656" s="0" t="s">
        <v>812</v>
      </c>
      <c r="D656" s="0" t="s">
        <v>2648</v>
      </c>
      <c r="E656" s="0" t="s">
        <v>2649</v>
      </c>
      <c r="G656" s="0" t="s">
        <v>2650</v>
      </c>
      <c r="M656" s="0" t="s">
        <v>2651</v>
      </c>
      <c r="N656" s="0" t="s">
        <v>124</v>
      </c>
      <c r="P656" s="0" t="s">
        <v>1044</v>
      </c>
      <c r="Q656" s="0" t="s">
        <v>1044</v>
      </c>
      <c r="R656" s="0" t="s">
        <v>103</v>
      </c>
      <c r="S656" s="0" t="s">
        <v>21</v>
      </c>
      <c r="T656" s="0" t="s">
        <v>104</v>
      </c>
      <c r="W656" s="0" t="s">
        <v>105</v>
      </c>
      <c r="X656" s="0" t="s">
        <v>2652</v>
      </c>
      <c r="Y656" s="0" t="s">
        <v>2653</v>
      </c>
      <c r="Z656" s="0" t="s">
        <v>2654</v>
      </c>
    </row>
    <row r="657" customFormat="false" ht="15" hidden="false" customHeight="false" outlineLevel="0" collapsed="false">
      <c r="A657" s="0" t="s">
        <v>21</v>
      </c>
      <c r="B657" s="0" t="s">
        <v>2655</v>
      </c>
      <c r="C657" s="0" t="s">
        <v>812</v>
      </c>
      <c r="D657" s="0" t="s">
        <v>2656</v>
      </c>
      <c r="E657" s="0" t="s">
        <v>2657</v>
      </c>
      <c r="G657" s="0" t="s">
        <v>2658</v>
      </c>
      <c r="M657" s="0" t="s">
        <v>2659</v>
      </c>
      <c r="N657" s="0" t="s">
        <v>124</v>
      </c>
      <c r="P657" s="0" t="s">
        <v>1044</v>
      </c>
      <c r="Q657" s="0" t="s">
        <v>1044</v>
      </c>
      <c r="R657" s="0" t="s">
        <v>103</v>
      </c>
      <c r="S657" s="0" t="s">
        <v>21</v>
      </c>
      <c r="T657" s="0" t="s">
        <v>104</v>
      </c>
      <c r="W657" s="0" t="s">
        <v>105</v>
      </c>
      <c r="X657" s="0" t="s">
        <v>2660</v>
      </c>
      <c r="Y657" s="0" t="s">
        <v>2661</v>
      </c>
      <c r="Z657" s="0" t="s">
        <v>2654</v>
      </c>
    </row>
    <row r="658" customFormat="false" ht="28.35" hidden="false" customHeight="false" outlineLevel="0" collapsed="false">
      <c r="A658" s="0" t="s">
        <v>21</v>
      </c>
      <c r="B658" s="0" t="s">
        <v>2662</v>
      </c>
      <c r="C658" s="0" t="s">
        <v>812</v>
      </c>
      <c r="D658" s="0" t="s">
        <v>2663</v>
      </c>
      <c r="E658" s="0" t="s">
        <v>319</v>
      </c>
      <c r="F658" s="0" t="s">
        <v>2664</v>
      </c>
      <c r="G658" s="9" t="s">
        <v>2665</v>
      </c>
      <c r="H658" s="0" t="s">
        <v>2666</v>
      </c>
      <c r="I658" s="0" t="s">
        <v>2666</v>
      </c>
      <c r="J658" s="0" t="s">
        <v>2281</v>
      </c>
      <c r="K658" s="0" t="s">
        <v>2667</v>
      </c>
      <c r="L658" s="0" t="s">
        <v>124</v>
      </c>
      <c r="M658" s="0" t="s">
        <v>881</v>
      </c>
      <c r="N658" s="0" t="s">
        <v>124</v>
      </c>
      <c r="P658" s="0" t="s">
        <v>346</v>
      </c>
      <c r="Q658" s="0" t="s">
        <v>346</v>
      </c>
      <c r="R658" s="0" t="s">
        <v>103</v>
      </c>
      <c r="S658" s="0" t="s">
        <v>21</v>
      </c>
      <c r="T658" s="0" t="s">
        <v>104</v>
      </c>
      <c r="W658" s="0" t="s">
        <v>105</v>
      </c>
      <c r="X658" s="0" t="s">
        <v>2668</v>
      </c>
      <c r="Y658" s="0" t="s">
        <v>2669</v>
      </c>
      <c r="Z658" s="0" t="s">
        <v>2654</v>
      </c>
    </row>
    <row r="659" customFormat="false" ht="15" hidden="false" customHeight="false" outlineLevel="0" collapsed="false">
      <c r="A659" s="0" t="s">
        <v>21</v>
      </c>
      <c r="B659" s="0" t="s">
        <v>2670</v>
      </c>
      <c r="C659" s="0" t="s">
        <v>97</v>
      </c>
      <c r="E659" s="0" t="s">
        <v>2671</v>
      </c>
      <c r="F659" s="0" t="s">
        <v>2672</v>
      </c>
      <c r="G659" s="0" t="s">
        <v>1069</v>
      </c>
      <c r="H659" s="0" t="s">
        <v>1070</v>
      </c>
      <c r="I659" s="0" t="s">
        <v>1071</v>
      </c>
      <c r="J659" s="0" t="s">
        <v>245</v>
      </c>
      <c r="K659" s="0" t="s">
        <v>1072</v>
      </c>
      <c r="L659" s="0" t="s">
        <v>124</v>
      </c>
      <c r="M659" s="0" t="s">
        <v>247</v>
      </c>
      <c r="N659" s="0" t="s">
        <v>124</v>
      </c>
      <c r="P659" s="0" t="s">
        <v>346</v>
      </c>
      <c r="Q659" s="0" t="s">
        <v>346</v>
      </c>
      <c r="R659" s="0" t="s">
        <v>103</v>
      </c>
      <c r="S659" s="0" t="s">
        <v>21</v>
      </c>
      <c r="T659" s="0" t="s">
        <v>104</v>
      </c>
      <c r="W659" s="0" t="s">
        <v>105</v>
      </c>
      <c r="X659" s="0" t="s">
        <v>1073</v>
      </c>
      <c r="Y659" s="0" t="s">
        <v>1074</v>
      </c>
      <c r="Z659" s="0" t="s">
        <v>1047</v>
      </c>
      <c r="AB659" s="0" t="s">
        <v>303</v>
      </c>
    </row>
    <row r="660" customFormat="false" ht="15" hidden="false" customHeight="false" outlineLevel="0" collapsed="false">
      <c r="A660" s="0" t="s">
        <v>21</v>
      </c>
      <c r="B660" s="0" t="s">
        <v>2673</v>
      </c>
      <c r="C660" s="0" t="s">
        <v>931</v>
      </c>
      <c r="E660" s="0" t="s">
        <v>2674</v>
      </c>
      <c r="F660" s="0" t="s">
        <v>2675</v>
      </c>
      <c r="G660" s="0" t="s">
        <v>2676</v>
      </c>
      <c r="H660" s="0" t="s">
        <v>2677</v>
      </c>
      <c r="I660" s="0" t="s">
        <v>2678</v>
      </c>
      <c r="J660" s="0" t="s">
        <v>245</v>
      </c>
      <c r="K660" s="0" t="s">
        <v>2679</v>
      </c>
      <c r="L660" s="0" t="s">
        <v>124</v>
      </c>
      <c r="M660" s="0" t="s">
        <v>247</v>
      </c>
      <c r="N660" s="0" t="s">
        <v>124</v>
      </c>
      <c r="P660" s="0" t="s">
        <v>1044</v>
      </c>
      <c r="Q660" s="0" t="s">
        <v>1044</v>
      </c>
      <c r="R660" s="0" t="s">
        <v>103</v>
      </c>
      <c r="S660" s="0" t="s">
        <v>21</v>
      </c>
      <c r="T660" s="0" t="s">
        <v>104</v>
      </c>
      <c r="W660" s="0" t="s">
        <v>105</v>
      </c>
      <c r="X660" s="0" t="s">
        <v>2680</v>
      </c>
      <c r="Y660" s="0" t="s">
        <v>2681</v>
      </c>
      <c r="Z660" s="0" t="s">
        <v>1047</v>
      </c>
    </row>
    <row r="661" customFormat="false" ht="28.35" hidden="false" customHeight="false" outlineLevel="0" collapsed="false">
      <c r="A661" s="0" t="s">
        <v>21</v>
      </c>
      <c r="B661" s="0" t="s">
        <v>2682</v>
      </c>
      <c r="C661" s="0" t="s">
        <v>97</v>
      </c>
      <c r="D661" s="0" t="s">
        <v>2683</v>
      </c>
      <c r="E661" s="0" t="s">
        <v>2684</v>
      </c>
      <c r="F661" s="0" t="s">
        <v>2685</v>
      </c>
      <c r="G661" s="9" t="s">
        <v>2686</v>
      </c>
      <c r="H661" s="0" t="s">
        <v>2687</v>
      </c>
      <c r="I661" s="0" t="s">
        <v>844</v>
      </c>
      <c r="J661" s="0" t="s">
        <v>245</v>
      </c>
      <c r="K661" s="0" t="s">
        <v>845</v>
      </c>
      <c r="L661" s="0" t="s">
        <v>124</v>
      </c>
      <c r="M661" s="0" t="s">
        <v>247</v>
      </c>
      <c r="N661" s="0" t="s">
        <v>124</v>
      </c>
      <c r="P661" s="0" t="s">
        <v>346</v>
      </c>
      <c r="Q661" s="0" t="s">
        <v>346</v>
      </c>
      <c r="R661" s="0" t="s">
        <v>103</v>
      </c>
      <c r="S661" s="0" t="s">
        <v>21</v>
      </c>
      <c r="T661" s="0" t="s">
        <v>104</v>
      </c>
      <c r="W661" s="0" t="s">
        <v>105</v>
      </c>
      <c r="X661" s="0" t="s">
        <v>2688</v>
      </c>
      <c r="Y661" s="0" t="s">
        <v>2689</v>
      </c>
      <c r="Z661" s="0" t="s">
        <v>1047</v>
      </c>
      <c r="AB661" s="0" t="s">
        <v>303</v>
      </c>
    </row>
    <row r="662" customFormat="false" ht="15" hidden="false" customHeight="false" outlineLevel="0" collapsed="false">
      <c r="A662" s="0" t="s">
        <v>21</v>
      </c>
      <c r="B662" s="0" t="s">
        <v>2690</v>
      </c>
      <c r="C662" s="0" t="s">
        <v>2691</v>
      </c>
      <c r="E662" s="0" t="s">
        <v>2692</v>
      </c>
      <c r="H662" s="0" t="s">
        <v>2693</v>
      </c>
      <c r="I662" s="0" t="s">
        <v>2694</v>
      </c>
      <c r="J662" s="0" t="s">
        <v>245</v>
      </c>
      <c r="K662" s="0" t="s">
        <v>2695</v>
      </c>
      <c r="L662" s="0" t="s">
        <v>124</v>
      </c>
      <c r="M662" s="0" t="s">
        <v>247</v>
      </c>
      <c r="N662" s="0" t="s">
        <v>124</v>
      </c>
      <c r="P662" s="0" t="s">
        <v>1044</v>
      </c>
      <c r="Q662" s="0" t="s">
        <v>1044</v>
      </c>
      <c r="R662" s="0" t="s">
        <v>103</v>
      </c>
      <c r="S662" s="0" t="s">
        <v>21</v>
      </c>
      <c r="T662" s="0" t="s">
        <v>104</v>
      </c>
      <c r="W662" s="0" t="s">
        <v>105</v>
      </c>
      <c r="X662" s="0" t="s">
        <v>2696</v>
      </c>
      <c r="Y662" s="0" t="s">
        <v>2697</v>
      </c>
      <c r="Z662" s="0" t="s">
        <v>2654</v>
      </c>
    </row>
    <row r="663" customFormat="false" ht="15" hidden="false" customHeight="false" outlineLevel="0" collapsed="false">
      <c r="A663" s="0" t="s">
        <v>21</v>
      </c>
      <c r="B663" s="0" t="s">
        <v>2698</v>
      </c>
      <c r="C663" s="0" t="s">
        <v>372</v>
      </c>
      <c r="D663" s="0" t="s">
        <v>2699</v>
      </c>
      <c r="E663" s="0" t="s">
        <v>2700</v>
      </c>
      <c r="G663" s="0" t="s">
        <v>2701</v>
      </c>
      <c r="H663" s="0" t="s">
        <v>2281</v>
      </c>
      <c r="I663" s="0" t="s">
        <v>2281</v>
      </c>
      <c r="J663" s="0" t="s">
        <v>2281</v>
      </c>
      <c r="M663" s="0" t="s">
        <v>2702</v>
      </c>
      <c r="N663" s="0" t="s">
        <v>124</v>
      </c>
      <c r="P663" s="0" t="s">
        <v>379</v>
      </c>
      <c r="Q663" s="0" t="s">
        <v>379</v>
      </c>
      <c r="R663" s="0" t="s">
        <v>379</v>
      </c>
      <c r="S663" s="0" t="s">
        <v>21</v>
      </c>
      <c r="T663" s="0" t="s">
        <v>104</v>
      </c>
      <c r="W663" s="0" t="s">
        <v>183</v>
      </c>
      <c r="Z663" s="0" t="s">
        <v>134</v>
      </c>
      <c r="AB663" s="0" t="s">
        <v>760</v>
      </c>
    </row>
    <row r="664" customFormat="false" ht="15" hidden="false" customHeight="false" outlineLevel="0" collapsed="false">
      <c r="A664" s="0" t="s">
        <v>21</v>
      </c>
      <c r="B664" s="0" t="s">
        <v>2698</v>
      </c>
      <c r="C664" s="0" t="s">
        <v>372</v>
      </c>
      <c r="D664" s="0" t="s">
        <v>2699</v>
      </c>
      <c r="E664" s="0" t="s">
        <v>2700</v>
      </c>
      <c r="G664" s="0" t="s">
        <v>2701</v>
      </c>
      <c r="H664" s="0" t="s">
        <v>2281</v>
      </c>
      <c r="I664" s="0" t="s">
        <v>2281</v>
      </c>
      <c r="J664" s="0" t="s">
        <v>2281</v>
      </c>
      <c r="M664" s="0" t="s">
        <v>2702</v>
      </c>
      <c r="N664" s="0" t="s">
        <v>124</v>
      </c>
      <c r="P664" s="0" t="s">
        <v>204</v>
      </c>
      <c r="Q664" s="0" t="s">
        <v>204</v>
      </c>
      <c r="R664" s="0" t="s">
        <v>399</v>
      </c>
      <c r="S664" s="0" t="s">
        <v>21</v>
      </c>
      <c r="T664" s="0" t="s">
        <v>104</v>
      </c>
      <c r="W664" s="0" t="s">
        <v>105</v>
      </c>
      <c r="Z664" s="0" t="s">
        <v>134</v>
      </c>
      <c r="AB664" s="0" t="s">
        <v>760</v>
      </c>
    </row>
    <row r="665" customFormat="false" ht="15" hidden="false" customHeight="false" outlineLevel="0" collapsed="false">
      <c r="A665" s="0" t="s">
        <v>21</v>
      </c>
      <c r="B665" s="0" t="s">
        <v>2703</v>
      </c>
      <c r="C665" s="0" t="s">
        <v>174</v>
      </c>
      <c r="D665" s="0" t="s">
        <v>2704</v>
      </c>
      <c r="E665" s="0" t="s">
        <v>2705</v>
      </c>
      <c r="M665" s="0" t="s">
        <v>143</v>
      </c>
      <c r="N665" s="0" t="s">
        <v>124</v>
      </c>
      <c r="P665" s="0" t="s">
        <v>102</v>
      </c>
      <c r="Q665" s="0" t="s">
        <v>102</v>
      </c>
      <c r="R665" s="0" t="s">
        <v>131</v>
      </c>
      <c r="S665" s="0" t="s">
        <v>21</v>
      </c>
      <c r="T665" s="0" t="s">
        <v>104</v>
      </c>
      <c r="U665" s="0" t="s">
        <v>2706</v>
      </c>
      <c r="W665" s="0" t="s">
        <v>105</v>
      </c>
      <c r="AB665" s="0" t="s">
        <v>2707</v>
      </c>
    </row>
    <row r="666" customFormat="false" ht="15" hidden="false" customHeight="false" outlineLevel="0" collapsed="false">
      <c r="A666" s="0" t="s">
        <v>21</v>
      </c>
      <c r="B666" s="0" t="s">
        <v>2708</v>
      </c>
      <c r="C666" s="0" t="s">
        <v>674</v>
      </c>
      <c r="D666" s="0" t="s">
        <v>2709</v>
      </c>
      <c r="E666" s="0" t="s">
        <v>2710</v>
      </c>
      <c r="H666" s="0" t="s">
        <v>2711</v>
      </c>
      <c r="I666" s="0" t="s">
        <v>292</v>
      </c>
      <c r="J666" s="0" t="s">
        <v>275</v>
      </c>
      <c r="K666" s="0" t="s">
        <v>2712</v>
      </c>
      <c r="L666" s="0" t="s">
        <v>124</v>
      </c>
      <c r="M666" s="0" t="s">
        <v>178</v>
      </c>
      <c r="N666" s="0" t="s">
        <v>124</v>
      </c>
      <c r="P666" s="0" t="s">
        <v>102</v>
      </c>
      <c r="Q666" s="0" t="s">
        <v>102</v>
      </c>
      <c r="R666" s="0" t="s">
        <v>113</v>
      </c>
      <c r="S666" s="0" t="s">
        <v>21</v>
      </c>
      <c r="T666" s="0" t="s">
        <v>104</v>
      </c>
      <c r="W666" s="0" t="s">
        <v>105</v>
      </c>
      <c r="X666" s="0" t="s">
        <v>2713</v>
      </c>
      <c r="Y666" s="0" t="s">
        <v>2714</v>
      </c>
      <c r="Z666" s="0" t="s">
        <v>134</v>
      </c>
      <c r="AB666" s="0" t="s">
        <v>832</v>
      </c>
    </row>
    <row r="667" customFormat="false" ht="15" hidden="false" customHeight="false" outlineLevel="0" collapsed="false">
      <c r="A667" s="0" t="s">
        <v>21</v>
      </c>
      <c r="B667" s="0" t="s">
        <v>2715</v>
      </c>
      <c r="C667" s="0" t="s">
        <v>190</v>
      </c>
      <c r="D667" s="0" t="s">
        <v>2716</v>
      </c>
      <c r="H667" s="0" t="s">
        <v>2717</v>
      </c>
      <c r="I667" s="0" t="s">
        <v>1109</v>
      </c>
      <c r="J667" s="0" t="s">
        <v>254</v>
      </c>
      <c r="K667" s="0" t="s">
        <v>1110</v>
      </c>
      <c r="M667" s="0" t="s">
        <v>208</v>
      </c>
      <c r="N667" s="0" t="s">
        <v>124</v>
      </c>
      <c r="P667" s="0" t="s">
        <v>1044</v>
      </c>
      <c r="Q667" s="0" t="s">
        <v>1044</v>
      </c>
      <c r="R667" s="0" t="s">
        <v>103</v>
      </c>
      <c r="S667" s="0" t="s">
        <v>21</v>
      </c>
      <c r="T667" s="0" t="s">
        <v>104</v>
      </c>
      <c r="W667" s="0" t="s">
        <v>105</v>
      </c>
      <c r="Z667" s="0" t="s">
        <v>159</v>
      </c>
    </row>
    <row r="668" customFormat="false" ht="15" hidden="false" customHeight="false" outlineLevel="0" collapsed="false">
      <c r="A668" s="0" t="s">
        <v>21</v>
      </c>
      <c r="B668" s="0" t="s">
        <v>2718</v>
      </c>
      <c r="C668" s="0" t="s">
        <v>2719</v>
      </c>
      <c r="D668" s="0" t="s">
        <v>2720</v>
      </c>
      <c r="E668" s="0" t="s">
        <v>2721</v>
      </c>
      <c r="G668" s="0" t="s">
        <v>2722</v>
      </c>
      <c r="H668" s="0" t="s">
        <v>2719</v>
      </c>
      <c r="I668" s="0" t="s">
        <v>2723</v>
      </c>
      <c r="J668" s="0" t="s">
        <v>218</v>
      </c>
      <c r="L668" s="0" t="s">
        <v>124</v>
      </c>
      <c r="M668" s="0" t="s">
        <v>220</v>
      </c>
      <c r="N668" s="0" t="s">
        <v>124</v>
      </c>
      <c r="P668" s="0" t="s">
        <v>346</v>
      </c>
      <c r="Q668" s="0" t="s">
        <v>346</v>
      </c>
      <c r="R668" s="0" t="s">
        <v>347</v>
      </c>
      <c r="S668" s="0" t="s">
        <v>21</v>
      </c>
      <c r="T668" s="0" t="s">
        <v>104</v>
      </c>
      <c r="W668" s="0" t="s">
        <v>105</v>
      </c>
    </row>
    <row r="669" customFormat="false" ht="15" hidden="false" customHeight="false" outlineLevel="0" collapsed="false">
      <c r="A669" s="0" t="s">
        <v>21</v>
      </c>
      <c r="B669" s="0" t="s">
        <v>2724</v>
      </c>
      <c r="C669" s="0" t="s">
        <v>190</v>
      </c>
      <c r="E669" s="0" t="s">
        <v>2725</v>
      </c>
      <c r="G669" s="0" t="s">
        <v>2726</v>
      </c>
      <c r="H669" s="0" t="s">
        <v>2727</v>
      </c>
      <c r="I669" s="0" t="s">
        <v>2728</v>
      </c>
      <c r="J669" s="0" t="s">
        <v>275</v>
      </c>
      <c r="K669" s="0" t="s">
        <v>2729</v>
      </c>
      <c r="M669" s="0" t="s">
        <v>178</v>
      </c>
      <c r="N669" s="0" t="s">
        <v>124</v>
      </c>
      <c r="P669" s="0" t="s">
        <v>204</v>
      </c>
      <c r="Q669" s="0" t="s">
        <v>204</v>
      </c>
      <c r="R669" s="0" t="s">
        <v>657</v>
      </c>
      <c r="S669" s="0" t="s">
        <v>21</v>
      </c>
      <c r="T669" s="0" t="s">
        <v>104</v>
      </c>
      <c r="W669" s="0" t="s">
        <v>105</v>
      </c>
      <c r="Z669" s="0" t="s">
        <v>159</v>
      </c>
    </row>
    <row r="670" customFormat="false" ht="15" hidden="false" customHeight="false" outlineLevel="0" collapsed="false">
      <c r="A670" s="0" t="s">
        <v>21</v>
      </c>
      <c r="B670" s="0" t="s">
        <v>2730</v>
      </c>
      <c r="C670" s="0" t="s">
        <v>2719</v>
      </c>
      <c r="E670" s="0" t="s">
        <v>2731</v>
      </c>
      <c r="G670" s="0" t="s">
        <v>2722</v>
      </c>
      <c r="H670" s="0" t="s">
        <v>2732</v>
      </c>
      <c r="I670" s="0" t="s">
        <v>2732</v>
      </c>
      <c r="J670" s="0" t="s">
        <v>122</v>
      </c>
      <c r="L670" s="0" t="s">
        <v>124</v>
      </c>
      <c r="M670" s="0" t="s">
        <v>121</v>
      </c>
      <c r="N670" s="0" t="s">
        <v>124</v>
      </c>
      <c r="P670" s="0" t="s">
        <v>346</v>
      </c>
      <c r="Q670" s="0" t="s">
        <v>346</v>
      </c>
      <c r="R670" s="0" t="s">
        <v>347</v>
      </c>
      <c r="S670" s="0" t="s">
        <v>21</v>
      </c>
      <c r="T670" s="0" t="s">
        <v>104</v>
      </c>
      <c r="W670" s="0" t="s">
        <v>105</v>
      </c>
    </row>
    <row r="671" customFormat="false" ht="15" hidden="false" customHeight="false" outlineLevel="0" collapsed="false">
      <c r="A671" s="0" t="s">
        <v>21</v>
      </c>
      <c r="B671" s="0" t="s">
        <v>2733</v>
      </c>
      <c r="C671" s="0" t="s">
        <v>674</v>
      </c>
      <c r="D671" s="0" t="s">
        <v>2734</v>
      </c>
      <c r="E671" s="0" t="s">
        <v>2735</v>
      </c>
      <c r="H671" s="0" t="s">
        <v>2736</v>
      </c>
      <c r="I671" s="0" t="s">
        <v>2737</v>
      </c>
      <c r="J671" s="0" t="s">
        <v>275</v>
      </c>
      <c r="K671" s="0" t="s">
        <v>2738</v>
      </c>
      <c r="L671" s="0" t="s">
        <v>124</v>
      </c>
      <c r="M671" s="0" t="s">
        <v>178</v>
      </c>
      <c r="N671" s="0" t="s">
        <v>124</v>
      </c>
      <c r="P671" s="0" t="s">
        <v>102</v>
      </c>
      <c r="Q671" s="0" t="s">
        <v>102</v>
      </c>
      <c r="R671" s="0" t="s">
        <v>113</v>
      </c>
      <c r="S671" s="0" t="s">
        <v>21</v>
      </c>
      <c r="T671" s="0" t="s">
        <v>104</v>
      </c>
      <c r="W671" s="0" t="s">
        <v>105</v>
      </c>
      <c r="X671" s="0" t="s">
        <v>2739</v>
      </c>
      <c r="Y671" s="0" t="s">
        <v>2740</v>
      </c>
      <c r="Z671" s="0" t="s">
        <v>134</v>
      </c>
      <c r="AB671" s="0" t="s">
        <v>2741</v>
      </c>
    </row>
    <row r="672" customFormat="false" ht="15" hidden="false" customHeight="false" outlineLevel="0" collapsed="false">
      <c r="A672" s="0" t="s">
        <v>21</v>
      </c>
      <c r="B672" s="0" t="s">
        <v>2742</v>
      </c>
      <c r="C672" s="0" t="s">
        <v>97</v>
      </c>
      <c r="D672" s="0" t="s">
        <v>2743</v>
      </c>
      <c r="E672" s="0" t="s">
        <v>2744</v>
      </c>
      <c r="F672" s="0" t="s">
        <v>2745</v>
      </c>
      <c r="G672" s="0" t="s">
        <v>2746</v>
      </c>
      <c r="H672" s="0" t="s">
        <v>2747</v>
      </c>
      <c r="I672" s="0" t="s">
        <v>2748</v>
      </c>
      <c r="J672" s="0" t="s">
        <v>254</v>
      </c>
      <c r="K672" s="0" t="s">
        <v>2749</v>
      </c>
      <c r="L672" s="0" t="s">
        <v>124</v>
      </c>
      <c r="M672" s="0" t="s">
        <v>208</v>
      </c>
      <c r="N672" s="0" t="s">
        <v>124</v>
      </c>
      <c r="P672" s="0" t="s">
        <v>204</v>
      </c>
      <c r="Q672" s="0" t="s">
        <v>204</v>
      </c>
      <c r="R672" s="0" t="s">
        <v>131</v>
      </c>
      <c r="S672" s="0" t="s">
        <v>21</v>
      </c>
      <c r="T672" s="0" t="s">
        <v>104</v>
      </c>
      <c r="W672" s="0" t="s">
        <v>105</v>
      </c>
      <c r="X672" s="0" t="s">
        <v>2750</v>
      </c>
      <c r="Y672" s="0" t="s">
        <v>2751</v>
      </c>
      <c r="Z672" s="0" t="s">
        <v>195</v>
      </c>
    </row>
    <row r="673" customFormat="false" ht="15" hidden="false" customHeight="false" outlineLevel="0" collapsed="false">
      <c r="A673" s="0" t="s">
        <v>21</v>
      </c>
      <c r="B673" s="0" t="s">
        <v>2742</v>
      </c>
      <c r="C673" s="0" t="s">
        <v>97</v>
      </c>
      <c r="D673" s="0" t="s">
        <v>2743</v>
      </c>
      <c r="E673" s="0" t="s">
        <v>2744</v>
      </c>
      <c r="F673" s="0" t="s">
        <v>2745</v>
      </c>
      <c r="G673" s="0" t="s">
        <v>2746</v>
      </c>
      <c r="H673" s="0" t="s">
        <v>2747</v>
      </c>
      <c r="I673" s="0" t="s">
        <v>2748</v>
      </c>
      <c r="J673" s="0" t="s">
        <v>254</v>
      </c>
      <c r="K673" s="0" t="s">
        <v>2749</v>
      </c>
      <c r="L673" s="0" t="s">
        <v>124</v>
      </c>
      <c r="M673" s="0" t="s">
        <v>208</v>
      </c>
      <c r="N673" s="0" t="s">
        <v>124</v>
      </c>
      <c r="P673" s="0" t="s">
        <v>554</v>
      </c>
      <c r="Q673" s="0" t="s">
        <v>554</v>
      </c>
      <c r="R673" s="0" t="s">
        <v>554</v>
      </c>
      <c r="S673" s="0" t="s">
        <v>21</v>
      </c>
      <c r="T673" s="0" t="s">
        <v>104</v>
      </c>
      <c r="W673" s="0" t="s">
        <v>183</v>
      </c>
      <c r="X673" s="0" t="s">
        <v>2750</v>
      </c>
      <c r="Y673" s="0" t="s">
        <v>2751</v>
      </c>
      <c r="Z673" s="0" t="s">
        <v>195</v>
      </c>
    </row>
    <row r="674" customFormat="false" ht="15" hidden="false" customHeight="false" outlineLevel="0" collapsed="false">
      <c r="A674" s="0" t="s">
        <v>21</v>
      </c>
      <c r="B674" s="0" t="s">
        <v>2752</v>
      </c>
      <c r="C674" s="0" t="s">
        <v>97</v>
      </c>
      <c r="D674" s="0" t="s">
        <v>2753</v>
      </c>
      <c r="E674" s="0" t="s">
        <v>2491</v>
      </c>
      <c r="F674" s="0" t="s">
        <v>2754</v>
      </c>
      <c r="H674" s="0" t="s">
        <v>2755</v>
      </c>
      <c r="I674" s="0" t="s">
        <v>2756</v>
      </c>
      <c r="J674" s="0" t="s">
        <v>208</v>
      </c>
      <c r="K674" s="0" t="s">
        <v>2749</v>
      </c>
      <c r="L674" s="0" t="s">
        <v>124</v>
      </c>
      <c r="M674" s="0" t="s">
        <v>208</v>
      </c>
      <c r="N674" s="0" t="s">
        <v>124</v>
      </c>
      <c r="P674" s="0" t="s">
        <v>204</v>
      </c>
      <c r="Q674" s="0" t="s">
        <v>204</v>
      </c>
      <c r="R674" s="0" t="s">
        <v>131</v>
      </c>
      <c r="S674" s="0" t="s">
        <v>21</v>
      </c>
      <c r="T674" s="0" t="s">
        <v>104</v>
      </c>
      <c r="W674" s="0" t="s">
        <v>105</v>
      </c>
      <c r="X674" s="0" t="s">
        <v>2757</v>
      </c>
      <c r="Y674" s="0" t="s">
        <v>2758</v>
      </c>
      <c r="Z674" s="0" t="s">
        <v>195</v>
      </c>
    </row>
    <row r="675" customFormat="false" ht="15" hidden="false" customHeight="false" outlineLevel="0" collapsed="false">
      <c r="A675" s="0" t="s">
        <v>21</v>
      </c>
      <c r="B675" s="0" t="s">
        <v>2752</v>
      </c>
      <c r="C675" s="0" t="s">
        <v>97</v>
      </c>
      <c r="D675" s="0" t="s">
        <v>2753</v>
      </c>
      <c r="E675" s="0" t="s">
        <v>2491</v>
      </c>
      <c r="F675" s="0" t="s">
        <v>2754</v>
      </c>
      <c r="H675" s="0" t="s">
        <v>2755</v>
      </c>
      <c r="I675" s="0" t="s">
        <v>2756</v>
      </c>
      <c r="J675" s="0" t="s">
        <v>208</v>
      </c>
      <c r="K675" s="0" t="s">
        <v>2749</v>
      </c>
      <c r="L675" s="0" t="s">
        <v>124</v>
      </c>
      <c r="M675" s="0" t="s">
        <v>208</v>
      </c>
      <c r="N675" s="0" t="s">
        <v>124</v>
      </c>
      <c r="P675" s="0" t="s">
        <v>554</v>
      </c>
      <c r="Q675" s="0" t="s">
        <v>554</v>
      </c>
      <c r="R675" s="0" t="s">
        <v>554</v>
      </c>
      <c r="S675" s="0" t="s">
        <v>21</v>
      </c>
      <c r="T675" s="0" t="s">
        <v>104</v>
      </c>
      <c r="W675" s="0" t="s">
        <v>183</v>
      </c>
      <c r="X675" s="0" t="s">
        <v>2757</v>
      </c>
      <c r="Y675" s="0" t="s">
        <v>2758</v>
      </c>
      <c r="Z675" s="0" t="s">
        <v>195</v>
      </c>
    </row>
    <row r="676" customFormat="false" ht="15" hidden="false" customHeight="false" outlineLevel="0" collapsed="false">
      <c r="A676" s="0" t="s">
        <v>21</v>
      </c>
      <c r="B676" s="0" t="s">
        <v>2759</v>
      </c>
      <c r="C676" s="0" t="s">
        <v>97</v>
      </c>
      <c r="D676" s="0" t="s">
        <v>2760</v>
      </c>
      <c r="E676" s="0" t="s">
        <v>2761</v>
      </c>
      <c r="F676" s="0" t="s">
        <v>2762</v>
      </c>
      <c r="H676" s="0" t="s">
        <v>2763</v>
      </c>
      <c r="I676" s="0" t="s">
        <v>1957</v>
      </c>
      <c r="J676" s="0" t="s">
        <v>157</v>
      </c>
      <c r="K676" s="0" t="s">
        <v>1081</v>
      </c>
      <c r="L676" s="0" t="s">
        <v>124</v>
      </c>
      <c r="M676" s="0" t="s">
        <v>232</v>
      </c>
      <c r="N676" s="0" t="s">
        <v>124</v>
      </c>
      <c r="P676" s="0" t="s">
        <v>102</v>
      </c>
      <c r="Q676" s="0" t="s">
        <v>102</v>
      </c>
      <c r="R676" s="0" t="s">
        <v>131</v>
      </c>
      <c r="S676" s="0" t="s">
        <v>21</v>
      </c>
      <c r="T676" s="0" t="s">
        <v>104</v>
      </c>
      <c r="W676" s="0" t="s">
        <v>105</v>
      </c>
      <c r="X676" s="0" t="s">
        <v>2764</v>
      </c>
      <c r="Y676" s="0" t="s">
        <v>2765</v>
      </c>
      <c r="Z676" s="0" t="s">
        <v>134</v>
      </c>
    </row>
    <row r="677" customFormat="false" ht="15" hidden="false" customHeight="false" outlineLevel="0" collapsed="false">
      <c r="A677" s="0" t="s">
        <v>21</v>
      </c>
      <c r="B677" s="0" t="s">
        <v>2766</v>
      </c>
      <c r="C677" s="0" t="s">
        <v>97</v>
      </c>
      <c r="D677" s="0" t="s">
        <v>2767</v>
      </c>
      <c r="E677" s="0" t="s">
        <v>2768</v>
      </c>
      <c r="F677" s="0" t="s">
        <v>2769</v>
      </c>
      <c r="H677" s="0" t="s">
        <v>2770</v>
      </c>
      <c r="I677" s="0" t="s">
        <v>2771</v>
      </c>
      <c r="M677" s="0" t="s">
        <v>2771</v>
      </c>
      <c r="N677" s="0" t="s">
        <v>2772</v>
      </c>
      <c r="P677" s="0" t="s">
        <v>204</v>
      </c>
      <c r="Q677" s="0" t="s">
        <v>204</v>
      </c>
      <c r="R677" s="0" t="s">
        <v>131</v>
      </c>
      <c r="S677" s="0" t="s">
        <v>21</v>
      </c>
      <c r="T677" s="0" t="s">
        <v>104</v>
      </c>
      <c r="W677" s="0" t="s">
        <v>105</v>
      </c>
      <c r="X677" s="0" t="s">
        <v>2773</v>
      </c>
      <c r="Y677" s="0" t="s">
        <v>2774</v>
      </c>
      <c r="Z677" s="0" t="s">
        <v>195</v>
      </c>
    </row>
    <row r="678" customFormat="false" ht="15" hidden="false" customHeight="false" outlineLevel="0" collapsed="false">
      <c r="A678" s="0" t="s">
        <v>21</v>
      </c>
      <c r="B678" s="0" t="s">
        <v>2766</v>
      </c>
      <c r="C678" s="0" t="s">
        <v>97</v>
      </c>
      <c r="D678" s="0" t="s">
        <v>2767</v>
      </c>
      <c r="E678" s="0" t="s">
        <v>2768</v>
      </c>
      <c r="F678" s="0" t="s">
        <v>2769</v>
      </c>
      <c r="H678" s="0" t="s">
        <v>2770</v>
      </c>
      <c r="I678" s="0" t="s">
        <v>2771</v>
      </c>
      <c r="M678" s="0" t="s">
        <v>2771</v>
      </c>
      <c r="N678" s="0" t="s">
        <v>2772</v>
      </c>
      <c r="P678" s="0" t="s">
        <v>554</v>
      </c>
      <c r="Q678" s="0" t="s">
        <v>554</v>
      </c>
      <c r="R678" s="0" t="s">
        <v>554</v>
      </c>
      <c r="S678" s="0" t="s">
        <v>21</v>
      </c>
      <c r="T678" s="0" t="s">
        <v>104</v>
      </c>
      <c r="W678" s="0" t="s">
        <v>183</v>
      </c>
      <c r="X678" s="0" t="s">
        <v>2773</v>
      </c>
      <c r="Y678" s="0" t="s">
        <v>2774</v>
      </c>
      <c r="Z678" s="0" t="s">
        <v>195</v>
      </c>
    </row>
    <row r="679" customFormat="false" ht="15" hidden="false" customHeight="false" outlineLevel="0" collapsed="false">
      <c r="A679" s="0" t="s">
        <v>21</v>
      </c>
      <c r="B679" s="0" t="s">
        <v>2775</v>
      </c>
      <c r="C679" s="0" t="s">
        <v>2145</v>
      </c>
      <c r="D679" s="0" t="s">
        <v>2776</v>
      </c>
      <c r="E679" s="0" t="s">
        <v>2776</v>
      </c>
      <c r="H679" s="0" t="s">
        <v>2777</v>
      </c>
      <c r="I679" s="0" t="s">
        <v>1151</v>
      </c>
      <c r="J679" s="0" t="s">
        <v>157</v>
      </c>
      <c r="K679" s="0" t="s">
        <v>2778</v>
      </c>
      <c r="L679" s="0" t="s">
        <v>124</v>
      </c>
      <c r="M679" s="0" t="s">
        <v>232</v>
      </c>
      <c r="N679" s="0" t="s">
        <v>124</v>
      </c>
      <c r="P679" s="0" t="s">
        <v>221</v>
      </c>
      <c r="Q679" s="0" t="s">
        <v>221</v>
      </c>
      <c r="R679" s="0" t="s">
        <v>221</v>
      </c>
      <c r="S679" s="0" t="s">
        <v>21</v>
      </c>
      <c r="T679" s="0" t="s">
        <v>104</v>
      </c>
      <c r="W679" s="0" t="s">
        <v>183</v>
      </c>
      <c r="X679" s="0" t="s">
        <v>2779</v>
      </c>
      <c r="Y679" s="0" t="s">
        <v>2780</v>
      </c>
      <c r="Z679" s="0" t="s">
        <v>134</v>
      </c>
      <c r="AA679" s="0" t="s">
        <v>2781</v>
      </c>
      <c r="AB679" s="0" t="s">
        <v>820</v>
      </c>
    </row>
    <row r="680" customFormat="false" ht="15" hidden="false" customHeight="false" outlineLevel="0" collapsed="false">
      <c r="A680" s="0" t="s">
        <v>21</v>
      </c>
      <c r="B680" s="0" t="s">
        <v>2775</v>
      </c>
      <c r="C680" s="0" t="s">
        <v>2145</v>
      </c>
      <c r="D680" s="0" t="s">
        <v>2776</v>
      </c>
      <c r="E680" s="0" t="s">
        <v>2776</v>
      </c>
      <c r="H680" s="0" t="s">
        <v>2777</v>
      </c>
      <c r="I680" s="0" t="s">
        <v>1151</v>
      </c>
      <c r="J680" s="0" t="s">
        <v>157</v>
      </c>
      <c r="K680" s="0" t="s">
        <v>2778</v>
      </c>
      <c r="L680" s="0" t="s">
        <v>124</v>
      </c>
      <c r="M680" s="0" t="s">
        <v>232</v>
      </c>
      <c r="N680" s="0" t="s">
        <v>124</v>
      </c>
      <c r="P680" s="0" t="s">
        <v>102</v>
      </c>
      <c r="Q680" s="0" t="s">
        <v>102</v>
      </c>
      <c r="R680" s="0" t="s">
        <v>224</v>
      </c>
      <c r="S680" s="0" t="s">
        <v>21</v>
      </c>
      <c r="T680" s="0" t="s">
        <v>104</v>
      </c>
      <c r="V680" s="0" t="s">
        <v>225</v>
      </c>
      <c r="W680" s="0" t="s">
        <v>105</v>
      </c>
      <c r="X680" s="0" t="s">
        <v>2779</v>
      </c>
      <c r="Y680" s="0" t="s">
        <v>2780</v>
      </c>
      <c r="Z680" s="0" t="s">
        <v>134</v>
      </c>
      <c r="AA680" s="0" t="s">
        <v>2781</v>
      </c>
      <c r="AB680" s="0" t="s">
        <v>820</v>
      </c>
    </row>
    <row r="681" customFormat="false" ht="15" hidden="false" customHeight="false" outlineLevel="0" collapsed="false">
      <c r="A681" s="0" t="s">
        <v>21</v>
      </c>
      <c r="B681" s="0" t="s">
        <v>2775</v>
      </c>
      <c r="C681" s="0" t="s">
        <v>2145</v>
      </c>
      <c r="D681" s="0" t="s">
        <v>2776</v>
      </c>
      <c r="E681" s="0" t="s">
        <v>2776</v>
      </c>
      <c r="H681" s="0" t="s">
        <v>2777</v>
      </c>
      <c r="I681" s="0" t="s">
        <v>1151</v>
      </c>
      <c r="J681" s="0" t="s">
        <v>157</v>
      </c>
      <c r="K681" s="0" t="s">
        <v>2778</v>
      </c>
      <c r="L681" s="0" t="s">
        <v>124</v>
      </c>
      <c r="M681" s="0" t="s">
        <v>232</v>
      </c>
      <c r="N681" s="0" t="s">
        <v>124</v>
      </c>
      <c r="P681" s="0" t="s">
        <v>130</v>
      </c>
      <c r="Q681" s="0" t="s">
        <v>130</v>
      </c>
      <c r="R681" s="0" t="s">
        <v>226</v>
      </c>
      <c r="S681" s="0" t="s">
        <v>21</v>
      </c>
      <c r="T681" s="0" t="s">
        <v>104</v>
      </c>
      <c r="U681" s="0" t="s">
        <v>227</v>
      </c>
      <c r="W681" s="0" t="s">
        <v>105</v>
      </c>
      <c r="X681" s="0" t="s">
        <v>2779</v>
      </c>
      <c r="Y681" s="0" t="s">
        <v>2780</v>
      </c>
      <c r="Z681" s="0" t="s">
        <v>134</v>
      </c>
      <c r="AA681" s="0" t="s">
        <v>2781</v>
      </c>
      <c r="AB681" s="0" t="s">
        <v>820</v>
      </c>
    </row>
    <row r="682" customFormat="false" ht="15" hidden="false" customHeight="false" outlineLevel="0" collapsed="false">
      <c r="A682" s="0" t="s">
        <v>21</v>
      </c>
      <c r="B682" s="0" t="s">
        <v>2782</v>
      </c>
      <c r="C682" s="0" t="s">
        <v>661</v>
      </c>
      <c r="D682" s="0" t="s">
        <v>2783</v>
      </c>
      <c r="E682" s="0" t="s">
        <v>2784</v>
      </c>
      <c r="M682" s="0" t="s">
        <v>247</v>
      </c>
      <c r="N682" s="0" t="s">
        <v>124</v>
      </c>
      <c r="P682" s="0" t="s">
        <v>130</v>
      </c>
      <c r="Q682" s="0" t="s">
        <v>130</v>
      </c>
      <c r="R682" s="0" t="s">
        <v>467</v>
      </c>
      <c r="S682" s="0" t="s">
        <v>21</v>
      </c>
      <c r="T682" s="0" t="s">
        <v>104</v>
      </c>
      <c r="W682" s="0" t="s">
        <v>105</v>
      </c>
      <c r="Z682" s="0" t="s">
        <v>134</v>
      </c>
    </row>
    <row r="683" customFormat="false" ht="15" hidden="false" customHeight="false" outlineLevel="0" collapsed="false">
      <c r="A683" s="0" t="s">
        <v>21</v>
      </c>
      <c r="B683" s="0" t="s">
        <v>2785</v>
      </c>
      <c r="C683" s="0" t="s">
        <v>97</v>
      </c>
      <c r="D683" s="0" t="s">
        <v>2786</v>
      </c>
      <c r="E683" s="0" t="s">
        <v>2787</v>
      </c>
      <c r="F683" s="0" t="s">
        <v>2788</v>
      </c>
      <c r="G683" s="0" t="s">
        <v>2789</v>
      </c>
      <c r="H683" s="0" t="s">
        <v>2790</v>
      </c>
      <c r="I683" s="0" t="s">
        <v>2791</v>
      </c>
      <c r="J683" s="0" t="s">
        <v>275</v>
      </c>
      <c r="K683" s="0" t="s">
        <v>2792</v>
      </c>
      <c r="L683" s="0" t="s">
        <v>124</v>
      </c>
      <c r="M683" s="0" t="s">
        <v>178</v>
      </c>
      <c r="N683" s="0" t="s">
        <v>124</v>
      </c>
      <c r="P683" s="0" t="s">
        <v>204</v>
      </c>
      <c r="Q683" s="0" t="s">
        <v>204</v>
      </c>
      <c r="R683" s="0" t="s">
        <v>131</v>
      </c>
      <c r="S683" s="0" t="s">
        <v>21</v>
      </c>
      <c r="T683" s="0" t="s">
        <v>104</v>
      </c>
      <c r="W683" s="0" t="s">
        <v>105</v>
      </c>
      <c r="X683" s="0" t="s">
        <v>2793</v>
      </c>
      <c r="Y683" s="0" t="s">
        <v>2794</v>
      </c>
      <c r="Z683" s="0" t="s">
        <v>195</v>
      </c>
      <c r="AB683" s="0" t="s">
        <v>820</v>
      </c>
    </row>
    <row r="684" customFormat="false" ht="15" hidden="false" customHeight="false" outlineLevel="0" collapsed="false">
      <c r="A684" s="0" t="s">
        <v>21</v>
      </c>
      <c r="B684" s="0" t="s">
        <v>2785</v>
      </c>
      <c r="C684" s="0" t="s">
        <v>97</v>
      </c>
      <c r="D684" s="0" t="s">
        <v>2786</v>
      </c>
      <c r="E684" s="0" t="s">
        <v>2787</v>
      </c>
      <c r="F684" s="0" t="s">
        <v>2788</v>
      </c>
      <c r="G684" s="0" t="s">
        <v>2789</v>
      </c>
      <c r="H684" s="0" t="s">
        <v>2790</v>
      </c>
      <c r="I684" s="0" t="s">
        <v>2791</v>
      </c>
      <c r="J684" s="0" t="s">
        <v>275</v>
      </c>
      <c r="K684" s="0" t="s">
        <v>2792</v>
      </c>
      <c r="L684" s="0" t="s">
        <v>124</v>
      </c>
      <c r="M684" s="0" t="s">
        <v>178</v>
      </c>
      <c r="N684" s="0" t="s">
        <v>124</v>
      </c>
      <c r="P684" s="0" t="s">
        <v>554</v>
      </c>
      <c r="Q684" s="0" t="s">
        <v>554</v>
      </c>
      <c r="R684" s="0" t="s">
        <v>554</v>
      </c>
      <c r="S684" s="0" t="s">
        <v>21</v>
      </c>
      <c r="T684" s="0" t="s">
        <v>104</v>
      </c>
      <c r="W684" s="0" t="s">
        <v>183</v>
      </c>
      <c r="X684" s="0" t="s">
        <v>2793</v>
      </c>
      <c r="Y684" s="0" t="s">
        <v>2794</v>
      </c>
      <c r="Z684" s="0" t="s">
        <v>195</v>
      </c>
      <c r="AB684" s="0" t="s">
        <v>820</v>
      </c>
    </row>
    <row r="685" customFormat="false" ht="15" hidden="false" customHeight="false" outlineLevel="0" collapsed="false">
      <c r="A685" s="0" t="s">
        <v>21</v>
      </c>
      <c r="B685" s="0" t="s">
        <v>2795</v>
      </c>
      <c r="C685" s="0" t="s">
        <v>97</v>
      </c>
      <c r="D685" s="0" t="s">
        <v>191</v>
      </c>
      <c r="E685" s="0" t="s">
        <v>191</v>
      </c>
      <c r="F685" s="0" t="s">
        <v>2796</v>
      </c>
      <c r="G685" s="0" t="s">
        <v>2797</v>
      </c>
      <c r="H685" s="0" t="s">
        <v>155</v>
      </c>
      <c r="I685" s="0" t="s">
        <v>136</v>
      </c>
      <c r="J685" s="0" t="s">
        <v>232</v>
      </c>
      <c r="K685" s="0" t="s">
        <v>158</v>
      </c>
      <c r="L685" s="0" t="s">
        <v>124</v>
      </c>
      <c r="M685" s="0" t="s">
        <v>232</v>
      </c>
      <c r="N685" s="0" t="s">
        <v>124</v>
      </c>
      <c r="P685" s="0" t="s">
        <v>204</v>
      </c>
      <c r="Q685" s="0" t="s">
        <v>204</v>
      </c>
      <c r="R685" s="0" t="s">
        <v>137</v>
      </c>
      <c r="S685" s="0" t="s">
        <v>21</v>
      </c>
      <c r="T685" s="0" t="s">
        <v>104</v>
      </c>
      <c r="W685" s="0" t="s">
        <v>105</v>
      </c>
      <c r="X685" s="0" t="s">
        <v>2798</v>
      </c>
      <c r="Y685" s="0" t="s">
        <v>2799</v>
      </c>
      <c r="Z685" s="0" t="s">
        <v>350</v>
      </c>
    </row>
    <row r="686" customFormat="false" ht="15" hidden="false" customHeight="false" outlineLevel="0" collapsed="false">
      <c r="A686" s="0" t="s">
        <v>21</v>
      </c>
      <c r="B686" s="0" t="s">
        <v>2800</v>
      </c>
      <c r="C686" s="0" t="s">
        <v>139</v>
      </c>
      <c r="D686" s="0" t="s">
        <v>2801</v>
      </c>
      <c r="E686" s="0" t="s">
        <v>2802</v>
      </c>
      <c r="H686" s="0" t="s">
        <v>155</v>
      </c>
      <c r="I686" s="0" t="s">
        <v>2803</v>
      </c>
      <c r="J686" s="0" t="s">
        <v>157</v>
      </c>
      <c r="K686" s="0" t="s">
        <v>158</v>
      </c>
      <c r="M686" s="0" t="s">
        <v>232</v>
      </c>
      <c r="N686" s="0" t="s">
        <v>124</v>
      </c>
      <c r="P686" s="0" t="s">
        <v>204</v>
      </c>
      <c r="Q686" s="0" t="s">
        <v>204</v>
      </c>
      <c r="R686" s="0" t="s">
        <v>137</v>
      </c>
      <c r="S686" s="0" t="s">
        <v>21</v>
      </c>
      <c r="T686" s="0" t="s">
        <v>104</v>
      </c>
      <c r="W686" s="0" t="s">
        <v>105</v>
      </c>
      <c r="Z686" s="0" t="s">
        <v>159</v>
      </c>
    </row>
    <row r="687" customFormat="false" ht="15" hidden="false" customHeight="false" outlineLevel="0" collapsed="false">
      <c r="A687" s="0" t="s">
        <v>21</v>
      </c>
      <c r="B687" s="0" t="s">
        <v>2804</v>
      </c>
      <c r="C687" s="0" t="s">
        <v>97</v>
      </c>
      <c r="D687" s="0" t="s">
        <v>2805</v>
      </c>
      <c r="E687" s="0" t="s">
        <v>2805</v>
      </c>
      <c r="G687" s="0" t="s">
        <v>213</v>
      </c>
      <c r="M687" s="0" t="s">
        <v>232</v>
      </c>
      <c r="N687" s="0" t="s">
        <v>124</v>
      </c>
      <c r="P687" s="0" t="s">
        <v>204</v>
      </c>
      <c r="Q687" s="0" t="s">
        <v>204</v>
      </c>
      <c r="R687" s="0" t="s">
        <v>137</v>
      </c>
      <c r="S687" s="0" t="s">
        <v>21</v>
      </c>
      <c r="T687" s="0" t="s">
        <v>104</v>
      </c>
      <c r="W687" s="0" t="s">
        <v>105</v>
      </c>
      <c r="Z687" s="0" t="s">
        <v>215</v>
      </c>
    </row>
    <row r="688" customFormat="false" ht="15" hidden="false" customHeight="false" outlineLevel="0" collapsed="false">
      <c r="A688" s="0" t="s">
        <v>21</v>
      </c>
      <c r="B688" s="0" t="s">
        <v>2806</v>
      </c>
      <c r="C688" s="0" t="s">
        <v>110</v>
      </c>
      <c r="D688" s="0" t="s">
        <v>2807</v>
      </c>
      <c r="E688" s="0" t="s">
        <v>2807</v>
      </c>
      <c r="M688" s="0" t="s">
        <v>232</v>
      </c>
      <c r="N688" s="0" t="s">
        <v>124</v>
      </c>
      <c r="P688" s="0" t="s">
        <v>221</v>
      </c>
      <c r="Q688" s="0" t="s">
        <v>221</v>
      </c>
      <c r="R688" s="0" t="s">
        <v>221</v>
      </c>
      <c r="S688" s="0" t="s">
        <v>21</v>
      </c>
      <c r="T688" s="0" t="s">
        <v>104</v>
      </c>
      <c r="W688" s="0" t="s">
        <v>183</v>
      </c>
    </row>
    <row r="689" customFormat="false" ht="15" hidden="false" customHeight="false" outlineLevel="0" collapsed="false">
      <c r="A689" s="0" t="s">
        <v>21</v>
      </c>
      <c r="B689" s="0" t="s">
        <v>2806</v>
      </c>
      <c r="C689" s="0" t="s">
        <v>110</v>
      </c>
      <c r="D689" s="0" t="s">
        <v>2807</v>
      </c>
      <c r="E689" s="0" t="s">
        <v>2807</v>
      </c>
      <c r="M689" s="0" t="s">
        <v>232</v>
      </c>
      <c r="N689" s="0" t="s">
        <v>124</v>
      </c>
      <c r="P689" s="0" t="s">
        <v>102</v>
      </c>
      <c r="Q689" s="0" t="s">
        <v>102</v>
      </c>
      <c r="R689" s="0" t="s">
        <v>224</v>
      </c>
      <c r="S689" s="0" t="s">
        <v>21</v>
      </c>
      <c r="T689" s="0" t="s">
        <v>104</v>
      </c>
      <c r="V689" s="0" t="s">
        <v>225</v>
      </c>
      <c r="W689" s="0" t="s">
        <v>105</v>
      </c>
    </row>
    <row r="690" customFormat="false" ht="15" hidden="false" customHeight="false" outlineLevel="0" collapsed="false">
      <c r="A690" s="0" t="s">
        <v>21</v>
      </c>
      <c r="B690" s="0" t="s">
        <v>2806</v>
      </c>
      <c r="C690" s="0" t="s">
        <v>110</v>
      </c>
      <c r="D690" s="0" t="s">
        <v>2807</v>
      </c>
      <c r="E690" s="0" t="s">
        <v>2807</v>
      </c>
      <c r="M690" s="0" t="s">
        <v>232</v>
      </c>
      <c r="N690" s="0" t="s">
        <v>124</v>
      </c>
      <c r="P690" s="0" t="s">
        <v>130</v>
      </c>
      <c r="Q690" s="0" t="s">
        <v>130</v>
      </c>
      <c r="R690" s="0" t="s">
        <v>226</v>
      </c>
      <c r="S690" s="0" t="s">
        <v>21</v>
      </c>
      <c r="T690" s="0" t="s">
        <v>104</v>
      </c>
      <c r="U690" s="0" t="s">
        <v>227</v>
      </c>
      <c r="W690" s="0" t="s">
        <v>105</v>
      </c>
    </row>
    <row r="691" customFormat="false" ht="15" hidden="false" customHeight="false" outlineLevel="0" collapsed="false">
      <c r="A691" s="0" t="s">
        <v>21</v>
      </c>
      <c r="B691" s="0" t="s">
        <v>2808</v>
      </c>
      <c r="C691" s="0" t="s">
        <v>211</v>
      </c>
      <c r="D691" s="0" t="s">
        <v>2805</v>
      </c>
      <c r="E691" s="0" t="s">
        <v>2805</v>
      </c>
      <c r="G691" s="0" t="s">
        <v>213</v>
      </c>
      <c r="M691" s="0" t="s">
        <v>881</v>
      </c>
      <c r="N691" s="0" t="s">
        <v>124</v>
      </c>
      <c r="P691" s="0" t="s">
        <v>204</v>
      </c>
      <c r="Q691" s="0" t="s">
        <v>204</v>
      </c>
      <c r="R691" s="0" t="s">
        <v>137</v>
      </c>
      <c r="S691" s="0" t="s">
        <v>21</v>
      </c>
      <c r="T691" s="0" t="s">
        <v>104</v>
      </c>
      <c r="W691" s="0" t="s">
        <v>105</v>
      </c>
      <c r="Z691" s="0" t="s">
        <v>215</v>
      </c>
    </row>
    <row r="692" customFormat="false" ht="15" hidden="false" customHeight="false" outlineLevel="0" collapsed="false">
      <c r="A692" s="0" t="s">
        <v>21</v>
      </c>
      <c r="B692" s="0" t="s">
        <v>2809</v>
      </c>
      <c r="C692" s="0" t="s">
        <v>674</v>
      </c>
      <c r="D692" s="0" t="s">
        <v>2810</v>
      </c>
      <c r="E692" s="0" t="s">
        <v>2811</v>
      </c>
      <c r="H692" s="0" t="s">
        <v>2812</v>
      </c>
      <c r="I692" s="0" t="s">
        <v>124</v>
      </c>
      <c r="J692" s="0" t="s">
        <v>122</v>
      </c>
      <c r="K692" s="0" t="s">
        <v>2813</v>
      </c>
      <c r="L692" s="0" t="s">
        <v>124</v>
      </c>
      <c r="M692" s="0" t="s">
        <v>2814</v>
      </c>
      <c r="N692" s="0" t="s">
        <v>124</v>
      </c>
      <c r="P692" s="0" t="s">
        <v>102</v>
      </c>
      <c r="Q692" s="0" t="s">
        <v>102</v>
      </c>
      <c r="R692" s="0" t="s">
        <v>113</v>
      </c>
      <c r="S692" s="0" t="s">
        <v>21</v>
      </c>
      <c r="T692" s="0" t="s">
        <v>104</v>
      </c>
      <c r="W692" s="0" t="s">
        <v>105</v>
      </c>
      <c r="X692" s="0" t="s">
        <v>2815</v>
      </c>
      <c r="Y692" s="0" t="s">
        <v>2816</v>
      </c>
      <c r="Z692" s="0" t="s">
        <v>134</v>
      </c>
      <c r="AB692" s="0" t="s">
        <v>832</v>
      </c>
    </row>
    <row r="693" customFormat="false" ht="15" hidden="false" customHeight="false" outlineLevel="0" collapsed="false">
      <c r="A693" s="0" t="s">
        <v>21</v>
      </c>
      <c r="B693" s="0" t="s">
        <v>2817</v>
      </c>
      <c r="C693" s="0" t="s">
        <v>116</v>
      </c>
      <c r="D693" s="0" t="s">
        <v>2818</v>
      </c>
      <c r="E693" s="0" t="s">
        <v>2819</v>
      </c>
      <c r="M693" s="0" t="s">
        <v>2820</v>
      </c>
      <c r="N693" s="0" t="s">
        <v>2820</v>
      </c>
      <c r="P693" s="0" t="s">
        <v>102</v>
      </c>
      <c r="Q693" s="0" t="s">
        <v>102</v>
      </c>
      <c r="R693" s="0" t="s">
        <v>113</v>
      </c>
      <c r="S693" s="0" t="s">
        <v>21</v>
      </c>
      <c r="T693" s="0" t="s">
        <v>104</v>
      </c>
      <c r="W693" s="0" t="s">
        <v>105</v>
      </c>
      <c r="AB693" s="0" t="s">
        <v>937</v>
      </c>
    </row>
    <row r="694" customFormat="false" ht="15" hidden="false" customHeight="false" outlineLevel="0" collapsed="false">
      <c r="A694" s="0" t="s">
        <v>21</v>
      </c>
      <c r="B694" s="0" t="s">
        <v>2821</v>
      </c>
      <c r="C694" s="0" t="s">
        <v>97</v>
      </c>
      <c r="D694" s="0" t="s">
        <v>2822</v>
      </c>
      <c r="E694" s="0" t="s">
        <v>2823</v>
      </c>
      <c r="H694" s="0" t="s">
        <v>654</v>
      </c>
      <c r="I694" s="0" t="s">
        <v>655</v>
      </c>
      <c r="J694" s="0" t="s">
        <v>100</v>
      </c>
      <c r="K694" s="0" t="s">
        <v>168</v>
      </c>
      <c r="L694" s="0" t="s">
        <v>101</v>
      </c>
      <c r="M694" s="0" t="s">
        <v>656</v>
      </c>
      <c r="N694" s="0" t="s">
        <v>101</v>
      </c>
      <c r="P694" s="0" t="s">
        <v>204</v>
      </c>
      <c r="Q694" s="0" t="s">
        <v>204</v>
      </c>
      <c r="R694" s="0" t="s">
        <v>657</v>
      </c>
      <c r="S694" s="0" t="s">
        <v>21</v>
      </c>
      <c r="T694" s="0" t="s">
        <v>104</v>
      </c>
      <c r="W694" s="0" t="s">
        <v>105</v>
      </c>
      <c r="X694" s="0" t="s">
        <v>658</v>
      </c>
      <c r="Y694" s="0" t="s">
        <v>659</v>
      </c>
    </row>
    <row r="695" customFormat="false" ht="15" hidden="false" customHeight="false" outlineLevel="0" collapsed="false">
      <c r="A695" s="0" t="s">
        <v>21</v>
      </c>
      <c r="B695" s="0" t="s">
        <v>2824</v>
      </c>
      <c r="C695" s="0" t="s">
        <v>2098</v>
      </c>
      <c r="D695" s="0" t="s">
        <v>2825</v>
      </c>
      <c r="E695" s="0" t="s">
        <v>2826</v>
      </c>
      <c r="M695" s="0" t="s">
        <v>442</v>
      </c>
      <c r="N695" s="0" t="s">
        <v>101</v>
      </c>
      <c r="P695" s="0" t="s">
        <v>102</v>
      </c>
      <c r="Q695" s="0" t="s">
        <v>102</v>
      </c>
      <c r="R695" s="0" t="s">
        <v>144</v>
      </c>
      <c r="S695" s="0" t="s">
        <v>21</v>
      </c>
      <c r="T695" s="0" t="s">
        <v>104</v>
      </c>
      <c r="W695" s="0" t="s">
        <v>105</v>
      </c>
    </row>
    <row r="696" customFormat="false" ht="15" hidden="false" customHeight="false" outlineLevel="0" collapsed="false">
      <c r="A696" s="0" t="s">
        <v>21</v>
      </c>
      <c r="B696" s="0" t="s">
        <v>2827</v>
      </c>
      <c r="C696" s="0" t="s">
        <v>661</v>
      </c>
      <c r="D696" s="0" t="s">
        <v>2828</v>
      </c>
      <c r="E696" s="0" t="s">
        <v>2829</v>
      </c>
      <c r="G696" s="0" t="s">
        <v>681</v>
      </c>
      <c r="M696" s="0" t="s">
        <v>442</v>
      </c>
      <c r="N696" s="0" t="s">
        <v>101</v>
      </c>
      <c r="P696" s="0" t="s">
        <v>204</v>
      </c>
      <c r="Q696" s="0" t="s">
        <v>204</v>
      </c>
      <c r="R696" s="0" t="s">
        <v>399</v>
      </c>
      <c r="S696" s="0" t="s">
        <v>21</v>
      </c>
      <c r="T696" s="0" t="s">
        <v>104</v>
      </c>
      <c r="W696" s="0" t="s">
        <v>105</v>
      </c>
      <c r="X696" s="0" t="s">
        <v>2830</v>
      </c>
      <c r="Y696" s="0" t="s">
        <v>2831</v>
      </c>
    </row>
    <row r="697" customFormat="false" ht="15" hidden="false" customHeight="false" outlineLevel="0" collapsed="false">
      <c r="A697" s="0" t="s">
        <v>21</v>
      </c>
      <c r="B697" s="0" t="s">
        <v>2832</v>
      </c>
      <c r="C697" s="0" t="s">
        <v>97</v>
      </c>
      <c r="D697" s="0" t="s">
        <v>2833</v>
      </c>
      <c r="E697" s="0" t="s">
        <v>2834</v>
      </c>
      <c r="G697" s="0" t="s">
        <v>2835</v>
      </c>
      <c r="H697" s="0" t="s">
        <v>2836</v>
      </c>
      <c r="I697" s="0" t="s">
        <v>100</v>
      </c>
      <c r="J697" s="0" t="s">
        <v>100</v>
      </c>
      <c r="K697" s="0" t="s">
        <v>2802</v>
      </c>
      <c r="L697" s="0" t="s">
        <v>101</v>
      </c>
      <c r="M697" s="0" t="s">
        <v>100</v>
      </c>
      <c r="N697" s="0" t="s">
        <v>101</v>
      </c>
      <c r="P697" s="0" t="s">
        <v>102</v>
      </c>
      <c r="Q697" s="0" t="s">
        <v>102</v>
      </c>
      <c r="R697" s="0" t="s">
        <v>113</v>
      </c>
      <c r="S697" s="0" t="s">
        <v>21</v>
      </c>
      <c r="T697" s="0" t="s">
        <v>104</v>
      </c>
      <c r="W697" s="0" t="s">
        <v>105</v>
      </c>
      <c r="X697" s="0" t="s">
        <v>2837</v>
      </c>
      <c r="Y697" s="0" t="s">
        <v>2838</v>
      </c>
      <c r="Z697" s="0" t="s">
        <v>691</v>
      </c>
      <c r="AA697" s="0" t="s">
        <v>172</v>
      </c>
    </row>
    <row r="698" customFormat="false" ht="15" hidden="false" customHeight="false" outlineLevel="0" collapsed="false">
      <c r="A698" s="0" t="s">
        <v>21</v>
      </c>
      <c r="B698" s="0" t="s">
        <v>2839</v>
      </c>
      <c r="C698" s="0" t="s">
        <v>97</v>
      </c>
      <c r="D698" s="0" t="s">
        <v>2840</v>
      </c>
      <c r="E698" s="0" t="s">
        <v>2841</v>
      </c>
      <c r="G698" s="0" t="s">
        <v>2842</v>
      </c>
      <c r="H698" s="0" t="s">
        <v>2843</v>
      </c>
      <c r="I698" s="0" t="s">
        <v>100</v>
      </c>
      <c r="J698" s="0" t="s">
        <v>100</v>
      </c>
      <c r="K698" s="0" t="s">
        <v>2802</v>
      </c>
      <c r="L698" s="0" t="s">
        <v>101</v>
      </c>
      <c r="M698" s="0" t="s">
        <v>2183</v>
      </c>
      <c r="N698" s="0" t="s">
        <v>101</v>
      </c>
      <c r="P698" s="0" t="s">
        <v>102</v>
      </c>
      <c r="Q698" s="0" t="s">
        <v>102</v>
      </c>
      <c r="R698" s="0" t="s">
        <v>113</v>
      </c>
      <c r="S698" s="0" t="s">
        <v>21</v>
      </c>
      <c r="T698" s="0" t="s">
        <v>104</v>
      </c>
      <c r="W698" s="0" t="s">
        <v>105</v>
      </c>
      <c r="X698" s="0" t="s">
        <v>2844</v>
      </c>
      <c r="Y698" s="0" t="s">
        <v>2845</v>
      </c>
      <c r="Z698" s="0" t="s">
        <v>691</v>
      </c>
      <c r="AA698" s="0" t="s">
        <v>172</v>
      </c>
    </row>
    <row r="699" customFormat="false" ht="15" hidden="false" customHeight="false" outlineLevel="0" collapsed="false">
      <c r="A699" s="0" t="s">
        <v>21</v>
      </c>
      <c r="B699" s="0" t="s">
        <v>2846</v>
      </c>
      <c r="C699" s="0" t="s">
        <v>97</v>
      </c>
      <c r="D699" s="0" t="s">
        <v>2847</v>
      </c>
      <c r="E699" s="0" t="s">
        <v>2848</v>
      </c>
      <c r="G699" s="0" t="s">
        <v>2849</v>
      </c>
      <c r="H699" s="0" t="s">
        <v>2850</v>
      </c>
      <c r="I699" s="0" t="s">
        <v>100</v>
      </c>
      <c r="J699" s="0" t="s">
        <v>100</v>
      </c>
      <c r="K699" s="0" t="s">
        <v>2851</v>
      </c>
      <c r="L699" s="0" t="s">
        <v>101</v>
      </c>
      <c r="M699" s="0" t="s">
        <v>100</v>
      </c>
      <c r="N699" s="0" t="s">
        <v>101</v>
      </c>
      <c r="P699" s="0" t="s">
        <v>102</v>
      </c>
      <c r="Q699" s="0" t="s">
        <v>102</v>
      </c>
      <c r="R699" s="0" t="s">
        <v>113</v>
      </c>
      <c r="S699" s="0" t="s">
        <v>21</v>
      </c>
      <c r="T699" s="0" t="s">
        <v>104</v>
      </c>
      <c r="W699" s="0" t="s">
        <v>105</v>
      </c>
      <c r="X699" s="0" t="s">
        <v>2852</v>
      </c>
      <c r="Y699" s="0" t="s">
        <v>2853</v>
      </c>
      <c r="Z699" s="0" t="s">
        <v>691</v>
      </c>
      <c r="AA699" s="0" t="s">
        <v>172</v>
      </c>
      <c r="AB699" s="0" t="s">
        <v>693</v>
      </c>
    </row>
    <row r="700" customFormat="false" ht="15" hidden="false" customHeight="false" outlineLevel="0" collapsed="false">
      <c r="A700" s="0" t="s">
        <v>21</v>
      </c>
      <c r="B700" s="0" t="s">
        <v>2854</v>
      </c>
      <c r="C700" s="0" t="s">
        <v>97</v>
      </c>
      <c r="D700" s="0" t="s">
        <v>2855</v>
      </c>
      <c r="E700" s="0" t="s">
        <v>2856</v>
      </c>
      <c r="G700" s="0" t="s">
        <v>2857</v>
      </c>
      <c r="H700" s="0" t="s">
        <v>2858</v>
      </c>
      <c r="I700" s="0" t="s">
        <v>100</v>
      </c>
      <c r="J700" s="0" t="s">
        <v>100</v>
      </c>
      <c r="K700" s="0" t="s">
        <v>2859</v>
      </c>
      <c r="L700" s="0" t="s">
        <v>101</v>
      </c>
      <c r="M700" s="0" t="s">
        <v>100</v>
      </c>
      <c r="N700" s="0" t="s">
        <v>101</v>
      </c>
      <c r="P700" s="0" t="s">
        <v>204</v>
      </c>
      <c r="Q700" s="0" t="s">
        <v>204</v>
      </c>
      <c r="R700" s="0" t="s">
        <v>399</v>
      </c>
      <c r="S700" s="0" t="s">
        <v>21</v>
      </c>
      <c r="T700" s="0" t="s">
        <v>104</v>
      </c>
      <c r="W700" s="0" t="s">
        <v>105</v>
      </c>
      <c r="X700" s="0" t="s">
        <v>2860</v>
      </c>
      <c r="Y700" s="0" t="s">
        <v>2861</v>
      </c>
      <c r="Z700" s="0" t="s">
        <v>691</v>
      </c>
      <c r="AA700" s="0" t="s">
        <v>2862</v>
      </c>
    </row>
    <row r="701" customFormat="false" ht="15" hidden="false" customHeight="false" outlineLevel="0" collapsed="false">
      <c r="A701" s="0" t="s">
        <v>21</v>
      </c>
      <c r="B701" s="0" t="s">
        <v>2863</v>
      </c>
      <c r="C701" s="0" t="s">
        <v>97</v>
      </c>
      <c r="D701" s="0" t="s">
        <v>2864</v>
      </c>
      <c r="E701" s="0" t="s">
        <v>2865</v>
      </c>
      <c r="G701" s="0" t="s">
        <v>2866</v>
      </c>
      <c r="H701" s="0" t="s">
        <v>2850</v>
      </c>
      <c r="I701" s="0" t="s">
        <v>100</v>
      </c>
      <c r="J701" s="0" t="s">
        <v>100</v>
      </c>
      <c r="K701" s="0" t="s">
        <v>2802</v>
      </c>
      <c r="L701" s="0" t="s">
        <v>101</v>
      </c>
      <c r="M701" s="0" t="s">
        <v>100</v>
      </c>
      <c r="N701" s="0" t="s">
        <v>101</v>
      </c>
      <c r="P701" s="0" t="s">
        <v>204</v>
      </c>
      <c r="Q701" s="0" t="s">
        <v>204</v>
      </c>
      <c r="R701" s="0" t="s">
        <v>399</v>
      </c>
      <c r="S701" s="0" t="s">
        <v>21</v>
      </c>
      <c r="T701" s="0" t="s">
        <v>104</v>
      </c>
      <c r="W701" s="0" t="s">
        <v>105</v>
      </c>
      <c r="X701" s="0" t="s">
        <v>2852</v>
      </c>
      <c r="Y701" s="0" t="s">
        <v>2853</v>
      </c>
      <c r="Z701" s="0" t="s">
        <v>691</v>
      </c>
      <c r="AA701" s="0" t="s">
        <v>172</v>
      </c>
      <c r="AB701" s="0" t="s">
        <v>693</v>
      </c>
    </row>
    <row r="702" customFormat="false" ht="15" hidden="false" customHeight="false" outlineLevel="0" collapsed="false">
      <c r="A702" s="0" t="s">
        <v>21</v>
      </c>
      <c r="B702" s="0" t="s">
        <v>2867</v>
      </c>
      <c r="C702" s="0" t="s">
        <v>97</v>
      </c>
      <c r="D702" s="0" t="s">
        <v>2868</v>
      </c>
      <c r="E702" s="0" t="s">
        <v>2869</v>
      </c>
      <c r="G702" s="0" t="s">
        <v>2870</v>
      </c>
      <c r="H702" s="0" t="s">
        <v>2871</v>
      </c>
      <c r="I702" s="0" t="s">
        <v>100</v>
      </c>
      <c r="J702" s="0" t="s">
        <v>100</v>
      </c>
      <c r="K702" s="0" t="s">
        <v>2802</v>
      </c>
      <c r="L702" s="0" t="s">
        <v>101</v>
      </c>
      <c r="M702" s="0" t="s">
        <v>100</v>
      </c>
      <c r="N702" s="0" t="s">
        <v>101</v>
      </c>
      <c r="P702" s="0" t="s">
        <v>204</v>
      </c>
      <c r="Q702" s="0" t="s">
        <v>204</v>
      </c>
      <c r="R702" s="0" t="s">
        <v>399</v>
      </c>
      <c r="S702" s="0" t="s">
        <v>21</v>
      </c>
      <c r="T702" s="0" t="s">
        <v>104</v>
      </c>
      <c r="W702" s="0" t="s">
        <v>105</v>
      </c>
      <c r="X702" s="0" t="s">
        <v>2872</v>
      </c>
      <c r="Y702" s="0" t="s">
        <v>2873</v>
      </c>
      <c r="Z702" s="0" t="s">
        <v>701</v>
      </c>
      <c r="AA702" s="0" t="s">
        <v>172</v>
      </c>
    </row>
    <row r="703" customFormat="false" ht="15" hidden="false" customHeight="false" outlineLevel="0" collapsed="false">
      <c r="A703" s="0" t="s">
        <v>21</v>
      </c>
      <c r="B703" s="0" t="s">
        <v>2874</v>
      </c>
      <c r="C703" s="0" t="s">
        <v>661</v>
      </c>
      <c r="D703" s="0" t="s">
        <v>2875</v>
      </c>
      <c r="E703" s="0" t="s">
        <v>2876</v>
      </c>
      <c r="G703" s="0" t="s">
        <v>681</v>
      </c>
      <c r="M703" s="0" t="s">
        <v>442</v>
      </c>
      <c r="N703" s="0" t="s">
        <v>101</v>
      </c>
      <c r="P703" s="0" t="s">
        <v>102</v>
      </c>
      <c r="Q703" s="0" t="s">
        <v>102</v>
      </c>
      <c r="R703" s="0" t="s">
        <v>113</v>
      </c>
      <c r="S703" s="0" t="s">
        <v>21</v>
      </c>
      <c r="T703" s="0" t="s">
        <v>104</v>
      </c>
      <c r="W703" s="0" t="s">
        <v>105</v>
      </c>
    </row>
    <row r="704" customFormat="false" ht="15" hidden="false" customHeight="false" outlineLevel="0" collapsed="false">
      <c r="A704" s="0" t="s">
        <v>21</v>
      </c>
      <c r="B704" s="0" t="s">
        <v>2877</v>
      </c>
      <c r="C704" s="0" t="s">
        <v>661</v>
      </c>
      <c r="D704" s="0" t="s">
        <v>2878</v>
      </c>
      <c r="E704" s="0" t="s">
        <v>2879</v>
      </c>
      <c r="G704" s="0" t="s">
        <v>2880</v>
      </c>
      <c r="H704" s="0" t="s">
        <v>2881</v>
      </c>
      <c r="I704" s="0" t="s">
        <v>100</v>
      </c>
      <c r="J704" s="0" t="s">
        <v>100</v>
      </c>
      <c r="K704" s="0" t="s">
        <v>2882</v>
      </c>
      <c r="L704" s="0" t="s">
        <v>101</v>
      </c>
      <c r="M704" s="0" t="s">
        <v>100</v>
      </c>
      <c r="N704" s="0" t="s">
        <v>101</v>
      </c>
      <c r="P704" s="0" t="s">
        <v>102</v>
      </c>
      <c r="Q704" s="0" t="s">
        <v>102</v>
      </c>
      <c r="R704" s="0" t="s">
        <v>113</v>
      </c>
      <c r="S704" s="0" t="s">
        <v>21</v>
      </c>
      <c r="T704" s="0" t="s">
        <v>104</v>
      </c>
      <c r="W704" s="0" t="s">
        <v>105</v>
      </c>
      <c r="X704" s="0" t="s">
        <v>2883</v>
      </c>
      <c r="Y704" s="0" t="s">
        <v>2884</v>
      </c>
      <c r="Z704" s="0" t="s">
        <v>691</v>
      </c>
      <c r="AA704" s="0" t="s">
        <v>172</v>
      </c>
    </row>
    <row r="705" customFormat="false" ht="15" hidden="false" customHeight="false" outlineLevel="0" collapsed="false">
      <c r="A705" s="0" t="s">
        <v>21</v>
      </c>
      <c r="B705" s="0" t="s">
        <v>2885</v>
      </c>
      <c r="C705" s="0" t="s">
        <v>97</v>
      </c>
      <c r="D705" s="0" t="s">
        <v>2886</v>
      </c>
      <c r="E705" s="0" t="s">
        <v>2887</v>
      </c>
      <c r="G705" s="0" t="s">
        <v>2888</v>
      </c>
      <c r="H705" s="0" t="s">
        <v>2889</v>
      </c>
      <c r="I705" s="0" t="s">
        <v>100</v>
      </c>
      <c r="J705" s="0" t="s">
        <v>100</v>
      </c>
      <c r="K705" s="0" t="s">
        <v>2802</v>
      </c>
      <c r="L705" s="0" t="s">
        <v>101</v>
      </c>
      <c r="M705" s="0" t="s">
        <v>442</v>
      </c>
      <c r="N705" s="0" t="s">
        <v>101</v>
      </c>
      <c r="P705" s="0" t="s">
        <v>204</v>
      </c>
      <c r="Q705" s="0" t="s">
        <v>204</v>
      </c>
      <c r="R705" s="0" t="s">
        <v>399</v>
      </c>
      <c r="S705" s="0" t="s">
        <v>21</v>
      </c>
      <c r="T705" s="0" t="s">
        <v>104</v>
      </c>
      <c r="W705" s="0" t="s">
        <v>105</v>
      </c>
      <c r="X705" s="0" t="s">
        <v>2890</v>
      </c>
      <c r="Y705" s="0" t="s">
        <v>2891</v>
      </c>
      <c r="Z705" s="0" t="s">
        <v>691</v>
      </c>
      <c r="AA705" s="0" t="s">
        <v>2892</v>
      </c>
    </row>
    <row r="706" customFormat="false" ht="15" hidden="false" customHeight="false" outlineLevel="0" collapsed="false">
      <c r="A706" s="0" t="s">
        <v>21</v>
      </c>
      <c r="B706" s="0" t="s">
        <v>2893</v>
      </c>
      <c r="C706" s="0" t="s">
        <v>97</v>
      </c>
      <c r="D706" s="0" t="s">
        <v>2894</v>
      </c>
      <c r="E706" s="0" t="s">
        <v>2895</v>
      </c>
      <c r="G706" s="0" t="s">
        <v>2896</v>
      </c>
      <c r="H706" s="0" t="s">
        <v>2897</v>
      </c>
      <c r="I706" s="0" t="s">
        <v>100</v>
      </c>
      <c r="J706" s="0" t="s">
        <v>100</v>
      </c>
      <c r="K706" s="0" t="s">
        <v>2802</v>
      </c>
      <c r="L706" s="0" t="s">
        <v>101</v>
      </c>
      <c r="M706" s="0" t="s">
        <v>100</v>
      </c>
      <c r="N706" s="0" t="s">
        <v>101</v>
      </c>
      <c r="P706" s="0" t="s">
        <v>204</v>
      </c>
      <c r="Q706" s="0" t="s">
        <v>204</v>
      </c>
      <c r="R706" s="0" t="s">
        <v>399</v>
      </c>
      <c r="S706" s="0" t="s">
        <v>21</v>
      </c>
      <c r="T706" s="0" t="s">
        <v>104</v>
      </c>
      <c r="W706" s="0" t="s">
        <v>105</v>
      </c>
      <c r="X706" s="0" t="s">
        <v>2898</v>
      </c>
      <c r="Y706" s="0" t="s">
        <v>2899</v>
      </c>
      <c r="Z706" s="0" t="s">
        <v>691</v>
      </c>
      <c r="AA706" s="0" t="s">
        <v>172</v>
      </c>
    </row>
    <row r="707" customFormat="false" ht="15" hidden="false" customHeight="false" outlineLevel="0" collapsed="false">
      <c r="A707" s="0" t="s">
        <v>21</v>
      </c>
      <c r="B707" s="0" t="s">
        <v>2900</v>
      </c>
      <c r="C707" s="0" t="s">
        <v>97</v>
      </c>
      <c r="D707" s="0" t="s">
        <v>2901</v>
      </c>
      <c r="E707" s="0" t="s">
        <v>2901</v>
      </c>
      <c r="G707" s="0" t="s">
        <v>2902</v>
      </c>
      <c r="H707" s="0" t="s">
        <v>2903</v>
      </c>
      <c r="I707" s="0" t="s">
        <v>420</v>
      </c>
      <c r="J707" s="0" t="s">
        <v>421</v>
      </c>
      <c r="K707" s="0" t="s">
        <v>2859</v>
      </c>
      <c r="L707" s="0" t="s">
        <v>101</v>
      </c>
      <c r="M707" s="0" t="s">
        <v>420</v>
      </c>
      <c r="N707" s="0" t="s">
        <v>101</v>
      </c>
      <c r="P707" s="0" t="s">
        <v>102</v>
      </c>
      <c r="Q707" s="0" t="s">
        <v>102</v>
      </c>
      <c r="R707" s="0" t="s">
        <v>113</v>
      </c>
      <c r="S707" s="0" t="s">
        <v>21</v>
      </c>
      <c r="T707" s="0" t="s">
        <v>104</v>
      </c>
      <c r="W707" s="0" t="s">
        <v>105</v>
      </c>
      <c r="X707" s="0" t="s">
        <v>2904</v>
      </c>
      <c r="Y707" s="0" t="s">
        <v>2905</v>
      </c>
      <c r="Z707" s="0" t="s">
        <v>691</v>
      </c>
      <c r="AA707" s="0" t="s">
        <v>2906</v>
      </c>
      <c r="AB707" s="0" t="s">
        <v>693</v>
      </c>
    </row>
    <row r="708" customFormat="false" ht="15" hidden="false" customHeight="false" outlineLevel="0" collapsed="false">
      <c r="A708" s="0" t="s">
        <v>21</v>
      </c>
      <c r="B708" s="0" t="s">
        <v>2907</v>
      </c>
      <c r="C708" s="0" t="s">
        <v>97</v>
      </c>
      <c r="D708" s="0" t="s">
        <v>2908</v>
      </c>
      <c r="E708" s="0" t="s">
        <v>2909</v>
      </c>
      <c r="G708" s="0" t="s">
        <v>2910</v>
      </c>
      <c r="H708" s="0" t="s">
        <v>2911</v>
      </c>
      <c r="I708" s="0" t="s">
        <v>398</v>
      </c>
      <c r="J708" s="0" t="s">
        <v>112</v>
      </c>
      <c r="K708" s="0" t="s">
        <v>2912</v>
      </c>
      <c r="L708" s="0" t="s">
        <v>101</v>
      </c>
      <c r="M708" s="0" t="s">
        <v>398</v>
      </c>
      <c r="N708" s="0" t="s">
        <v>101</v>
      </c>
      <c r="P708" s="0" t="s">
        <v>102</v>
      </c>
      <c r="Q708" s="0" t="s">
        <v>102</v>
      </c>
      <c r="R708" s="0" t="s">
        <v>113</v>
      </c>
      <c r="S708" s="0" t="s">
        <v>21</v>
      </c>
      <c r="T708" s="0" t="s">
        <v>104</v>
      </c>
      <c r="W708" s="0" t="s">
        <v>105</v>
      </c>
      <c r="X708" s="0" t="s">
        <v>2913</v>
      </c>
      <c r="Y708" s="0" t="s">
        <v>2914</v>
      </c>
      <c r="Z708" s="0" t="s">
        <v>691</v>
      </c>
      <c r="AA708" s="0" t="s">
        <v>2915</v>
      </c>
    </row>
    <row r="709" customFormat="false" ht="15" hidden="false" customHeight="false" outlineLevel="0" collapsed="false">
      <c r="A709" s="0" t="s">
        <v>21</v>
      </c>
      <c r="B709" s="0" t="s">
        <v>2916</v>
      </c>
      <c r="C709" s="0" t="s">
        <v>97</v>
      </c>
      <c r="D709" s="0" t="s">
        <v>2917</v>
      </c>
      <c r="E709" s="0" t="s">
        <v>2918</v>
      </c>
      <c r="G709" s="0" t="s">
        <v>2919</v>
      </c>
      <c r="H709" s="0" t="s">
        <v>2920</v>
      </c>
      <c r="I709" s="0" t="s">
        <v>505</v>
      </c>
      <c r="J709" s="0" t="s">
        <v>112</v>
      </c>
      <c r="K709" s="0" t="s">
        <v>2921</v>
      </c>
      <c r="L709" s="0" t="s">
        <v>101</v>
      </c>
      <c r="M709" s="0" t="s">
        <v>505</v>
      </c>
      <c r="N709" s="0" t="s">
        <v>101</v>
      </c>
      <c r="P709" s="0" t="s">
        <v>102</v>
      </c>
      <c r="Q709" s="0" t="s">
        <v>102</v>
      </c>
      <c r="R709" s="0" t="s">
        <v>113</v>
      </c>
      <c r="S709" s="0" t="s">
        <v>21</v>
      </c>
      <c r="T709" s="0" t="s">
        <v>104</v>
      </c>
      <c r="W709" s="0" t="s">
        <v>105</v>
      </c>
      <c r="X709" s="0" t="s">
        <v>2922</v>
      </c>
      <c r="Y709" s="0" t="s">
        <v>2923</v>
      </c>
      <c r="Z709" s="0" t="s">
        <v>691</v>
      </c>
      <c r="AA709" s="0" t="s">
        <v>2924</v>
      </c>
      <c r="AB709" s="0" t="s">
        <v>693</v>
      </c>
    </row>
    <row r="710" customFormat="false" ht="15" hidden="false" customHeight="false" outlineLevel="0" collapsed="false">
      <c r="A710" s="0" t="s">
        <v>21</v>
      </c>
      <c r="B710" s="0" t="s">
        <v>2925</v>
      </c>
      <c r="C710" s="0" t="s">
        <v>97</v>
      </c>
      <c r="D710" s="0" t="s">
        <v>2926</v>
      </c>
      <c r="E710" s="0" t="s">
        <v>2927</v>
      </c>
      <c r="G710" s="0" t="s">
        <v>2928</v>
      </c>
      <c r="H710" s="0" t="s">
        <v>2929</v>
      </c>
      <c r="I710" s="0" t="s">
        <v>420</v>
      </c>
      <c r="J710" s="0" t="s">
        <v>421</v>
      </c>
      <c r="K710" s="0" t="s">
        <v>648</v>
      </c>
      <c r="L710" s="0" t="s">
        <v>101</v>
      </c>
      <c r="M710" s="0" t="s">
        <v>420</v>
      </c>
      <c r="N710" s="0" t="s">
        <v>101</v>
      </c>
      <c r="P710" s="0" t="s">
        <v>102</v>
      </c>
      <c r="Q710" s="0" t="s">
        <v>102</v>
      </c>
      <c r="R710" s="0" t="s">
        <v>113</v>
      </c>
      <c r="S710" s="0" t="s">
        <v>21</v>
      </c>
      <c r="T710" s="0" t="s">
        <v>104</v>
      </c>
      <c r="W710" s="0" t="s">
        <v>105</v>
      </c>
      <c r="X710" s="0" t="s">
        <v>2930</v>
      </c>
      <c r="Y710" s="0" t="s">
        <v>2931</v>
      </c>
      <c r="Z710" s="0" t="s">
        <v>691</v>
      </c>
      <c r="AA710" s="0" t="s">
        <v>2932</v>
      </c>
    </row>
    <row r="711" customFormat="false" ht="15" hidden="false" customHeight="false" outlineLevel="0" collapsed="false">
      <c r="A711" s="0" t="s">
        <v>21</v>
      </c>
      <c r="B711" s="0" t="s">
        <v>2933</v>
      </c>
      <c r="C711" s="0" t="s">
        <v>97</v>
      </c>
      <c r="D711" s="0" t="s">
        <v>2934</v>
      </c>
      <c r="E711" s="0" t="s">
        <v>2935</v>
      </c>
      <c r="G711" s="0" t="s">
        <v>2936</v>
      </c>
      <c r="H711" s="0" t="s">
        <v>2937</v>
      </c>
      <c r="I711" s="0" t="s">
        <v>398</v>
      </c>
      <c r="J711" s="0" t="s">
        <v>112</v>
      </c>
      <c r="K711" s="0" t="s">
        <v>687</v>
      </c>
      <c r="L711" s="0" t="s">
        <v>101</v>
      </c>
      <c r="M711" s="0" t="s">
        <v>398</v>
      </c>
      <c r="N711" s="0" t="s">
        <v>101</v>
      </c>
      <c r="P711" s="0" t="s">
        <v>102</v>
      </c>
      <c r="Q711" s="0" t="s">
        <v>102</v>
      </c>
      <c r="R711" s="0" t="s">
        <v>113</v>
      </c>
      <c r="S711" s="0" t="s">
        <v>21</v>
      </c>
      <c r="T711" s="0" t="s">
        <v>104</v>
      </c>
      <c r="W711" s="0" t="s">
        <v>105</v>
      </c>
      <c r="X711" s="0" t="s">
        <v>2938</v>
      </c>
      <c r="Y711" s="0" t="s">
        <v>2939</v>
      </c>
      <c r="Z711" s="0" t="s">
        <v>691</v>
      </c>
      <c r="AA711" s="0" t="s">
        <v>2940</v>
      </c>
    </row>
    <row r="712" customFormat="false" ht="15" hidden="false" customHeight="false" outlineLevel="0" collapsed="false">
      <c r="A712" s="0" t="s">
        <v>21</v>
      </c>
      <c r="B712" s="0" t="s">
        <v>2941</v>
      </c>
      <c r="C712" s="0" t="s">
        <v>97</v>
      </c>
      <c r="D712" s="0" t="s">
        <v>2942</v>
      </c>
      <c r="E712" s="0" t="s">
        <v>2943</v>
      </c>
      <c r="G712" s="0" t="s">
        <v>2944</v>
      </c>
      <c r="H712" s="0" t="s">
        <v>2911</v>
      </c>
      <c r="I712" s="0" t="s">
        <v>398</v>
      </c>
      <c r="J712" s="0" t="s">
        <v>112</v>
      </c>
      <c r="K712" s="0" t="s">
        <v>687</v>
      </c>
      <c r="L712" s="0" t="s">
        <v>101</v>
      </c>
      <c r="M712" s="0" t="s">
        <v>398</v>
      </c>
      <c r="N712" s="0" t="s">
        <v>101</v>
      </c>
      <c r="P712" s="0" t="s">
        <v>204</v>
      </c>
      <c r="Q712" s="0" t="s">
        <v>204</v>
      </c>
      <c r="R712" s="0" t="s">
        <v>399</v>
      </c>
      <c r="S712" s="0" t="s">
        <v>21</v>
      </c>
      <c r="T712" s="0" t="s">
        <v>104</v>
      </c>
      <c r="W712" s="0" t="s">
        <v>105</v>
      </c>
      <c r="X712" s="0" t="s">
        <v>2913</v>
      </c>
      <c r="Y712" s="0" t="s">
        <v>2914</v>
      </c>
      <c r="Z712" s="0" t="s">
        <v>691</v>
      </c>
      <c r="AA712" s="0" t="s">
        <v>2906</v>
      </c>
    </row>
    <row r="713" customFormat="false" ht="15" hidden="false" customHeight="false" outlineLevel="0" collapsed="false">
      <c r="A713" s="0" t="s">
        <v>21</v>
      </c>
      <c r="B713" s="0" t="s">
        <v>2945</v>
      </c>
      <c r="C713" s="0" t="s">
        <v>97</v>
      </c>
      <c r="D713" s="0" t="s">
        <v>2908</v>
      </c>
      <c r="E713" s="0" t="s">
        <v>2946</v>
      </c>
      <c r="G713" s="0" t="s">
        <v>2947</v>
      </c>
      <c r="H713" s="0" t="s">
        <v>2948</v>
      </c>
      <c r="I713" s="0" t="s">
        <v>398</v>
      </c>
      <c r="J713" s="0" t="s">
        <v>112</v>
      </c>
      <c r="K713" s="0" t="s">
        <v>2949</v>
      </c>
      <c r="L713" s="0" t="s">
        <v>101</v>
      </c>
      <c r="M713" s="0" t="s">
        <v>398</v>
      </c>
      <c r="N713" s="0" t="s">
        <v>101</v>
      </c>
      <c r="P713" s="0" t="s">
        <v>204</v>
      </c>
      <c r="Q713" s="0" t="s">
        <v>204</v>
      </c>
      <c r="R713" s="0" t="s">
        <v>399</v>
      </c>
      <c r="S713" s="0" t="s">
        <v>21</v>
      </c>
      <c r="T713" s="0" t="s">
        <v>104</v>
      </c>
      <c r="W713" s="0" t="s">
        <v>105</v>
      </c>
      <c r="X713" s="0" t="s">
        <v>2950</v>
      </c>
      <c r="Y713" s="0" t="s">
        <v>2951</v>
      </c>
      <c r="Z713" s="0" t="s">
        <v>691</v>
      </c>
      <c r="AA713" s="0" t="s">
        <v>2952</v>
      </c>
    </row>
    <row r="714" customFormat="false" ht="15" hidden="false" customHeight="false" outlineLevel="0" collapsed="false">
      <c r="A714" s="0" t="s">
        <v>21</v>
      </c>
      <c r="B714" s="0" t="s">
        <v>2953</v>
      </c>
      <c r="C714" s="0" t="s">
        <v>97</v>
      </c>
      <c r="D714" s="0" t="s">
        <v>2954</v>
      </c>
      <c r="E714" s="0" t="s">
        <v>2955</v>
      </c>
      <c r="G714" s="0" t="s">
        <v>2956</v>
      </c>
      <c r="H714" s="0" t="s">
        <v>2957</v>
      </c>
      <c r="I714" s="0" t="s">
        <v>398</v>
      </c>
      <c r="J714" s="0" t="s">
        <v>112</v>
      </c>
      <c r="K714" s="0" t="s">
        <v>2958</v>
      </c>
      <c r="L714" s="0" t="s">
        <v>101</v>
      </c>
      <c r="M714" s="0" t="s">
        <v>398</v>
      </c>
      <c r="N714" s="0" t="s">
        <v>101</v>
      </c>
      <c r="P714" s="0" t="s">
        <v>102</v>
      </c>
      <c r="Q714" s="0" t="s">
        <v>102</v>
      </c>
      <c r="R714" s="0" t="s">
        <v>113</v>
      </c>
      <c r="S714" s="0" t="s">
        <v>21</v>
      </c>
      <c r="T714" s="0" t="s">
        <v>104</v>
      </c>
      <c r="W714" s="0" t="s">
        <v>105</v>
      </c>
      <c r="X714" s="0" t="s">
        <v>2959</v>
      </c>
      <c r="Y714" s="0" t="s">
        <v>2960</v>
      </c>
      <c r="Z714" s="0" t="s">
        <v>691</v>
      </c>
      <c r="AA714" s="0" t="s">
        <v>2961</v>
      </c>
    </row>
    <row r="715" customFormat="false" ht="15" hidden="false" customHeight="false" outlineLevel="0" collapsed="false">
      <c r="A715" s="0" t="s">
        <v>21</v>
      </c>
      <c r="B715" s="0" t="s">
        <v>2962</v>
      </c>
      <c r="C715" s="0" t="s">
        <v>97</v>
      </c>
      <c r="D715" s="0" t="s">
        <v>2963</v>
      </c>
      <c r="E715" s="0" t="s">
        <v>2964</v>
      </c>
      <c r="G715" s="0" t="s">
        <v>2965</v>
      </c>
      <c r="H715" s="0" t="s">
        <v>2966</v>
      </c>
      <c r="I715" s="0" t="s">
        <v>505</v>
      </c>
      <c r="J715" s="0" t="s">
        <v>112</v>
      </c>
      <c r="K715" s="0" t="s">
        <v>687</v>
      </c>
      <c r="L715" s="0" t="s">
        <v>101</v>
      </c>
      <c r="M715" s="0" t="s">
        <v>505</v>
      </c>
      <c r="N715" s="0" t="s">
        <v>101</v>
      </c>
      <c r="P715" s="0" t="s">
        <v>204</v>
      </c>
      <c r="Q715" s="0" t="s">
        <v>204</v>
      </c>
      <c r="R715" s="0" t="s">
        <v>399</v>
      </c>
      <c r="S715" s="0" t="s">
        <v>21</v>
      </c>
      <c r="T715" s="0" t="s">
        <v>104</v>
      </c>
      <c r="W715" s="0" t="s">
        <v>105</v>
      </c>
      <c r="X715" s="0" t="s">
        <v>2967</v>
      </c>
      <c r="Y715" s="0" t="s">
        <v>2968</v>
      </c>
      <c r="Z715" s="0" t="s">
        <v>691</v>
      </c>
      <c r="AA715" s="0" t="s">
        <v>172</v>
      </c>
    </row>
    <row r="716" customFormat="false" ht="15" hidden="false" customHeight="false" outlineLevel="0" collapsed="false">
      <c r="A716" s="0" t="s">
        <v>21</v>
      </c>
      <c r="B716" s="0" t="s">
        <v>2969</v>
      </c>
      <c r="C716" s="0" t="s">
        <v>97</v>
      </c>
      <c r="D716" s="0" t="s">
        <v>2970</v>
      </c>
      <c r="E716" s="0" t="s">
        <v>2971</v>
      </c>
      <c r="G716" s="0" t="s">
        <v>2972</v>
      </c>
      <c r="H716" s="0" t="s">
        <v>2973</v>
      </c>
      <c r="I716" s="0" t="s">
        <v>398</v>
      </c>
      <c r="J716" s="0" t="s">
        <v>112</v>
      </c>
      <c r="K716" s="0" t="s">
        <v>687</v>
      </c>
      <c r="L716" s="0" t="s">
        <v>101</v>
      </c>
      <c r="M716" s="0" t="s">
        <v>398</v>
      </c>
      <c r="N716" s="0" t="s">
        <v>101</v>
      </c>
      <c r="P716" s="0" t="s">
        <v>204</v>
      </c>
      <c r="Q716" s="0" t="s">
        <v>204</v>
      </c>
      <c r="R716" s="0" t="s">
        <v>399</v>
      </c>
      <c r="S716" s="0" t="s">
        <v>21</v>
      </c>
      <c r="T716" s="0" t="s">
        <v>104</v>
      </c>
      <c r="W716" s="0" t="s">
        <v>105</v>
      </c>
      <c r="X716" s="0" t="s">
        <v>2974</v>
      </c>
      <c r="Y716" s="0" t="s">
        <v>2975</v>
      </c>
      <c r="Z716" s="0" t="s">
        <v>691</v>
      </c>
      <c r="AA716" s="0" t="s">
        <v>172</v>
      </c>
    </row>
    <row r="717" customFormat="false" ht="15" hidden="false" customHeight="false" outlineLevel="0" collapsed="false">
      <c r="A717" s="0" t="s">
        <v>21</v>
      </c>
      <c r="B717" s="0" t="s">
        <v>2976</v>
      </c>
      <c r="C717" s="0" t="s">
        <v>97</v>
      </c>
      <c r="D717" s="0" t="s">
        <v>2977</v>
      </c>
      <c r="E717" s="0" t="s">
        <v>2978</v>
      </c>
      <c r="G717" s="0" t="s">
        <v>2979</v>
      </c>
      <c r="H717" s="0" t="s">
        <v>2980</v>
      </c>
      <c r="I717" s="0" t="s">
        <v>2981</v>
      </c>
      <c r="J717" s="0" t="s">
        <v>511</v>
      </c>
      <c r="K717" s="0" t="s">
        <v>720</v>
      </c>
      <c r="L717" s="0" t="s">
        <v>101</v>
      </c>
      <c r="M717" s="0" t="s">
        <v>2981</v>
      </c>
      <c r="N717" s="0" t="s">
        <v>101</v>
      </c>
      <c r="P717" s="0" t="s">
        <v>102</v>
      </c>
      <c r="Q717" s="0" t="s">
        <v>102</v>
      </c>
      <c r="R717" s="0" t="s">
        <v>113</v>
      </c>
      <c r="S717" s="0" t="s">
        <v>21</v>
      </c>
      <c r="T717" s="0" t="s">
        <v>104</v>
      </c>
      <c r="W717" s="0" t="s">
        <v>105</v>
      </c>
      <c r="X717" s="0" t="s">
        <v>2982</v>
      </c>
      <c r="Y717" s="0" t="s">
        <v>2983</v>
      </c>
      <c r="Z717" s="0" t="s">
        <v>691</v>
      </c>
      <c r="AA717" s="0" t="s">
        <v>2984</v>
      </c>
      <c r="AB717" s="0" t="s">
        <v>2985</v>
      </c>
    </row>
    <row r="718" customFormat="false" ht="15" hidden="false" customHeight="false" outlineLevel="0" collapsed="false">
      <c r="A718" s="0" t="s">
        <v>21</v>
      </c>
      <c r="B718" s="0" t="s">
        <v>2986</v>
      </c>
      <c r="C718" s="0" t="s">
        <v>97</v>
      </c>
      <c r="D718" s="0" t="s">
        <v>2987</v>
      </c>
      <c r="E718" s="0" t="s">
        <v>2988</v>
      </c>
      <c r="G718" s="0" t="s">
        <v>2989</v>
      </c>
      <c r="H718" s="0" t="s">
        <v>2990</v>
      </c>
      <c r="I718" s="0" t="s">
        <v>1178</v>
      </c>
      <c r="J718" s="0" t="s">
        <v>511</v>
      </c>
      <c r="K718" s="0" t="s">
        <v>720</v>
      </c>
      <c r="L718" s="0" t="s">
        <v>101</v>
      </c>
      <c r="M718" s="0" t="s">
        <v>1178</v>
      </c>
      <c r="N718" s="0" t="s">
        <v>101</v>
      </c>
      <c r="P718" s="0" t="s">
        <v>102</v>
      </c>
      <c r="Q718" s="0" t="s">
        <v>102</v>
      </c>
      <c r="R718" s="0" t="s">
        <v>113</v>
      </c>
      <c r="S718" s="0" t="s">
        <v>21</v>
      </c>
      <c r="T718" s="0" t="s">
        <v>104</v>
      </c>
      <c r="W718" s="0" t="s">
        <v>105</v>
      </c>
      <c r="X718" s="0" t="s">
        <v>2991</v>
      </c>
      <c r="Y718" s="0" t="s">
        <v>2992</v>
      </c>
      <c r="Z718" s="0" t="s">
        <v>691</v>
      </c>
      <c r="AA718" s="0" t="s">
        <v>2993</v>
      </c>
    </row>
    <row r="719" customFormat="false" ht="15" hidden="false" customHeight="false" outlineLevel="0" collapsed="false">
      <c r="A719" s="0" t="s">
        <v>21</v>
      </c>
      <c r="B719" s="0" t="s">
        <v>2994</v>
      </c>
      <c r="C719" s="0" t="s">
        <v>97</v>
      </c>
      <c r="D719" s="0" t="s">
        <v>2995</v>
      </c>
      <c r="E719" s="0" t="s">
        <v>2995</v>
      </c>
      <c r="G719" s="0" t="s">
        <v>2996</v>
      </c>
      <c r="H719" s="0" t="s">
        <v>2997</v>
      </c>
      <c r="I719" s="0" t="s">
        <v>437</v>
      </c>
      <c r="J719" s="0" t="s">
        <v>511</v>
      </c>
      <c r="K719" s="0" t="s">
        <v>720</v>
      </c>
      <c r="L719" s="0" t="s">
        <v>101</v>
      </c>
      <c r="M719" s="0" t="s">
        <v>437</v>
      </c>
      <c r="N719" s="0" t="s">
        <v>101</v>
      </c>
      <c r="P719" s="0" t="s">
        <v>102</v>
      </c>
      <c r="Q719" s="0" t="s">
        <v>102</v>
      </c>
      <c r="R719" s="0" t="s">
        <v>113</v>
      </c>
      <c r="S719" s="0" t="s">
        <v>21</v>
      </c>
      <c r="T719" s="0" t="s">
        <v>104</v>
      </c>
      <c r="W719" s="0" t="s">
        <v>105</v>
      </c>
      <c r="X719" s="0" t="s">
        <v>2998</v>
      </c>
      <c r="Y719" s="0" t="s">
        <v>2999</v>
      </c>
      <c r="Z719" s="0" t="s">
        <v>691</v>
      </c>
      <c r="AA719" s="0" t="s">
        <v>3000</v>
      </c>
      <c r="AB719" s="0" t="s">
        <v>3001</v>
      </c>
    </row>
    <row r="720" customFormat="false" ht="15" hidden="false" customHeight="false" outlineLevel="0" collapsed="false">
      <c r="A720" s="0" t="s">
        <v>21</v>
      </c>
      <c r="B720" s="0" t="s">
        <v>3002</v>
      </c>
      <c r="C720" s="0" t="s">
        <v>97</v>
      </c>
      <c r="D720" s="0" t="s">
        <v>3003</v>
      </c>
      <c r="E720" s="0" t="s">
        <v>3004</v>
      </c>
      <c r="G720" s="0" t="s">
        <v>3005</v>
      </c>
      <c r="H720" s="0" t="s">
        <v>3006</v>
      </c>
      <c r="I720" s="0" t="s">
        <v>437</v>
      </c>
      <c r="J720" s="0" t="s">
        <v>511</v>
      </c>
      <c r="K720" s="0" t="s">
        <v>457</v>
      </c>
      <c r="L720" s="0" t="s">
        <v>101</v>
      </c>
      <c r="M720" s="0" t="s">
        <v>437</v>
      </c>
      <c r="N720" s="0" t="s">
        <v>101</v>
      </c>
      <c r="P720" s="0" t="s">
        <v>102</v>
      </c>
      <c r="Q720" s="0" t="s">
        <v>102</v>
      </c>
      <c r="R720" s="0" t="s">
        <v>113</v>
      </c>
      <c r="S720" s="0" t="s">
        <v>21</v>
      </c>
      <c r="T720" s="0" t="s">
        <v>104</v>
      </c>
      <c r="W720" s="0" t="s">
        <v>105</v>
      </c>
      <c r="X720" s="0" t="s">
        <v>3007</v>
      </c>
      <c r="Y720" s="0" t="s">
        <v>3008</v>
      </c>
      <c r="Z720" s="0" t="s">
        <v>691</v>
      </c>
      <c r="AA720" s="0" t="s">
        <v>3001</v>
      </c>
      <c r="AB720" s="0" t="s">
        <v>3009</v>
      </c>
    </row>
    <row r="721" customFormat="false" ht="15" hidden="false" customHeight="false" outlineLevel="0" collapsed="false">
      <c r="A721" s="0" t="s">
        <v>21</v>
      </c>
      <c r="B721" s="0" t="s">
        <v>3010</v>
      </c>
      <c r="C721" s="0" t="s">
        <v>97</v>
      </c>
      <c r="D721" s="0" t="s">
        <v>3011</v>
      </c>
      <c r="E721" s="0" t="s">
        <v>3012</v>
      </c>
      <c r="G721" s="0" t="s">
        <v>3013</v>
      </c>
      <c r="H721" s="0" t="s">
        <v>3014</v>
      </c>
      <c r="I721" s="0" t="s">
        <v>437</v>
      </c>
      <c r="J721" s="0" t="s">
        <v>511</v>
      </c>
      <c r="K721" s="0" t="s">
        <v>525</v>
      </c>
      <c r="L721" s="0" t="s">
        <v>101</v>
      </c>
      <c r="M721" s="0" t="s">
        <v>437</v>
      </c>
      <c r="N721" s="0" t="s">
        <v>101</v>
      </c>
      <c r="P721" s="0" t="s">
        <v>102</v>
      </c>
      <c r="Q721" s="0" t="s">
        <v>102</v>
      </c>
      <c r="R721" s="0" t="s">
        <v>113</v>
      </c>
      <c r="S721" s="0" t="s">
        <v>21</v>
      </c>
      <c r="T721" s="0" t="s">
        <v>104</v>
      </c>
      <c r="W721" s="0" t="s">
        <v>105</v>
      </c>
      <c r="X721" s="0" t="s">
        <v>3015</v>
      </c>
      <c r="Y721" s="0" t="s">
        <v>3016</v>
      </c>
      <c r="Z721" s="0" t="s">
        <v>691</v>
      </c>
      <c r="AA721" s="0" t="s">
        <v>3017</v>
      </c>
      <c r="AB721" s="0" t="s">
        <v>3018</v>
      </c>
    </row>
    <row r="722" customFormat="false" ht="15" hidden="false" customHeight="false" outlineLevel="0" collapsed="false">
      <c r="A722" s="0" t="s">
        <v>21</v>
      </c>
      <c r="B722" s="0" t="s">
        <v>3019</v>
      </c>
      <c r="C722" s="0" t="s">
        <v>97</v>
      </c>
      <c r="D722" s="0" t="s">
        <v>3020</v>
      </c>
      <c r="E722" s="0" t="s">
        <v>3021</v>
      </c>
      <c r="G722" s="0" t="s">
        <v>3022</v>
      </c>
      <c r="H722" s="0" t="s">
        <v>3023</v>
      </c>
      <c r="I722" s="0" t="s">
        <v>437</v>
      </c>
      <c r="J722" s="0" t="s">
        <v>511</v>
      </c>
      <c r="K722" s="0" t="s">
        <v>720</v>
      </c>
      <c r="L722" s="0" t="s">
        <v>101</v>
      </c>
      <c r="M722" s="0" t="s">
        <v>437</v>
      </c>
      <c r="N722" s="0" t="s">
        <v>101</v>
      </c>
      <c r="P722" s="0" t="s">
        <v>102</v>
      </c>
      <c r="Q722" s="0" t="s">
        <v>102</v>
      </c>
      <c r="R722" s="0" t="s">
        <v>113</v>
      </c>
      <c r="S722" s="0" t="s">
        <v>21</v>
      </c>
      <c r="T722" s="0" t="s">
        <v>104</v>
      </c>
      <c r="W722" s="0" t="s">
        <v>105</v>
      </c>
      <c r="X722" s="0" t="s">
        <v>3024</v>
      </c>
      <c r="Y722" s="0" t="s">
        <v>3025</v>
      </c>
      <c r="Z722" s="0" t="s">
        <v>691</v>
      </c>
      <c r="AA722" s="0" t="s">
        <v>3026</v>
      </c>
    </row>
    <row r="723" customFormat="false" ht="15" hidden="false" customHeight="false" outlineLevel="0" collapsed="false">
      <c r="A723" s="0" t="s">
        <v>21</v>
      </c>
      <c r="B723" s="0" t="s">
        <v>3027</v>
      </c>
      <c r="C723" s="0" t="s">
        <v>97</v>
      </c>
      <c r="D723" s="0" t="s">
        <v>3028</v>
      </c>
      <c r="E723" s="0" t="s">
        <v>3029</v>
      </c>
      <c r="G723" s="0" t="s">
        <v>3030</v>
      </c>
      <c r="H723" s="0" t="s">
        <v>3031</v>
      </c>
      <c r="I723" s="0" t="s">
        <v>1392</v>
      </c>
      <c r="J723" s="0" t="s">
        <v>3032</v>
      </c>
      <c r="K723" s="0" t="s">
        <v>3033</v>
      </c>
      <c r="L723" s="0" t="s">
        <v>101</v>
      </c>
      <c r="M723" s="0" t="s">
        <v>1392</v>
      </c>
      <c r="N723" s="0" t="s">
        <v>101</v>
      </c>
      <c r="P723" s="0" t="s">
        <v>102</v>
      </c>
      <c r="Q723" s="0" t="s">
        <v>102</v>
      </c>
      <c r="R723" s="0" t="s">
        <v>113</v>
      </c>
      <c r="S723" s="0" t="s">
        <v>21</v>
      </c>
      <c r="T723" s="0" t="s">
        <v>104</v>
      </c>
      <c r="W723" s="0" t="s">
        <v>105</v>
      </c>
      <c r="X723" s="0" t="s">
        <v>3034</v>
      </c>
      <c r="Y723" s="0" t="s">
        <v>3035</v>
      </c>
      <c r="Z723" s="0" t="s">
        <v>701</v>
      </c>
      <c r="AA723" s="0" t="s">
        <v>3036</v>
      </c>
    </row>
    <row r="724" customFormat="false" ht="15" hidden="false" customHeight="false" outlineLevel="0" collapsed="false">
      <c r="A724" s="0" t="s">
        <v>21</v>
      </c>
      <c r="B724" s="0" t="s">
        <v>3037</v>
      </c>
      <c r="C724" s="0" t="s">
        <v>97</v>
      </c>
      <c r="D724" s="0" t="s">
        <v>3038</v>
      </c>
      <c r="E724" s="0" t="s">
        <v>3039</v>
      </c>
      <c r="G724" s="0" t="s">
        <v>3040</v>
      </c>
      <c r="H724" s="0" t="s">
        <v>3041</v>
      </c>
      <c r="I724" s="0" t="s">
        <v>1392</v>
      </c>
      <c r="J724" s="0" t="s">
        <v>3032</v>
      </c>
      <c r="K724" s="0" t="s">
        <v>720</v>
      </c>
      <c r="L724" s="0" t="s">
        <v>101</v>
      </c>
      <c r="M724" s="0" t="s">
        <v>1392</v>
      </c>
      <c r="N724" s="0" t="s">
        <v>101</v>
      </c>
      <c r="P724" s="0" t="s">
        <v>204</v>
      </c>
      <c r="Q724" s="0" t="s">
        <v>204</v>
      </c>
      <c r="R724" s="0" t="s">
        <v>399</v>
      </c>
      <c r="S724" s="0" t="s">
        <v>21</v>
      </c>
      <c r="T724" s="0" t="s">
        <v>104</v>
      </c>
      <c r="W724" s="0" t="s">
        <v>105</v>
      </c>
      <c r="X724" s="0" t="s">
        <v>3042</v>
      </c>
      <c r="Y724" s="0" t="s">
        <v>3043</v>
      </c>
      <c r="Z724" s="0" t="s">
        <v>701</v>
      </c>
      <c r="AA724" s="0" t="s">
        <v>3044</v>
      </c>
    </row>
    <row r="725" customFormat="false" ht="15" hidden="false" customHeight="false" outlineLevel="0" collapsed="false">
      <c r="A725" s="0" t="s">
        <v>21</v>
      </c>
      <c r="B725" s="0" t="s">
        <v>3045</v>
      </c>
      <c r="C725" s="0" t="s">
        <v>97</v>
      </c>
      <c r="D725" s="0" t="s">
        <v>2901</v>
      </c>
      <c r="E725" s="0" t="s">
        <v>3046</v>
      </c>
      <c r="G725" s="0" t="s">
        <v>3047</v>
      </c>
      <c r="H725" s="0" t="s">
        <v>3048</v>
      </c>
      <c r="I725" s="0" t="s">
        <v>510</v>
      </c>
      <c r="J725" s="0" t="s">
        <v>511</v>
      </c>
      <c r="K725" s="0" t="s">
        <v>3049</v>
      </c>
      <c r="L725" s="0" t="s">
        <v>101</v>
      </c>
      <c r="M725" s="0" t="s">
        <v>437</v>
      </c>
      <c r="N725" s="0" t="s">
        <v>101</v>
      </c>
      <c r="P725" s="0" t="s">
        <v>204</v>
      </c>
      <c r="Q725" s="0" t="s">
        <v>204</v>
      </c>
      <c r="R725" s="0" t="s">
        <v>399</v>
      </c>
      <c r="S725" s="0" t="s">
        <v>21</v>
      </c>
      <c r="T725" s="0" t="s">
        <v>104</v>
      </c>
      <c r="W725" s="0" t="s">
        <v>105</v>
      </c>
      <c r="X725" s="0" t="s">
        <v>3050</v>
      </c>
      <c r="Y725" s="0" t="s">
        <v>3051</v>
      </c>
      <c r="Z725" s="0" t="s">
        <v>691</v>
      </c>
      <c r="AA725" s="0" t="s">
        <v>2961</v>
      </c>
    </row>
    <row r="726" customFormat="false" ht="15" hidden="false" customHeight="false" outlineLevel="0" collapsed="false">
      <c r="A726" s="0" t="s">
        <v>21</v>
      </c>
      <c r="B726" s="0" t="s">
        <v>3052</v>
      </c>
      <c r="C726" s="0" t="s">
        <v>97</v>
      </c>
      <c r="D726" s="0" t="s">
        <v>3038</v>
      </c>
      <c r="E726" s="0" t="s">
        <v>3053</v>
      </c>
      <c r="G726" s="0" t="s">
        <v>3054</v>
      </c>
      <c r="H726" s="0" t="s">
        <v>3055</v>
      </c>
      <c r="I726" s="0" t="s">
        <v>437</v>
      </c>
      <c r="J726" s="0" t="s">
        <v>511</v>
      </c>
      <c r="K726" s="0" t="s">
        <v>3056</v>
      </c>
      <c r="L726" s="0" t="s">
        <v>101</v>
      </c>
      <c r="M726" s="0" t="s">
        <v>437</v>
      </c>
      <c r="N726" s="0" t="s">
        <v>101</v>
      </c>
      <c r="P726" s="0" t="s">
        <v>102</v>
      </c>
      <c r="Q726" s="0" t="s">
        <v>102</v>
      </c>
      <c r="R726" s="0" t="s">
        <v>113</v>
      </c>
      <c r="S726" s="0" t="s">
        <v>21</v>
      </c>
      <c r="T726" s="0" t="s">
        <v>104</v>
      </c>
      <c r="W726" s="0" t="s">
        <v>105</v>
      </c>
      <c r="X726" s="0" t="s">
        <v>3057</v>
      </c>
      <c r="Y726" s="0" t="s">
        <v>3058</v>
      </c>
      <c r="Z726" s="0" t="s">
        <v>691</v>
      </c>
      <c r="AA726" s="0" t="s">
        <v>3059</v>
      </c>
      <c r="AB726" s="0" t="s">
        <v>3060</v>
      </c>
    </row>
    <row r="727" customFormat="false" ht="15" hidden="false" customHeight="false" outlineLevel="0" collapsed="false">
      <c r="A727" s="0" t="s">
        <v>21</v>
      </c>
      <c r="B727" s="0" t="s">
        <v>3061</v>
      </c>
      <c r="C727" s="0" t="s">
        <v>97</v>
      </c>
      <c r="D727" s="0" t="s">
        <v>3062</v>
      </c>
      <c r="E727" s="0" t="s">
        <v>3063</v>
      </c>
      <c r="G727" s="0" t="s">
        <v>3064</v>
      </c>
      <c r="H727" s="0" t="s">
        <v>3065</v>
      </c>
      <c r="I727" s="0" t="s">
        <v>437</v>
      </c>
      <c r="J727" s="0" t="s">
        <v>511</v>
      </c>
      <c r="K727" s="0" t="s">
        <v>720</v>
      </c>
      <c r="L727" s="0" t="s">
        <v>101</v>
      </c>
      <c r="M727" s="0" t="s">
        <v>437</v>
      </c>
      <c r="N727" s="0" t="s">
        <v>101</v>
      </c>
      <c r="P727" s="0" t="s">
        <v>204</v>
      </c>
      <c r="Q727" s="0" t="s">
        <v>204</v>
      </c>
      <c r="R727" s="0" t="s">
        <v>399</v>
      </c>
      <c r="S727" s="0" t="s">
        <v>21</v>
      </c>
      <c r="T727" s="0" t="s">
        <v>104</v>
      </c>
      <c r="W727" s="0" t="s">
        <v>105</v>
      </c>
      <c r="X727" s="0" t="s">
        <v>3066</v>
      </c>
      <c r="Y727" s="0" t="s">
        <v>3067</v>
      </c>
      <c r="Z727" s="0" t="s">
        <v>691</v>
      </c>
      <c r="AA727" s="0" t="s">
        <v>3068</v>
      </c>
      <c r="AB727" s="0" t="s">
        <v>3069</v>
      </c>
    </row>
    <row r="728" customFormat="false" ht="15" hidden="false" customHeight="false" outlineLevel="0" collapsed="false">
      <c r="A728" s="0" t="s">
        <v>21</v>
      </c>
      <c r="B728" s="0" t="s">
        <v>3070</v>
      </c>
      <c r="C728" s="0" t="s">
        <v>97</v>
      </c>
      <c r="D728" s="0" t="s">
        <v>3071</v>
      </c>
      <c r="E728" s="0" t="s">
        <v>3072</v>
      </c>
      <c r="G728" s="0" t="s">
        <v>3073</v>
      </c>
      <c r="H728" s="0" t="s">
        <v>3074</v>
      </c>
      <c r="I728" s="0" t="s">
        <v>437</v>
      </c>
      <c r="J728" s="0" t="s">
        <v>511</v>
      </c>
      <c r="K728" s="0" t="s">
        <v>1379</v>
      </c>
      <c r="L728" s="0" t="s">
        <v>101</v>
      </c>
      <c r="M728" s="0" t="s">
        <v>437</v>
      </c>
      <c r="N728" s="0" t="s">
        <v>101</v>
      </c>
      <c r="P728" s="0" t="s">
        <v>204</v>
      </c>
      <c r="Q728" s="0" t="s">
        <v>204</v>
      </c>
      <c r="R728" s="0" t="s">
        <v>399</v>
      </c>
      <c r="S728" s="0" t="s">
        <v>21</v>
      </c>
      <c r="T728" s="0" t="s">
        <v>104</v>
      </c>
      <c r="W728" s="0" t="s">
        <v>105</v>
      </c>
      <c r="X728" s="0" t="s">
        <v>3075</v>
      </c>
      <c r="Y728" s="0" t="s">
        <v>3076</v>
      </c>
      <c r="Z728" s="0" t="s">
        <v>691</v>
      </c>
      <c r="AA728" s="0" t="s">
        <v>172</v>
      </c>
    </row>
    <row r="729" customFormat="false" ht="15" hidden="false" customHeight="false" outlineLevel="0" collapsed="false">
      <c r="A729" s="0" t="s">
        <v>21</v>
      </c>
      <c r="B729" s="0" t="s">
        <v>3077</v>
      </c>
      <c r="C729" s="0" t="s">
        <v>97</v>
      </c>
      <c r="D729" s="0" t="s">
        <v>3078</v>
      </c>
      <c r="E729" s="0" t="s">
        <v>3079</v>
      </c>
      <c r="G729" s="0" t="s">
        <v>3080</v>
      </c>
      <c r="M729" s="0" t="s">
        <v>511</v>
      </c>
      <c r="N729" s="0" t="s">
        <v>101</v>
      </c>
      <c r="P729" s="0" t="s">
        <v>204</v>
      </c>
      <c r="Q729" s="0" t="s">
        <v>204</v>
      </c>
      <c r="R729" s="0" t="s">
        <v>399</v>
      </c>
      <c r="S729" s="0" t="s">
        <v>21</v>
      </c>
      <c r="T729" s="0" t="s">
        <v>104</v>
      </c>
      <c r="W729" s="0" t="s">
        <v>105</v>
      </c>
      <c r="Z729" s="0" t="s">
        <v>691</v>
      </c>
      <c r="AA729" s="0" t="s">
        <v>3081</v>
      </c>
    </row>
    <row r="730" customFormat="false" ht="15" hidden="false" customHeight="false" outlineLevel="0" collapsed="false">
      <c r="A730" s="0" t="s">
        <v>21</v>
      </c>
      <c r="B730" s="0" t="s">
        <v>3082</v>
      </c>
      <c r="C730" s="0" t="s">
        <v>97</v>
      </c>
      <c r="D730" s="0" t="s">
        <v>2901</v>
      </c>
      <c r="E730" s="0" t="s">
        <v>3083</v>
      </c>
      <c r="G730" s="0" t="s">
        <v>3084</v>
      </c>
      <c r="H730" s="0" t="s">
        <v>3085</v>
      </c>
      <c r="I730" s="0" t="s">
        <v>719</v>
      </c>
      <c r="J730" s="0" t="s">
        <v>511</v>
      </c>
      <c r="K730" s="0" t="s">
        <v>711</v>
      </c>
      <c r="L730" s="0" t="s">
        <v>101</v>
      </c>
      <c r="M730" s="0" t="s">
        <v>437</v>
      </c>
      <c r="N730" s="0" t="s">
        <v>101</v>
      </c>
      <c r="P730" s="0" t="s">
        <v>102</v>
      </c>
      <c r="Q730" s="0" t="s">
        <v>102</v>
      </c>
      <c r="R730" s="0" t="s">
        <v>113</v>
      </c>
      <c r="S730" s="0" t="s">
        <v>21</v>
      </c>
      <c r="T730" s="0" t="s">
        <v>104</v>
      </c>
      <c r="W730" s="0" t="s">
        <v>105</v>
      </c>
      <c r="X730" s="0" t="s">
        <v>721</v>
      </c>
      <c r="Y730" s="0" t="s">
        <v>722</v>
      </c>
      <c r="Z730" s="0" t="s">
        <v>691</v>
      </c>
      <c r="AA730" s="0" t="s">
        <v>172</v>
      </c>
    </row>
    <row r="731" customFormat="false" ht="15" hidden="false" customHeight="false" outlineLevel="0" collapsed="false">
      <c r="A731" s="0" t="s">
        <v>21</v>
      </c>
      <c r="B731" s="0" t="s">
        <v>3086</v>
      </c>
      <c r="C731" s="0" t="s">
        <v>97</v>
      </c>
      <c r="D731" s="0" t="s">
        <v>3087</v>
      </c>
      <c r="E731" s="0" t="s">
        <v>3088</v>
      </c>
      <c r="G731" s="0" t="s">
        <v>3089</v>
      </c>
      <c r="H731" s="0" t="s">
        <v>3090</v>
      </c>
      <c r="I731" s="0" t="s">
        <v>1392</v>
      </c>
      <c r="J731" s="0" t="s">
        <v>511</v>
      </c>
      <c r="K731" s="0" t="s">
        <v>1179</v>
      </c>
      <c r="L731" s="0" t="s">
        <v>101</v>
      </c>
      <c r="M731" s="0" t="s">
        <v>1392</v>
      </c>
      <c r="N731" s="0" t="s">
        <v>101</v>
      </c>
      <c r="P731" s="0" t="s">
        <v>102</v>
      </c>
      <c r="Q731" s="0" t="s">
        <v>102</v>
      </c>
      <c r="R731" s="0" t="s">
        <v>113</v>
      </c>
      <c r="S731" s="0" t="s">
        <v>21</v>
      </c>
      <c r="T731" s="0" t="s">
        <v>104</v>
      </c>
      <c r="W731" s="0" t="s">
        <v>105</v>
      </c>
      <c r="X731" s="0" t="s">
        <v>3091</v>
      </c>
      <c r="Y731" s="0" t="s">
        <v>3092</v>
      </c>
      <c r="Z731" s="0" t="s">
        <v>691</v>
      </c>
      <c r="AA731" s="0" t="s">
        <v>3093</v>
      </c>
      <c r="AB731" s="0" t="s">
        <v>3094</v>
      </c>
    </row>
    <row r="732" customFormat="false" ht="15" hidden="false" customHeight="false" outlineLevel="0" collapsed="false">
      <c r="A732" s="0" t="s">
        <v>21</v>
      </c>
      <c r="B732" s="0" t="s">
        <v>3095</v>
      </c>
      <c r="C732" s="0" t="s">
        <v>97</v>
      </c>
      <c r="D732" s="0" t="s">
        <v>3096</v>
      </c>
      <c r="E732" s="0" t="s">
        <v>3097</v>
      </c>
      <c r="G732" s="0" t="s">
        <v>3098</v>
      </c>
      <c r="H732" s="0" t="s">
        <v>3099</v>
      </c>
      <c r="I732" s="0" t="s">
        <v>437</v>
      </c>
      <c r="J732" s="0" t="s">
        <v>511</v>
      </c>
      <c r="K732" s="0" t="s">
        <v>711</v>
      </c>
      <c r="L732" s="0" t="s">
        <v>101</v>
      </c>
      <c r="M732" s="0" t="s">
        <v>437</v>
      </c>
      <c r="N732" s="0" t="s">
        <v>101</v>
      </c>
      <c r="P732" s="0" t="s">
        <v>102</v>
      </c>
      <c r="Q732" s="0" t="s">
        <v>102</v>
      </c>
      <c r="R732" s="0" t="s">
        <v>113</v>
      </c>
      <c r="S732" s="0" t="s">
        <v>21</v>
      </c>
      <c r="T732" s="0" t="s">
        <v>104</v>
      </c>
      <c r="W732" s="0" t="s">
        <v>105</v>
      </c>
      <c r="X732" s="0" t="s">
        <v>3100</v>
      </c>
      <c r="Y732" s="0" t="s">
        <v>3101</v>
      </c>
      <c r="Z732" s="0" t="s">
        <v>691</v>
      </c>
      <c r="AA732" s="0" t="s">
        <v>3102</v>
      </c>
      <c r="AB732" s="0" t="s">
        <v>3103</v>
      </c>
    </row>
    <row r="733" customFormat="false" ht="15" hidden="false" customHeight="false" outlineLevel="0" collapsed="false">
      <c r="A733" s="0" t="s">
        <v>21</v>
      </c>
      <c r="B733" s="0" t="s">
        <v>3104</v>
      </c>
      <c r="C733" s="0" t="s">
        <v>97</v>
      </c>
      <c r="D733" s="0" t="s">
        <v>3105</v>
      </c>
      <c r="E733" s="0" t="s">
        <v>3106</v>
      </c>
      <c r="G733" s="0" t="s">
        <v>3107</v>
      </c>
      <c r="H733" s="0" t="s">
        <v>3108</v>
      </c>
      <c r="I733" s="0" t="s">
        <v>437</v>
      </c>
      <c r="J733" s="0" t="s">
        <v>511</v>
      </c>
      <c r="K733" s="0" t="s">
        <v>3109</v>
      </c>
      <c r="L733" s="0" t="s">
        <v>101</v>
      </c>
      <c r="M733" s="0" t="s">
        <v>437</v>
      </c>
      <c r="N733" s="0" t="s">
        <v>101</v>
      </c>
      <c r="P733" s="0" t="s">
        <v>102</v>
      </c>
      <c r="Q733" s="0" t="s">
        <v>102</v>
      </c>
      <c r="R733" s="0" t="s">
        <v>113</v>
      </c>
      <c r="S733" s="0" t="s">
        <v>21</v>
      </c>
      <c r="T733" s="0" t="s">
        <v>104</v>
      </c>
      <c r="W733" s="0" t="s">
        <v>105</v>
      </c>
      <c r="X733" s="0" t="s">
        <v>3110</v>
      </c>
      <c r="Y733" s="0" t="s">
        <v>3111</v>
      </c>
      <c r="Z733" s="0" t="s">
        <v>691</v>
      </c>
      <c r="AA733" s="0" t="s">
        <v>3112</v>
      </c>
      <c r="AB733" s="0" t="s">
        <v>3113</v>
      </c>
    </row>
    <row r="734" customFormat="false" ht="15" hidden="false" customHeight="false" outlineLevel="0" collapsed="false">
      <c r="A734" s="0" t="s">
        <v>21</v>
      </c>
      <c r="B734" s="0" t="s">
        <v>3114</v>
      </c>
      <c r="C734" s="0" t="s">
        <v>97</v>
      </c>
      <c r="D734" s="0" t="s">
        <v>3115</v>
      </c>
      <c r="E734" s="0" t="s">
        <v>3116</v>
      </c>
      <c r="G734" s="0" t="s">
        <v>3117</v>
      </c>
      <c r="H734" s="0" t="s">
        <v>3023</v>
      </c>
      <c r="I734" s="0" t="s">
        <v>437</v>
      </c>
      <c r="J734" s="0" t="s">
        <v>511</v>
      </c>
      <c r="K734" s="0" t="s">
        <v>3118</v>
      </c>
      <c r="L734" s="0" t="s">
        <v>101</v>
      </c>
      <c r="M734" s="0" t="s">
        <v>437</v>
      </c>
      <c r="N734" s="0" t="s">
        <v>101</v>
      </c>
      <c r="P734" s="0" t="s">
        <v>102</v>
      </c>
      <c r="Q734" s="0" t="s">
        <v>102</v>
      </c>
      <c r="R734" s="0" t="s">
        <v>113</v>
      </c>
      <c r="S734" s="0" t="s">
        <v>21</v>
      </c>
      <c r="T734" s="0" t="s">
        <v>104</v>
      </c>
      <c r="W734" s="0" t="s">
        <v>105</v>
      </c>
      <c r="X734" s="0" t="s">
        <v>3024</v>
      </c>
      <c r="Y734" s="0" t="s">
        <v>3025</v>
      </c>
      <c r="Z734" s="0" t="s">
        <v>691</v>
      </c>
      <c r="AA734" s="0" t="s">
        <v>172</v>
      </c>
    </row>
    <row r="735" customFormat="false" ht="15" hidden="false" customHeight="false" outlineLevel="0" collapsed="false">
      <c r="A735" s="0" t="s">
        <v>21</v>
      </c>
      <c r="B735" s="0" t="s">
        <v>3119</v>
      </c>
      <c r="C735" s="0" t="s">
        <v>97</v>
      </c>
      <c r="D735" s="0" t="s">
        <v>3115</v>
      </c>
      <c r="E735" s="0" t="s">
        <v>3120</v>
      </c>
      <c r="G735" s="0" t="s">
        <v>3121</v>
      </c>
      <c r="H735" s="0" t="s">
        <v>3122</v>
      </c>
      <c r="I735" s="0" t="s">
        <v>437</v>
      </c>
      <c r="J735" s="0" t="s">
        <v>511</v>
      </c>
      <c r="K735" s="0" t="s">
        <v>720</v>
      </c>
      <c r="L735" s="0" t="s">
        <v>101</v>
      </c>
      <c r="M735" s="0" t="s">
        <v>437</v>
      </c>
      <c r="N735" s="0" t="s">
        <v>101</v>
      </c>
      <c r="P735" s="0" t="s">
        <v>102</v>
      </c>
      <c r="Q735" s="0" t="s">
        <v>102</v>
      </c>
      <c r="R735" s="0" t="s">
        <v>113</v>
      </c>
      <c r="S735" s="0" t="s">
        <v>21</v>
      </c>
      <c r="T735" s="0" t="s">
        <v>104</v>
      </c>
      <c r="W735" s="0" t="s">
        <v>105</v>
      </c>
      <c r="X735" s="0" t="s">
        <v>3024</v>
      </c>
      <c r="Y735" s="0" t="s">
        <v>3025</v>
      </c>
      <c r="Z735" s="0" t="s">
        <v>691</v>
      </c>
      <c r="AA735" s="0" t="s">
        <v>172</v>
      </c>
    </row>
    <row r="736" customFormat="false" ht="15" hidden="false" customHeight="false" outlineLevel="0" collapsed="false">
      <c r="A736" s="0" t="s">
        <v>21</v>
      </c>
      <c r="B736" s="0" t="s">
        <v>3123</v>
      </c>
      <c r="C736" s="0" t="s">
        <v>97</v>
      </c>
      <c r="D736" s="0" t="s">
        <v>3124</v>
      </c>
      <c r="E736" s="0" t="s">
        <v>3125</v>
      </c>
      <c r="G736" s="0" t="s">
        <v>3126</v>
      </c>
      <c r="H736" s="0" t="s">
        <v>3127</v>
      </c>
      <c r="I736" s="0" t="s">
        <v>437</v>
      </c>
      <c r="J736" s="0" t="s">
        <v>511</v>
      </c>
      <c r="K736" s="0" t="s">
        <v>3056</v>
      </c>
      <c r="L736" s="0" t="s">
        <v>101</v>
      </c>
      <c r="M736" s="0" t="s">
        <v>437</v>
      </c>
      <c r="N736" s="0" t="s">
        <v>101</v>
      </c>
      <c r="P736" s="0" t="s">
        <v>102</v>
      </c>
      <c r="Q736" s="0" t="s">
        <v>102</v>
      </c>
      <c r="R736" s="0" t="s">
        <v>113</v>
      </c>
      <c r="S736" s="0" t="s">
        <v>21</v>
      </c>
      <c r="T736" s="0" t="s">
        <v>104</v>
      </c>
      <c r="W736" s="0" t="s">
        <v>105</v>
      </c>
      <c r="X736" s="0" t="s">
        <v>3128</v>
      </c>
      <c r="Y736" s="0" t="s">
        <v>3129</v>
      </c>
      <c r="Z736" s="0" t="s">
        <v>691</v>
      </c>
      <c r="AA736" s="0" t="s">
        <v>172</v>
      </c>
    </row>
    <row r="737" customFormat="false" ht="15" hidden="false" customHeight="false" outlineLevel="0" collapsed="false">
      <c r="A737" s="0" t="s">
        <v>21</v>
      </c>
      <c r="B737" s="0" t="s">
        <v>3130</v>
      </c>
      <c r="C737" s="0" t="s">
        <v>97</v>
      </c>
      <c r="D737" s="0" t="s">
        <v>2901</v>
      </c>
      <c r="E737" s="0" t="s">
        <v>3131</v>
      </c>
      <c r="G737" s="0" t="s">
        <v>3132</v>
      </c>
      <c r="H737" s="0" t="s">
        <v>3133</v>
      </c>
      <c r="I737" s="0" t="s">
        <v>437</v>
      </c>
      <c r="J737" s="0" t="s">
        <v>511</v>
      </c>
      <c r="K737" s="0" t="s">
        <v>1639</v>
      </c>
      <c r="L737" s="0" t="s">
        <v>101</v>
      </c>
      <c r="M737" s="0" t="s">
        <v>437</v>
      </c>
      <c r="N737" s="0" t="s">
        <v>101</v>
      </c>
      <c r="P737" s="0" t="s">
        <v>102</v>
      </c>
      <c r="Q737" s="0" t="s">
        <v>102</v>
      </c>
      <c r="R737" s="0" t="s">
        <v>113</v>
      </c>
      <c r="S737" s="0" t="s">
        <v>21</v>
      </c>
      <c r="T737" s="0" t="s">
        <v>104</v>
      </c>
      <c r="W737" s="0" t="s">
        <v>105</v>
      </c>
      <c r="X737" s="0" t="s">
        <v>3134</v>
      </c>
      <c r="Y737" s="0" t="s">
        <v>3135</v>
      </c>
      <c r="Z737" s="0" t="s">
        <v>691</v>
      </c>
      <c r="AA737" s="0" t="s">
        <v>3136</v>
      </c>
    </row>
    <row r="738" customFormat="false" ht="15" hidden="false" customHeight="false" outlineLevel="0" collapsed="false">
      <c r="A738" s="0" t="s">
        <v>21</v>
      </c>
      <c r="B738" s="0" t="s">
        <v>3137</v>
      </c>
      <c r="C738" s="0" t="s">
        <v>97</v>
      </c>
      <c r="D738" s="0" t="s">
        <v>2901</v>
      </c>
      <c r="E738" s="0" t="s">
        <v>3138</v>
      </c>
      <c r="G738" s="0" t="s">
        <v>3139</v>
      </c>
      <c r="H738" s="0" t="s">
        <v>3023</v>
      </c>
      <c r="I738" s="0" t="s">
        <v>437</v>
      </c>
      <c r="J738" s="0" t="s">
        <v>511</v>
      </c>
      <c r="K738" s="0" t="s">
        <v>720</v>
      </c>
      <c r="L738" s="0" t="s">
        <v>101</v>
      </c>
      <c r="M738" s="0" t="s">
        <v>437</v>
      </c>
      <c r="N738" s="0" t="s">
        <v>101</v>
      </c>
      <c r="P738" s="0" t="s">
        <v>102</v>
      </c>
      <c r="Q738" s="0" t="s">
        <v>102</v>
      </c>
      <c r="R738" s="0" t="s">
        <v>113</v>
      </c>
      <c r="S738" s="0" t="s">
        <v>21</v>
      </c>
      <c r="T738" s="0" t="s">
        <v>104</v>
      </c>
      <c r="W738" s="0" t="s">
        <v>105</v>
      </c>
      <c r="X738" s="0" t="s">
        <v>3024</v>
      </c>
      <c r="Y738" s="0" t="s">
        <v>3025</v>
      </c>
      <c r="Z738" s="0" t="s">
        <v>691</v>
      </c>
      <c r="AA738" s="0" t="s">
        <v>3136</v>
      </c>
    </row>
    <row r="739" customFormat="false" ht="15" hidden="false" customHeight="false" outlineLevel="0" collapsed="false">
      <c r="A739" s="0" t="s">
        <v>21</v>
      </c>
      <c r="B739" s="0" t="s">
        <v>3140</v>
      </c>
      <c r="C739" s="0" t="s">
        <v>97</v>
      </c>
      <c r="D739" s="0" t="s">
        <v>3141</v>
      </c>
      <c r="E739" s="0" t="s">
        <v>3142</v>
      </c>
      <c r="G739" s="0" t="s">
        <v>3143</v>
      </c>
      <c r="H739" s="0" t="s">
        <v>3144</v>
      </c>
      <c r="I739" s="0" t="s">
        <v>437</v>
      </c>
      <c r="J739" s="0" t="s">
        <v>511</v>
      </c>
      <c r="K739" s="0" t="s">
        <v>3033</v>
      </c>
      <c r="L739" s="0" t="s">
        <v>101</v>
      </c>
      <c r="M739" s="0" t="s">
        <v>437</v>
      </c>
      <c r="N739" s="0" t="s">
        <v>101</v>
      </c>
      <c r="P739" s="0" t="s">
        <v>102</v>
      </c>
      <c r="Q739" s="0" t="s">
        <v>102</v>
      </c>
      <c r="R739" s="0" t="s">
        <v>113</v>
      </c>
      <c r="S739" s="0" t="s">
        <v>21</v>
      </c>
      <c r="T739" s="0" t="s">
        <v>104</v>
      </c>
      <c r="W739" s="0" t="s">
        <v>105</v>
      </c>
      <c r="X739" s="0" t="s">
        <v>3145</v>
      </c>
      <c r="Y739" s="0" t="s">
        <v>3146</v>
      </c>
      <c r="Z739" s="0" t="s">
        <v>691</v>
      </c>
      <c r="AA739" s="0" t="s">
        <v>3044</v>
      </c>
    </row>
    <row r="740" customFormat="false" ht="15" hidden="false" customHeight="false" outlineLevel="0" collapsed="false">
      <c r="A740" s="0" t="s">
        <v>21</v>
      </c>
      <c r="B740" s="0" t="s">
        <v>3147</v>
      </c>
      <c r="C740" s="0" t="s">
        <v>97</v>
      </c>
      <c r="D740" s="0" t="s">
        <v>3148</v>
      </c>
      <c r="E740" s="0" t="s">
        <v>3149</v>
      </c>
      <c r="G740" s="0" t="s">
        <v>3150</v>
      </c>
      <c r="H740" s="0" t="s">
        <v>3151</v>
      </c>
      <c r="I740" s="0" t="s">
        <v>456</v>
      </c>
      <c r="J740" s="0" t="s">
        <v>456</v>
      </c>
      <c r="K740" s="0" t="s">
        <v>648</v>
      </c>
      <c r="L740" s="0" t="s">
        <v>101</v>
      </c>
      <c r="M740" s="0" t="s">
        <v>3152</v>
      </c>
      <c r="N740" s="0" t="s">
        <v>101</v>
      </c>
      <c r="P740" s="0" t="s">
        <v>204</v>
      </c>
      <c r="Q740" s="0" t="s">
        <v>204</v>
      </c>
      <c r="R740" s="0" t="s">
        <v>399</v>
      </c>
      <c r="S740" s="0" t="s">
        <v>21</v>
      </c>
      <c r="T740" s="0" t="s">
        <v>104</v>
      </c>
      <c r="W740" s="0" t="s">
        <v>105</v>
      </c>
      <c r="X740" s="0" t="s">
        <v>3153</v>
      </c>
      <c r="Y740" s="0" t="s">
        <v>3154</v>
      </c>
      <c r="Z740" s="0" t="s">
        <v>701</v>
      </c>
      <c r="AA740" s="0" t="s">
        <v>172</v>
      </c>
    </row>
    <row r="741" customFormat="false" ht="15" hidden="false" customHeight="false" outlineLevel="0" collapsed="false">
      <c r="A741" s="0" t="s">
        <v>21</v>
      </c>
      <c r="B741" s="0" t="s">
        <v>3155</v>
      </c>
      <c r="C741" s="0" t="s">
        <v>97</v>
      </c>
      <c r="D741" s="0" t="s">
        <v>3156</v>
      </c>
      <c r="E741" s="0" t="s">
        <v>3157</v>
      </c>
      <c r="G741" s="0" t="s">
        <v>3158</v>
      </c>
      <c r="H741" s="0" t="s">
        <v>3159</v>
      </c>
      <c r="I741" s="0" t="s">
        <v>456</v>
      </c>
      <c r="J741" s="0" t="s">
        <v>456</v>
      </c>
      <c r="K741" s="0" t="s">
        <v>711</v>
      </c>
      <c r="L741" s="0" t="s">
        <v>101</v>
      </c>
      <c r="M741" s="0" t="s">
        <v>1307</v>
      </c>
      <c r="N741" s="0" t="s">
        <v>101</v>
      </c>
      <c r="P741" s="0" t="s">
        <v>102</v>
      </c>
      <c r="Q741" s="0" t="s">
        <v>102</v>
      </c>
      <c r="R741" s="0" t="s">
        <v>113</v>
      </c>
      <c r="S741" s="0" t="s">
        <v>21</v>
      </c>
      <c r="T741" s="0" t="s">
        <v>104</v>
      </c>
      <c r="W741" s="0" t="s">
        <v>105</v>
      </c>
      <c r="X741" s="0" t="s">
        <v>3160</v>
      </c>
      <c r="Y741" s="0" t="s">
        <v>3161</v>
      </c>
      <c r="Z741" s="0" t="s">
        <v>691</v>
      </c>
      <c r="AA741" s="0" t="s">
        <v>3162</v>
      </c>
    </row>
    <row r="742" customFormat="false" ht="15" hidden="false" customHeight="false" outlineLevel="0" collapsed="false">
      <c r="A742" s="0" t="s">
        <v>21</v>
      </c>
      <c r="B742" s="0" t="s">
        <v>3163</v>
      </c>
      <c r="C742" s="0" t="s">
        <v>97</v>
      </c>
      <c r="D742" s="0" t="s">
        <v>3164</v>
      </c>
      <c r="E742" s="0" t="s">
        <v>3165</v>
      </c>
      <c r="G742" s="0" t="s">
        <v>3166</v>
      </c>
      <c r="H742" s="0" t="s">
        <v>3167</v>
      </c>
      <c r="I742" s="0" t="s">
        <v>456</v>
      </c>
      <c r="J742" s="0" t="s">
        <v>456</v>
      </c>
      <c r="K742" s="0" t="s">
        <v>3168</v>
      </c>
      <c r="L742" s="0" t="s">
        <v>101</v>
      </c>
      <c r="M742" s="0" t="s">
        <v>456</v>
      </c>
      <c r="N742" s="0" t="s">
        <v>101</v>
      </c>
      <c r="P742" s="0" t="s">
        <v>204</v>
      </c>
      <c r="Q742" s="0" t="s">
        <v>204</v>
      </c>
      <c r="R742" s="0" t="s">
        <v>399</v>
      </c>
      <c r="S742" s="0" t="s">
        <v>21</v>
      </c>
      <c r="T742" s="0" t="s">
        <v>104</v>
      </c>
      <c r="W742" s="0" t="s">
        <v>105</v>
      </c>
      <c r="X742" s="0" t="s">
        <v>3169</v>
      </c>
      <c r="Y742" s="0" t="s">
        <v>3170</v>
      </c>
      <c r="Z742" s="0" t="s">
        <v>691</v>
      </c>
      <c r="AA742" s="0" t="s">
        <v>172</v>
      </c>
    </row>
    <row r="743" customFormat="false" ht="15" hidden="false" customHeight="false" outlineLevel="0" collapsed="false">
      <c r="A743" s="0" t="s">
        <v>21</v>
      </c>
      <c r="B743" s="0" t="s">
        <v>3171</v>
      </c>
      <c r="C743" s="0" t="s">
        <v>97</v>
      </c>
      <c r="D743" s="0" t="s">
        <v>3172</v>
      </c>
      <c r="E743" s="0" t="s">
        <v>3173</v>
      </c>
      <c r="G743" s="0" t="s">
        <v>3174</v>
      </c>
      <c r="H743" s="0" t="s">
        <v>3175</v>
      </c>
      <c r="I743" s="0" t="s">
        <v>456</v>
      </c>
      <c r="J743" s="0" t="s">
        <v>456</v>
      </c>
      <c r="K743" s="0" t="s">
        <v>1591</v>
      </c>
      <c r="L743" s="0" t="s">
        <v>101</v>
      </c>
      <c r="M743" s="0" t="s">
        <v>456</v>
      </c>
      <c r="N743" s="0" t="s">
        <v>101</v>
      </c>
      <c r="P743" s="0" t="s">
        <v>102</v>
      </c>
      <c r="Q743" s="0" t="s">
        <v>102</v>
      </c>
      <c r="R743" s="0" t="s">
        <v>113</v>
      </c>
      <c r="S743" s="0" t="s">
        <v>21</v>
      </c>
      <c r="T743" s="0" t="s">
        <v>104</v>
      </c>
      <c r="W743" s="0" t="s">
        <v>105</v>
      </c>
      <c r="X743" s="0" t="s">
        <v>3176</v>
      </c>
      <c r="Y743" s="0" t="s">
        <v>3177</v>
      </c>
      <c r="Z743" s="0" t="s">
        <v>691</v>
      </c>
      <c r="AA743" s="0" t="s">
        <v>3178</v>
      </c>
    </row>
    <row r="744" customFormat="false" ht="15" hidden="false" customHeight="false" outlineLevel="0" collapsed="false">
      <c r="A744" s="0" t="s">
        <v>21</v>
      </c>
      <c r="B744" s="0" t="s">
        <v>3179</v>
      </c>
      <c r="C744" s="0" t="s">
        <v>97</v>
      </c>
      <c r="D744" s="0" t="s">
        <v>3180</v>
      </c>
      <c r="E744" s="0" t="s">
        <v>3181</v>
      </c>
      <c r="G744" s="0" t="s">
        <v>3182</v>
      </c>
      <c r="H744" s="0" t="s">
        <v>3183</v>
      </c>
      <c r="I744" s="0" t="s">
        <v>456</v>
      </c>
      <c r="J744" s="0" t="s">
        <v>456</v>
      </c>
      <c r="K744" s="0" t="s">
        <v>648</v>
      </c>
      <c r="L744" s="0" t="s">
        <v>101</v>
      </c>
      <c r="M744" s="0" t="s">
        <v>456</v>
      </c>
      <c r="N744" s="0" t="s">
        <v>101</v>
      </c>
      <c r="P744" s="0" t="s">
        <v>102</v>
      </c>
      <c r="Q744" s="0" t="s">
        <v>102</v>
      </c>
      <c r="R744" s="0" t="s">
        <v>113</v>
      </c>
      <c r="S744" s="0" t="s">
        <v>21</v>
      </c>
      <c r="T744" s="0" t="s">
        <v>104</v>
      </c>
      <c r="W744" s="0" t="s">
        <v>105</v>
      </c>
      <c r="X744" s="0" t="s">
        <v>3184</v>
      </c>
      <c r="Y744" s="0" t="s">
        <v>3185</v>
      </c>
      <c r="Z744" s="0" t="s">
        <v>691</v>
      </c>
      <c r="AA744" s="0" t="s">
        <v>172</v>
      </c>
      <c r="AB744" s="0" t="s">
        <v>3186</v>
      </c>
    </row>
    <row r="745" customFormat="false" ht="15" hidden="false" customHeight="false" outlineLevel="0" collapsed="false">
      <c r="A745" s="0" t="s">
        <v>21</v>
      </c>
      <c r="B745" s="0" t="s">
        <v>3187</v>
      </c>
      <c r="C745" s="0" t="s">
        <v>97</v>
      </c>
      <c r="D745" s="0" t="s">
        <v>3188</v>
      </c>
      <c r="E745" s="0" t="s">
        <v>3189</v>
      </c>
      <c r="G745" s="0" t="s">
        <v>3190</v>
      </c>
      <c r="H745" s="0" t="s">
        <v>3191</v>
      </c>
      <c r="I745" s="0" t="s">
        <v>456</v>
      </c>
      <c r="J745" s="0" t="s">
        <v>456</v>
      </c>
      <c r="K745" s="0" t="s">
        <v>3168</v>
      </c>
      <c r="L745" s="0" t="s">
        <v>101</v>
      </c>
      <c r="M745" s="0" t="s">
        <v>766</v>
      </c>
      <c r="N745" s="0" t="s">
        <v>101</v>
      </c>
      <c r="P745" s="0" t="s">
        <v>102</v>
      </c>
      <c r="Q745" s="0" t="s">
        <v>102</v>
      </c>
      <c r="R745" s="0" t="s">
        <v>113</v>
      </c>
      <c r="S745" s="0" t="s">
        <v>21</v>
      </c>
      <c r="T745" s="0" t="s">
        <v>104</v>
      </c>
      <c r="W745" s="0" t="s">
        <v>105</v>
      </c>
      <c r="X745" s="0" t="s">
        <v>3192</v>
      </c>
      <c r="Y745" s="0" t="s">
        <v>3193</v>
      </c>
      <c r="Z745" s="0" t="s">
        <v>691</v>
      </c>
      <c r="AA745" s="0" t="s">
        <v>172</v>
      </c>
      <c r="AB745" s="0" t="s">
        <v>3194</v>
      </c>
    </row>
    <row r="746" customFormat="false" ht="15" hidden="false" customHeight="false" outlineLevel="0" collapsed="false">
      <c r="A746" s="0" t="s">
        <v>21</v>
      </c>
      <c r="B746" s="0" t="s">
        <v>3195</v>
      </c>
      <c r="C746" s="0" t="s">
        <v>97</v>
      </c>
      <c r="D746" s="0" t="s">
        <v>3196</v>
      </c>
      <c r="E746" s="0" t="s">
        <v>3197</v>
      </c>
      <c r="G746" s="0" t="s">
        <v>3198</v>
      </c>
      <c r="H746" s="0" t="s">
        <v>3199</v>
      </c>
      <c r="I746" s="0" t="s">
        <v>456</v>
      </c>
      <c r="J746" s="0" t="s">
        <v>456</v>
      </c>
      <c r="K746" s="0" t="s">
        <v>648</v>
      </c>
      <c r="L746" s="0" t="s">
        <v>101</v>
      </c>
      <c r="M746" s="0" t="s">
        <v>456</v>
      </c>
      <c r="N746" s="0" t="s">
        <v>101</v>
      </c>
      <c r="P746" s="0" t="s">
        <v>204</v>
      </c>
      <c r="Q746" s="0" t="s">
        <v>204</v>
      </c>
      <c r="R746" s="0" t="s">
        <v>399</v>
      </c>
      <c r="S746" s="0" t="s">
        <v>21</v>
      </c>
      <c r="T746" s="0" t="s">
        <v>104</v>
      </c>
      <c r="W746" s="0" t="s">
        <v>105</v>
      </c>
      <c r="X746" s="0" t="s">
        <v>3200</v>
      </c>
      <c r="Y746" s="0" t="s">
        <v>3201</v>
      </c>
      <c r="Z746" s="0" t="s">
        <v>701</v>
      </c>
      <c r="AA746" s="0" t="s">
        <v>172</v>
      </c>
    </row>
    <row r="747" customFormat="false" ht="15" hidden="false" customHeight="false" outlineLevel="0" collapsed="false">
      <c r="A747" s="0" t="s">
        <v>21</v>
      </c>
      <c r="B747" s="0" t="s">
        <v>3202</v>
      </c>
      <c r="C747" s="0" t="s">
        <v>97</v>
      </c>
      <c r="D747" s="0" t="s">
        <v>3203</v>
      </c>
      <c r="E747" s="0" t="s">
        <v>3204</v>
      </c>
      <c r="G747" s="0" t="s">
        <v>3205</v>
      </c>
      <c r="H747" s="0" t="s">
        <v>3206</v>
      </c>
      <c r="I747" s="0" t="s">
        <v>456</v>
      </c>
      <c r="J747" s="0" t="s">
        <v>456</v>
      </c>
      <c r="K747" s="0" t="s">
        <v>2912</v>
      </c>
      <c r="L747" s="0" t="s">
        <v>101</v>
      </c>
      <c r="M747" s="0" t="s">
        <v>456</v>
      </c>
      <c r="N747" s="0" t="s">
        <v>101</v>
      </c>
      <c r="P747" s="0" t="s">
        <v>204</v>
      </c>
      <c r="Q747" s="0" t="s">
        <v>204</v>
      </c>
      <c r="R747" s="0" t="s">
        <v>399</v>
      </c>
      <c r="S747" s="0" t="s">
        <v>21</v>
      </c>
      <c r="T747" s="0" t="s">
        <v>104</v>
      </c>
      <c r="W747" s="0" t="s">
        <v>105</v>
      </c>
      <c r="X747" s="0" t="s">
        <v>3207</v>
      </c>
      <c r="Y747" s="0" t="s">
        <v>3208</v>
      </c>
      <c r="Z747" s="0" t="s">
        <v>691</v>
      </c>
      <c r="AA747" s="0" t="s">
        <v>172</v>
      </c>
      <c r="AB747" s="0" t="s">
        <v>3209</v>
      </c>
    </row>
    <row r="748" customFormat="false" ht="15" hidden="false" customHeight="false" outlineLevel="0" collapsed="false">
      <c r="A748" s="0" t="s">
        <v>21</v>
      </c>
      <c r="B748" s="0" t="s">
        <v>3210</v>
      </c>
      <c r="C748" s="0" t="s">
        <v>97</v>
      </c>
      <c r="D748" s="0" t="s">
        <v>3203</v>
      </c>
      <c r="E748" s="0" t="s">
        <v>3211</v>
      </c>
      <c r="G748" s="0" t="s">
        <v>3212</v>
      </c>
      <c r="H748" s="0" t="s">
        <v>3206</v>
      </c>
      <c r="I748" s="0" t="s">
        <v>456</v>
      </c>
      <c r="J748" s="0" t="s">
        <v>456</v>
      </c>
      <c r="K748" s="0" t="s">
        <v>648</v>
      </c>
      <c r="L748" s="0" t="s">
        <v>101</v>
      </c>
      <c r="M748" s="0" t="s">
        <v>456</v>
      </c>
      <c r="N748" s="0" t="s">
        <v>101</v>
      </c>
      <c r="P748" s="0" t="s">
        <v>102</v>
      </c>
      <c r="Q748" s="0" t="s">
        <v>102</v>
      </c>
      <c r="R748" s="0" t="s">
        <v>113</v>
      </c>
      <c r="S748" s="0" t="s">
        <v>21</v>
      </c>
      <c r="T748" s="0" t="s">
        <v>104</v>
      </c>
      <c r="W748" s="0" t="s">
        <v>105</v>
      </c>
      <c r="X748" s="0" t="s">
        <v>3207</v>
      </c>
      <c r="Y748" s="0" t="s">
        <v>3208</v>
      </c>
      <c r="Z748" s="0" t="s">
        <v>691</v>
      </c>
      <c r="AA748" s="0" t="s">
        <v>172</v>
      </c>
      <c r="AB748" s="0" t="s">
        <v>3209</v>
      </c>
    </row>
    <row r="749" customFormat="false" ht="15" hidden="false" customHeight="false" outlineLevel="0" collapsed="false">
      <c r="A749" s="0" t="s">
        <v>21</v>
      </c>
      <c r="B749" s="0" t="s">
        <v>3213</v>
      </c>
      <c r="C749" s="0" t="s">
        <v>97</v>
      </c>
      <c r="D749" s="0" t="s">
        <v>3214</v>
      </c>
      <c r="E749" s="0" t="s">
        <v>3215</v>
      </c>
      <c r="G749" s="0" t="s">
        <v>3216</v>
      </c>
      <c r="H749" s="0" t="s">
        <v>3217</v>
      </c>
      <c r="I749" s="0" t="s">
        <v>456</v>
      </c>
      <c r="J749" s="0" t="s">
        <v>456</v>
      </c>
      <c r="K749" s="0" t="s">
        <v>648</v>
      </c>
      <c r="L749" s="0" t="s">
        <v>101</v>
      </c>
      <c r="M749" s="0" t="s">
        <v>456</v>
      </c>
      <c r="N749" s="0" t="s">
        <v>101</v>
      </c>
      <c r="P749" s="0" t="s">
        <v>102</v>
      </c>
      <c r="Q749" s="0" t="s">
        <v>102</v>
      </c>
      <c r="R749" s="0" t="s">
        <v>113</v>
      </c>
      <c r="S749" s="0" t="s">
        <v>21</v>
      </c>
      <c r="T749" s="0" t="s">
        <v>104</v>
      </c>
      <c r="W749" s="0" t="s">
        <v>105</v>
      </c>
      <c r="X749" s="0" t="s">
        <v>3218</v>
      </c>
      <c r="Y749" s="0" t="s">
        <v>3219</v>
      </c>
      <c r="Z749" s="0" t="s">
        <v>691</v>
      </c>
      <c r="AA749" s="0" t="s">
        <v>172</v>
      </c>
      <c r="AB749" s="0" t="s">
        <v>3220</v>
      </c>
    </row>
    <row r="750" customFormat="false" ht="15" hidden="false" customHeight="false" outlineLevel="0" collapsed="false">
      <c r="A750" s="0" t="s">
        <v>21</v>
      </c>
      <c r="B750" s="0" t="s">
        <v>3221</v>
      </c>
      <c r="C750" s="0" t="s">
        <v>97</v>
      </c>
      <c r="D750" s="0" t="s">
        <v>3222</v>
      </c>
      <c r="E750" s="0" t="s">
        <v>3223</v>
      </c>
      <c r="G750" s="0" t="s">
        <v>3224</v>
      </c>
      <c r="H750" s="0" t="s">
        <v>3225</v>
      </c>
      <c r="I750" s="0" t="s">
        <v>456</v>
      </c>
      <c r="J750" s="0" t="s">
        <v>456</v>
      </c>
      <c r="K750" s="0" t="s">
        <v>648</v>
      </c>
      <c r="L750" s="0" t="s">
        <v>101</v>
      </c>
      <c r="M750" s="0" t="s">
        <v>456</v>
      </c>
      <c r="N750" s="0" t="s">
        <v>101</v>
      </c>
      <c r="P750" s="0" t="s">
        <v>204</v>
      </c>
      <c r="Q750" s="0" t="s">
        <v>204</v>
      </c>
      <c r="R750" s="0" t="s">
        <v>399</v>
      </c>
      <c r="S750" s="0" t="s">
        <v>21</v>
      </c>
      <c r="T750" s="0" t="s">
        <v>104</v>
      </c>
      <c r="W750" s="0" t="s">
        <v>105</v>
      </c>
      <c r="X750" s="0" t="s">
        <v>3226</v>
      </c>
      <c r="Y750" s="0" t="s">
        <v>3227</v>
      </c>
      <c r="Z750" s="0" t="s">
        <v>691</v>
      </c>
      <c r="AA750" s="0" t="s">
        <v>172</v>
      </c>
    </row>
    <row r="751" customFormat="false" ht="15" hidden="false" customHeight="false" outlineLevel="0" collapsed="false">
      <c r="A751" s="0" t="s">
        <v>21</v>
      </c>
      <c r="B751" s="0" t="s">
        <v>3228</v>
      </c>
      <c r="C751" s="0" t="s">
        <v>97</v>
      </c>
      <c r="D751" s="0" t="s">
        <v>3229</v>
      </c>
      <c r="E751" s="0" t="s">
        <v>3230</v>
      </c>
      <c r="G751" s="0" t="s">
        <v>3231</v>
      </c>
      <c r="H751" s="0" t="s">
        <v>3232</v>
      </c>
      <c r="I751" s="0" t="s">
        <v>1372</v>
      </c>
      <c r="J751" s="0" t="s">
        <v>3233</v>
      </c>
      <c r="K751" s="0" t="s">
        <v>711</v>
      </c>
      <c r="L751" s="0" t="s">
        <v>101</v>
      </c>
      <c r="M751" s="0" t="s">
        <v>1372</v>
      </c>
      <c r="N751" s="0" t="s">
        <v>101</v>
      </c>
      <c r="P751" s="0" t="s">
        <v>102</v>
      </c>
      <c r="Q751" s="0" t="s">
        <v>102</v>
      </c>
      <c r="R751" s="0" t="s">
        <v>113</v>
      </c>
      <c r="S751" s="0" t="s">
        <v>21</v>
      </c>
      <c r="T751" s="0" t="s">
        <v>104</v>
      </c>
      <c r="W751" s="0" t="s">
        <v>105</v>
      </c>
      <c r="X751" s="0" t="s">
        <v>3234</v>
      </c>
      <c r="Y751" s="0" t="s">
        <v>3235</v>
      </c>
      <c r="Z751" s="0" t="s">
        <v>691</v>
      </c>
      <c r="AA751" s="0" t="s">
        <v>3236</v>
      </c>
    </row>
    <row r="752" customFormat="false" ht="15" hidden="false" customHeight="false" outlineLevel="0" collapsed="false">
      <c r="A752" s="0" t="s">
        <v>21</v>
      </c>
      <c r="B752" s="0" t="s">
        <v>3237</v>
      </c>
      <c r="C752" s="0" t="s">
        <v>97</v>
      </c>
      <c r="D752" s="0" t="s">
        <v>3238</v>
      </c>
      <c r="E752" s="0" t="s">
        <v>3239</v>
      </c>
      <c r="G752" s="0" t="s">
        <v>3240</v>
      </c>
      <c r="H752" s="0" t="s">
        <v>3241</v>
      </c>
      <c r="I752" s="0" t="s">
        <v>456</v>
      </c>
      <c r="J752" s="0" t="s">
        <v>456</v>
      </c>
      <c r="K752" s="0" t="s">
        <v>363</v>
      </c>
      <c r="L752" s="0" t="s">
        <v>101</v>
      </c>
      <c r="M752" s="0" t="s">
        <v>3152</v>
      </c>
      <c r="N752" s="0" t="s">
        <v>101</v>
      </c>
      <c r="P752" s="0" t="s">
        <v>102</v>
      </c>
      <c r="Q752" s="0" t="s">
        <v>102</v>
      </c>
      <c r="R752" s="0" t="s">
        <v>113</v>
      </c>
      <c r="S752" s="0" t="s">
        <v>21</v>
      </c>
      <c r="T752" s="0" t="s">
        <v>104</v>
      </c>
      <c r="W752" s="0" t="s">
        <v>105</v>
      </c>
      <c r="X752" s="0" t="s">
        <v>3242</v>
      </c>
      <c r="Y752" s="0" t="s">
        <v>3243</v>
      </c>
      <c r="Z752" s="0" t="s">
        <v>701</v>
      </c>
      <c r="AA752" s="0" t="s">
        <v>3244</v>
      </c>
    </row>
    <row r="753" customFormat="false" ht="15" hidden="false" customHeight="false" outlineLevel="0" collapsed="false">
      <c r="A753" s="0" t="s">
        <v>21</v>
      </c>
      <c r="B753" s="0" t="s">
        <v>3245</v>
      </c>
      <c r="C753" s="0" t="s">
        <v>97</v>
      </c>
      <c r="D753" s="0" t="s">
        <v>3246</v>
      </c>
      <c r="E753" s="0" t="s">
        <v>3247</v>
      </c>
      <c r="G753" s="0" t="s">
        <v>3248</v>
      </c>
      <c r="H753" s="0" t="s">
        <v>3249</v>
      </c>
      <c r="I753" s="0" t="s">
        <v>456</v>
      </c>
      <c r="J753" s="0" t="s">
        <v>456</v>
      </c>
      <c r="K753" s="0" t="s">
        <v>648</v>
      </c>
      <c r="L753" s="0" t="s">
        <v>101</v>
      </c>
      <c r="M753" s="0" t="s">
        <v>766</v>
      </c>
      <c r="N753" s="0" t="s">
        <v>101</v>
      </c>
      <c r="P753" s="0" t="s">
        <v>204</v>
      </c>
      <c r="Q753" s="0" t="s">
        <v>204</v>
      </c>
      <c r="R753" s="0" t="s">
        <v>399</v>
      </c>
      <c r="S753" s="0" t="s">
        <v>21</v>
      </c>
      <c r="T753" s="0" t="s">
        <v>104</v>
      </c>
      <c r="W753" s="0" t="s">
        <v>105</v>
      </c>
      <c r="X753" s="0" t="s">
        <v>3250</v>
      </c>
      <c r="Y753" s="0" t="s">
        <v>3251</v>
      </c>
      <c r="Z753" s="0" t="s">
        <v>691</v>
      </c>
      <c r="AA753" s="0" t="s">
        <v>172</v>
      </c>
    </row>
    <row r="754" customFormat="false" ht="15" hidden="false" customHeight="false" outlineLevel="0" collapsed="false">
      <c r="A754" s="0" t="s">
        <v>21</v>
      </c>
      <c r="B754" s="0" t="s">
        <v>3252</v>
      </c>
      <c r="C754" s="0" t="s">
        <v>97</v>
      </c>
      <c r="D754" s="0" t="s">
        <v>3253</v>
      </c>
      <c r="E754" s="0" t="s">
        <v>3254</v>
      </c>
      <c r="G754" s="0" t="s">
        <v>3255</v>
      </c>
      <c r="H754" s="0" t="s">
        <v>3256</v>
      </c>
      <c r="I754" s="0" t="s">
        <v>3257</v>
      </c>
      <c r="J754" s="0" t="s">
        <v>101</v>
      </c>
      <c r="L754" s="0" t="s">
        <v>101</v>
      </c>
      <c r="M754" s="0" t="s">
        <v>100</v>
      </c>
      <c r="N754" s="0" t="s">
        <v>101</v>
      </c>
      <c r="P754" s="0" t="s">
        <v>204</v>
      </c>
      <c r="Q754" s="0" t="s">
        <v>204</v>
      </c>
      <c r="R754" s="0" t="s">
        <v>137</v>
      </c>
      <c r="S754" s="0" t="s">
        <v>21</v>
      </c>
      <c r="T754" s="0" t="s">
        <v>104</v>
      </c>
      <c r="W754" s="0" t="s">
        <v>105</v>
      </c>
      <c r="X754" s="0" t="s">
        <v>3258</v>
      </c>
      <c r="Y754" s="0" t="s">
        <v>3259</v>
      </c>
      <c r="Z754" s="0" t="s">
        <v>159</v>
      </c>
      <c r="AB754" s="0" t="s">
        <v>539</v>
      </c>
    </row>
    <row r="755" customFormat="false" ht="15" hidden="false" customHeight="false" outlineLevel="0" collapsed="false">
      <c r="A755" s="0" t="s">
        <v>21</v>
      </c>
      <c r="B755" s="0" t="s">
        <v>3260</v>
      </c>
      <c r="C755" s="0" t="s">
        <v>110</v>
      </c>
      <c r="D755" s="0" t="s">
        <v>3261</v>
      </c>
      <c r="E755" s="0" t="s">
        <v>3261</v>
      </c>
      <c r="M755" s="0" t="s">
        <v>100</v>
      </c>
      <c r="N755" s="0" t="s">
        <v>101</v>
      </c>
      <c r="P755" s="0" t="s">
        <v>102</v>
      </c>
      <c r="Q755" s="0" t="s">
        <v>102</v>
      </c>
      <c r="R755" s="0" t="s">
        <v>131</v>
      </c>
      <c r="S755" s="0" t="s">
        <v>21</v>
      </c>
      <c r="T755" s="0" t="s">
        <v>104</v>
      </c>
      <c r="W755" s="0" t="s">
        <v>105</v>
      </c>
    </row>
    <row r="756" customFormat="false" ht="15" hidden="false" customHeight="false" outlineLevel="0" collapsed="false">
      <c r="A756" s="0" t="s">
        <v>21</v>
      </c>
      <c r="B756" s="0" t="s">
        <v>3262</v>
      </c>
      <c r="C756" s="0" t="s">
        <v>110</v>
      </c>
      <c r="D756" s="0" t="s">
        <v>3263</v>
      </c>
      <c r="E756" s="0" t="s">
        <v>3264</v>
      </c>
      <c r="G756" s="0" t="s">
        <v>3265</v>
      </c>
      <c r="M756" s="0" t="s">
        <v>412</v>
      </c>
      <c r="N756" s="0" t="s">
        <v>101</v>
      </c>
      <c r="P756" s="0" t="s">
        <v>102</v>
      </c>
      <c r="Q756" s="0" t="s">
        <v>102</v>
      </c>
      <c r="R756" s="0" t="s">
        <v>131</v>
      </c>
      <c r="S756" s="0" t="s">
        <v>21</v>
      </c>
      <c r="T756" s="0" t="s">
        <v>104</v>
      </c>
      <c r="W756" s="0" t="s">
        <v>105</v>
      </c>
    </row>
    <row r="757" customFormat="false" ht="15" hidden="false" customHeight="false" outlineLevel="0" collapsed="false">
      <c r="A757" s="0" t="s">
        <v>21</v>
      </c>
      <c r="B757" s="0" t="s">
        <v>3266</v>
      </c>
      <c r="C757" s="0" t="s">
        <v>110</v>
      </c>
      <c r="D757" s="0" t="s">
        <v>3267</v>
      </c>
      <c r="E757" s="0" t="s">
        <v>3268</v>
      </c>
      <c r="M757" s="0" t="s">
        <v>420</v>
      </c>
      <c r="N757" s="0" t="s">
        <v>101</v>
      </c>
      <c r="P757" s="0" t="s">
        <v>102</v>
      </c>
      <c r="Q757" s="0" t="s">
        <v>102</v>
      </c>
      <c r="R757" s="0" t="s">
        <v>131</v>
      </c>
      <c r="S757" s="0" t="s">
        <v>21</v>
      </c>
      <c r="T757" s="0" t="s">
        <v>104</v>
      </c>
      <c r="W757" s="0" t="s">
        <v>105</v>
      </c>
    </row>
    <row r="758" customFormat="false" ht="15" hidden="false" customHeight="false" outlineLevel="0" collapsed="false">
      <c r="A758" s="0" t="s">
        <v>21</v>
      </c>
      <c r="B758" s="0" t="s">
        <v>3269</v>
      </c>
      <c r="C758" s="0" t="s">
        <v>110</v>
      </c>
      <c r="D758" s="0" t="s">
        <v>3270</v>
      </c>
      <c r="E758" s="0" t="s">
        <v>3271</v>
      </c>
      <c r="G758" s="0" t="s">
        <v>3265</v>
      </c>
      <c r="M758" s="0" t="s">
        <v>3272</v>
      </c>
      <c r="N758" s="0" t="s">
        <v>101</v>
      </c>
      <c r="P758" s="0" t="s">
        <v>204</v>
      </c>
      <c r="Q758" s="0" t="s">
        <v>204</v>
      </c>
      <c r="R758" s="0" t="s">
        <v>131</v>
      </c>
      <c r="S758" s="0" t="s">
        <v>21</v>
      </c>
      <c r="T758" s="0" t="s">
        <v>104</v>
      </c>
      <c r="W758" s="0" t="s">
        <v>105</v>
      </c>
    </row>
    <row r="759" customFormat="false" ht="15" hidden="false" customHeight="false" outlineLevel="0" collapsed="false">
      <c r="A759" s="0" t="s">
        <v>21</v>
      </c>
      <c r="B759" s="0" t="s">
        <v>3269</v>
      </c>
      <c r="C759" s="0" t="s">
        <v>110</v>
      </c>
      <c r="D759" s="0" t="s">
        <v>3270</v>
      </c>
      <c r="E759" s="0" t="s">
        <v>3271</v>
      </c>
      <c r="G759" s="0" t="s">
        <v>3265</v>
      </c>
      <c r="M759" s="0" t="s">
        <v>3272</v>
      </c>
      <c r="N759" s="0" t="s">
        <v>101</v>
      </c>
      <c r="P759" s="0" t="s">
        <v>554</v>
      </c>
      <c r="Q759" s="0" t="s">
        <v>554</v>
      </c>
      <c r="R759" s="0" t="s">
        <v>554</v>
      </c>
      <c r="S759" s="0" t="s">
        <v>21</v>
      </c>
      <c r="T759" s="0" t="s">
        <v>104</v>
      </c>
      <c r="W759" s="0" t="s">
        <v>183</v>
      </c>
    </row>
    <row r="760" customFormat="false" ht="15" hidden="false" customHeight="false" outlineLevel="0" collapsed="false">
      <c r="A760" s="0" t="s">
        <v>21</v>
      </c>
      <c r="B760" s="0" t="s">
        <v>3273</v>
      </c>
      <c r="C760" s="0" t="s">
        <v>110</v>
      </c>
      <c r="D760" s="0" t="s">
        <v>1588</v>
      </c>
      <c r="E760" s="0" t="s">
        <v>3274</v>
      </c>
      <c r="G760" s="0" t="s">
        <v>3265</v>
      </c>
      <c r="M760" s="0" t="s">
        <v>447</v>
      </c>
      <c r="N760" s="0" t="s">
        <v>101</v>
      </c>
      <c r="P760" s="0" t="s">
        <v>102</v>
      </c>
      <c r="Q760" s="0" t="s">
        <v>102</v>
      </c>
      <c r="R760" s="0" t="s">
        <v>131</v>
      </c>
      <c r="S760" s="0" t="s">
        <v>21</v>
      </c>
      <c r="T760" s="0" t="s">
        <v>104</v>
      </c>
      <c r="W760" s="0" t="s">
        <v>105</v>
      </c>
    </row>
    <row r="761" customFormat="false" ht="15" hidden="false" customHeight="false" outlineLevel="0" collapsed="false">
      <c r="A761" s="0" t="s">
        <v>21</v>
      </c>
      <c r="B761" s="0" t="s">
        <v>3275</v>
      </c>
      <c r="C761" s="0" t="s">
        <v>110</v>
      </c>
      <c r="D761" s="0" t="s">
        <v>3276</v>
      </c>
      <c r="E761" s="0" t="s">
        <v>3277</v>
      </c>
      <c r="G761" s="0" t="s">
        <v>3265</v>
      </c>
      <c r="M761" s="0" t="s">
        <v>1372</v>
      </c>
      <c r="N761" s="0" t="s">
        <v>101</v>
      </c>
      <c r="P761" s="0" t="s">
        <v>102</v>
      </c>
      <c r="Q761" s="0" t="s">
        <v>102</v>
      </c>
      <c r="R761" s="0" t="s">
        <v>131</v>
      </c>
      <c r="S761" s="0" t="s">
        <v>21</v>
      </c>
      <c r="T761" s="0" t="s">
        <v>104</v>
      </c>
      <c r="W761" s="0" t="s">
        <v>105</v>
      </c>
    </row>
    <row r="762" customFormat="false" ht="15" hidden="false" customHeight="false" outlineLevel="0" collapsed="false">
      <c r="A762" s="0" t="s">
        <v>21</v>
      </c>
      <c r="B762" s="0" t="s">
        <v>3278</v>
      </c>
      <c r="C762" s="0" t="s">
        <v>110</v>
      </c>
      <c r="D762" s="0" t="s">
        <v>3279</v>
      </c>
      <c r="E762" s="0" t="s">
        <v>3280</v>
      </c>
      <c r="G762" s="0" t="s">
        <v>3265</v>
      </c>
      <c r="M762" s="0" t="s">
        <v>442</v>
      </c>
      <c r="N762" s="0" t="s">
        <v>101</v>
      </c>
      <c r="P762" s="0" t="s">
        <v>204</v>
      </c>
      <c r="Q762" s="0" t="s">
        <v>204</v>
      </c>
      <c r="R762" s="0" t="s">
        <v>131</v>
      </c>
      <c r="S762" s="0" t="s">
        <v>21</v>
      </c>
      <c r="T762" s="0" t="s">
        <v>104</v>
      </c>
      <c r="W762" s="0" t="s">
        <v>105</v>
      </c>
    </row>
    <row r="763" customFormat="false" ht="15" hidden="false" customHeight="false" outlineLevel="0" collapsed="false">
      <c r="A763" s="0" t="s">
        <v>21</v>
      </c>
      <c r="B763" s="0" t="s">
        <v>3278</v>
      </c>
      <c r="C763" s="0" t="s">
        <v>110</v>
      </c>
      <c r="D763" s="0" t="s">
        <v>3279</v>
      </c>
      <c r="E763" s="0" t="s">
        <v>3280</v>
      </c>
      <c r="G763" s="0" t="s">
        <v>3265</v>
      </c>
      <c r="M763" s="0" t="s">
        <v>442</v>
      </c>
      <c r="N763" s="0" t="s">
        <v>101</v>
      </c>
      <c r="P763" s="0" t="s">
        <v>554</v>
      </c>
      <c r="Q763" s="0" t="s">
        <v>554</v>
      </c>
      <c r="R763" s="0" t="s">
        <v>554</v>
      </c>
      <c r="S763" s="0" t="s">
        <v>21</v>
      </c>
      <c r="T763" s="0" t="s">
        <v>104</v>
      </c>
      <c r="W763" s="0" t="s">
        <v>183</v>
      </c>
    </row>
    <row r="764" customFormat="false" ht="15" hidden="false" customHeight="false" outlineLevel="0" collapsed="false">
      <c r="A764" s="0" t="s">
        <v>21</v>
      </c>
      <c r="B764" s="0" t="s">
        <v>3281</v>
      </c>
      <c r="C764" s="0" t="s">
        <v>97</v>
      </c>
      <c r="D764" s="0" t="s">
        <v>3282</v>
      </c>
      <c r="E764" s="0" t="s">
        <v>3283</v>
      </c>
      <c r="G764" s="0" t="s">
        <v>1574</v>
      </c>
      <c r="H764" s="0" t="s">
        <v>3284</v>
      </c>
      <c r="I764" s="0" t="s">
        <v>1711</v>
      </c>
      <c r="J764" s="0" t="s">
        <v>421</v>
      </c>
      <c r="K764" s="0" t="s">
        <v>422</v>
      </c>
      <c r="L764" s="0" t="s">
        <v>101</v>
      </c>
      <c r="M764" s="0" t="s">
        <v>1711</v>
      </c>
      <c r="N764" s="0" t="s">
        <v>101</v>
      </c>
      <c r="P764" s="0" t="s">
        <v>102</v>
      </c>
      <c r="Q764" s="0" t="s">
        <v>102</v>
      </c>
      <c r="R764" s="0" t="s">
        <v>131</v>
      </c>
      <c r="S764" s="0" t="s">
        <v>21</v>
      </c>
      <c r="T764" s="0" t="s">
        <v>104</v>
      </c>
      <c r="W764" s="0" t="s">
        <v>105</v>
      </c>
      <c r="X764" s="0" t="s">
        <v>3285</v>
      </c>
      <c r="Y764" s="0" t="s">
        <v>3286</v>
      </c>
      <c r="Z764" s="0" t="s">
        <v>134</v>
      </c>
      <c r="AA764" s="0" t="s">
        <v>172</v>
      </c>
    </row>
    <row r="765" customFormat="false" ht="15" hidden="false" customHeight="false" outlineLevel="0" collapsed="false">
      <c r="A765" s="0" t="s">
        <v>21</v>
      </c>
      <c r="B765" s="0" t="s">
        <v>3287</v>
      </c>
      <c r="C765" s="0" t="s">
        <v>97</v>
      </c>
      <c r="D765" s="0" t="s">
        <v>3288</v>
      </c>
      <c r="E765" s="0" t="s">
        <v>3289</v>
      </c>
      <c r="F765" s="0" t="s">
        <v>3290</v>
      </c>
      <c r="G765" s="0" t="s">
        <v>1176</v>
      </c>
      <c r="H765" s="0" t="s">
        <v>3291</v>
      </c>
      <c r="I765" s="0" t="s">
        <v>3292</v>
      </c>
      <c r="J765" s="0" t="s">
        <v>430</v>
      </c>
      <c r="K765" s="0" t="s">
        <v>3293</v>
      </c>
      <c r="L765" s="0" t="s">
        <v>101</v>
      </c>
      <c r="M765" s="0" t="s">
        <v>3292</v>
      </c>
      <c r="N765" s="0" t="s">
        <v>101</v>
      </c>
      <c r="P765" s="0" t="s">
        <v>102</v>
      </c>
      <c r="Q765" s="0" t="s">
        <v>102</v>
      </c>
      <c r="R765" s="0" t="s">
        <v>113</v>
      </c>
      <c r="S765" s="0" t="s">
        <v>21</v>
      </c>
      <c r="T765" s="0" t="s">
        <v>104</v>
      </c>
      <c r="U765" s="0" t="s">
        <v>368</v>
      </c>
      <c r="W765" s="0" t="s">
        <v>105</v>
      </c>
      <c r="X765" s="0" t="s">
        <v>3294</v>
      </c>
      <c r="Y765" s="0" t="s">
        <v>3295</v>
      </c>
      <c r="Z765" s="0" t="s">
        <v>159</v>
      </c>
      <c r="AA765" s="0" t="s">
        <v>172</v>
      </c>
    </row>
    <row r="766" customFormat="false" ht="15" hidden="false" customHeight="false" outlineLevel="0" collapsed="false">
      <c r="A766" s="0" t="s">
        <v>21</v>
      </c>
      <c r="B766" s="0" t="s">
        <v>3296</v>
      </c>
      <c r="C766" s="0" t="s">
        <v>97</v>
      </c>
      <c r="D766" s="0" t="s">
        <v>3297</v>
      </c>
      <c r="E766" s="0" t="s">
        <v>3298</v>
      </c>
      <c r="G766" s="0" t="s">
        <v>1176</v>
      </c>
      <c r="H766" s="0" t="s">
        <v>3299</v>
      </c>
      <c r="I766" s="0" t="s">
        <v>3300</v>
      </c>
      <c r="J766" s="0" t="s">
        <v>167</v>
      </c>
      <c r="K766" s="0" t="s">
        <v>410</v>
      </c>
      <c r="L766" s="0" t="s">
        <v>101</v>
      </c>
      <c r="M766" s="0" t="s">
        <v>3300</v>
      </c>
      <c r="N766" s="0" t="s">
        <v>101</v>
      </c>
      <c r="P766" s="0" t="s">
        <v>102</v>
      </c>
      <c r="Q766" s="0" t="s">
        <v>102</v>
      </c>
      <c r="R766" s="0" t="s">
        <v>113</v>
      </c>
      <c r="S766" s="0" t="s">
        <v>21</v>
      </c>
      <c r="T766" s="0" t="s">
        <v>104</v>
      </c>
      <c r="U766" s="0" t="s">
        <v>368</v>
      </c>
      <c r="W766" s="0" t="s">
        <v>105</v>
      </c>
      <c r="X766" s="0" t="s">
        <v>3301</v>
      </c>
      <c r="Y766" s="0" t="s">
        <v>3302</v>
      </c>
      <c r="Z766" s="0" t="s">
        <v>159</v>
      </c>
      <c r="AA766" s="0" t="s">
        <v>172</v>
      </c>
    </row>
    <row r="767" customFormat="false" ht="15" hidden="false" customHeight="false" outlineLevel="0" collapsed="false">
      <c r="A767" s="0" t="s">
        <v>21</v>
      </c>
      <c r="B767" s="0" t="s">
        <v>3303</v>
      </c>
      <c r="C767" s="0" t="s">
        <v>97</v>
      </c>
      <c r="D767" s="0" t="s">
        <v>3304</v>
      </c>
      <c r="E767" s="0" t="s">
        <v>3305</v>
      </c>
      <c r="G767" s="0" t="s">
        <v>3306</v>
      </c>
      <c r="H767" s="0" t="s">
        <v>3307</v>
      </c>
      <c r="I767" s="0" t="s">
        <v>3257</v>
      </c>
      <c r="J767" s="0" t="s">
        <v>101</v>
      </c>
      <c r="L767" s="0" t="s">
        <v>101</v>
      </c>
      <c r="M767" s="0" t="s">
        <v>100</v>
      </c>
      <c r="N767" s="0" t="s">
        <v>101</v>
      </c>
      <c r="P767" s="0" t="s">
        <v>204</v>
      </c>
      <c r="Q767" s="0" t="s">
        <v>204</v>
      </c>
      <c r="R767" s="0" t="s">
        <v>399</v>
      </c>
      <c r="S767" s="0" t="s">
        <v>21</v>
      </c>
      <c r="T767" s="0" t="s">
        <v>104</v>
      </c>
      <c r="W767" s="0" t="s">
        <v>105</v>
      </c>
      <c r="X767" s="0" t="s">
        <v>3258</v>
      </c>
      <c r="Y767" s="0" t="s">
        <v>3259</v>
      </c>
      <c r="Z767" s="0" t="s">
        <v>134</v>
      </c>
      <c r="AB767" s="0" t="s">
        <v>539</v>
      </c>
    </row>
    <row r="768" customFormat="false" ht="15" hidden="false" customHeight="false" outlineLevel="0" collapsed="false">
      <c r="A768" s="0" t="s">
        <v>21</v>
      </c>
      <c r="B768" s="0" t="s">
        <v>3308</v>
      </c>
      <c r="C768" s="0" t="s">
        <v>661</v>
      </c>
      <c r="D768" s="0" t="s">
        <v>3309</v>
      </c>
      <c r="E768" s="0" t="s">
        <v>3310</v>
      </c>
      <c r="M768" s="0" t="s">
        <v>167</v>
      </c>
      <c r="N768" s="0" t="s">
        <v>101</v>
      </c>
      <c r="P768" s="0" t="s">
        <v>102</v>
      </c>
      <c r="Q768" s="0" t="s">
        <v>102</v>
      </c>
      <c r="R768" s="0" t="s">
        <v>113</v>
      </c>
      <c r="S768" s="0" t="s">
        <v>21</v>
      </c>
      <c r="T768" s="0" t="s">
        <v>104</v>
      </c>
      <c r="U768" s="0" t="s">
        <v>368</v>
      </c>
      <c r="W768" s="0" t="s">
        <v>105</v>
      </c>
    </row>
    <row r="769" customFormat="false" ht="15" hidden="false" customHeight="false" outlineLevel="0" collapsed="false">
      <c r="A769" s="0" t="s">
        <v>21</v>
      </c>
      <c r="B769" s="0" t="s">
        <v>3311</v>
      </c>
      <c r="C769" s="0" t="s">
        <v>97</v>
      </c>
      <c r="D769" s="0" t="s">
        <v>3312</v>
      </c>
      <c r="E769" s="0" t="s">
        <v>3313</v>
      </c>
      <c r="G769" s="0" t="s">
        <v>3314</v>
      </c>
      <c r="H769" s="0" t="s">
        <v>3315</v>
      </c>
      <c r="J769" s="0" t="s">
        <v>101</v>
      </c>
      <c r="L769" s="0" t="s">
        <v>101</v>
      </c>
      <c r="M769" s="0" t="s">
        <v>456</v>
      </c>
      <c r="N769" s="0" t="s">
        <v>101</v>
      </c>
      <c r="P769" s="0" t="s">
        <v>204</v>
      </c>
      <c r="Q769" s="0" t="s">
        <v>204</v>
      </c>
      <c r="R769" s="0" t="s">
        <v>399</v>
      </c>
      <c r="S769" s="0" t="s">
        <v>21</v>
      </c>
      <c r="T769" s="0" t="s">
        <v>104</v>
      </c>
      <c r="W769" s="0" t="s">
        <v>105</v>
      </c>
      <c r="X769" s="0" t="s">
        <v>3316</v>
      </c>
      <c r="Y769" s="0" t="s">
        <v>3317</v>
      </c>
      <c r="Z769" s="0" t="s">
        <v>134</v>
      </c>
      <c r="AB769" s="0" t="s">
        <v>539</v>
      </c>
    </row>
    <row r="770" customFormat="false" ht="15" hidden="false" customHeight="false" outlineLevel="0" collapsed="false">
      <c r="A770" s="0" t="s">
        <v>21</v>
      </c>
      <c r="B770" s="0" t="s">
        <v>3318</v>
      </c>
      <c r="C770" s="0" t="s">
        <v>97</v>
      </c>
      <c r="D770" s="0" t="s">
        <v>3319</v>
      </c>
      <c r="E770" s="0" t="s">
        <v>3320</v>
      </c>
      <c r="G770" s="0" t="s">
        <v>3321</v>
      </c>
      <c r="H770" s="0" t="s">
        <v>3322</v>
      </c>
      <c r="I770" s="0" t="s">
        <v>505</v>
      </c>
      <c r="J770" s="0" t="s">
        <v>112</v>
      </c>
      <c r="K770" s="0" t="s">
        <v>3323</v>
      </c>
      <c r="L770" s="0" t="s">
        <v>101</v>
      </c>
      <c r="M770" s="0" t="s">
        <v>505</v>
      </c>
      <c r="N770" s="0" t="s">
        <v>101</v>
      </c>
      <c r="P770" s="0" t="s">
        <v>204</v>
      </c>
      <c r="Q770" s="0" t="s">
        <v>204</v>
      </c>
      <c r="R770" s="0" t="s">
        <v>399</v>
      </c>
      <c r="S770" s="0" t="s">
        <v>21</v>
      </c>
      <c r="T770" s="0" t="s">
        <v>104</v>
      </c>
      <c r="W770" s="0" t="s">
        <v>105</v>
      </c>
      <c r="X770" s="0" t="s">
        <v>3324</v>
      </c>
      <c r="Y770" s="0" t="s">
        <v>3325</v>
      </c>
      <c r="Z770" s="0" t="s">
        <v>701</v>
      </c>
      <c r="AA770" s="0" t="s">
        <v>172</v>
      </c>
    </row>
    <row r="771" customFormat="false" ht="15" hidden="false" customHeight="false" outlineLevel="0" collapsed="false">
      <c r="A771" s="0" t="s">
        <v>21</v>
      </c>
      <c r="B771" s="0" t="s">
        <v>3326</v>
      </c>
      <c r="C771" s="0" t="s">
        <v>97</v>
      </c>
      <c r="D771" s="0" t="s">
        <v>3327</v>
      </c>
      <c r="E771" s="0" t="s">
        <v>3328</v>
      </c>
      <c r="G771" s="0" t="s">
        <v>3329</v>
      </c>
      <c r="H771" s="0" t="s">
        <v>3330</v>
      </c>
      <c r="I771" s="0" t="s">
        <v>398</v>
      </c>
      <c r="J771" s="0" t="s">
        <v>112</v>
      </c>
      <c r="K771" s="0" t="s">
        <v>498</v>
      </c>
      <c r="L771" s="0" t="s">
        <v>101</v>
      </c>
      <c r="M771" s="0" t="s">
        <v>398</v>
      </c>
      <c r="N771" s="0" t="s">
        <v>101</v>
      </c>
      <c r="P771" s="0" t="s">
        <v>102</v>
      </c>
      <c r="Q771" s="0" t="s">
        <v>102</v>
      </c>
      <c r="R771" s="0" t="s">
        <v>113</v>
      </c>
      <c r="S771" s="0" t="s">
        <v>21</v>
      </c>
      <c r="T771" s="0" t="s">
        <v>104</v>
      </c>
      <c r="W771" s="0" t="s">
        <v>105</v>
      </c>
      <c r="X771" s="0" t="s">
        <v>3331</v>
      </c>
      <c r="Y771" s="0" t="s">
        <v>3332</v>
      </c>
      <c r="Z771" s="0" t="s">
        <v>701</v>
      </c>
      <c r="AA771" s="0" t="s">
        <v>172</v>
      </c>
      <c r="AB771" s="0" t="s">
        <v>3333</v>
      </c>
    </row>
    <row r="772" customFormat="false" ht="15" hidden="false" customHeight="false" outlineLevel="0" collapsed="false">
      <c r="A772" s="0" t="s">
        <v>21</v>
      </c>
      <c r="B772" s="0" t="s">
        <v>3334</v>
      </c>
      <c r="C772" s="0" t="s">
        <v>97</v>
      </c>
      <c r="D772" s="0" t="s">
        <v>3335</v>
      </c>
      <c r="E772" s="0" t="s">
        <v>3336</v>
      </c>
      <c r="G772" s="0" t="s">
        <v>3337</v>
      </c>
      <c r="H772" s="0" t="s">
        <v>3338</v>
      </c>
      <c r="I772" s="0" t="s">
        <v>719</v>
      </c>
      <c r="J772" s="0" t="s">
        <v>511</v>
      </c>
      <c r="K772" s="0" t="s">
        <v>720</v>
      </c>
      <c r="L772" s="0" t="s">
        <v>101</v>
      </c>
      <c r="M772" s="0" t="s">
        <v>437</v>
      </c>
      <c r="N772" s="0" t="s">
        <v>101</v>
      </c>
      <c r="P772" s="0" t="s">
        <v>204</v>
      </c>
      <c r="Q772" s="0" t="s">
        <v>204</v>
      </c>
      <c r="R772" s="0" t="s">
        <v>399</v>
      </c>
      <c r="S772" s="0" t="s">
        <v>21</v>
      </c>
      <c r="T772" s="0" t="s">
        <v>104</v>
      </c>
      <c r="W772" s="0" t="s">
        <v>105</v>
      </c>
      <c r="X772" s="0" t="s">
        <v>3339</v>
      </c>
      <c r="Y772" s="0" t="s">
        <v>3340</v>
      </c>
      <c r="Z772" s="0" t="s">
        <v>701</v>
      </c>
      <c r="AA772" s="0" t="s">
        <v>172</v>
      </c>
      <c r="AB772" s="0" t="s">
        <v>3209</v>
      </c>
    </row>
    <row r="773" customFormat="false" ht="15" hidden="false" customHeight="false" outlineLevel="0" collapsed="false">
      <c r="A773" s="0" t="s">
        <v>21</v>
      </c>
      <c r="B773" s="0" t="s">
        <v>3341</v>
      </c>
      <c r="C773" s="0" t="s">
        <v>97</v>
      </c>
      <c r="D773" s="0" t="s">
        <v>3342</v>
      </c>
      <c r="E773" s="0" t="s">
        <v>3343</v>
      </c>
      <c r="G773" s="0" t="s">
        <v>3344</v>
      </c>
      <c r="H773" s="0" t="s">
        <v>3345</v>
      </c>
      <c r="J773" s="0" t="s">
        <v>101</v>
      </c>
      <c r="K773" s="0" t="s">
        <v>3346</v>
      </c>
      <c r="L773" s="0" t="s">
        <v>101</v>
      </c>
      <c r="M773" s="0" t="s">
        <v>367</v>
      </c>
      <c r="N773" s="0" t="s">
        <v>101</v>
      </c>
      <c r="P773" s="0" t="s">
        <v>204</v>
      </c>
      <c r="Q773" s="0" t="s">
        <v>204</v>
      </c>
      <c r="R773" s="0" t="s">
        <v>399</v>
      </c>
      <c r="S773" s="0" t="s">
        <v>21</v>
      </c>
      <c r="T773" s="0" t="s">
        <v>104</v>
      </c>
      <c r="W773" s="0" t="s">
        <v>105</v>
      </c>
      <c r="Z773" s="0" t="s">
        <v>134</v>
      </c>
      <c r="AB773" s="0" t="s">
        <v>539</v>
      </c>
    </row>
    <row r="774" customFormat="false" ht="15" hidden="false" customHeight="false" outlineLevel="0" collapsed="false">
      <c r="A774" s="0" t="s">
        <v>21</v>
      </c>
      <c r="B774" s="0" t="s">
        <v>3347</v>
      </c>
      <c r="C774" s="0" t="s">
        <v>139</v>
      </c>
      <c r="D774" s="0" t="s">
        <v>3348</v>
      </c>
      <c r="E774" s="0" t="s">
        <v>3349</v>
      </c>
      <c r="G774" s="0" t="s">
        <v>3350</v>
      </c>
      <c r="M774" s="0" t="s">
        <v>3351</v>
      </c>
      <c r="N774" s="0" t="s">
        <v>3352</v>
      </c>
      <c r="P774" s="0" t="s">
        <v>102</v>
      </c>
      <c r="Q774" s="0" t="s">
        <v>102</v>
      </c>
      <c r="R774" s="0" t="s">
        <v>113</v>
      </c>
      <c r="S774" s="0" t="s">
        <v>21</v>
      </c>
      <c r="T774" s="0" t="s">
        <v>104</v>
      </c>
      <c r="U774" s="0" t="s">
        <v>368</v>
      </c>
      <c r="W774" s="0" t="s">
        <v>105</v>
      </c>
    </row>
    <row r="775" customFormat="false" ht="15" hidden="false" customHeight="false" outlineLevel="0" collapsed="false">
      <c r="A775" s="0" t="s">
        <v>21</v>
      </c>
      <c r="B775" s="0" t="s">
        <v>3353</v>
      </c>
      <c r="C775" s="0" t="s">
        <v>139</v>
      </c>
      <c r="D775" s="0" t="s">
        <v>2901</v>
      </c>
      <c r="E775" s="0" t="s">
        <v>3354</v>
      </c>
      <c r="F775" s="0" t="s">
        <v>3354</v>
      </c>
      <c r="M775" s="0" t="s">
        <v>100</v>
      </c>
      <c r="N775" s="0" t="s">
        <v>101</v>
      </c>
      <c r="P775" s="0" t="s">
        <v>102</v>
      </c>
      <c r="Q775" s="0" t="s">
        <v>102</v>
      </c>
      <c r="R775" s="0" t="s">
        <v>113</v>
      </c>
      <c r="S775" s="0" t="s">
        <v>21</v>
      </c>
      <c r="T775" s="0" t="s">
        <v>104</v>
      </c>
      <c r="W775" s="0" t="s">
        <v>105</v>
      </c>
    </row>
    <row r="776" customFormat="false" ht="15" hidden="false" customHeight="false" outlineLevel="0" collapsed="false">
      <c r="A776" s="0" t="s">
        <v>21</v>
      </c>
      <c r="B776" s="0" t="s">
        <v>3355</v>
      </c>
      <c r="C776" s="0" t="s">
        <v>97</v>
      </c>
      <c r="D776" s="0" t="s">
        <v>3356</v>
      </c>
      <c r="E776" s="0" t="s">
        <v>3356</v>
      </c>
      <c r="G776" s="0" t="s">
        <v>3357</v>
      </c>
      <c r="H776" s="0" t="s">
        <v>3256</v>
      </c>
      <c r="I776" s="0" t="s">
        <v>3257</v>
      </c>
      <c r="J776" s="0" t="s">
        <v>101</v>
      </c>
      <c r="L776" s="0" t="s">
        <v>101</v>
      </c>
      <c r="M776" s="0" t="s">
        <v>100</v>
      </c>
      <c r="N776" s="0" t="s">
        <v>101</v>
      </c>
      <c r="P776" s="0" t="s">
        <v>204</v>
      </c>
      <c r="Q776" s="0" t="s">
        <v>204</v>
      </c>
      <c r="R776" s="0" t="s">
        <v>137</v>
      </c>
      <c r="S776" s="0" t="s">
        <v>21</v>
      </c>
      <c r="T776" s="0" t="s">
        <v>104</v>
      </c>
      <c r="W776" s="0" t="s">
        <v>105</v>
      </c>
      <c r="X776" s="0" t="s">
        <v>3258</v>
      </c>
      <c r="Y776" s="0" t="s">
        <v>3259</v>
      </c>
      <c r="Z776" s="0" t="s">
        <v>3358</v>
      </c>
      <c r="AB776" s="0" t="s">
        <v>539</v>
      </c>
    </row>
    <row r="777" customFormat="false" ht="15" hidden="false" customHeight="false" outlineLevel="0" collapsed="false">
      <c r="A777" s="0" t="s">
        <v>21</v>
      </c>
      <c r="B777" s="0" t="s">
        <v>3359</v>
      </c>
      <c r="C777" s="0" t="s">
        <v>97</v>
      </c>
      <c r="D777" s="0" t="s">
        <v>3360</v>
      </c>
      <c r="E777" s="0" t="s">
        <v>3361</v>
      </c>
      <c r="G777" s="0" t="s">
        <v>3362</v>
      </c>
      <c r="H777" s="0" t="s">
        <v>3256</v>
      </c>
      <c r="I777" s="0" t="s">
        <v>3257</v>
      </c>
      <c r="J777" s="0" t="s">
        <v>101</v>
      </c>
      <c r="L777" s="0" t="s">
        <v>101</v>
      </c>
      <c r="M777" s="0" t="s">
        <v>100</v>
      </c>
      <c r="N777" s="0" t="s">
        <v>101</v>
      </c>
      <c r="P777" s="0" t="s">
        <v>204</v>
      </c>
      <c r="Q777" s="0" t="s">
        <v>204</v>
      </c>
      <c r="R777" s="0" t="s">
        <v>399</v>
      </c>
      <c r="S777" s="0" t="s">
        <v>21</v>
      </c>
      <c r="T777" s="0" t="s">
        <v>104</v>
      </c>
      <c r="W777" s="0" t="s">
        <v>105</v>
      </c>
      <c r="X777" s="0" t="s">
        <v>3258</v>
      </c>
      <c r="Y777" s="0" t="s">
        <v>3259</v>
      </c>
      <c r="Z777" s="0" t="s">
        <v>134</v>
      </c>
      <c r="AB777" s="0" t="s">
        <v>539</v>
      </c>
    </row>
    <row r="778" customFormat="false" ht="15" hidden="false" customHeight="false" outlineLevel="0" collapsed="false">
      <c r="A778" s="0" t="s">
        <v>21</v>
      </c>
      <c r="B778" s="0" t="s">
        <v>3363</v>
      </c>
      <c r="C778" s="0" t="s">
        <v>110</v>
      </c>
      <c r="D778" s="0" t="s">
        <v>3364</v>
      </c>
      <c r="E778" s="0" t="s">
        <v>3364</v>
      </c>
      <c r="M778" s="0" t="s">
        <v>178</v>
      </c>
      <c r="N778" s="0" t="s">
        <v>124</v>
      </c>
      <c r="P778" s="0" t="s">
        <v>130</v>
      </c>
      <c r="Q778" s="0" t="s">
        <v>130</v>
      </c>
      <c r="R778" s="0" t="s">
        <v>131</v>
      </c>
      <c r="S778" s="0" t="s">
        <v>21</v>
      </c>
      <c r="T778" s="0" t="s">
        <v>104</v>
      </c>
      <c r="W778" s="0" t="s">
        <v>105</v>
      </c>
      <c r="AB778" s="0" t="s">
        <v>209</v>
      </c>
    </row>
    <row r="779" customFormat="false" ht="15" hidden="false" customHeight="false" outlineLevel="0" collapsed="false">
      <c r="A779" s="0" t="s">
        <v>21</v>
      </c>
      <c r="B779" s="0" t="s">
        <v>3365</v>
      </c>
      <c r="C779" s="0" t="s">
        <v>372</v>
      </c>
      <c r="D779" s="0" t="s">
        <v>3366</v>
      </c>
      <c r="E779" s="0" t="s">
        <v>3367</v>
      </c>
      <c r="G779" s="0" t="s">
        <v>3368</v>
      </c>
      <c r="H779" s="0" t="s">
        <v>3369</v>
      </c>
      <c r="I779" s="0" t="s">
        <v>3370</v>
      </c>
      <c r="J779" s="0" t="s">
        <v>157</v>
      </c>
      <c r="K779" s="0" t="s">
        <v>3371</v>
      </c>
      <c r="L779" s="0" t="s">
        <v>124</v>
      </c>
      <c r="M779" s="0" t="s">
        <v>232</v>
      </c>
      <c r="N779" s="0" t="s">
        <v>124</v>
      </c>
      <c r="P779" s="0" t="s">
        <v>379</v>
      </c>
      <c r="Q779" s="0" t="s">
        <v>379</v>
      </c>
      <c r="R779" s="0" t="s">
        <v>379</v>
      </c>
      <c r="S779" s="0" t="s">
        <v>21</v>
      </c>
      <c r="T779" s="0" t="s">
        <v>104</v>
      </c>
      <c r="W779" s="0" t="s">
        <v>183</v>
      </c>
      <c r="X779" s="0" t="s">
        <v>3372</v>
      </c>
      <c r="Y779" s="0" t="s">
        <v>3373</v>
      </c>
      <c r="Z779" s="0" t="s">
        <v>382</v>
      </c>
      <c r="AB779" s="0" t="s">
        <v>3374</v>
      </c>
    </row>
    <row r="780" customFormat="false" ht="15" hidden="false" customHeight="false" outlineLevel="0" collapsed="false">
      <c r="A780" s="0" t="s">
        <v>21</v>
      </c>
      <c r="B780" s="0" t="s">
        <v>3365</v>
      </c>
      <c r="C780" s="0" t="s">
        <v>372</v>
      </c>
      <c r="D780" s="0" t="s">
        <v>3366</v>
      </c>
      <c r="E780" s="0" t="s">
        <v>3367</v>
      </c>
      <c r="G780" s="0" t="s">
        <v>3368</v>
      </c>
      <c r="H780" s="0" t="s">
        <v>3369</v>
      </c>
      <c r="I780" s="0" t="s">
        <v>3370</v>
      </c>
      <c r="J780" s="0" t="s">
        <v>157</v>
      </c>
      <c r="K780" s="0" t="s">
        <v>3371</v>
      </c>
      <c r="L780" s="0" t="s">
        <v>124</v>
      </c>
      <c r="M780" s="0" t="s">
        <v>232</v>
      </c>
      <c r="N780" s="0" t="s">
        <v>124</v>
      </c>
      <c r="P780" s="0" t="s">
        <v>204</v>
      </c>
      <c r="Q780" s="0" t="s">
        <v>204</v>
      </c>
      <c r="R780" s="0" t="s">
        <v>399</v>
      </c>
      <c r="S780" s="0" t="s">
        <v>21</v>
      </c>
      <c r="T780" s="0" t="s">
        <v>104</v>
      </c>
      <c r="W780" s="0" t="s">
        <v>105</v>
      </c>
      <c r="X780" s="0" t="s">
        <v>3372</v>
      </c>
      <c r="Y780" s="0" t="s">
        <v>3373</v>
      </c>
      <c r="Z780" s="0" t="s">
        <v>382</v>
      </c>
      <c r="AB780" s="0" t="s">
        <v>3374</v>
      </c>
    </row>
    <row r="781" customFormat="false" ht="15" hidden="false" customHeight="false" outlineLevel="0" collapsed="false">
      <c r="A781" s="0" t="s">
        <v>21</v>
      </c>
      <c r="B781" s="0" t="s">
        <v>3375</v>
      </c>
      <c r="C781" s="0" t="s">
        <v>97</v>
      </c>
      <c r="D781" s="0" t="s">
        <v>3376</v>
      </c>
      <c r="E781" s="0" t="s">
        <v>3377</v>
      </c>
      <c r="G781" s="0" t="s">
        <v>3378</v>
      </c>
      <c r="H781" s="0" t="s">
        <v>3379</v>
      </c>
      <c r="I781" s="0" t="s">
        <v>2183</v>
      </c>
      <c r="J781" s="0" t="s">
        <v>100</v>
      </c>
      <c r="K781" s="0" t="s">
        <v>168</v>
      </c>
      <c r="L781" s="0" t="s">
        <v>101</v>
      </c>
      <c r="M781" s="0" t="s">
        <v>2183</v>
      </c>
      <c r="N781" s="0" t="s">
        <v>101</v>
      </c>
      <c r="P781" s="0" t="s">
        <v>102</v>
      </c>
      <c r="Q781" s="0" t="s">
        <v>102</v>
      </c>
      <c r="R781" s="0" t="s">
        <v>137</v>
      </c>
      <c r="S781" s="0" t="s">
        <v>21</v>
      </c>
      <c r="T781" s="0" t="s">
        <v>104</v>
      </c>
      <c r="W781" s="0" t="s">
        <v>105</v>
      </c>
      <c r="X781" s="0" t="s">
        <v>3380</v>
      </c>
      <c r="Y781" s="0" t="s">
        <v>3381</v>
      </c>
      <c r="Z781" s="0" t="s">
        <v>159</v>
      </c>
      <c r="AA781" s="0" t="s">
        <v>172</v>
      </c>
    </row>
    <row r="782" customFormat="false" ht="15" hidden="false" customHeight="false" outlineLevel="0" collapsed="false">
      <c r="A782" s="0" t="s">
        <v>21</v>
      </c>
      <c r="B782" s="0" t="s">
        <v>3382</v>
      </c>
      <c r="C782" s="0" t="s">
        <v>97</v>
      </c>
      <c r="D782" s="0" t="s">
        <v>3383</v>
      </c>
      <c r="E782" s="0" t="s">
        <v>3384</v>
      </c>
      <c r="G782" s="0" t="s">
        <v>3385</v>
      </c>
      <c r="H782" s="0" t="s">
        <v>3386</v>
      </c>
      <c r="I782" s="0" t="s">
        <v>100</v>
      </c>
      <c r="J782" s="0" t="s">
        <v>100</v>
      </c>
      <c r="K782" s="0" t="s">
        <v>2802</v>
      </c>
      <c r="L782" s="0" t="s">
        <v>101</v>
      </c>
      <c r="M782" s="0" t="s">
        <v>100</v>
      </c>
      <c r="N782" s="0" t="s">
        <v>101</v>
      </c>
      <c r="P782" s="0" t="s">
        <v>102</v>
      </c>
      <c r="Q782" s="0" t="s">
        <v>102</v>
      </c>
      <c r="R782" s="0" t="s">
        <v>113</v>
      </c>
      <c r="S782" s="0" t="s">
        <v>21</v>
      </c>
      <c r="T782" s="0" t="s">
        <v>104</v>
      </c>
      <c r="W782" s="0" t="s">
        <v>105</v>
      </c>
      <c r="X782" s="0" t="s">
        <v>3387</v>
      </c>
      <c r="Y782" s="0" t="s">
        <v>3388</v>
      </c>
      <c r="Z782" s="0" t="s">
        <v>701</v>
      </c>
      <c r="AA782" s="0" t="s">
        <v>172</v>
      </c>
    </row>
    <row r="783" customFormat="false" ht="15" hidden="false" customHeight="false" outlineLevel="0" collapsed="false">
      <c r="A783" s="0" t="s">
        <v>21</v>
      </c>
      <c r="B783" s="0" t="s">
        <v>3389</v>
      </c>
      <c r="C783" s="0" t="s">
        <v>97</v>
      </c>
      <c r="D783" s="0" t="s">
        <v>3390</v>
      </c>
      <c r="E783" s="0" t="s">
        <v>3391</v>
      </c>
      <c r="G783" s="0" t="s">
        <v>3392</v>
      </c>
      <c r="H783" s="0" t="s">
        <v>3256</v>
      </c>
      <c r="I783" s="0" t="s">
        <v>655</v>
      </c>
      <c r="J783" s="0" t="s">
        <v>100</v>
      </c>
      <c r="K783" s="0" t="s">
        <v>168</v>
      </c>
      <c r="L783" s="0" t="s">
        <v>101</v>
      </c>
      <c r="M783" s="0" t="s">
        <v>656</v>
      </c>
      <c r="N783" s="0" t="s">
        <v>101</v>
      </c>
      <c r="P783" s="0" t="s">
        <v>102</v>
      </c>
      <c r="Q783" s="0" t="s">
        <v>102</v>
      </c>
      <c r="R783" s="0" t="s">
        <v>137</v>
      </c>
      <c r="S783" s="0" t="s">
        <v>21</v>
      </c>
      <c r="T783" s="0" t="s">
        <v>104</v>
      </c>
      <c r="W783" s="0" t="s">
        <v>105</v>
      </c>
      <c r="X783" s="0" t="s">
        <v>3258</v>
      </c>
      <c r="Y783" s="0" t="s">
        <v>3259</v>
      </c>
      <c r="Z783" s="0" t="s">
        <v>159</v>
      </c>
      <c r="AA783" s="0" t="s">
        <v>172</v>
      </c>
    </row>
    <row r="784" customFormat="false" ht="15" hidden="false" customHeight="false" outlineLevel="0" collapsed="false">
      <c r="A784" s="0" t="s">
        <v>21</v>
      </c>
      <c r="B784" s="0" t="s">
        <v>3393</v>
      </c>
      <c r="C784" s="0" t="s">
        <v>97</v>
      </c>
      <c r="D784" s="0" t="s">
        <v>3394</v>
      </c>
      <c r="E784" s="0" t="s">
        <v>3394</v>
      </c>
      <c r="F784" s="0" t="s">
        <v>3394</v>
      </c>
      <c r="M784" s="0" t="s">
        <v>1576</v>
      </c>
      <c r="N784" s="0" t="s">
        <v>101</v>
      </c>
      <c r="P784" s="0" t="s">
        <v>102</v>
      </c>
      <c r="Q784" s="0" t="s">
        <v>102</v>
      </c>
      <c r="R784" s="0" t="s">
        <v>137</v>
      </c>
      <c r="S784" s="0" t="s">
        <v>21</v>
      </c>
      <c r="T784" s="0" t="s">
        <v>104</v>
      </c>
      <c r="W784" s="0" t="s">
        <v>105</v>
      </c>
    </row>
    <row r="785" customFormat="false" ht="15" hidden="false" customHeight="false" outlineLevel="0" collapsed="false">
      <c r="A785" s="0" t="s">
        <v>21</v>
      </c>
      <c r="B785" s="0" t="s">
        <v>3395</v>
      </c>
      <c r="C785" s="0" t="s">
        <v>110</v>
      </c>
      <c r="D785" s="0" t="s">
        <v>3396</v>
      </c>
      <c r="E785" s="0" t="s">
        <v>3397</v>
      </c>
      <c r="G785" s="0" t="s">
        <v>3265</v>
      </c>
      <c r="M785" s="0" t="s">
        <v>437</v>
      </c>
      <c r="N785" s="0" t="s">
        <v>101</v>
      </c>
      <c r="P785" s="0" t="s">
        <v>102</v>
      </c>
      <c r="Q785" s="0" t="s">
        <v>102</v>
      </c>
      <c r="R785" s="0" t="s">
        <v>113</v>
      </c>
      <c r="S785" s="0" t="s">
        <v>21</v>
      </c>
      <c r="T785" s="0" t="s">
        <v>104</v>
      </c>
      <c r="U785" s="0" t="s">
        <v>368</v>
      </c>
      <c r="W785" s="0" t="s">
        <v>105</v>
      </c>
    </row>
    <row r="786" customFormat="false" ht="15" hidden="false" customHeight="false" outlineLevel="0" collapsed="false">
      <c r="A786" s="0" t="s">
        <v>21</v>
      </c>
      <c r="B786" s="0" t="s">
        <v>3398</v>
      </c>
      <c r="C786" s="0" t="s">
        <v>139</v>
      </c>
      <c r="E786" s="0" t="s">
        <v>3399</v>
      </c>
      <c r="G786" s="0" t="s">
        <v>3265</v>
      </c>
      <c r="M786" s="0" t="s">
        <v>442</v>
      </c>
      <c r="N786" s="0" t="s">
        <v>101</v>
      </c>
      <c r="P786" s="0" t="s">
        <v>204</v>
      </c>
      <c r="Q786" s="0" t="s">
        <v>204</v>
      </c>
      <c r="R786" s="0" t="s">
        <v>131</v>
      </c>
      <c r="S786" s="0" t="s">
        <v>21</v>
      </c>
      <c r="T786" s="0" t="s">
        <v>104</v>
      </c>
      <c r="W786" s="0" t="s">
        <v>105</v>
      </c>
    </row>
    <row r="787" customFormat="false" ht="15" hidden="false" customHeight="false" outlineLevel="0" collapsed="false">
      <c r="A787" s="0" t="s">
        <v>21</v>
      </c>
      <c r="B787" s="0" t="s">
        <v>3398</v>
      </c>
      <c r="C787" s="0" t="s">
        <v>139</v>
      </c>
      <c r="E787" s="0" t="s">
        <v>3399</v>
      </c>
      <c r="G787" s="0" t="s">
        <v>3265</v>
      </c>
      <c r="M787" s="0" t="s">
        <v>442</v>
      </c>
      <c r="N787" s="0" t="s">
        <v>101</v>
      </c>
      <c r="P787" s="0" t="s">
        <v>554</v>
      </c>
      <c r="Q787" s="0" t="s">
        <v>554</v>
      </c>
      <c r="R787" s="0" t="s">
        <v>554</v>
      </c>
      <c r="S787" s="0" t="s">
        <v>21</v>
      </c>
      <c r="T787" s="0" t="s">
        <v>104</v>
      </c>
      <c r="W787" s="0" t="s">
        <v>183</v>
      </c>
    </row>
    <row r="788" customFormat="false" ht="15" hidden="false" customHeight="false" outlineLevel="0" collapsed="false">
      <c r="A788" s="0" t="s">
        <v>21</v>
      </c>
      <c r="B788" s="0" t="s">
        <v>3400</v>
      </c>
      <c r="C788" s="0" t="s">
        <v>110</v>
      </c>
      <c r="E788" s="0" t="s">
        <v>3401</v>
      </c>
      <c r="G788" s="0" t="s">
        <v>3265</v>
      </c>
      <c r="M788" s="0" t="s">
        <v>456</v>
      </c>
      <c r="N788" s="0" t="s">
        <v>101</v>
      </c>
      <c r="P788" s="0" t="s">
        <v>204</v>
      </c>
      <c r="Q788" s="0" t="s">
        <v>204</v>
      </c>
      <c r="R788" s="0" t="s">
        <v>131</v>
      </c>
      <c r="S788" s="0" t="s">
        <v>21</v>
      </c>
      <c r="T788" s="0" t="s">
        <v>104</v>
      </c>
      <c r="W788" s="0" t="s">
        <v>105</v>
      </c>
    </row>
    <row r="789" customFormat="false" ht="15" hidden="false" customHeight="false" outlineLevel="0" collapsed="false">
      <c r="A789" s="0" t="s">
        <v>21</v>
      </c>
      <c r="B789" s="0" t="s">
        <v>3400</v>
      </c>
      <c r="C789" s="0" t="s">
        <v>110</v>
      </c>
      <c r="E789" s="0" t="s">
        <v>3401</v>
      </c>
      <c r="G789" s="0" t="s">
        <v>3265</v>
      </c>
      <c r="M789" s="0" t="s">
        <v>456</v>
      </c>
      <c r="N789" s="0" t="s">
        <v>101</v>
      </c>
      <c r="P789" s="0" t="s">
        <v>554</v>
      </c>
      <c r="Q789" s="0" t="s">
        <v>554</v>
      </c>
      <c r="R789" s="0" t="s">
        <v>554</v>
      </c>
      <c r="S789" s="0" t="s">
        <v>21</v>
      </c>
      <c r="T789" s="0" t="s">
        <v>104</v>
      </c>
      <c r="W789" s="0" t="s">
        <v>183</v>
      </c>
    </row>
    <row r="790" customFormat="false" ht="15" hidden="false" customHeight="false" outlineLevel="0" collapsed="false">
      <c r="A790" s="0" t="s">
        <v>21</v>
      </c>
      <c r="B790" s="0" t="s">
        <v>3402</v>
      </c>
      <c r="C790" s="0" t="s">
        <v>661</v>
      </c>
      <c r="D790" s="0" t="s">
        <v>3403</v>
      </c>
      <c r="E790" s="0" t="s">
        <v>3404</v>
      </c>
      <c r="G790" s="0" t="s">
        <v>3405</v>
      </c>
      <c r="H790" s="0" t="s">
        <v>3406</v>
      </c>
      <c r="I790" s="0" t="s">
        <v>3407</v>
      </c>
      <c r="J790" s="0" t="s">
        <v>178</v>
      </c>
      <c r="K790" s="0" t="s">
        <v>3408</v>
      </c>
      <c r="L790" s="0" t="s">
        <v>124</v>
      </c>
      <c r="M790" s="0" t="s">
        <v>178</v>
      </c>
      <c r="N790" s="0" t="s">
        <v>124</v>
      </c>
      <c r="P790" s="0" t="s">
        <v>221</v>
      </c>
      <c r="Q790" s="0" t="s">
        <v>221</v>
      </c>
      <c r="R790" s="0" t="s">
        <v>221</v>
      </c>
      <c r="S790" s="0" t="s">
        <v>21</v>
      </c>
      <c r="T790" s="0" t="s">
        <v>104</v>
      </c>
      <c r="W790" s="0" t="s">
        <v>183</v>
      </c>
      <c r="Z790" s="0" t="s">
        <v>134</v>
      </c>
    </row>
    <row r="791" customFormat="false" ht="15" hidden="false" customHeight="false" outlineLevel="0" collapsed="false">
      <c r="A791" s="0" t="s">
        <v>21</v>
      </c>
      <c r="B791" s="0" t="s">
        <v>3402</v>
      </c>
      <c r="C791" s="0" t="s">
        <v>661</v>
      </c>
      <c r="D791" s="0" t="s">
        <v>3403</v>
      </c>
      <c r="E791" s="0" t="s">
        <v>3404</v>
      </c>
      <c r="G791" s="0" t="s">
        <v>3405</v>
      </c>
      <c r="H791" s="0" t="s">
        <v>3406</v>
      </c>
      <c r="I791" s="0" t="s">
        <v>3407</v>
      </c>
      <c r="J791" s="0" t="s">
        <v>178</v>
      </c>
      <c r="K791" s="0" t="s">
        <v>3408</v>
      </c>
      <c r="L791" s="0" t="s">
        <v>124</v>
      </c>
      <c r="M791" s="0" t="s">
        <v>178</v>
      </c>
      <c r="N791" s="0" t="s">
        <v>124</v>
      </c>
      <c r="P791" s="0" t="s">
        <v>102</v>
      </c>
      <c r="Q791" s="0" t="s">
        <v>102</v>
      </c>
      <c r="R791" s="0" t="s">
        <v>224</v>
      </c>
      <c r="S791" s="0" t="s">
        <v>21</v>
      </c>
      <c r="T791" s="0" t="s">
        <v>104</v>
      </c>
      <c r="V791" s="0" t="s">
        <v>225</v>
      </c>
      <c r="W791" s="0" t="s">
        <v>105</v>
      </c>
      <c r="Z791" s="0" t="s">
        <v>134</v>
      </c>
    </row>
    <row r="792" customFormat="false" ht="15" hidden="false" customHeight="false" outlineLevel="0" collapsed="false">
      <c r="A792" s="0" t="s">
        <v>21</v>
      </c>
      <c r="B792" s="0" t="s">
        <v>3402</v>
      </c>
      <c r="C792" s="0" t="s">
        <v>661</v>
      </c>
      <c r="D792" s="0" t="s">
        <v>3403</v>
      </c>
      <c r="E792" s="0" t="s">
        <v>3404</v>
      </c>
      <c r="G792" s="0" t="s">
        <v>3405</v>
      </c>
      <c r="H792" s="0" t="s">
        <v>3406</v>
      </c>
      <c r="I792" s="0" t="s">
        <v>3407</v>
      </c>
      <c r="J792" s="0" t="s">
        <v>178</v>
      </c>
      <c r="K792" s="0" t="s">
        <v>3408</v>
      </c>
      <c r="L792" s="0" t="s">
        <v>124</v>
      </c>
      <c r="M792" s="0" t="s">
        <v>178</v>
      </c>
      <c r="N792" s="0" t="s">
        <v>124</v>
      </c>
      <c r="P792" s="0" t="s">
        <v>130</v>
      </c>
      <c r="Q792" s="0" t="s">
        <v>130</v>
      </c>
      <c r="R792" s="0" t="s">
        <v>226</v>
      </c>
      <c r="S792" s="0" t="s">
        <v>21</v>
      </c>
      <c r="T792" s="0" t="s">
        <v>104</v>
      </c>
      <c r="U792" s="0" t="s">
        <v>227</v>
      </c>
      <c r="W792" s="0" t="s">
        <v>105</v>
      </c>
      <c r="Z792" s="0" t="s">
        <v>134</v>
      </c>
    </row>
    <row r="793" customFormat="false" ht="15" hidden="false" customHeight="false" outlineLevel="0" collapsed="false">
      <c r="A793" s="0" t="s">
        <v>21</v>
      </c>
      <c r="B793" s="0" t="s">
        <v>3409</v>
      </c>
      <c r="C793" s="0" t="s">
        <v>97</v>
      </c>
      <c r="D793" s="0" t="s">
        <v>3410</v>
      </c>
      <c r="E793" s="0" t="s">
        <v>3411</v>
      </c>
      <c r="H793" s="0" t="s">
        <v>3412</v>
      </c>
      <c r="I793" s="0" t="s">
        <v>3413</v>
      </c>
      <c r="J793" s="0" t="s">
        <v>275</v>
      </c>
      <c r="K793" s="0" t="s">
        <v>3414</v>
      </c>
      <c r="L793" s="0" t="s">
        <v>124</v>
      </c>
      <c r="M793" s="0" t="s">
        <v>178</v>
      </c>
      <c r="N793" s="0" t="s">
        <v>124</v>
      </c>
      <c r="P793" s="0" t="s">
        <v>102</v>
      </c>
      <c r="Q793" s="0" t="s">
        <v>102</v>
      </c>
      <c r="R793" s="0" t="s">
        <v>131</v>
      </c>
      <c r="S793" s="0" t="s">
        <v>21</v>
      </c>
      <c r="T793" s="0" t="s">
        <v>104</v>
      </c>
      <c r="W793" s="0" t="s">
        <v>105</v>
      </c>
      <c r="X793" s="0" t="s">
        <v>3415</v>
      </c>
      <c r="Y793" s="0" t="s">
        <v>3416</v>
      </c>
      <c r="Z793" s="0" t="s">
        <v>134</v>
      </c>
    </row>
    <row r="794" customFormat="false" ht="15" hidden="false" customHeight="false" outlineLevel="0" collapsed="false">
      <c r="A794" s="0" t="s">
        <v>21</v>
      </c>
      <c r="B794" s="0" t="s">
        <v>3417</v>
      </c>
      <c r="C794" s="0" t="s">
        <v>97</v>
      </c>
      <c r="D794" s="0" t="s">
        <v>3418</v>
      </c>
      <c r="E794" s="0" t="s">
        <v>3419</v>
      </c>
      <c r="G794" s="0" t="s">
        <v>164</v>
      </c>
      <c r="H794" s="0" t="s">
        <v>3256</v>
      </c>
      <c r="I794" s="0" t="s">
        <v>655</v>
      </c>
      <c r="J794" s="0" t="s">
        <v>100</v>
      </c>
      <c r="K794" s="0" t="s">
        <v>1059</v>
      </c>
      <c r="L794" s="0" t="s">
        <v>101</v>
      </c>
      <c r="M794" s="0" t="s">
        <v>656</v>
      </c>
      <c r="N794" s="0" t="s">
        <v>101</v>
      </c>
      <c r="P794" s="0" t="s">
        <v>102</v>
      </c>
      <c r="Q794" s="0" t="s">
        <v>102</v>
      </c>
      <c r="R794" s="0" t="s">
        <v>113</v>
      </c>
      <c r="S794" s="0" t="s">
        <v>21</v>
      </c>
      <c r="T794" s="0" t="s">
        <v>104</v>
      </c>
      <c r="W794" s="0" t="s">
        <v>105</v>
      </c>
      <c r="X794" s="0" t="s">
        <v>3258</v>
      </c>
      <c r="Y794" s="0" t="s">
        <v>3259</v>
      </c>
      <c r="Z794" s="0" t="s">
        <v>171</v>
      </c>
      <c r="AA794" s="0" t="s">
        <v>172</v>
      </c>
    </row>
    <row r="795" customFormat="false" ht="15" hidden="false" customHeight="false" outlineLevel="0" collapsed="false">
      <c r="A795" s="0" t="s">
        <v>21</v>
      </c>
      <c r="B795" s="0" t="s">
        <v>3420</v>
      </c>
      <c r="C795" s="0" t="s">
        <v>97</v>
      </c>
      <c r="D795" s="0" t="s">
        <v>3421</v>
      </c>
      <c r="E795" s="0" t="s">
        <v>3422</v>
      </c>
      <c r="G795" s="0" t="s">
        <v>164</v>
      </c>
      <c r="H795" s="0" t="s">
        <v>1185</v>
      </c>
      <c r="I795" s="0" t="s">
        <v>1186</v>
      </c>
      <c r="J795" s="0" t="s">
        <v>1187</v>
      </c>
      <c r="K795" s="0" t="s">
        <v>134</v>
      </c>
      <c r="L795" s="0" t="s">
        <v>101</v>
      </c>
      <c r="M795" s="0" t="s">
        <v>1186</v>
      </c>
      <c r="N795" s="0" t="s">
        <v>101</v>
      </c>
      <c r="P795" s="0" t="s">
        <v>102</v>
      </c>
      <c r="Q795" s="0" t="s">
        <v>102</v>
      </c>
      <c r="R795" s="0" t="s">
        <v>113</v>
      </c>
      <c r="S795" s="0" t="s">
        <v>21</v>
      </c>
      <c r="T795" s="0" t="s">
        <v>104</v>
      </c>
      <c r="W795" s="0" t="s">
        <v>105</v>
      </c>
      <c r="X795" s="0" t="s">
        <v>1189</v>
      </c>
      <c r="Y795" s="0" t="s">
        <v>1190</v>
      </c>
      <c r="Z795" s="0" t="s">
        <v>171</v>
      </c>
      <c r="AA795" s="0" t="s">
        <v>172</v>
      </c>
    </row>
    <row r="796" customFormat="false" ht="15" hidden="false" customHeight="false" outlineLevel="0" collapsed="false">
      <c r="A796" s="0" t="s">
        <v>21</v>
      </c>
      <c r="B796" s="0" t="s">
        <v>3423</v>
      </c>
      <c r="C796" s="0" t="s">
        <v>674</v>
      </c>
      <c r="D796" s="0" t="s">
        <v>3424</v>
      </c>
      <c r="E796" s="0" t="s">
        <v>3425</v>
      </c>
      <c r="G796" s="0" t="s">
        <v>3426</v>
      </c>
      <c r="M796" s="0" t="s">
        <v>166</v>
      </c>
      <c r="N796" s="0" t="s">
        <v>101</v>
      </c>
      <c r="P796" s="0" t="s">
        <v>102</v>
      </c>
      <c r="Q796" s="0" t="s">
        <v>102</v>
      </c>
      <c r="R796" s="0" t="s">
        <v>113</v>
      </c>
      <c r="S796" s="0" t="s">
        <v>21</v>
      </c>
      <c r="T796" s="0" t="s">
        <v>104</v>
      </c>
      <c r="W796" s="0" t="s">
        <v>105</v>
      </c>
    </row>
    <row r="797" customFormat="false" ht="15" hidden="false" customHeight="false" outlineLevel="0" collapsed="false">
      <c r="A797" s="0" t="s">
        <v>21</v>
      </c>
      <c r="B797" s="0" t="s">
        <v>3427</v>
      </c>
      <c r="C797" s="0" t="s">
        <v>97</v>
      </c>
      <c r="D797" s="0" t="s">
        <v>3428</v>
      </c>
      <c r="E797" s="0" t="s">
        <v>3429</v>
      </c>
      <c r="G797" s="0" t="s">
        <v>164</v>
      </c>
      <c r="H797" s="0" t="s">
        <v>1244</v>
      </c>
      <c r="I797" s="0" t="s">
        <v>1245</v>
      </c>
      <c r="J797" s="0" t="s">
        <v>1245</v>
      </c>
      <c r="K797" s="0" t="s">
        <v>1175</v>
      </c>
      <c r="L797" s="0" t="s">
        <v>101</v>
      </c>
      <c r="M797" s="0" t="s">
        <v>1245</v>
      </c>
      <c r="N797" s="0" t="s">
        <v>101</v>
      </c>
      <c r="P797" s="0" t="s">
        <v>204</v>
      </c>
      <c r="Q797" s="0" t="s">
        <v>204</v>
      </c>
      <c r="R797" s="0" t="s">
        <v>399</v>
      </c>
      <c r="S797" s="0" t="s">
        <v>21</v>
      </c>
      <c r="T797" s="0" t="s">
        <v>104</v>
      </c>
      <c r="W797" s="0" t="s">
        <v>105</v>
      </c>
      <c r="X797" s="0" t="s">
        <v>1247</v>
      </c>
      <c r="Y797" s="0" t="s">
        <v>1248</v>
      </c>
      <c r="Z797" s="0" t="s">
        <v>171</v>
      </c>
      <c r="AA797" s="0" t="s">
        <v>172</v>
      </c>
    </row>
    <row r="798" customFormat="false" ht="15" hidden="false" customHeight="false" outlineLevel="0" collapsed="false">
      <c r="A798" s="0" t="s">
        <v>21</v>
      </c>
      <c r="B798" s="0" t="s">
        <v>3430</v>
      </c>
      <c r="C798" s="0" t="s">
        <v>97</v>
      </c>
      <c r="D798" s="0" t="s">
        <v>3431</v>
      </c>
      <c r="E798" s="0" t="s">
        <v>3432</v>
      </c>
      <c r="G798" s="0" t="s">
        <v>164</v>
      </c>
      <c r="H798" s="0" t="s">
        <v>3433</v>
      </c>
      <c r="I798" s="0" t="s">
        <v>3434</v>
      </c>
      <c r="J798" s="0" t="s">
        <v>367</v>
      </c>
      <c r="K798" s="0" t="s">
        <v>1419</v>
      </c>
      <c r="L798" s="0" t="s">
        <v>101</v>
      </c>
      <c r="M798" s="0" t="s">
        <v>3433</v>
      </c>
      <c r="N798" s="0" t="s">
        <v>101</v>
      </c>
      <c r="P798" s="0" t="s">
        <v>102</v>
      </c>
      <c r="Q798" s="0" t="s">
        <v>102</v>
      </c>
      <c r="R798" s="0" t="s">
        <v>113</v>
      </c>
      <c r="S798" s="0" t="s">
        <v>21</v>
      </c>
      <c r="T798" s="0" t="s">
        <v>104</v>
      </c>
      <c r="W798" s="0" t="s">
        <v>105</v>
      </c>
      <c r="X798" s="0" t="s">
        <v>3435</v>
      </c>
      <c r="Y798" s="0" t="s">
        <v>3436</v>
      </c>
      <c r="Z798" s="0" t="s">
        <v>171</v>
      </c>
      <c r="AA798" s="0" t="s">
        <v>172</v>
      </c>
    </row>
    <row r="799" customFormat="false" ht="15" hidden="false" customHeight="false" outlineLevel="0" collapsed="false">
      <c r="A799" s="0" t="s">
        <v>21</v>
      </c>
      <c r="B799" s="0" t="s">
        <v>3437</v>
      </c>
      <c r="C799" s="0" t="s">
        <v>97</v>
      </c>
      <c r="D799" s="0" t="s">
        <v>3438</v>
      </c>
      <c r="E799" s="0" t="s">
        <v>3438</v>
      </c>
      <c r="M799" s="0" t="s">
        <v>1187</v>
      </c>
      <c r="N799" s="0" t="s">
        <v>101</v>
      </c>
      <c r="P799" s="0" t="s">
        <v>102</v>
      </c>
      <c r="Q799" s="0" t="s">
        <v>102</v>
      </c>
      <c r="R799" s="0" t="s">
        <v>113</v>
      </c>
      <c r="S799" s="0" t="s">
        <v>21</v>
      </c>
      <c r="T799" s="0" t="s">
        <v>104</v>
      </c>
      <c r="W799" s="0" t="s">
        <v>105</v>
      </c>
    </row>
    <row r="800" customFormat="false" ht="15" hidden="false" customHeight="false" outlineLevel="0" collapsed="false">
      <c r="A800" s="0" t="s">
        <v>21</v>
      </c>
      <c r="B800" s="0" t="s">
        <v>3439</v>
      </c>
      <c r="C800" s="0" t="s">
        <v>97</v>
      </c>
      <c r="D800" s="0" t="s">
        <v>3440</v>
      </c>
      <c r="E800" s="0" t="s">
        <v>3441</v>
      </c>
      <c r="G800" s="0" t="s">
        <v>164</v>
      </c>
      <c r="H800" s="0" t="s">
        <v>1563</v>
      </c>
      <c r="I800" s="0" t="s">
        <v>1564</v>
      </c>
      <c r="J800" s="0" t="s">
        <v>456</v>
      </c>
      <c r="K800" s="0" t="s">
        <v>1401</v>
      </c>
      <c r="L800" s="0" t="s">
        <v>101</v>
      </c>
      <c r="M800" s="0" t="s">
        <v>1564</v>
      </c>
      <c r="N800" s="0" t="s">
        <v>101</v>
      </c>
      <c r="P800" s="0" t="s">
        <v>204</v>
      </c>
      <c r="Q800" s="0" t="s">
        <v>204</v>
      </c>
      <c r="R800" s="0" t="s">
        <v>399</v>
      </c>
      <c r="S800" s="0" t="s">
        <v>21</v>
      </c>
      <c r="T800" s="0" t="s">
        <v>104</v>
      </c>
      <c r="W800" s="0" t="s">
        <v>105</v>
      </c>
      <c r="X800" s="0" t="s">
        <v>1566</v>
      </c>
      <c r="Y800" s="0" t="s">
        <v>1567</v>
      </c>
      <c r="Z800" s="0" t="s">
        <v>171</v>
      </c>
      <c r="AA800" s="0" t="s">
        <v>172</v>
      </c>
    </row>
    <row r="801" customFormat="false" ht="15" hidden="false" customHeight="false" outlineLevel="0" collapsed="false">
      <c r="A801" s="0" t="s">
        <v>21</v>
      </c>
      <c r="B801" s="0" t="s">
        <v>3442</v>
      </c>
      <c r="C801" s="0" t="s">
        <v>97</v>
      </c>
      <c r="D801" s="0" t="s">
        <v>3443</v>
      </c>
      <c r="E801" s="0" t="s">
        <v>3444</v>
      </c>
      <c r="G801" s="0" t="s">
        <v>164</v>
      </c>
      <c r="H801" s="0" t="s">
        <v>1433</v>
      </c>
      <c r="I801" s="0" t="s">
        <v>1434</v>
      </c>
      <c r="J801" s="0" t="s">
        <v>1273</v>
      </c>
      <c r="K801" s="0" t="s">
        <v>1442</v>
      </c>
      <c r="L801" s="0" t="s">
        <v>101</v>
      </c>
      <c r="M801" s="0" t="s">
        <v>1434</v>
      </c>
      <c r="N801" s="0" t="s">
        <v>101</v>
      </c>
      <c r="P801" s="0" t="s">
        <v>102</v>
      </c>
      <c r="Q801" s="0" t="s">
        <v>102</v>
      </c>
      <c r="R801" s="0" t="s">
        <v>113</v>
      </c>
      <c r="S801" s="0" t="s">
        <v>21</v>
      </c>
      <c r="T801" s="0" t="s">
        <v>104</v>
      </c>
      <c r="W801" s="0" t="s">
        <v>105</v>
      </c>
      <c r="X801" s="0" t="s">
        <v>1435</v>
      </c>
      <c r="Y801" s="0" t="s">
        <v>1436</v>
      </c>
      <c r="Z801" s="0" t="s">
        <v>171</v>
      </c>
      <c r="AA801" s="0" t="s">
        <v>172</v>
      </c>
    </row>
    <row r="802" customFormat="false" ht="15" hidden="false" customHeight="false" outlineLevel="0" collapsed="false">
      <c r="A802" s="0" t="s">
        <v>21</v>
      </c>
      <c r="B802" s="0" t="s">
        <v>3445</v>
      </c>
      <c r="C802" s="0" t="s">
        <v>97</v>
      </c>
      <c r="D802" s="0" t="s">
        <v>3446</v>
      </c>
      <c r="E802" s="0" t="s">
        <v>3446</v>
      </c>
      <c r="F802" s="0" t="s">
        <v>3446</v>
      </c>
      <c r="G802" s="0" t="s">
        <v>164</v>
      </c>
      <c r="H802" s="0" t="s">
        <v>1417</v>
      </c>
      <c r="I802" s="0" t="s">
        <v>1418</v>
      </c>
      <c r="J802" s="0" t="s">
        <v>448</v>
      </c>
      <c r="K802" s="0" t="s">
        <v>1442</v>
      </c>
      <c r="L802" s="0" t="s">
        <v>101</v>
      </c>
      <c r="M802" s="0" t="s">
        <v>1420</v>
      </c>
      <c r="N802" s="0" t="s">
        <v>101</v>
      </c>
      <c r="P802" s="0" t="s">
        <v>102</v>
      </c>
      <c r="Q802" s="0" t="s">
        <v>102</v>
      </c>
      <c r="R802" s="0" t="s">
        <v>113</v>
      </c>
      <c r="S802" s="0" t="s">
        <v>21</v>
      </c>
      <c r="T802" s="0" t="s">
        <v>104</v>
      </c>
      <c r="W802" s="0" t="s">
        <v>105</v>
      </c>
      <c r="X802" s="0" t="s">
        <v>1421</v>
      </c>
      <c r="Y802" s="0" t="s">
        <v>1422</v>
      </c>
      <c r="Z802" s="0" t="s">
        <v>171</v>
      </c>
      <c r="AA802" s="0" t="s">
        <v>172</v>
      </c>
    </row>
    <row r="803" customFormat="false" ht="15" hidden="false" customHeight="false" outlineLevel="0" collapsed="false">
      <c r="A803" s="0" t="s">
        <v>21</v>
      </c>
      <c r="B803" s="0" t="s">
        <v>3447</v>
      </c>
      <c r="C803" s="0" t="s">
        <v>97</v>
      </c>
      <c r="D803" s="0" t="s">
        <v>3448</v>
      </c>
      <c r="E803" s="0" t="s">
        <v>3449</v>
      </c>
      <c r="G803" s="0" t="s">
        <v>164</v>
      </c>
      <c r="H803" s="0" t="s">
        <v>1455</v>
      </c>
      <c r="I803" s="0" t="s">
        <v>398</v>
      </c>
      <c r="J803" s="0" t="s">
        <v>112</v>
      </c>
      <c r="K803" s="0" t="s">
        <v>1175</v>
      </c>
      <c r="L803" s="0" t="s">
        <v>101</v>
      </c>
      <c r="M803" s="0" t="s">
        <v>398</v>
      </c>
      <c r="N803" s="0" t="s">
        <v>101</v>
      </c>
      <c r="P803" s="0" t="s">
        <v>102</v>
      </c>
      <c r="Q803" s="0" t="s">
        <v>102</v>
      </c>
      <c r="R803" s="0" t="s">
        <v>113</v>
      </c>
      <c r="S803" s="0" t="s">
        <v>21</v>
      </c>
      <c r="T803" s="0" t="s">
        <v>104</v>
      </c>
      <c r="W803" s="0" t="s">
        <v>105</v>
      </c>
      <c r="X803" s="0" t="s">
        <v>1457</v>
      </c>
      <c r="Y803" s="0" t="s">
        <v>1458</v>
      </c>
      <c r="Z803" s="0" t="s">
        <v>171</v>
      </c>
      <c r="AA803" s="0" t="s">
        <v>172</v>
      </c>
    </row>
    <row r="804" customFormat="false" ht="15" hidden="false" customHeight="false" outlineLevel="0" collapsed="false">
      <c r="A804" s="0" t="s">
        <v>21</v>
      </c>
      <c r="B804" s="0" t="s">
        <v>3450</v>
      </c>
      <c r="C804" s="0" t="s">
        <v>97</v>
      </c>
      <c r="D804" s="0" t="s">
        <v>3451</v>
      </c>
      <c r="E804" s="0" t="s">
        <v>3452</v>
      </c>
      <c r="G804" s="0" t="s">
        <v>164</v>
      </c>
      <c r="H804" s="0" t="s">
        <v>1563</v>
      </c>
      <c r="I804" s="0" t="s">
        <v>1564</v>
      </c>
      <c r="J804" s="0" t="s">
        <v>456</v>
      </c>
      <c r="K804" s="0" t="s">
        <v>168</v>
      </c>
      <c r="L804" s="0" t="s">
        <v>101</v>
      </c>
      <c r="M804" s="0" t="s">
        <v>1564</v>
      </c>
      <c r="N804" s="0" t="s">
        <v>101</v>
      </c>
      <c r="P804" s="0" t="s">
        <v>102</v>
      </c>
      <c r="Q804" s="0" t="s">
        <v>102</v>
      </c>
      <c r="R804" s="0" t="s">
        <v>113</v>
      </c>
      <c r="S804" s="0" t="s">
        <v>21</v>
      </c>
      <c r="T804" s="0" t="s">
        <v>104</v>
      </c>
      <c r="W804" s="0" t="s">
        <v>105</v>
      </c>
      <c r="X804" s="0" t="s">
        <v>1566</v>
      </c>
      <c r="Y804" s="0" t="s">
        <v>1567</v>
      </c>
      <c r="Z804" s="0" t="s">
        <v>171</v>
      </c>
      <c r="AA804" s="0" t="s">
        <v>172</v>
      </c>
    </row>
    <row r="805" customFormat="false" ht="15" hidden="false" customHeight="false" outlineLevel="0" collapsed="false">
      <c r="A805" s="0" t="s">
        <v>21</v>
      </c>
      <c r="B805" s="0" t="s">
        <v>3453</v>
      </c>
      <c r="C805" s="0" t="s">
        <v>97</v>
      </c>
      <c r="E805" s="0" t="s">
        <v>3454</v>
      </c>
      <c r="F805" s="0" t="s">
        <v>3455</v>
      </c>
      <c r="G805" s="0" t="s">
        <v>3456</v>
      </c>
      <c r="H805" s="0" t="s">
        <v>3457</v>
      </c>
      <c r="J805" s="0" t="s">
        <v>3458</v>
      </c>
      <c r="L805" s="0" t="s">
        <v>3458</v>
      </c>
      <c r="M805" s="0" t="s">
        <v>3459</v>
      </c>
      <c r="N805" s="0" t="s">
        <v>3458</v>
      </c>
      <c r="P805" s="0" t="s">
        <v>346</v>
      </c>
      <c r="Q805" s="0" t="s">
        <v>346</v>
      </c>
      <c r="R805" s="0" t="s">
        <v>103</v>
      </c>
      <c r="S805" s="0" t="s">
        <v>21</v>
      </c>
      <c r="T805" s="0" t="s">
        <v>104</v>
      </c>
      <c r="W805" s="0" t="s">
        <v>105</v>
      </c>
      <c r="Z805" s="0" t="s">
        <v>1047</v>
      </c>
    </row>
    <row r="806" customFormat="false" ht="15" hidden="false" customHeight="false" outlineLevel="0" collapsed="false">
      <c r="A806" s="0" t="s">
        <v>21</v>
      </c>
      <c r="B806" s="0" t="s">
        <v>3460</v>
      </c>
      <c r="C806" s="0" t="s">
        <v>97</v>
      </c>
      <c r="E806" s="0" t="s">
        <v>3461</v>
      </c>
      <c r="F806" s="0" t="s">
        <v>3462</v>
      </c>
      <c r="G806" s="0" t="s">
        <v>3463</v>
      </c>
      <c r="H806" s="0" t="s">
        <v>3464</v>
      </c>
      <c r="I806" s="0" t="s">
        <v>3465</v>
      </c>
      <c r="J806" s="0" t="s">
        <v>247</v>
      </c>
      <c r="K806" s="0" t="s">
        <v>3466</v>
      </c>
      <c r="L806" s="0" t="s">
        <v>124</v>
      </c>
      <c r="M806" s="0" t="s">
        <v>247</v>
      </c>
      <c r="N806" s="0" t="s">
        <v>124</v>
      </c>
      <c r="P806" s="0" t="s">
        <v>1044</v>
      </c>
      <c r="Q806" s="0" t="s">
        <v>1044</v>
      </c>
      <c r="R806" s="0" t="s">
        <v>103</v>
      </c>
      <c r="S806" s="0" t="s">
        <v>21</v>
      </c>
      <c r="T806" s="0" t="s">
        <v>104</v>
      </c>
      <c r="U806" s="0" t="s">
        <v>368</v>
      </c>
      <c r="W806" s="0" t="s">
        <v>105</v>
      </c>
      <c r="X806" s="0" t="s">
        <v>3467</v>
      </c>
      <c r="Y806" s="0" t="s">
        <v>3468</v>
      </c>
      <c r="Z806" s="0" t="s">
        <v>1047</v>
      </c>
    </row>
    <row r="807" customFormat="false" ht="15" hidden="false" customHeight="false" outlineLevel="0" collapsed="false">
      <c r="A807" s="0" t="s">
        <v>21</v>
      </c>
      <c r="B807" s="0" t="s">
        <v>3469</v>
      </c>
      <c r="C807" s="0" t="s">
        <v>97</v>
      </c>
      <c r="E807" s="0" t="s">
        <v>942</v>
      </c>
      <c r="F807" s="0" t="s">
        <v>3470</v>
      </c>
      <c r="G807" s="0" t="s">
        <v>3471</v>
      </c>
      <c r="H807" s="0" t="s">
        <v>3472</v>
      </c>
      <c r="J807" s="0" t="s">
        <v>3473</v>
      </c>
      <c r="L807" s="0" t="s">
        <v>3473</v>
      </c>
      <c r="M807" s="0" t="s">
        <v>3474</v>
      </c>
      <c r="N807" s="0" t="s">
        <v>3473</v>
      </c>
      <c r="P807" s="0" t="s">
        <v>346</v>
      </c>
      <c r="Q807" s="0" t="s">
        <v>346</v>
      </c>
      <c r="R807" s="0" t="s">
        <v>103</v>
      </c>
      <c r="S807" s="0" t="s">
        <v>21</v>
      </c>
      <c r="T807" s="0" t="s">
        <v>104</v>
      </c>
      <c r="W807" s="0" t="s">
        <v>105</v>
      </c>
      <c r="Z807" s="0" t="s">
        <v>1047</v>
      </c>
    </row>
    <row r="808" customFormat="false" ht="15" hidden="false" customHeight="false" outlineLevel="0" collapsed="false">
      <c r="A808" s="0" t="s">
        <v>21</v>
      </c>
      <c r="B808" s="0" t="s">
        <v>3475</v>
      </c>
      <c r="C808" s="0" t="s">
        <v>97</v>
      </c>
      <c r="D808" s="0" t="s">
        <v>3476</v>
      </c>
      <c r="E808" s="0" t="s">
        <v>757</v>
      </c>
      <c r="F808" s="0" t="s">
        <v>3477</v>
      </c>
      <c r="G808" s="0" t="s">
        <v>3478</v>
      </c>
      <c r="H808" s="0" t="s">
        <v>3479</v>
      </c>
      <c r="J808" s="0" t="s">
        <v>3458</v>
      </c>
      <c r="L808" s="0" t="s">
        <v>3458</v>
      </c>
      <c r="M808" s="0" t="s">
        <v>3459</v>
      </c>
      <c r="N808" s="0" t="s">
        <v>3458</v>
      </c>
      <c r="P808" s="0" t="s">
        <v>236</v>
      </c>
      <c r="Q808" s="0" t="s">
        <v>236</v>
      </c>
      <c r="R808" s="0" t="s">
        <v>103</v>
      </c>
      <c r="S808" s="0" t="s">
        <v>21</v>
      </c>
      <c r="T808" s="0" t="s">
        <v>104</v>
      </c>
      <c r="W808" s="0" t="s">
        <v>105</v>
      </c>
      <c r="X808" s="0" t="s">
        <v>3480</v>
      </c>
      <c r="Y808" s="0" t="s">
        <v>3481</v>
      </c>
      <c r="Z808" s="0" t="s">
        <v>1047</v>
      </c>
      <c r="AB808" s="0" t="s">
        <v>760</v>
      </c>
    </row>
    <row r="809" customFormat="false" ht="15" hidden="false" customHeight="false" outlineLevel="0" collapsed="false">
      <c r="A809" s="0" t="s">
        <v>21</v>
      </c>
      <c r="B809" s="0" t="s">
        <v>3482</v>
      </c>
      <c r="C809" s="0" t="s">
        <v>97</v>
      </c>
      <c r="E809" s="0" t="s">
        <v>3483</v>
      </c>
      <c r="F809" s="0" t="s">
        <v>3484</v>
      </c>
      <c r="G809" s="0" t="s">
        <v>3485</v>
      </c>
      <c r="H809" s="0" t="s">
        <v>3486</v>
      </c>
      <c r="I809" s="0" t="s">
        <v>964</v>
      </c>
      <c r="J809" s="0" t="s">
        <v>245</v>
      </c>
      <c r="K809" s="0" t="s">
        <v>965</v>
      </c>
      <c r="L809" s="0" t="s">
        <v>124</v>
      </c>
      <c r="M809" s="0" t="s">
        <v>247</v>
      </c>
      <c r="N809" s="0" t="s">
        <v>124</v>
      </c>
      <c r="P809" s="0" t="s">
        <v>1044</v>
      </c>
      <c r="Q809" s="0" t="s">
        <v>1044</v>
      </c>
      <c r="R809" s="0" t="s">
        <v>103</v>
      </c>
      <c r="S809" s="0" t="s">
        <v>21</v>
      </c>
      <c r="T809" s="0" t="s">
        <v>104</v>
      </c>
      <c r="U809" s="0" t="s">
        <v>368</v>
      </c>
      <c r="W809" s="0" t="s">
        <v>105</v>
      </c>
      <c r="X809" s="0" t="s">
        <v>1045</v>
      </c>
      <c r="Y809" s="0" t="s">
        <v>3487</v>
      </c>
      <c r="Z809" s="0" t="s">
        <v>1047</v>
      </c>
    </row>
    <row r="810" customFormat="false" ht="15" hidden="false" customHeight="false" outlineLevel="0" collapsed="false">
      <c r="A810" s="0" t="s">
        <v>21</v>
      </c>
      <c r="B810" s="0" t="s">
        <v>3488</v>
      </c>
      <c r="C810" s="0" t="s">
        <v>97</v>
      </c>
      <c r="E810" s="0" t="s">
        <v>3489</v>
      </c>
      <c r="F810" s="0" t="s">
        <v>3490</v>
      </c>
      <c r="H810" s="0" t="s">
        <v>3491</v>
      </c>
      <c r="I810" s="0" t="s">
        <v>3492</v>
      </c>
      <c r="J810" s="0" t="s">
        <v>245</v>
      </c>
      <c r="K810" s="0" t="s">
        <v>3493</v>
      </c>
      <c r="L810" s="0" t="s">
        <v>124</v>
      </c>
      <c r="M810" s="0" t="s">
        <v>247</v>
      </c>
      <c r="N810" s="0" t="s">
        <v>124</v>
      </c>
      <c r="P810" s="0" t="s">
        <v>1044</v>
      </c>
      <c r="Q810" s="0" t="s">
        <v>1044</v>
      </c>
      <c r="R810" s="0" t="s">
        <v>103</v>
      </c>
      <c r="S810" s="0" t="s">
        <v>21</v>
      </c>
      <c r="T810" s="0" t="s">
        <v>104</v>
      </c>
      <c r="U810" s="0" t="s">
        <v>368</v>
      </c>
      <c r="W810" s="0" t="s">
        <v>105</v>
      </c>
      <c r="X810" s="0" t="s">
        <v>3494</v>
      </c>
      <c r="Y810" s="0" t="s">
        <v>3495</v>
      </c>
      <c r="Z810" s="0" t="s">
        <v>1047</v>
      </c>
    </row>
    <row r="811" customFormat="false" ht="15" hidden="false" customHeight="false" outlineLevel="0" collapsed="false">
      <c r="A811" s="0" t="s">
        <v>21</v>
      </c>
      <c r="B811" s="0" t="s">
        <v>3496</v>
      </c>
      <c r="C811" s="0" t="s">
        <v>97</v>
      </c>
      <c r="E811" s="0" t="s">
        <v>3497</v>
      </c>
      <c r="F811" s="0" t="s">
        <v>3498</v>
      </c>
      <c r="G811" s="0" t="s">
        <v>3499</v>
      </c>
      <c r="H811" s="0" t="s">
        <v>3500</v>
      </c>
      <c r="I811" s="0" t="s">
        <v>844</v>
      </c>
      <c r="J811" s="0" t="s">
        <v>247</v>
      </c>
      <c r="K811" s="0" t="s">
        <v>3501</v>
      </c>
      <c r="L811" s="0" t="s">
        <v>124</v>
      </c>
      <c r="M811" s="0" t="s">
        <v>247</v>
      </c>
      <c r="N811" s="0" t="s">
        <v>124</v>
      </c>
      <c r="P811" s="0" t="s">
        <v>1044</v>
      </c>
      <c r="Q811" s="0" t="s">
        <v>1044</v>
      </c>
      <c r="R811" s="0" t="s">
        <v>103</v>
      </c>
      <c r="S811" s="0" t="s">
        <v>21</v>
      </c>
      <c r="T811" s="0" t="s">
        <v>104</v>
      </c>
      <c r="W811" s="0" t="s">
        <v>105</v>
      </c>
      <c r="X811" s="0" t="s">
        <v>3502</v>
      </c>
      <c r="Y811" s="0" t="s">
        <v>3503</v>
      </c>
      <c r="Z811" s="0" t="s">
        <v>1047</v>
      </c>
    </row>
    <row r="812" customFormat="false" ht="15" hidden="false" customHeight="false" outlineLevel="0" collapsed="false">
      <c r="A812" s="0" t="s">
        <v>21</v>
      </c>
      <c r="B812" s="0" t="s">
        <v>3504</v>
      </c>
      <c r="C812" s="0" t="s">
        <v>97</v>
      </c>
      <c r="D812" s="0" t="s">
        <v>3476</v>
      </c>
      <c r="E812" s="0" t="s">
        <v>3505</v>
      </c>
      <c r="F812" s="0" t="s">
        <v>3506</v>
      </c>
      <c r="G812" s="0" t="s">
        <v>3507</v>
      </c>
      <c r="H812" s="0" t="s">
        <v>3508</v>
      </c>
      <c r="I812" s="0" t="s">
        <v>3509</v>
      </c>
      <c r="J812" s="0" t="s">
        <v>3458</v>
      </c>
      <c r="L812" s="0" t="s">
        <v>3458</v>
      </c>
      <c r="M812" s="0" t="s">
        <v>3510</v>
      </c>
      <c r="N812" s="0" t="s">
        <v>3458</v>
      </c>
      <c r="P812" s="0" t="s">
        <v>236</v>
      </c>
      <c r="Q812" s="0" t="s">
        <v>236</v>
      </c>
      <c r="R812" s="0" t="s">
        <v>103</v>
      </c>
      <c r="S812" s="0" t="s">
        <v>21</v>
      </c>
      <c r="T812" s="0" t="s">
        <v>104</v>
      </c>
      <c r="W812" s="0" t="s">
        <v>105</v>
      </c>
      <c r="X812" s="0" t="s">
        <v>3511</v>
      </c>
      <c r="Y812" s="0" t="s">
        <v>3512</v>
      </c>
      <c r="Z812" s="0" t="s">
        <v>1047</v>
      </c>
      <c r="AB812" s="0" t="s">
        <v>760</v>
      </c>
    </row>
    <row r="813" customFormat="false" ht="15" hidden="false" customHeight="false" outlineLevel="0" collapsed="false">
      <c r="A813" s="0" t="s">
        <v>21</v>
      </c>
      <c r="B813" s="0" t="s">
        <v>3513</v>
      </c>
      <c r="C813" s="0" t="s">
        <v>97</v>
      </c>
      <c r="D813" s="0" t="s">
        <v>3514</v>
      </c>
      <c r="E813" s="0" t="s">
        <v>3515</v>
      </c>
      <c r="F813" s="0" t="s">
        <v>3516</v>
      </c>
      <c r="G813" s="0" t="s">
        <v>3517</v>
      </c>
      <c r="H813" s="0" t="s">
        <v>3518</v>
      </c>
      <c r="I813" s="0" t="s">
        <v>3519</v>
      </c>
      <c r="J813" s="0" t="s">
        <v>3520</v>
      </c>
      <c r="L813" s="0" t="s">
        <v>3520</v>
      </c>
      <c r="M813" s="0" t="s">
        <v>3521</v>
      </c>
      <c r="N813" s="0" t="s">
        <v>3520</v>
      </c>
      <c r="P813" s="0" t="s">
        <v>236</v>
      </c>
      <c r="Q813" s="0" t="s">
        <v>236</v>
      </c>
      <c r="R813" s="0" t="s">
        <v>103</v>
      </c>
      <c r="S813" s="0" t="s">
        <v>21</v>
      </c>
      <c r="T813" s="0" t="s">
        <v>104</v>
      </c>
      <c r="W813" s="0" t="s">
        <v>105</v>
      </c>
      <c r="X813" s="0" t="s">
        <v>3522</v>
      </c>
      <c r="Y813" s="0" t="s">
        <v>3523</v>
      </c>
      <c r="Z813" s="0" t="s">
        <v>1047</v>
      </c>
      <c r="AB813" s="0" t="s">
        <v>760</v>
      </c>
    </row>
    <row r="814" customFormat="false" ht="15" hidden="false" customHeight="false" outlineLevel="0" collapsed="false">
      <c r="A814" s="0" t="s">
        <v>21</v>
      </c>
      <c r="B814" s="0" t="s">
        <v>3524</v>
      </c>
      <c r="C814" s="0" t="s">
        <v>174</v>
      </c>
      <c r="D814" s="0" t="s">
        <v>3525</v>
      </c>
      <c r="E814" s="0" t="s">
        <v>3526</v>
      </c>
      <c r="G814" s="0" t="s">
        <v>3527</v>
      </c>
      <c r="M814" s="0" t="s">
        <v>178</v>
      </c>
      <c r="N814" s="0" t="s">
        <v>124</v>
      </c>
      <c r="P814" s="0" t="s">
        <v>102</v>
      </c>
      <c r="Q814" s="0" t="s">
        <v>102</v>
      </c>
      <c r="R814" s="0" t="s">
        <v>131</v>
      </c>
      <c r="S814" s="0" t="s">
        <v>21</v>
      </c>
      <c r="T814" s="0" t="s">
        <v>104</v>
      </c>
      <c r="W814" s="0" t="s">
        <v>105</v>
      </c>
      <c r="AB814" s="0" t="s">
        <v>3528</v>
      </c>
    </row>
    <row r="815" customFormat="false" ht="15" hidden="false" customHeight="false" outlineLevel="0" collapsed="false">
      <c r="A815" s="0" t="s">
        <v>21</v>
      </c>
      <c r="B815" s="0" t="s">
        <v>3524</v>
      </c>
      <c r="C815" s="0" t="s">
        <v>174</v>
      </c>
      <c r="D815" s="0" t="s">
        <v>3525</v>
      </c>
      <c r="E815" s="0" t="s">
        <v>3526</v>
      </c>
      <c r="G815" s="0" t="s">
        <v>3527</v>
      </c>
      <c r="M815" s="0" t="s">
        <v>178</v>
      </c>
      <c r="N815" s="0" t="s">
        <v>124</v>
      </c>
      <c r="P815" s="0" t="s">
        <v>180</v>
      </c>
      <c r="Q815" s="0" t="s">
        <v>181</v>
      </c>
      <c r="R815" s="0" t="s">
        <v>182</v>
      </c>
      <c r="S815" s="0" t="s">
        <v>21</v>
      </c>
      <c r="T815" s="0" t="s">
        <v>104</v>
      </c>
      <c r="W815" s="0" t="s">
        <v>183</v>
      </c>
      <c r="AB815" s="0" t="s">
        <v>3528</v>
      </c>
    </row>
    <row r="816" customFormat="false" ht="15" hidden="false" customHeight="false" outlineLevel="0" collapsed="false">
      <c r="A816" s="0" t="s">
        <v>21</v>
      </c>
      <c r="B816" s="0" t="s">
        <v>3529</v>
      </c>
      <c r="C816" s="0" t="s">
        <v>97</v>
      </c>
      <c r="E816" s="0" t="s">
        <v>3530</v>
      </c>
      <c r="G816" s="0" t="s">
        <v>3531</v>
      </c>
      <c r="H816" s="0" t="s">
        <v>3532</v>
      </c>
      <c r="I816" s="0" t="s">
        <v>3533</v>
      </c>
      <c r="J816" s="0" t="s">
        <v>178</v>
      </c>
      <c r="K816" s="0" t="s">
        <v>3534</v>
      </c>
      <c r="L816" s="0" t="s">
        <v>124</v>
      </c>
      <c r="M816" s="0" t="s">
        <v>178</v>
      </c>
      <c r="N816" s="0" t="s">
        <v>124</v>
      </c>
      <c r="P816" s="0" t="s">
        <v>204</v>
      </c>
      <c r="Q816" s="0" t="s">
        <v>204</v>
      </c>
      <c r="R816" s="0" t="s">
        <v>657</v>
      </c>
      <c r="S816" s="0" t="s">
        <v>21</v>
      </c>
      <c r="T816" s="0" t="s">
        <v>104</v>
      </c>
      <c r="W816" s="0" t="s">
        <v>105</v>
      </c>
      <c r="X816" s="0" t="s">
        <v>3535</v>
      </c>
      <c r="Y816" s="0" t="s">
        <v>3536</v>
      </c>
      <c r="Z816" s="0" t="s">
        <v>382</v>
      </c>
    </row>
    <row r="817" customFormat="false" ht="15" hidden="false" customHeight="false" outlineLevel="0" collapsed="false">
      <c r="A817" s="0" t="s">
        <v>21</v>
      </c>
      <c r="B817" s="0" t="s">
        <v>3537</v>
      </c>
      <c r="C817" s="0" t="s">
        <v>97</v>
      </c>
      <c r="E817" s="0" t="s">
        <v>345</v>
      </c>
      <c r="H817" s="0" t="s">
        <v>3538</v>
      </c>
      <c r="I817" s="0" t="s">
        <v>3539</v>
      </c>
      <c r="J817" s="0" t="s">
        <v>232</v>
      </c>
      <c r="K817" s="0" t="s">
        <v>3540</v>
      </c>
      <c r="L817" s="0" t="s">
        <v>124</v>
      </c>
      <c r="M817" s="0" t="s">
        <v>232</v>
      </c>
      <c r="N817" s="0" t="s">
        <v>124</v>
      </c>
      <c r="P817" s="0" t="s">
        <v>1044</v>
      </c>
      <c r="Q817" s="0" t="s">
        <v>1044</v>
      </c>
      <c r="R817" s="0" t="s">
        <v>103</v>
      </c>
      <c r="S817" s="0" t="s">
        <v>21</v>
      </c>
      <c r="T817" s="0" t="s">
        <v>104</v>
      </c>
      <c r="W817" s="0" t="s">
        <v>105</v>
      </c>
      <c r="AB817" s="0" t="s">
        <v>351</v>
      </c>
    </row>
    <row r="818" customFormat="false" ht="15" hidden="false" customHeight="false" outlineLevel="0" collapsed="false">
      <c r="A818" s="0" t="s">
        <v>21</v>
      </c>
      <c r="B818" s="0" t="s">
        <v>3541</v>
      </c>
      <c r="C818" s="0" t="s">
        <v>97</v>
      </c>
      <c r="E818" s="0" t="s">
        <v>3542</v>
      </c>
      <c r="M818" s="0" t="s">
        <v>232</v>
      </c>
      <c r="N818" s="0" t="s">
        <v>124</v>
      </c>
      <c r="P818" s="0" t="s">
        <v>130</v>
      </c>
      <c r="Q818" s="0" t="s">
        <v>130</v>
      </c>
      <c r="R818" s="0" t="s">
        <v>467</v>
      </c>
      <c r="S818" s="0" t="s">
        <v>21</v>
      </c>
      <c r="T818" s="0" t="s">
        <v>104</v>
      </c>
      <c r="W818" s="0" t="s">
        <v>105</v>
      </c>
      <c r="X818" s="0" t="s">
        <v>3543</v>
      </c>
      <c r="Y818" s="0" t="s">
        <v>3544</v>
      </c>
      <c r="Z818" s="0" t="s">
        <v>134</v>
      </c>
      <c r="AA818" s="0" t="s">
        <v>3545</v>
      </c>
      <c r="AB818" s="0" t="s">
        <v>235</v>
      </c>
    </row>
    <row r="819" customFormat="false" ht="15" hidden="false" customHeight="false" outlineLevel="0" collapsed="false">
      <c r="A819" s="0" t="s">
        <v>21</v>
      </c>
      <c r="B819" s="0" t="s">
        <v>3546</v>
      </c>
      <c r="C819" s="0" t="s">
        <v>97</v>
      </c>
      <c r="D819" s="0" t="s">
        <v>3547</v>
      </c>
      <c r="E819" s="0" t="s">
        <v>3548</v>
      </c>
      <c r="H819" s="0" t="s">
        <v>654</v>
      </c>
      <c r="I819" s="0" t="s">
        <v>655</v>
      </c>
      <c r="J819" s="0" t="s">
        <v>100</v>
      </c>
      <c r="K819" s="0" t="s">
        <v>168</v>
      </c>
      <c r="L819" s="0" t="s">
        <v>101</v>
      </c>
      <c r="M819" s="0" t="s">
        <v>656</v>
      </c>
      <c r="N819" s="0" t="s">
        <v>101</v>
      </c>
      <c r="P819" s="0" t="s">
        <v>102</v>
      </c>
      <c r="Q819" s="0" t="s">
        <v>102</v>
      </c>
      <c r="R819" s="0" t="s">
        <v>144</v>
      </c>
      <c r="S819" s="0" t="s">
        <v>21</v>
      </c>
      <c r="T819" s="0" t="s">
        <v>104</v>
      </c>
      <c r="W819" s="0" t="s">
        <v>105</v>
      </c>
      <c r="X819" s="0" t="s">
        <v>658</v>
      </c>
      <c r="Y819" s="0" t="s">
        <v>659</v>
      </c>
      <c r="AB819" s="0" t="s">
        <v>3549</v>
      </c>
    </row>
    <row r="820" customFormat="false" ht="15" hidden="false" customHeight="false" outlineLevel="0" collapsed="false">
      <c r="A820" s="0" t="s">
        <v>21</v>
      </c>
      <c r="B820" s="0" t="s">
        <v>3550</v>
      </c>
      <c r="C820" s="0" t="s">
        <v>97</v>
      </c>
      <c r="D820" s="0" t="s">
        <v>3551</v>
      </c>
      <c r="E820" s="0" t="s">
        <v>3552</v>
      </c>
      <c r="H820" s="0" t="s">
        <v>654</v>
      </c>
      <c r="I820" s="0" t="s">
        <v>655</v>
      </c>
      <c r="J820" s="0" t="s">
        <v>100</v>
      </c>
      <c r="K820" s="0" t="s">
        <v>168</v>
      </c>
      <c r="L820" s="0" t="s">
        <v>101</v>
      </c>
      <c r="M820" s="0" t="s">
        <v>656</v>
      </c>
      <c r="N820" s="0" t="s">
        <v>101</v>
      </c>
      <c r="P820" s="0" t="s">
        <v>102</v>
      </c>
      <c r="Q820" s="0" t="s">
        <v>102</v>
      </c>
      <c r="R820" s="0" t="s">
        <v>144</v>
      </c>
      <c r="S820" s="0" t="s">
        <v>21</v>
      </c>
      <c r="T820" s="0" t="s">
        <v>104</v>
      </c>
      <c r="W820" s="0" t="s">
        <v>105</v>
      </c>
      <c r="X820" s="0" t="s">
        <v>658</v>
      </c>
      <c r="Y820" s="0" t="s">
        <v>659</v>
      </c>
      <c r="AB820" s="0" t="s">
        <v>3549</v>
      </c>
    </row>
    <row r="821" customFormat="false" ht="15" hidden="false" customHeight="false" outlineLevel="0" collapsed="false">
      <c r="A821" s="0" t="s">
        <v>21</v>
      </c>
      <c r="B821" s="0" t="s">
        <v>3553</v>
      </c>
      <c r="C821" s="0" t="s">
        <v>97</v>
      </c>
      <c r="D821" s="0" t="s">
        <v>3554</v>
      </c>
      <c r="E821" s="0" t="s">
        <v>3555</v>
      </c>
      <c r="H821" s="0" t="s">
        <v>654</v>
      </c>
      <c r="I821" s="0" t="s">
        <v>655</v>
      </c>
      <c r="J821" s="0" t="s">
        <v>100</v>
      </c>
      <c r="K821" s="0" t="s">
        <v>168</v>
      </c>
      <c r="L821" s="0" t="s">
        <v>101</v>
      </c>
      <c r="M821" s="0" t="s">
        <v>656</v>
      </c>
      <c r="N821" s="0" t="s">
        <v>101</v>
      </c>
      <c r="P821" s="0" t="s">
        <v>102</v>
      </c>
      <c r="Q821" s="0" t="s">
        <v>102</v>
      </c>
      <c r="R821" s="0" t="s">
        <v>144</v>
      </c>
      <c r="S821" s="0" t="s">
        <v>21</v>
      </c>
      <c r="T821" s="0" t="s">
        <v>104</v>
      </c>
      <c r="W821" s="0" t="s">
        <v>105</v>
      </c>
      <c r="X821" s="0" t="s">
        <v>658</v>
      </c>
      <c r="Y821" s="0" t="s">
        <v>659</v>
      </c>
      <c r="AB821" s="0" t="s">
        <v>3549</v>
      </c>
    </row>
    <row r="822" customFormat="false" ht="15" hidden="false" customHeight="false" outlineLevel="0" collapsed="false">
      <c r="A822" s="0" t="s">
        <v>21</v>
      </c>
      <c r="B822" s="0" t="s">
        <v>3556</v>
      </c>
      <c r="C822" s="0" t="s">
        <v>97</v>
      </c>
      <c r="D822" s="0" t="s">
        <v>3557</v>
      </c>
      <c r="E822" s="0" t="s">
        <v>3558</v>
      </c>
      <c r="H822" s="0" t="s">
        <v>654</v>
      </c>
      <c r="I822" s="0" t="s">
        <v>655</v>
      </c>
      <c r="J822" s="0" t="s">
        <v>100</v>
      </c>
      <c r="K822" s="0" t="s">
        <v>168</v>
      </c>
      <c r="L822" s="0" t="s">
        <v>101</v>
      </c>
      <c r="M822" s="0" t="s">
        <v>656</v>
      </c>
      <c r="N822" s="0" t="s">
        <v>101</v>
      </c>
      <c r="P822" s="0" t="s">
        <v>102</v>
      </c>
      <c r="Q822" s="0" t="s">
        <v>102</v>
      </c>
      <c r="R822" s="0" t="s">
        <v>144</v>
      </c>
      <c r="S822" s="0" t="s">
        <v>21</v>
      </c>
      <c r="T822" s="0" t="s">
        <v>104</v>
      </c>
      <c r="W822" s="0" t="s">
        <v>105</v>
      </c>
      <c r="X822" s="0" t="s">
        <v>658</v>
      </c>
      <c r="Y822" s="0" t="s">
        <v>659</v>
      </c>
      <c r="AB822" s="0" t="s">
        <v>3549</v>
      </c>
    </row>
    <row r="823" customFormat="false" ht="15" hidden="false" customHeight="false" outlineLevel="0" collapsed="false">
      <c r="A823" s="0" t="s">
        <v>21</v>
      </c>
      <c r="B823" s="0" t="s">
        <v>3559</v>
      </c>
      <c r="C823" s="0" t="s">
        <v>97</v>
      </c>
      <c r="D823" s="0" t="s">
        <v>3560</v>
      </c>
      <c r="E823" s="0" t="s">
        <v>3561</v>
      </c>
      <c r="F823" s="0" t="s">
        <v>3561</v>
      </c>
      <c r="M823" s="0" t="s">
        <v>656</v>
      </c>
      <c r="N823" s="0" t="s">
        <v>101</v>
      </c>
      <c r="P823" s="0" t="s">
        <v>102</v>
      </c>
      <c r="Q823" s="0" t="s">
        <v>102</v>
      </c>
      <c r="R823" s="0" t="s">
        <v>144</v>
      </c>
      <c r="S823" s="0" t="s">
        <v>21</v>
      </c>
      <c r="T823" s="0" t="s">
        <v>104</v>
      </c>
      <c r="W823" s="0" t="s">
        <v>105</v>
      </c>
      <c r="AB823" s="0" t="s">
        <v>3549</v>
      </c>
    </row>
    <row r="824" customFormat="false" ht="15" hidden="false" customHeight="false" outlineLevel="0" collapsed="false">
      <c r="A824" s="0" t="s">
        <v>21</v>
      </c>
      <c r="B824" s="0" t="s">
        <v>3562</v>
      </c>
      <c r="C824" s="0" t="s">
        <v>97</v>
      </c>
      <c r="D824" s="0" t="s">
        <v>3563</v>
      </c>
      <c r="E824" s="0" t="s">
        <v>3564</v>
      </c>
      <c r="H824" s="0" t="s">
        <v>654</v>
      </c>
      <c r="I824" s="0" t="s">
        <v>655</v>
      </c>
      <c r="J824" s="0" t="s">
        <v>100</v>
      </c>
      <c r="K824" s="0" t="s">
        <v>168</v>
      </c>
      <c r="L824" s="0" t="s">
        <v>101</v>
      </c>
      <c r="M824" s="0" t="s">
        <v>656</v>
      </c>
      <c r="N824" s="0" t="s">
        <v>101</v>
      </c>
      <c r="P824" s="0" t="s">
        <v>102</v>
      </c>
      <c r="Q824" s="0" t="s">
        <v>102</v>
      </c>
      <c r="R824" s="0" t="s">
        <v>144</v>
      </c>
      <c r="S824" s="0" t="s">
        <v>21</v>
      </c>
      <c r="T824" s="0" t="s">
        <v>104</v>
      </c>
      <c r="W824" s="0" t="s">
        <v>105</v>
      </c>
      <c r="X824" s="0" t="s">
        <v>658</v>
      </c>
      <c r="Y824" s="0" t="s">
        <v>659</v>
      </c>
      <c r="AB824" s="0" t="s">
        <v>3549</v>
      </c>
    </row>
    <row r="825" customFormat="false" ht="15" hidden="false" customHeight="false" outlineLevel="0" collapsed="false">
      <c r="A825" s="0" t="s">
        <v>21</v>
      </c>
      <c r="B825" s="0" t="s">
        <v>3565</v>
      </c>
      <c r="C825" s="0" t="s">
        <v>97</v>
      </c>
      <c r="D825" s="0" t="s">
        <v>3566</v>
      </c>
      <c r="E825" s="0" t="s">
        <v>3567</v>
      </c>
      <c r="H825" s="0" t="s">
        <v>654</v>
      </c>
      <c r="I825" s="0" t="s">
        <v>655</v>
      </c>
      <c r="J825" s="0" t="s">
        <v>100</v>
      </c>
      <c r="K825" s="0" t="s">
        <v>168</v>
      </c>
      <c r="L825" s="0" t="s">
        <v>101</v>
      </c>
      <c r="M825" s="0" t="s">
        <v>656</v>
      </c>
      <c r="N825" s="0" t="s">
        <v>101</v>
      </c>
      <c r="P825" s="0" t="s">
        <v>102</v>
      </c>
      <c r="Q825" s="0" t="s">
        <v>102</v>
      </c>
      <c r="R825" s="0" t="s">
        <v>144</v>
      </c>
      <c r="S825" s="0" t="s">
        <v>21</v>
      </c>
      <c r="T825" s="0" t="s">
        <v>104</v>
      </c>
      <c r="W825" s="0" t="s">
        <v>105</v>
      </c>
      <c r="X825" s="0" t="s">
        <v>658</v>
      </c>
      <c r="Y825" s="0" t="s">
        <v>659</v>
      </c>
      <c r="AB825" s="0" t="s">
        <v>3549</v>
      </c>
    </row>
    <row r="826" customFormat="false" ht="15" hidden="false" customHeight="false" outlineLevel="0" collapsed="false">
      <c r="A826" s="0" t="s">
        <v>21</v>
      </c>
      <c r="B826" s="0" t="s">
        <v>3568</v>
      </c>
      <c r="C826" s="0" t="s">
        <v>97</v>
      </c>
      <c r="D826" s="0" t="s">
        <v>3569</v>
      </c>
      <c r="E826" s="0" t="s">
        <v>3570</v>
      </c>
      <c r="H826" s="0" t="s">
        <v>654</v>
      </c>
      <c r="I826" s="0" t="s">
        <v>655</v>
      </c>
      <c r="J826" s="0" t="s">
        <v>100</v>
      </c>
      <c r="K826" s="0" t="s">
        <v>168</v>
      </c>
      <c r="L826" s="0" t="s">
        <v>101</v>
      </c>
      <c r="M826" s="0" t="s">
        <v>656</v>
      </c>
      <c r="N826" s="0" t="s">
        <v>101</v>
      </c>
      <c r="P826" s="0" t="s">
        <v>102</v>
      </c>
      <c r="Q826" s="0" t="s">
        <v>102</v>
      </c>
      <c r="R826" s="0" t="s">
        <v>144</v>
      </c>
      <c r="S826" s="0" t="s">
        <v>21</v>
      </c>
      <c r="T826" s="0" t="s">
        <v>104</v>
      </c>
      <c r="W826" s="0" t="s">
        <v>105</v>
      </c>
      <c r="X826" s="0" t="s">
        <v>658</v>
      </c>
      <c r="Y826" s="0" t="s">
        <v>659</v>
      </c>
      <c r="AB826" s="0" t="s">
        <v>3549</v>
      </c>
    </row>
    <row r="827" customFormat="false" ht="15" hidden="false" customHeight="false" outlineLevel="0" collapsed="false">
      <c r="A827" s="0" t="s">
        <v>21</v>
      </c>
      <c r="B827" s="0" t="s">
        <v>3571</v>
      </c>
      <c r="C827" s="0" t="s">
        <v>97</v>
      </c>
      <c r="D827" s="0" t="s">
        <v>3572</v>
      </c>
      <c r="E827" s="0" t="s">
        <v>3573</v>
      </c>
      <c r="G827" s="0" t="s">
        <v>3574</v>
      </c>
      <c r="M827" s="0" t="s">
        <v>1229</v>
      </c>
      <c r="N827" s="0" t="s">
        <v>101</v>
      </c>
      <c r="P827" s="0" t="s">
        <v>102</v>
      </c>
      <c r="Q827" s="0" t="s">
        <v>102</v>
      </c>
      <c r="R827" s="0" t="s">
        <v>144</v>
      </c>
      <c r="S827" s="0" t="s">
        <v>21</v>
      </c>
      <c r="T827" s="0" t="s">
        <v>104</v>
      </c>
      <c r="W827" s="0" t="s">
        <v>105</v>
      </c>
      <c r="AB827" s="0" t="s">
        <v>3549</v>
      </c>
    </row>
    <row r="828" customFormat="false" ht="15" hidden="false" customHeight="false" outlineLevel="0" collapsed="false">
      <c r="A828" s="0" t="s">
        <v>21</v>
      </c>
      <c r="B828" s="0" t="s">
        <v>3575</v>
      </c>
      <c r="C828" s="0" t="s">
        <v>97</v>
      </c>
      <c r="D828" s="0" t="s">
        <v>3576</v>
      </c>
      <c r="E828" s="0" t="s">
        <v>3577</v>
      </c>
      <c r="H828" s="0" t="s">
        <v>654</v>
      </c>
      <c r="I828" s="0" t="s">
        <v>655</v>
      </c>
      <c r="J828" s="0" t="s">
        <v>100</v>
      </c>
      <c r="K828" s="0" t="s">
        <v>168</v>
      </c>
      <c r="L828" s="0" t="s">
        <v>101</v>
      </c>
      <c r="M828" s="0" t="s">
        <v>656</v>
      </c>
      <c r="N828" s="0" t="s">
        <v>101</v>
      </c>
      <c r="P828" s="0" t="s">
        <v>102</v>
      </c>
      <c r="Q828" s="0" t="s">
        <v>102</v>
      </c>
      <c r="R828" s="0" t="s">
        <v>144</v>
      </c>
      <c r="S828" s="0" t="s">
        <v>21</v>
      </c>
      <c r="T828" s="0" t="s">
        <v>104</v>
      </c>
      <c r="W828" s="0" t="s">
        <v>105</v>
      </c>
      <c r="X828" s="0" t="s">
        <v>658</v>
      </c>
      <c r="Y828" s="0" t="s">
        <v>659</v>
      </c>
      <c r="AB828" s="0" t="s">
        <v>3549</v>
      </c>
    </row>
    <row r="829" customFormat="false" ht="15" hidden="false" customHeight="false" outlineLevel="0" collapsed="false">
      <c r="A829" s="0" t="s">
        <v>21</v>
      </c>
      <c r="B829" s="0" t="s">
        <v>3578</v>
      </c>
      <c r="C829" s="0" t="s">
        <v>97</v>
      </c>
      <c r="D829" s="0" t="s">
        <v>3579</v>
      </c>
      <c r="E829" s="0" t="s">
        <v>3580</v>
      </c>
      <c r="H829" s="0" t="s">
        <v>654</v>
      </c>
      <c r="I829" s="0" t="s">
        <v>655</v>
      </c>
      <c r="J829" s="0" t="s">
        <v>100</v>
      </c>
      <c r="K829" s="0" t="s">
        <v>168</v>
      </c>
      <c r="L829" s="0" t="s">
        <v>101</v>
      </c>
      <c r="M829" s="0" t="s">
        <v>656</v>
      </c>
      <c r="N829" s="0" t="s">
        <v>101</v>
      </c>
      <c r="P829" s="0" t="s">
        <v>102</v>
      </c>
      <c r="Q829" s="0" t="s">
        <v>102</v>
      </c>
      <c r="R829" s="0" t="s">
        <v>144</v>
      </c>
      <c r="S829" s="0" t="s">
        <v>21</v>
      </c>
      <c r="T829" s="0" t="s">
        <v>104</v>
      </c>
      <c r="W829" s="0" t="s">
        <v>105</v>
      </c>
      <c r="X829" s="0" t="s">
        <v>658</v>
      </c>
      <c r="Y829" s="0" t="s">
        <v>659</v>
      </c>
      <c r="AB829" s="0" t="s">
        <v>3549</v>
      </c>
    </row>
    <row r="830" customFormat="false" ht="15" hidden="false" customHeight="false" outlineLevel="0" collapsed="false">
      <c r="A830" s="0" t="s">
        <v>21</v>
      </c>
      <c r="B830" s="0" t="s">
        <v>3581</v>
      </c>
      <c r="C830" s="0" t="s">
        <v>97</v>
      </c>
      <c r="D830" s="0" t="s">
        <v>3582</v>
      </c>
      <c r="E830" s="0" t="s">
        <v>3583</v>
      </c>
      <c r="H830" s="0" t="s">
        <v>654</v>
      </c>
      <c r="I830" s="0" t="s">
        <v>655</v>
      </c>
      <c r="J830" s="0" t="s">
        <v>100</v>
      </c>
      <c r="K830" s="0" t="s">
        <v>168</v>
      </c>
      <c r="L830" s="0" t="s">
        <v>101</v>
      </c>
      <c r="M830" s="0" t="s">
        <v>656</v>
      </c>
      <c r="N830" s="0" t="s">
        <v>101</v>
      </c>
      <c r="P830" s="0" t="s">
        <v>102</v>
      </c>
      <c r="Q830" s="0" t="s">
        <v>102</v>
      </c>
      <c r="R830" s="0" t="s">
        <v>144</v>
      </c>
      <c r="S830" s="0" t="s">
        <v>21</v>
      </c>
      <c r="T830" s="0" t="s">
        <v>104</v>
      </c>
      <c r="W830" s="0" t="s">
        <v>105</v>
      </c>
      <c r="X830" s="0" t="s">
        <v>658</v>
      </c>
      <c r="Y830" s="0" t="s">
        <v>659</v>
      </c>
      <c r="AB830" s="0" t="s">
        <v>3549</v>
      </c>
    </row>
    <row r="831" customFormat="false" ht="15" hidden="false" customHeight="false" outlineLevel="0" collapsed="false">
      <c r="A831" s="0" t="s">
        <v>21</v>
      </c>
      <c r="B831" s="0" t="s">
        <v>3584</v>
      </c>
      <c r="C831" s="0" t="s">
        <v>97</v>
      </c>
      <c r="D831" s="0" t="s">
        <v>3585</v>
      </c>
      <c r="E831" s="0" t="s">
        <v>3586</v>
      </c>
      <c r="H831" s="0" t="s">
        <v>654</v>
      </c>
      <c r="I831" s="0" t="s">
        <v>655</v>
      </c>
      <c r="J831" s="0" t="s">
        <v>100</v>
      </c>
      <c r="K831" s="0" t="s">
        <v>168</v>
      </c>
      <c r="L831" s="0" t="s">
        <v>101</v>
      </c>
      <c r="M831" s="0" t="s">
        <v>656</v>
      </c>
      <c r="N831" s="0" t="s">
        <v>101</v>
      </c>
      <c r="P831" s="0" t="s">
        <v>102</v>
      </c>
      <c r="Q831" s="0" t="s">
        <v>102</v>
      </c>
      <c r="R831" s="0" t="s">
        <v>144</v>
      </c>
      <c r="S831" s="0" t="s">
        <v>21</v>
      </c>
      <c r="T831" s="0" t="s">
        <v>104</v>
      </c>
      <c r="W831" s="0" t="s">
        <v>105</v>
      </c>
      <c r="X831" s="0" t="s">
        <v>658</v>
      </c>
      <c r="Y831" s="0" t="s">
        <v>659</v>
      </c>
      <c r="AB831" s="0" t="s">
        <v>3549</v>
      </c>
    </row>
    <row r="832" customFormat="false" ht="15" hidden="false" customHeight="false" outlineLevel="0" collapsed="false">
      <c r="A832" s="0" t="s">
        <v>21</v>
      </c>
      <c r="B832" s="0" t="s">
        <v>3587</v>
      </c>
      <c r="C832" s="0" t="s">
        <v>97</v>
      </c>
      <c r="D832" s="0" t="s">
        <v>3588</v>
      </c>
      <c r="E832" s="0" t="s">
        <v>3588</v>
      </c>
      <c r="M832" s="0" t="s">
        <v>448</v>
      </c>
      <c r="N832" s="0" t="s">
        <v>101</v>
      </c>
      <c r="P832" s="0" t="s">
        <v>102</v>
      </c>
      <c r="Q832" s="0" t="s">
        <v>102</v>
      </c>
      <c r="R832" s="0" t="s">
        <v>144</v>
      </c>
      <c r="S832" s="0" t="s">
        <v>21</v>
      </c>
      <c r="T832" s="0" t="s">
        <v>104</v>
      </c>
      <c r="W832" s="0" t="s">
        <v>105</v>
      </c>
      <c r="AB832" s="0" t="s">
        <v>3549</v>
      </c>
    </row>
    <row r="833" customFormat="false" ht="15" hidden="false" customHeight="false" outlineLevel="0" collapsed="false">
      <c r="A833" s="0" t="s">
        <v>21</v>
      </c>
      <c r="B833" s="0" t="s">
        <v>3589</v>
      </c>
      <c r="C833" s="0" t="s">
        <v>97</v>
      </c>
      <c r="D833" s="0" t="s">
        <v>3590</v>
      </c>
      <c r="E833" s="0" t="s">
        <v>3591</v>
      </c>
      <c r="H833" s="0" t="s">
        <v>654</v>
      </c>
      <c r="I833" s="0" t="s">
        <v>655</v>
      </c>
      <c r="J833" s="0" t="s">
        <v>100</v>
      </c>
      <c r="K833" s="0" t="s">
        <v>168</v>
      </c>
      <c r="L833" s="0" t="s">
        <v>101</v>
      </c>
      <c r="M833" s="0" t="s">
        <v>656</v>
      </c>
      <c r="N833" s="0" t="s">
        <v>101</v>
      </c>
      <c r="P833" s="0" t="s">
        <v>102</v>
      </c>
      <c r="Q833" s="0" t="s">
        <v>102</v>
      </c>
      <c r="R833" s="0" t="s">
        <v>144</v>
      </c>
      <c r="S833" s="0" t="s">
        <v>21</v>
      </c>
      <c r="T833" s="0" t="s">
        <v>104</v>
      </c>
      <c r="W833" s="0" t="s">
        <v>105</v>
      </c>
      <c r="X833" s="0" t="s">
        <v>658</v>
      </c>
      <c r="Y833" s="0" t="s">
        <v>659</v>
      </c>
      <c r="AB833" s="0" t="s">
        <v>3549</v>
      </c>
    </row>
    <row r="834" customFormat="false" ht="15" hidden="false" customHeight="false" outlineLevel="0" collapsed="false">
      <c r="A834" s="0" t="s">
        <v>21</v>
      </c>
      <c r="B834" s="0" t="s">
        <v>3592</v>
      </c>
      <c r="C834" s="0" t="s">
        <v>97</v>
      </c>
      <c r="D834" s="0" t="s">
        <v>3593</v>
      </c>
      <c r="E834" s="0" t="s">
        <v>3594</v>
      </c>
      <c r="H834" s="0" t="s">
        <v>654</v>
      </c>
      <c r="I834" s="0" t="s">
        <v>655</v>
      </c>
      <c r="J834" s="0" t="s">
        <v>100</v>
      </c>
      <c r="K834" s="0" t="s">
        <v>168</v>
      </c>
      <c r="L834" s="0" t="s">
        <v>101</v>
      </c>
      <c r="M834" s="0" t="s">
        <v>656</v>
      </c>
      <c r="N834" s="0" t="s">
        <v>101</v>
      </c>
      <c r="P834" s="0" t="s">
        <v>102</v>
      </c>
      <c r="Q834" s="0" t="s">
        <v>102</v>
      </c>
      <c r="R834" s="0" t="s">
        <v>144</v>
      </c>
      <c r="S834" s="0" t="s">
        <v>21</v>
      </c>
      <c r="T834" s="0" t="s">
        <v>104</v>
      </c>
      <c r="W834" s="0" t="s">
        <v>105</v>
      </c>
      <c r="X834" s="0" t="s">
        <v>658</v>
      </c>
      <c r="Y834" s="0" t="s">
        <v>659</v>
      </c>
      <c r="AB834" s="0" t="s">
        <v>3549</v>
      </c>
    </row>
    <row r="835" customFormat="false" ht="15" hidden="false" customHeight="false" outlineLevel="0" collapsed="false">
      <c r="A835" s="0" t="s">
        <v>21</v>
      </c>
      <c r="B835" s="0" t="s">
        <v>3595</v>
      </c>
      <c r="C835" s="0" t="s">
        <v>97</v>
      </c>
      <c r="D835" s="0" t="s">
        <v>3596</v>
      </c>
      <c r="E835" s="0" t="s">
        <v>3597</v>
      </c>
      <c r="H835" s="0" t="s">
        <v>654</v>
      </c>
      <c r="I835" s="0" t="s">
        <v>655</v>
      </c>
      <c r="J835" s="0" t="s">
        <v>100</v>
      </c>
      <c r="K835" s="0" t="s">
        <v>168</v>
      </c>
      <c r="L835" s="0" t="s">
        <v>101</v>
      </c>
      <c r="M835" s="0" t="s">
        <v>656</v>
      </c>
      <c r="N835" s="0" t="s">
        <v>101</v>
      </c>
      <c r="P835" s="0" t="s">
        <v>102</v>
      </c>
      <c r="Q835" s="0" t="s">
        <v>102</v>
      </c>
      <c r="R835" s="0" t="s">
        <v>144</v>
      </c>
      <c r="S835" s="0" t="s">
        <v>21</v>
      </c>
      <c r="T835" s="0" t="s">
        <v>104</v>
      </c>
      <c r="W835" s="0" t="s">
        <v>105</v>
      </c>
      <c r="X835" s="0" t="s">
        <v>658</v>
      </c>
      <c r="Y835" s="0" t="s">
        <v>659</v>
      </c>
      <c r="AB835" s="0" t="s">
        <v>3549</v>
      </c>
    </row>
    <row r="836" customFormat="false" ht="15" hidden="false" customHeight="false" outlineLevel="0" collapsed="false">
      <c r="A836" s="0" t="s">
        <v>21</v>
      </c>
      <c r="B836" s="0" t="s">
        <v>3598</v>
      </c>
      <c r="C836" s="0" t="s">
        <v>97</v>
      </c>
      <c r="D836" s="0" t="s">
        <v>3599</v>
      </c>
      <c r="E836" s="0" t="s">
        <v>3600</v>
      </c>
      <c r="H836" s="0" t="s">
        <v>654</v>
      </c>
      <c r="I836" s="0" t="s">
        <v>655</v>
      </c>
      <c r="J836" s="0" t="s">
        <v>100</v>
      </c>
      <c r="K836" s="0" t="s">
        <v>168</v>
      </c>
      <c r="L836" s="0" t="s">
        <v>101</v>
      </c>
      <c r="M836" s="0" t="s">
        <v>656</v>
      </c>
      <c r="N836" s="0" t="s">
        <v>101</v>
      </c>
      <c r="P836" s="0" t="s">
        <v>102</v>
      </c>
      <c r="Q836" s="0" t="s">
        <v>102</v>
      </c>
      <c r="R836" s="0" t="s">
        <v>144</v>
      </c>
      <c r="S836" s="0" t="s">
        <v>21</v>
      </c>
      <c r="T836" s="0" t="s">
        <v>104</v>
      </c>
      <c r="W836" s="0" t="s">
        <v>105</v>
      </c>
      <c r="X836" s="0" t="s">
        <v>658</v>
      </c>
      <c r="Y836" s="0" t="s">
        <v>659</v>
      </c>
      <c r="AB836" s="0" t="s">
        <v>3549</v>
      </c>
    </row>
    <row r="837" customFormat="false" ht="15" hidden="false" customHeight="false" outlineLevel="0" collapsed="false">
      <c r="A837" s="0" t="s">
        <v>21</v>
      </c>
      <c r="B837" s="0" t="s">
        <v>3601</v>
      </c>
      <c r="C837" s="0" t="s">
        <v>97</v>
      </c>
      <c r="D837" s="0" t="s">
        <v>3602</v>
      </c>
      <c r="E837" s="0" t="s">
        <v>3603</v>
      </c>
      <c r="H837" s="0" t="s">
        <v>654</v>
      </c>
      <c r="I837" s="0" t="s">
        <v>655</v>
      </c>
      <c r="J837" s="0" t="s">
        <v>100</v>
      </c>
      <c r="K837" s="0" t="s">
        <v>168</v>
      </c>
      <c r="L837" s="0" t="s">
        <v>101</v>
      </c>
      <c r="M837" s="0" t="s">
        <v>656</v>
      </c>
      <c r="N837" s="0" t="s">
        <v>101</v>
      </c>
      <c r="P837" s="0" t="s">
        <v>204</v>
      </c>
      <c r="Q837" s="0" t="s">
        <v>204</v>
      </c>
      <c r="R837" s="0" t="s">
        <v>399</v>
      </c>
      <c r="S837" s="0" t="s">
        <v>21</v>
      </c>
      <c r="T837" s="0" t="s">
        <v>104</v>
      </c>
      <c r="W837" s="0" t="s">
        <v>105</v>
      </c>
      <c r="X837" s="0" t="s">
        <v>658</v>
      </c>
      <c r="Y837" s="0" t="s">
        <v>659</v>
      </c>
    </row>
    <row r="838" customFormat="false" ht="15" hidden="false" customHeight="false" outlineLevel="0" collapsed="false">
      <c r="A838" s="0" t="s">
        <v>21</v>
      </c>
      <c r="B838" s="0" t="s">
        <v>3604</v>
      </c>
      <c r="C838" s="0" t="s">
        <v>110</v>
      </c>
      <c r="D838" s="0" t="s">
        <v>3605</v>
      </c>
      <c r="E838" s="0" t="s">
        <v>3606</v>
      </c>
      <c r="H838" s="0" t="s">
        <v>3607</v>
      </c>
      <c r="I838" s="0" t="s">
        <v>598</v>
      </c>
      <c r="J838" s="0" t="s">
        <v>275</v>
      </c>
      <c r="K838" s="0" t="s">
        <v>599</v>
      </c>
      <c r="L838" s="0" t="s">
        <v>124</v>
      </c>
      <c r="M838" s="0" t="s">
        <v>178</v>
      </c>
      <c r="N838" s="0" t="s">
        <v>124</v>
      </c>
      <c r="P838" s="0" t="s">
        <v>102</v>
      </c>
      <c r="Q838" s="0" t="s">
        <v>102</v>
      </c>
      <c r="R838" s="0" t="s">
        <v>131</v>
      </c>
      <c r="S838" s="0" t="s">
        <v>21</v>
      </c>
      <c r="T838" s="0" t="s">
        <v>104</v>
      </c>
      <c r="W838" s="0" t="s">
        <v>105</v>
      </c>
      <c r="X838" s="0" t="s">
        <v>3608</v>
      </c>
      <c r="Y838" s="0" t="s">
        <v>3609</v>
      </c>
      <c r="Z838" s="0" t="s">
        <v>134</v>
      </c>
    </row>
    <row r="839" customFormat="false" ht="15" hidden="false" customHeight="false" outlineLevel="0" collapsed="false">
      <c r="A839" s="0" t="s">
        <v>21</v>
      </c>
      <c r="B839" s="0" t="s">
        <v>3610</v>
      </c>
      <c r="C839" s="0" t="s">
        <v>97</v>
      </c>
      <c r="D839" s="0" t="s">
        <v>3611</v>
      </c>
      <c r="E839" s="0" t="s">
        <v>3612</v>
      </c>
      <c r="H839" s="0" t="s">
        <v>654</v>
      </c>
      <c r="I839" s="0" t="s">
        <v>655</v>
      </c>
      <c r="J839" s="0" t="s">
        <v>100</v>
      </c>
      <c r="K839" s="0" t="s">
        <v>168</v>
      </c>
      <c r="L839" s="0" t="s">
        <v>101</v>
      </c>
      <c r="M839" s="0" t="s">
        <v>656</v>
      </c>
      <c r="N839" s="0" t="s">
        <v>101</v>
      </c>
      <c r="P839" s="0" t="s">
        <v>204</v>
      </c>
      <c r="Q839" s="0" t="s">
        <v>204</v>
      </c>
      <c r="R839" s="0" t="s">
        <v>399</v>
      </c>
      <c r="S839" s="0" t="s">
        <v>21</v>
      </c>
      <c r="T839" s="0" t="s">
        <v>104</v>
      </c>
      <c r="W839" s="0" t="s">
        <v>105</v>
      </c>
      <c r="X839" s="0" t="s">
        <v>658</v>
      </c>
      <c r="Y839" s="0" t="s">
        <v>659</v>
      </c>
    </row>
    <row r="840" customFormat="false" ht="15" hidden="false" customHeight="false" outlineLevel="0" collapsed="false">
      <c r="A840" s="0" t="s">
        <v>21</v>
      </c>
      <c r="B840" s="0" t="s">
        <v>3613</v>
      </c>
      <c r="C840" s="0" t="s">
        <v>97</v>
      </c>
      <c r="D840" s="0" t="s">
        <v>3614</v>
      </c>
      <c r="E840" s="0" t="s">
        <v>3615</v>
      </c>
      <c r="G840" s="0" t="s">
        <v>3616</v>
      </c>
      <c r="H840" s="0" t="s">
        <v>3617</v>
      </c>
      <c r="I840" s="0" t="s">
        <v>655</v>
      </c>
      <c r="J840" s="0" t="s">
        <v>100</v>
      </c>
      <c r="K840" s="0" t="s">
        <v>168</v>
      </c>
      <c r="L840" s="0" t="s">
        <v>101</v>
      </c>
      <c r="M840" s="0" t="s">
        <v>656</v>
      </c>
      <c r="N840" s="0" t="s">
        <v>101</v>
      </c>
      <c r="P840" s="0" t="s">
        <v>102</v>
      </c>
      <c r="Q840" s="0" t="s">
        <v>102</v>
      </c>
      <c r="R840" s="0" t="s">
        <v>113</v>
      </c>
      <c r="S840" s="0" t="s">
        <v>21</v>
      </c>
      <c r="T840" s="0" t="s">
        <v>104</v>
      </c>
      <c r="U840" s="0" t="s">
        <v>368</v>
      </c>
      <c r="W840" s="0" t="s">
        <v>105</v>
      </c>
      <c r="X840" s="0" t="s">
        <v>3258</v>
      </c>
      <c r="Y840" s="0" t="s">
        <v>3259</v>
      </c>
      <c r="Z840" s="0" t="s">
        <v>159</v>
      </c>
      <c r="AA840" s="0" t="s">
        <v>172</v>
      </c>
    </row>
    <row r="841" customFormat="false" ht="15" hidden="false" customHeight="false" outlineLevel="0" collapsed="false">
      <c r="A841" s="0" t="s">
        <v>21</v>
      </c>
      <c r="B841" s="0" t="s">
        <v>3618</v>
      </c>
      <c r="C841" s="0" t="s">
        <v>97</v>
      </c>
      <c r="D841" s="0" t="s">
        <v>3619</v>
      </c>
      <c r="E841" s="0" t="s">
        <v>3620</v>
      </c>
      <c r="G841" s="0" t="s">
        <v>3616</v>
      </c>
      <c r="H841" s="0" t="s">
        <v>3617</v>
      </c>
      <c r="I841" s="0" t="s">
        <v>655</v>
      </c>
      <c r="J841" s="0" t="s">
        <v>100</v>
      </c>
      <c r="K841" s="0" t="s">
        <v>3621</v>
      </c>
      <c r="L841" s="0" t="s">
        <v>101</v>
      </c>
      <c r="M841" s="0" t="s">
        <v>656</v>
      </c>
      <c r="N841" s="0" t="s">
        <v>101</v>
      </c>
      <c r="P841" s="0" t="s">
        <v>102</v>
      </c>
      <c r="Q841" s="0" t="s">
        <v>102</v>
      </c>
      <c r="R841" s="0" t="s">
        <v>113</v>
      </c>
      <c r="S841" s="0" t="s">
        <v>21</v>
      </c>
      <c r="T841" s="0" t="s">
        <v>104</v>
      </c>
      <c r="U841" s="0" t="s">
        <v>368</v>
      </c>
      <c r="W841" s="0" t="s">
        <v>105</v>
      </c>
      <c r="X841" s="0" t="s">
        <v>3258</v>
      </c>
      <c r="Y841" s="0" t="s">
        <v>3259</v>
      </c>
      <c r="Z841" s="0" t="s">
        <v>159</v>
      </c>
      <c r="AA841" s="0" t="s">
        <v>172</v>
      </c>
    </row>
    <row r="842" customFormat="false" ht="15" hidden="false" customHeight="false" outlineLevel="0" collapsed="false">
      <c r="A842" s="0" t="s">
        <v>21</v>
      </c>
      <c r="B842" s="0" t="s">
        <v>3622</v>
      </c>
      <c r="C842" s="0" t="s">
        <v>97</v>
      </c>
      <c r="D842" s="0" t="s">
        <v>3623</v>
      </c>
      <c r="E842" s="0" t="s">
        <v>3624</v>
      </c>
      <c r="G842" s="0" t="s">
        <v>3616</v>
      </c>
      <c r="H842" s="0" t="s">
        <v>3617</v>
      </c>
      <c r="I842" s="0" t="s">
        <v>655</v>
      </c>
      <c r="J842" s="0" t="s">
        <v>100</v>
      </c>
      <c r="K842" s="0" t="s">
        <v>3625</v>
      </c>
      <c r="L842" s="0" t="s">
        <v>101</v>
      </c>
      <c r="M842" s="0" t="s">
        <v>656</v>
      </c>
      <c r="N842" s="0" t="s">
        <v>101</v>
      </c>
      <c r="P842" s="0" t="s">
        <v>102</v>
      </c>
      <c r="Q842" s="0" t="s">
        <v>102</v>
      </c>
      <c r="R842" s="0" t="s">
        <v>113</v>
      </c>
      <c r="S842" s="0" t="s">
        <v>21</v>
      </c>
      <c r="T842" s="0" t="s">
        <v>104</v>
      </c>
      <c r="U842" s="0" t="s">
        <v>368</v>
      </c>
      <c r="W842" s="0" t="s">
        <v>105</v>
      </c>
      <c r="X842" s="0" t="s">
        <v>3258</v>
      </c>
      <c r="Y842" s="0" t="s">
        <v>3259</v>
      </c>
      <c r="Z842" s="0" t="s">
        <v>159</v>
      </c>
      <c r="AA842" s="0" t="s">
        <v>172</v>
      </c>
    </row>
    <row r="843" customFormat="false" ht="41.75" hidden="false" customHeight="false" outlineLevel="0" collapsed="false">
      <c r="A843" s="0" t="s">
        <v>21</v>
      </c>
      <c r="B843" s="0" t="s">
        <v>3626</v>
      </c>
      <c r="C843" s="0" t="s">
        <v>97</v>
      </c>
      <c r="D843" s="0" t="s">
        <v>3627</v>
      </c>
      <c r="E843" s="0" t="s">
        <v>3628</v>
      </c>
      <c r="G843" s="9" t="s">
        <v>3629</v>
      </c>
      <c r="H843" s="0" t="s">
        <v>3630</v>
      </c>
      <c r="I843" s="0" t="s">
        <v>3631</v>
      </c>
      <c r="J843" s="0" t="s">
        <v>456</v>
      </c>
      <c r="K843" s="0" t="s">
        <v>648</v>
      </c>
      <c r="M843" s="0" t="s">
        <v>1564</v>
      </c>
      <c r="N843" s="0" t="s">
        <v>101</v>
      </c>
      <c r="P843" s="0" t="s">
        <v>102</v>
      </c>
      <c r="Q843" s="0" t="s">
        <v>102</v>
      </c>
      <c r="R843" s="0" t="s">
        <v>131</v>
      </c>
      <c r="S843" s="0" t="s">
        <v>21</v>
      </c>
      <c r="T843" s="0" t="s">
        <v>104</v>
      </c>
      <c r="W843" s="0" t="s">
        <v>105</v>
      </c>
      <c r="AB843" s="0" t="s">
        <v>114</v>
      </c>
    </row>
    <row r="844" customFormat="false" ht="15" hidden="false" customHeight="false" outlineLevel="0" collapsed="false">
      <c r="A844" s="0" t="s">
        <v>21</v>
      </c>
      <c r="B844" s="0" t="s">
        <v>3632</v>
      </c>
      <c r="C844" s="0" t="s">
        <v>97</v>
      </c>
      <c r="D844" s="0" t="s">
        <v>3633</v>
      </c>
      <c r="E844" s="0" t="s">
        <v>3634</v>
      </c>
      <c r="H844" s="0" t="s">
        <v>3635</v>
      </c>
      <c r="I844" s="0" t="s">
        <v>2659</v>
      </c>
      <c r="J844" s="0" t="s">
        <v>218</v>
      </c>
      <c r="K844" s="0" t="s">
        <v>3636</v>
      </c>
      <c r="L844" s="0" t="s">
        <v>124</v>
      </c>
      <c r="M844" s="0" t="s">
        <v>220</v>
      </c>
      <c r="N844" s="0" t="s">
        <v>124</v>
      </c>
      <c r="P844" s="0" t="s">
        <v>221</v>
      </c>
      <c r="Q844" s="0" t="s">
        <v>221</v>
      </c>
      <c r="R844" s="0" t="s">
        <v>221</v>
      </c>
      <c r="S844" s="0" t="s">
        <v>21</v>
      </c>
      <c r="T844" s="0" t="s">
        <v>104</v>
      </c>
      <c r="W844" s="0" t="s">
        <v>183</v>
      </c>
      <c r="X844" s="0" t="s">
        <v>3637</v>
      </c>
      <c r="Y844" s="0" t="s">
        <v>3638</v>
      </c>
      <c r="Z844" s="0" t="s">
        <v>134</v>
      </c>
      <c r="AB844" s="0" t="s">
        <v>539</v>
      </c>
    </row>
    <row r="845" customFormat="false" ht="15" hidden="false" customHeight="false" outlineLevel="0" collapsed="false">
      <c r="A845" s="0" t="s">
        <v>21</v>
      </c>
      <c r="B845" s="0" t="s">
        <v>3632</v>
      </c>
      <c r="C845" s="0" t="s">
        <v>97</v>
      </c>
      <c r="D845" s="0" t="s">
        <v>3633</v>
      </c>
      <c r="E845" s="0" t="s">
        <v>3634</v>
      </c>
      <c r="H845" s="0" t="s">
        <v>3635</v>
      </c>
      <c r="I845" s="0" t="s">
        <v>2659</v>
      </c>
      <c r="J845" s="0" t="s">
        <v>218</v>
      </c>
      <c r="K845" s="0" t="s">
        <v>3636</v>
      </c>
      <c r="L845" s="0" t="s">
        <v>124</v>
      </c>
      <c r="M845" s="0" t="s">
        <v>220</v>
      </c>
      <c r="N845" s="0" t="s">
        <v>124</v>
      </c>
      <c r="P845" s="0" t="s">
        <v>102</v>
      </c>
      <c r="Q845" s="0" t="s">
        <v>102</v>
      </c>
      <c r="R845" s="0" t="s">
        <v>224</v>
      </c>
      <c r="S845" s="0" t="s">
        <v>21</v>
      </c>
      <c r="T845" s="0" t="s">
        <v>104</v>
      </c>
      <c r="V845" s="0" t="s">
        <v>225</v>
      </c>
      <c r="W845" s="0" t="s">
        <v>105</v>
      </c>
      <c r="X845" s="0" t="s">
        <v>3637</v>
      </c>
      <c r="Y845" s="0" t="s">
        <v>3638</v>
      </c>
      <c r="Z845" s="0" t="s">
        <v>134</v>
      </c>
      <c r="AB845" s="0" t="s">
        <v>539</v>
      </c>
    </row>
    <row r="846" customFormat="false" ht="15" hidden="false" customHeight="false" outlineLevel="0" collapsed="false">
      <c r="A846" s="0" t="s">
        <v>21</v>
      </c>
      <c r="B846" s="0" t="s">
        <v>3632</v>
      </c>
      <c r="C846" s="0" t="s">
        <v>97</v>
      </c>
      <c r="D846" s="0" t="s">
        <v>3633</v>
      </c>
      <c r="E846" s="0" t="s">
        <v>3634</v>
      </c>
      <c r="H846" s="0" t="s">
        <v>3635</v>
      </c>
      <c r="I846" s="0" t="s">
        <v>2659</v>
      </c>
      <c r="J846" s="0" t="s">
        <v>218</v>
      </c>
      <c r="K846" s="0" t="s">
        <v>3636</v>
      </c>
      <c r="L846" s="0" t="s">
        <v>124</v>
      </c>
      <c r="M846" s="0" t="s">
        <v>220</v>
      </c>
      <c r="N846" s="0" t="s">
        <v>124</v>
      </c>
      <c r="P846" s="0" t="s">
        <v>130</v>
      </c>
      <c r="Q846" s="0" t="s">
        <v>130</v>
      </c>
      <c r="R846" s="0" t="s">
        <v>226</v>
      </c>
      <c r="S846" s="0" t="s">
        <v>21</v>
      </c>
      <c r="T846" s="0" t="s">
        <v>104</v>
      </c>
      <c r="U846" s="0" t="s">
        <v>227</v>
      </c>
      <c r="W846" s="0" t="s">
        <v>105</v>
      </c>
      <c r="X846" s="0" t="s">
        <v>3637</v>
      </c>
      <c r="Y846" s="0" t="s">
        <v>3638</v>
      </c>
      <c r="Z846" s="0" t="s">
        <v>134</v>
      </c>
      <c r="AB846" s="0" t="s">
        <v>539</v>
      </c>
    </row>
    <row r="847" customFormat="false" ht="15" hidden="false" customHeight="false" outlineLevel="0" collapsed="false">
      <c r="A847" s="0" t="s">
        <v>21</v>
      </c>
      <c r="B847" s="0" t="s">
        <v>3639</v>
      </c>
      <c r="C847" s="0" t="s">
        <v>97</v>
      </c>
      <c r="D847" s="0" t="s">
        <v>3640</v>
      </c>
      <c r="E847" s="0" t="s">
        <v>3640</v>
      </c>
      <c r="F847" s="0" t="s">
        <v>3641</v>
      </c>
      <c r="H847" s="0" t="s">
        <v>3642</v>
      </c>
      <c r="I847" s="0" t="s">
        <v>2659</v>
      </c>
      <c r="J847" s="0" t="s">
        <v>220</v>
      </c>
      <c r="K847" s="0" t="s">
        <v>3636</v>
      </c>
      <c r="L847" s="0" t="s">
        <v>124</v>
      </c>
      <c r="M847" s="0" t="s">
        <v>220</v>
      </c>
      <c r="N847" s="0" t="s">
        <v>124</v>
      </c>
      <c r="P847" s="0" t="s">
        <v>102</v>
      </c>
      <c r="Q847" s="0" t="s">
        <v>102</v>
      </c>
      <c r="R847" s="0" t="s">
        <v>804</v>
      </c>
      <c r="S847" s="0" t="s">
        <v>21</v>
      </c>
      <c r="T847" s="0" t="s">
        <v>104</v>
      </c>
      <c r="W847" s="0" t="s">
        <v>105</v>
      </c>
      <c r="X847" s="0" t="s">
        <v>3643</v>
      </c>
      <c r="Y847" s="0" t="s">
        <v>3644</v>
      </c>
      <c r="Z847" s="0" t="s">
        <v>350</v>
      </c>
      <c r="AB847" s="0" t="s">
        <v>351</v>
      </c>
    </row>
    <row r="848" customFormat="false" ht="15" hidden="false" customHeight="false" outlineLevel="0" collapsed="false">
      <c r="A848" s="0" t="s">
        <v>21</v>
      </c>
      <c r="B848" s="0" t="s">
        <v>3645</v>
      </c>
      <c r="C848" s="0" t="s">
        <v>97</v>
      </c>
      <c r="E848" s="0" t="s">
        <v>3646</v>
      </c>
      <c r="F848" s="0" t="s">
        <v>3647</v>
      </c>
      <c r="H848" s="0" t="s">
        <v>3648</v>
      </c>
      <c r="I848" s="0" t="s">
        <v>3649</v>
      </c>
      <c r="J848" s="0" t="s">
        <v>232</v>
      </c>
      <c r="K848" s="0" t="s">
        <v>3650</v>
      </c>
      <c r="L848" s="0" t="s">
        <v>124</v>
      </c>
      <c r="M848" s="0" t="s">
        <v>232</v>
      </c>
      <c r="N848" s="0" t="s">
        <v>124</v>
      </c>
      <c r="P848" s="0" t="s">
        <v>204</v>
      </c>
      <c r="Q848" s="0" t="s">
        <v>204</v>
      </c>
      <c r="R848" s="0" t="s">
        <v>131</v>
      </c>
      <c r="S848" s="0" t="s">
        <v>21</v>
      </c>
      <c r="T848" s="0" t="s">
        <v>104</v>
      </c>
      <c r="W848" s="0" t="s">
        <v>105</v>
      </c>
      <c r="Z848" s="0" t="s">
        <v>350</v>
      </c>
      <c r="AB848" s="0" t="s">
        <v>351</v>
      </c>
    </row>
    <row r="849" customFormat="false" ht="15" hidden="false" customHeight="false" outlineLevel="0" collapsed="false">
      <c r="A849" s="0" t="s">
        <v>21</v>
      </c>
      <c r="B849" s="0" t="s">
        <v>3645</v>
      </c>
      <c r="C849" s="0" t="s">
        <v>97</v>
      </c>
      <c r="E849" s="0" t="s">
        <v>3646</v>
      </c>
      <c r="F849" s="0" t="s">
        <v>3647</v>
      </c>
      <c r="H849" s="0" t="s">
        <v>3648</v>
      </c>
      <c r="I849" s="0" t="s">
        <v>3649</v>
      </c>
      <c r="J849" s="0" t="s">
        <v>232</v>
      </c>
      <c r="K849" s="0" t="s">
        <v>3650</v>
      </c>
      <c r="L849" s="0" t="s">
        <v>124</v>
      </c>
      <c r="M849" s="0" t="s">
        <v>232</v>
      </c>
      <c r="N849" s="0" t="s">
        <v>124</v>
      </c>
      <c r="P849" s="0" t="s">
        <v>554</v>
      </c>
      <c r="Q849" s="0" t="s">
        <v>554</v>
      </c>
      <c r="R849" s="0" t="s">
        <v>554</v>
      </c>
      <c r="S849" s="0" t="s">
        <v>21</v>
      </c>
      <c r="T849" s="0" t="s">
        <v>104</v>
      </c>
      <c r="W849" s="0" t="s">
        <v>183</v>
      </c>
      <c r="Z849" s="0" t="s">
        <v>350</v>
      </c>
      <c r="AB849" s="0" t="s">
        <v>351</v>
      </c>
    </row>
    <row r="850" customFormat="false" ht="15" hidden="false" customHeight="false" outlineLevel="0" collapsed="false">
      <c r="A850" s="0" t="s">
        <v>21</v>
      </c>
      <c r="B850" s="0" t="s">
        <v>3651</v>
      </c>
      <c r="C850" s="0" t="s">
        <v>190</v>
      </c>
      <c r="D850" s="0" t="s">
        <v>3652</v>
      </c>
      <c r="E850" s="0" t="s">
        <v>3653</v>
      </c>
      <c r="H850" s="0" t="s">
        <v>3654</v>
      </c>
      <c r="I850" s="0" t="s">
        <v>3655</v>
      </c>
      <c r="J850" s="0" t="s">
        <v>157</v>
      </c>
      <c r="K850" s="0" t="s">
        <v>3656</v>
      </c>
      <c r="M850" s="0" t="s">
        <v>232</v>
      </c>
      <c r="N850" s="0" t="s">
        <v>124</v>
      </c>
      <c r="P850" s="0" t="s">
        <v>102</v>
      </c>
      <c r="Q850" s="0" t="s">
        <v>102</v>
      </c>
      <c r="R850" s="0" t="s">
        <v>131</v>
      </c>
      <c r="S850" s="0" t="s">
        <v>21</v>
      </c>
      <c r="T850" s="0" t="s">
        <v>104</v>
      </c>
      <c r="W850" s="0" t="s">
        <v>105</v>
      </c>
      <c r="X850" s="0" t="s">
        <v>3657</v>
      </c>
      <c r="Y850" s="0" t="s">
        <v>3658</v>
      </c>
      <c r="Z850" s="0" t="s">
        <v>195</v>
      </c>
      <c r="AB850" s="0" t="s">
        <v>3659</v>
      </c>
    </row>
    <row r="851" customFormat="false" ht="28.35" hidden="false" customHeight="false" outlineLevel="0" collapsed="false">
      <c r="A851" s="0" t="s">
        <v>21</v>
      </c>
      <c r="B851" s="0" t="s">
        <v>3660</v>
      </c>
      <c r="C851" s="0" t="s">
        <v>97</v>
      </c>
      <c r="D851" s="0" t="s">
        <v>3661</v>
      </c>
      <c r="E851" s="0" t="s">
        <v>3661</v>
      </c>
      <c r="F851" s="0" t="s">
        <v>3662</v>
      </c>
      <c r="G851" s="9" t="s">
        <v>3663</v>
      </c>
      <c r="H851" s="0" t="s">
        <v>3664</v>
      </c>
      <c r="I851" s="0" t="s">
        <v>2403</v>
      </c>
      <c r="J851" s="0" t="s">
        <v>275</v>
      </c>
      <c r="K851" s="0" t="s">
        <v>3665</v>
      </c>
      <c r="L851" s="0" t="s">
        <v>124</v>
      </c>
      <c r="M851" s="0" t="s">
        <v>178</v>
      </c>
      <c r="N851" s="0" t="s">
        <v>124</v>
      </c>
      <c r="P851" s="0" t="s">
        <v>233</v>
      </c>
      <c r="Q851" s="0" t="s">
        <v>233</v>
      </c>
      <c r="R851" s="0" t="s">
        <v>233</v>
      </c>
      <c r="S851" s="0" t="s">
        <v>21</v>
      </c>
      <c r="T851" s="0" t="s">
        <v>104</v>
      </c>
      <c r="W851" s="0" t="s">
        <v>183</v>
      </c>
      <c r="X851" s="0" t="s">
        <v>3666</v>
      </c>
      <c r="Y851" s="0" t="s">
        <v>3667</v>
      </c>
      <c r="Z851" s="0" t="s">
        <v>134</v>
      </c>
    </row>
    <row r="852" customFormat="false" ht="28.35" hidden="false" customHeight="false" outlineLevel="0" collapsed="false">
      <c r="A852" s="0" t="s">
        <v>21</v>
      </c>
      <c r="B852" s="0" t="s">
        <v>3660</v>
      </c>
      <c r="C852" s="0" t="s">
        <v>97</v>
      </c>
      <c r="D852" s="0" t="s">
        <v>3661</v>
      </c>
      <c r="E852" s="0" t="s">
        <v>3661</v>
      </c>
      <c r="F852" s="0" t="s">
        <v>3662</v>
      </c>
      <c r="G852" s="9" t="s">
        <v>3663</v>
      </c>
      <c r="H852" s="0" t="s">
        <v>3664</v>
      </c>
      <c r="I852" s="0" t="s">
        <v>2403</v>
      </c>
      <c r="J852" s="0" t="s">
        <v>275</v>
      </c>
      <c r="K852" s="0" t="s">
        <v>3665</v>
      </c>
      <c r="L852" s="0" t="s">
        <v>124</v>
      </c>
      <c r="M852" s="0" t="s">
        <v>178</v>
      </c>
      <c r="N852" s="0" t="s">
        <v>124</v>
      </c>
      <c r="P852" s="0" t="s">
        <v>102</v>
      </c>
      <c r="Q852" s="0" t="s">
        <v>102</v>
      </c>
      <c r="R852" s="0" t="s">
        <v>234</v>
      </c>
      <c r="S852" s="0" t="s">
        <v>21</v>
      </c>
      <c r="T852" s="0" t="s">
        <v>104</v>
      </c>
      <c r="V852" s="0" t="s">
        <v>235</v>
      </c>
      <c r="W852" s="0" t="s">
        <v>105</v>
      </c>
      <c r="X852" s="0" t="s">
        <v>3666</v>
      </c>
      <c r="Y852" s="0" t="s">
        <v>3667</v>
      </c>
      <c r="Z852" s="0" t="s">
        <v>134</v>
      </c>
    </row>
    <row r="853" customFormat="false" ht="28.35" hidden="false" customHeight="false" outlineLevel="0" collapsed="false">
      <c r="A853" s="0" t="s">
        <v>21</v>
      </c>
      <c r="B853" s="0" t="s">
        <v>3660</v>
      </c>
      <c r="C853" s="0" t="s">
        <v>97</v>
      </c>
      <c r="D853" s="0" t="s">
        <v>3661</v>
      </c>
      <c r="E853" s="0" t="s">
        <v>3661</v>
      </c>
      <c r="F853" s="0" t="s">
        <v>3662</v>
      </c>
      <c r="G853" s="9" t="s">
        <v>3663</v>
      </c>
      <c r="H853" s="0" t="s">
        <v>3664</v>
      </c>
      <c r="I853" s="0" t="s">
        <v>2403</v>
      </c>
      <c r="J853" s="0" t="s">
        <v>275</v>
      </c>
      <c r="K853" s="0" t="s">
        <v>3665</v>
      </c>
      <c r="L853" s="0" t="s">
        <v>124</v>
      </c>
      <c r="M853" s="0" t="s">
        <v>178</v>
      </c>
      <c r="N853" s="0" t="s">
        <v>124</v>
      </c>
      <c r="P853" s="0" t="s">
        <v>236</v>
      </c>
      <c r="Q853" s="0" t="s">
        <v>236</v>
      </c>
      <c r="R853" s="0" t="s">
        <v>237</v>
      </c>
      <c r="S853" s="0" t="s">
        <v>21</v>
      </c>
      <c r="T853" s="0" t="s">
        <v>104</v>
      </c>
      <c r="U853" s="0" t="s">
        <v>238</v>
      </c>
      <c r="W853" s="0" t="s">
        <v>105</v>
      </c>
      <c r="X853" s="0" t="s">
        <v>3666</v>
      </c>
      <c r="Y853" s="0" t="s">
        <v>3667</v>
      </c>
      <c r="Z853" s="0" t="s">
        <v>134</v>
      </c>
    </row>
    <row r="854" customFormat="false" ht="15" hidden="false" customHeight="false" outlineLevel="0" collapsed="false">
      <c r="A854" s="0" t="s">
        <v>21</v>
      </c>
      <c r="B854" s="0" t="s">
        <v>3668</v>
      </c>
      <c r="C854" s="0" t="s">
        <v>97</v>
      </c>
      <c r="E854" s="0" t="s">
        <v>3669</v>
      </c>
      <c r="G854" s="0" t="s">
        <v>3670</v>
      </c>
      <c r="H854" s="0" t="s">
        <v>3664</v>
      </c>
      <c r="I854" s="0" t="s">
        <v>2403</v>
      </c>
      <c r="J854" s="0" t="s">
        <v>178</v>
      </c>
      <c r="K854" s="0" t="s">
        <v>3665</v>
      </c>
      <c r="L854" s="0" t="s">
        <v>124</v>
      </c>
      <c r="M854" s="0" t="s">
        <v>178</v>
      </c>
      <c r="N854" s="0" t="s">
        <v>124</v>
      </c>
      <c r="P854" s="0" t="s">
        <v>204</v>
      </c>
      <c r="Q854" s="0" t="s">
        <v>204</v>
      </c>
      <c r="R854" s="0" t="s">
        <v>399</v>
      </c>
      <c r="S854" s="0" t="s">
        <v>21</v>
      </c>
      <c r="T854" s="0" t="s">
        <v>104</v>
      </c>
      <c r="W854" s="0" t="s">
        <v>105</v>
      </c>
      <c r="X854" s="0" t="s">
        <v>3666</v>
      </c>
      <c r="Y854" s="0" t="s">
        <v>3667</v>
      </c>
      <c r="Z854" s="0" t="s">
        <v>134</v>
      </c>
    </row>
    <row r="855" customFormat="false" ht="15" hidden="false" customHeight="false" outlineLevel="0" collapsed="false">
      <c r="A855" s="0" t="s">
        <v>21</v>
      </c>
      <c r="B855" s="0" t="s">
        <v>3671</v>
      </c>
      <c r="C855" s="0" t="s">
        <v>97</v>
      </c>
      <c r="D855" s="0" t="s">
        <v>3672</v>
      </c>
      <c r="E855" s="0" t="s">
        <v>3673</v>
      </c>
      <c r="G855" s="0" t="s">
        <v>3674</v>
      </c>
      <c r="H855" s="0" t="s">
        <v>3675</v>
      </c>
      <c r="I855" s="0" t="s">
        <v>894</v>
      </c>
      <c r="J855" s="0" t="s">
        <v>218</v>
      </c>
      <c r="K855" s="0" t="s">
        <v>363</v>
      </c>
      <c r="L855" s="0" t="s">
        <v>124</v>
      </c>
      <c r="M855" s="0" t="s">
        <v>220</v>
      </c>
      <c r="N855" s="0" t="s">
        <v>124</v>
      </c>
      <c r="P855" s="0" t="s">
        <v>102</v>
      </c>
      <c r="Q855" s="0" t="s">
        <v>102</v>
      </c>
      <c r="R855" s="0" t="s">
        <v>131</v>
      </c>
      <c r="S855" s="0" t="s">
        <v>21</v>
      </c>
      <c r="T855" s="0" t="s">
        <v>104</v>
      </c>
      <c r="W855" s="0" t="s">
        <v>105</v>
      </c>
      <c r="X855" s="0" t="s">
        <v>3676</v>
      </c>
      <c r="Y855" s="0" t="s">
        <v>3677</v>
      </c>
      <c r="Z855" s="0" t="s">
        <v>134</v>
      </c>
      <c r="AB855" s="0" t="s">
        <v>820</v>
      </c>
    </row>
    <row r="856" customFormat="false" ht="15" hidden="false" customHeight="false" outlineLevel="0" collapsed="false">
      <c r="A856" s="0" t="s">
        <v>21</v>
      </c>
      <c r="B856" s="0" t="s">
        <v>3678</v>
      </c>
      <c r="C856" s="0" t="s">
        <v>97</v>
      </c>
      <c r="D856" s="0" t="s">
        <v>3679</v>
      </c>
      <c r="E856" s="0" t="s">
        <v>3680</v>
      </c>
      <c r="G856" s="0" t="s">
        <v>3681</v>
      </c>
      <c r="H856" s="0" t="s">
        <v>3607</v>
      </c>
      <c r="I856" s="0" t="s">
        <v>598</v>
      </c>
      <c r="J856" s="0" t="s">
        <v>275</v>
      </c>
      <c r="K856" s="0" t="s">
        <v>599</v>
      </c>
      <c r="L856" s="0" t="s">
        <v>124</v>
      </c>
      <c r="M856" s="0" t="s">
        <v>208</v>
      </c>
      <c r="N856" s="0" t="s">
        <v>124</v>
      </c>
      <c r="P856" s="0" t="s">
        <v>204</v>
      </c>
      <c r="Q856" s="0" t="s">
        <v>204</v>
      </c>
      <c r="R856" s="0" t="s">
        <v>131</v>
      </c>
      <c r="S856" s="0" t="s">
        <v>21</v>
      </c>
      <c r="T856" s="0" t="s">
        <v>104</v>
      </c>
      <c r="W856" s="0" t="s">
        <v>105</v>
      </c>
      <c r="X856" s="0" t="s">
        <v>3608</v>
      </c>
      <c r="Y856" s="0" t="s">
        <v>3609</v>
      </c>
      <c r="Z856" s="0" t="s">
        <v>134</v>
      </c>
      <c r="AB856" s="0" t="s">
        <v>3682</v>
      </c>
    </row>
    <row r="857" customFormat="false" ht="15" hidden="false" customHeight="false" outlineLevel="0" collapsed="false">
      <c r="A857" s="0" t="s">
        <v>21</v>
      </c>
      <c r="B857" s="0" t="s">
        <v>3678</v>
      </c>
      <c r="C857" s="0" t="s">
        <v>97</v>
      </c>
      <c r="D857" s="0" t="s">
        <v>3679</v>
      </c>
      <c r="E857" s="0" t="s">
        <v>3680</v>
      </c>
      <c r="G857" s="0" t="s">
        <v>3681</v>
      </c>
      <c r="H857" s="0" t="s">
        <v>3607</v>
      </c>
      <c r="I857" s="0" t="s">
        <v>598</v>
      </c>
      <c r="J857" s="0" t="s">
        <v>275</v>
      </c>
      <c r="K857" s="0" t="s">
        <v>599</v>
      </c>
      <c r="L857" s="0" t="s">
        <v>124</v>
      </c>
      <c r="M857" s="0" t="s">
        <v>208</v>
      </c>
      <c r="N857" s="0" t="s">
        <v>124</v>
      </c>
      <c r="P857" s="0" t="s">
        <v>554</v>
      </c>
      <c r="Q857" s="0" t="s">
        <v>554</v>
      </c>
      <c r="R857" s="0" t="s">
        <v>554</v>
      </c>
      <c r="S857" s="0" t="s">
        <v>21</v>
      </c>
      <c r="T857" s="0" t="s">
        <v>104</v>
      </c>
      <c r="W857" s="0" t="s">
        <v>183</v>
      </c>
      <c r="X857" s="0" t="s">
        <v>3608</v>
      </c>
      <c r="Y857" s="0" t="s">
        <v>3609</v>
      </c>
      <c r="Z857" s="0" t="s">
        <v>134</v>
      </c>
      <c r="AB857" s="0" t="s">
        <v>3682</v>
      </c>
    </row>
    <row r="858" customFormat="false" ht="15" hidden="false" customHeight="false" outlineLevel="0" collapsed="false">
      <c r="A858" s="0" t="s">
        <v>21</v>
      </c>
      <c r="B858" s="0" t="s">
        <v>3683</v>
      </c>
      <c r="C858" s="0" t="s">
        <v>97</v>
      </c>
      <c r="D858" s="0" t="s">
        <v>3684</v>
      </c>
      <c r="E858" s="0" t="s">
        <v>3685</v>
      </c>
      <c r="H858" s="0" t="s">
        <v>904</v>
      </c>
      <c r="I858" s="0" t="s">
        <v>598</v>
      </c>
      <c r="J858" s="0" t="s">
        <v>275</v>
      </c>
      <c r="K858" s="0" t="s">
        <v>606</v>
      </c>
      <c r="L858" s="0" t="s">
        <v>124</v>
      </c>
      <c r="M858" s="0" t="s">
        <v>178</v>
      </c>
      <c r="N858" s="0" t="s">
        <v>124</v>
      </c>
      <c r="P858" s="0" t="s">
        <v>102</v>
      </c>
      <c r="Q858" s="0" t="s">
        <v>102</v>
      </c>
      <c r="R858" s="0" t="s">
        <v>131</v>
      </c>
      <c r="S858" s="0" t="s">
        <v>21</v>
      </c>
      <c r="T858" s="0" t="s">
        <v>104</v>
      </c>
      <c r="W858" s="0" t="s">
        <v>105</v>
      </c>
      <c r="X858" s="0" t="s">
        <v>132</v>
      </c>
      <c r="Y858" s="0" t="s">
        <v>133</v>
      </c>
      <c r="Z858" s="0" t="s">
        <v>134</v>
      </c>
      <c r="AB858" s="0" t="s">
        <v>760</v>
      </c>
    </row>
    <row r="859" customFormat="false" ht="15" hidden="false" customHeight="false" outlineLevel="0" collapsed="false">
      <c r="A859" s="0" t="s">
        <v>21</v>
      </c>
      <c r="B859" s="0" t="s">
        <v>3686</v>
      </c>
      <c r="C859" s="0" t="s">
        <v>190</v>
      </c>
      <c r="D859" s="0" t="s">
        <v>3687</v>
      </c>
      <c r="E859" s="0" t="s">
        <v>3688</v>
      </c>
      <c r="H859" s="0" t="s">
        <v>3689</v>
      </c>
      <c r="I859" s="0" t="s">
        <v>3690</v>
      </c>
      <c r="J859" s="0" t="s">
        <v>157</v>
      </c>
      <c r="K859" s="0" t="s">
        <v>3691</v>
      </c>
      <c r="M859" s="0" t="s">
        <v>232</v>
      </c>
      <c r="N859" s="0" t="s">
        <v>124</v>
      </c>
      <c r="P859" s="0" t="s">
        <v>204</v>
      </c>
      <c r="Q859" s="0" t="s">
        <v>204</v>
      </c>
      <c r="R859" s="0" t="s">
        <v>657</v>
      </c>
      <c r="S859" s="0" t="s">
        <v>21</v>
      </c>
      <c r="T859" s="0" t="s">
        <v>104</v>
      </c>
      <c r="W859" s="0" t="s">
        <v>105</v>
      </c>
      <c r="X859" s="0" t="s">
        <v>3692</v>
      </c>
      <c r="Y859" s="0" t="s">
        <v>3693</v>
      </c>
      <c r="Z859" s="0" t="s">
        <v>159</v>
      </c>
    </row>
    <row r="860" customFormat="false" ht="15" hidden="false" customHeight="false" outlineLevel="0" collapsed="false">
      <c r="A860" s="0" t="s">
        <v>21</v>
      </c>
      <c r="B860" s="0" t="s">
        <v>3694</v>
      </c>
      <c r="C860" s="0" t="s">
        <v>395</v>
      </c>
      <c r="D860" s="0" t="s">
        <v>3695</v>
      </c>
      <c r="E860" s="0" t="s">
        <v>3696</v>
      </c>
      <c r="G860" s="0" t="s">
        <v>3697</v>
      </c>
      <c r="H860" s="0" t="s">
        <v>3698</v>
      </c>
      <c r="I860" s="0" t="s">
        <v>578</v>
      </c>
      <c r="J860" s="0" t="s">
        <v>247</v>
      </c>
      <c r="K860" s="0" t="s">
        <v>579</v>
      </c>
      <c r="M860" s="0" t="s">
        <v>247</v>
      </c>
      <c r="N860" s="0" t="s">
        <v>124</v>
      </c>
      <c r="P860" s="0" t="s">
        <v>236</v>
      </c>
      <c r="Q860" s="0" t="s">
        <v>236</v>
      </c>
      <c r="R860" s="0" t="s">
        <v>957</v>
      </c>
      <c r="S860" s="0" t="s">
        <v>21</v>
      </c>
      <c r="T860" s="0" t="s">
        <v>104</v>
      </c>
      <c r="W860" s="0" t="s">
        <v>105</v>
      </c>
      <c r="Z860" s="0" t="s">
        <v>3699</v>
      </c>
      <c r="AB860" s="0" t="s">
        <v>3186</v>
      </c>
    </row>
    <row r="861" customFormat="false" ht="15" hidden="false" customHeight="false" outlineLevel="0" collapsed="false">
      <c r="A861" s="0" t="s">
        <v>21</v>
      </c>
      <c r="B861" s="0" t="s">
        <v>3700</v>
      </c>
      <c r="C861" s="0" t="s">
        <v>139</v>
      </c>
      <c r="D861" s="0" t="s">
        <v>3701</v>
      </c>
      <c r="E861" s="0" t="s">
        <v>3702</v>
      </c>
      <c r="M861" s="0" t="s">
        <v>232</v>
      </c>
      <c r="N861" s="0" t="s">
        <v>124</v>
      </c>
      <c r="P861" s="0" t="s">
        <v>102</v>
      </c>
      <c r="Q861" s="0" t="s">
        <v>102</v>
      </c>
      <c r="R861" s="0" t="s">
        <v>137</v>
      </c>
      <c r="S861" s="0" t="s">
        <v>21</v>
      </c>
      <c r="T861" s="0" t="s">
        <v>104</v>
      </c>
      <c r="W861" s="0" t="s">
        <v>105</v>
      </c>
      <c r="Z861" s="0" t="s">
        <v>159</v>
      </c>
    </row>
    <row r="862" customFormat="false" ht="15" hidden="false" customHeight="false" outlineLevel="0" collapsed="false">
      <c r="A862" s="0" t="s">
        <v>21</v>
      </c>
      <c r="B862" s="0" t="s">
        <v>3703</v>
      </c>
      <c r="C862" s="0" t="s">
        <v>174</v>
      </c>
      <c r="D862" s="0" t="s">
        <v>3704</v>
      </c>
      <c r="E862" s="0" t="s">
        <v>3705</v>
      </c>
      <c r="G862" s="0" t="s">
        <v>3706</v>
      </c>
      <c r="M862" s="0" t="s">
        <v>232</v>
      </c>
      <c r="N862" s="0" t="s">
        <v>124</v>
      </c>
      <c r="P862" s="0" t="s">
        <v>130</v>
      </c>
      <c r="Q862" s="0" t="s">
        <v>130</v>
      </c>
      <c r="R862" s="0" t="s">
        <v>131</v>
      </c>
      <c r="S862" s="0" t="s">
        <v>21</v>
      </c>
      <c r="T862" s="0" t="s">
        <v>104</v>
      </c>
      <c r="W862" s="0" t="s">
        <v>105</v>
      </c>
      <c r="AB862" s="0" t="s">
        <v>2196</v>
      </c>
    </row>
    <row r="863" customFormat="false" ht="15" hidden="false" customHeight="false" outlineLevel="0" collapsed="false">
      <c r="A863" s="0" t="s">
        <v>21</v>
      </c>
      <c r="B863" s="0" t="s">
        <v>3707</v>
      </c>
      <c r="C863" s="0" t="s">
        <v>3708</v>
      </c>
      <c r="D863" s="0" t="s">
        <v>3709</v>
      </c>
      <c r="E863" s="0" t="s">
        <v>3710</v>
      </c>
      <c r="M863" s="0" t="s">
        <v>232</v>
      </c>
      <c r="N863" s="0" t="s">
        <v>124</v>
      </c>
      <c r="P863" s="0" t="s">
        <v>233</v>
      </c>
      <c r="Q863" s="0" t="s">
        <v>233</v>
      </c>
      <c r="R863" s="0" t="s">
        <v>233</v>
      </c>
      <c r="S863" s="0" t="s">
        <v>21</v>
      </c>
      <c r="T863" s="0" t="s">
        <v>104</v>
      </c>
      <c r="W863" s="0" t="s">
        <v>183</v>
      </c>
      <c r="Z863" s="0" t="s">
        <v>3711</v>
      </c>
    </row>
    <row r="864" customFormat="false" ht="15" hidden="false" customHeight="false" outlineLevel="0" collapsed="false">
      <c r="A864" s="0" t="s">
        <v>21</v>
      </c>
      <c r="B864" s="0" t="s">
        <v>3707</v>
      </c>
      <c r="C864" s="0" t="s">
        <v>3708</v>
      </c>
      <c r="D864" s="0" t="s">
        <v>3709</v>
      </c>
      <c r="E864" s="0" t="s">
        <v>3710</v>
      </c>
      <c r="M864" s="0" t="s">
        <v>232</v>
      </c>
      <c r="N864" s="0" t="s">
        <v>124</v>
      </c>
      <c r="P864" s="0" t="s">
        <v>102</v>
      </c>
      <c r="Q864" s="0" t="s">
        <v>102</v>
      </c>
      <c r="R864" s="0" t="s">
        <v>234</v>
      </c>
      <c r="S864" s="0" t="s">
        <v>21</v>
      </c>
      <c r="T864" s="0" t="s">
        <v>104</v>
      </c>
      <c r="V864" s="0" t="s">
        <v>235</v>
      </c>
      <c r="W864" s="0" t="s">
        <v>105</v>
      </c>
      <c r="Z864" s="0" t="s">
        <v>3711</v>
      </c>
    </row>
    <row r="865" customFormat="false" ht="15" hidden="false" customHeight="false" outlineLevel="0" collapsed="false">
      <c r="A865" s="0" t="s">
        <v>21</v>
      </c>
      <c r="B865" s="0" t="s">
        <v>3707</v>
      </c>
      <c r="C865" s="0" t="s">
        <v>3708</v>
      </c>
      <c r="D865" s="0" t="s">
        <v>3709</v>
      </c>
      <c r="E865" s="0" t="s">
        <v>3710</v>
      </c>
      <c r="M865" s="0" t="s">
        <v>232</v>
      </c>
      <c r="N865" s="0" t="s">
        <v>124</v>
      </c>
      <c r="P865" s="0" t="s">
        <v>236</v>
      </c>
      <c r="Q865" s="0" t="s">
        <v>236</v>
      </c>
      <c r="R865" s="0" t="s">
        <v>237</v>
      </c>
      <c r="S865" s="0" t="s">
        <v>21</v>
      </c>
      <c r="T865" s="0" t="s">
        <v>104</v>
      </c>
      <c r="U865" s="0" t="s">
        <v>238</v>
      </c>
      <c r="W865" s="0" t="s">
        <v>105</v>
      </c>
      <c r="Z865" s="0" t="s">
        <v>3711</v>
      </c>
    </row>
    <row r="866" customFormat="false" ht="15" hidden="false" customHeight="false" outlineLevel="0" collapsed="false">
      <c r="A866" s="0" t="s">
        <v>21</v>
      </c>
      <c r="B866" s="0" t="s">
        <v>3712</v>
      </c>
      <c r="C866" s="0" t="s">
        <v>661</v>
      </c>
      <c r="D866" s="0" t="s">
        <v>3713</v>
      </c>
      <c r="F866" s="0" t="s">
        <v>3714</v>
      </c>
      <c r="M866" s="0" t="s">
        <v>178</v>
      </c>
      <c r="N866" s="0" t="s">
        <v>124</v>
      </c>
      <c r="P866" s="0" t="s">
        <v>102</v>
      </c>
      <c r="Q866" s="0" t="s">
        <v>102</v>
      </c>
      <c r="R866" s="0" t="s">
        <v>131</v>
      </c>
      <c r="S866" s="0" t="s">
        <v>21</v>
      </c>
      <c r="T866" s="0" t="s">
        <v>104</v>
      </c>
      <c r="W866" s="0" t="s">
        <v>105</v>
      </c>
      <c r="AA866" s="0" t="s">
        <v>3715</v>
      </c>
      <c r="AB866" s="0" t="s">
        <v>3716</v>
      </c>
    </row>
    <row r="867" customFormat="false" ht="15" hidden="false" customHeight="false" outlineLevel="0" collapsed="false">
      <c r="A867" s="0" t="s">
        <v>21</v>
      </c>
      <c r="B867" s="0" t="s">
        <v>3712</v>
      </c>
      <c r="C867" s="0" t="s">
        <v>661</v>
      </c>
      <c r="D867" s="0" t="s">
        <v>3713</v>
      </c>
      <c r="F867" s="0" t="s">
        <v>3714</v>
      </c>
      <c r="M867" s="0" t="s">
        <v>178</v>
      </c>
      <c r="N867" s="0" t="s">
        <v>124</v>
      </c>
      <c r="P867" s="0" t="s">
        <v>180</v>
      </c>
      <c r="Q867" s="0" t="s">
        <v>181</v>
      </c>
      <c r="R867" s="0" t="s">
        <v>182</v>
      </c>
      <c r="S867" s="0" t="s">
        <v>21</v>
      </c>
      <c r="T867" s="0" t="s">
        <v>104</v>
      </c>
      <c r="W867" s="0" t="s">
        <v>183</v>
      </c>
      <c r="AA867" s="0" t="s">
        <v>3715</v>
      </c>
      <c r="AB867" s="0" t="s">
        <v>3716</v>
      </c>
    </row>
    <row r="868" customFormat="false" ht="15" hidden="false" customHeight="false" outlineLevel="0" collapsed="false">
      <c r="A868" s="0" t="s">
        <v>21</v>
      </c>
      <c r="B868" s="0" t="s">
        <v>3717</v>
      </c>
      <c r="C868" s="0" t="s">
        <v>174</v>
      </c>
      <c r="D868" s="0" t="s">
        <v>3718</v>
      </c>
      <c r="E868" s="0" t="s">
        <v>3719</v>
      </c>
      <c r="G868" s="0" t="s">
        <v>3720</v>
      </c>
      <c r="M868" s="0" t="s">
        <v>178</v>
      </c>
      <c r="N868" s="0" t="s">
        <v>124</v>
      </c>
      <c r="P868" s="0" t="s">
        <v>102</v>
      </c>
      <c r="Q868" s="0" t="s">
        <v>102</v>
      </c>
      <c r="R868" s="0" t="s">
        <v>131</v>
      </c>
      <c r="S868" s="0" t="s">
        <v>21</v>
      </c>
      <c r="T868" s="0" t="s">
        <v>104</v>
      </c>
      <c r="W868" s="0" t="s">
        <v>105</v>
      </c>
      <c r="AB868" s="0" t="s">
        <v>3721</v>
      </c>
    </row>
    <row r="869" customFormat="false" ht="15" hidden="false" customHeight="false" outlineLevel="0" collapsed="false">
      <c r="A869" s="0" t="s">
        <v>21</v>
      </c>
      <c r="B869" s="0" t="s">
        <v>3717</v>
      </c>
      <c r="C869" s="0" t="s">
        <v>174</v>
      </c>
      <c r="D869" s="0" t="s">
        <v>3718</v>
      </c>
      <c r="E869" s="0" t="s">
        <v>3719</v>
      </c>
      <c r="G869" s="0" t="s">
        <v>3720</v>
      </c>
      <c r="M869" s="0" t="s">
        <v>178</v>
      </c>
      <c r="N869" s="0" t="s">
        <v>124</v>
      </c>
      <c r="P869" s="0" t="s">
        <v>180</v>
      </c>
      <c r="Q869" s="0" t="s">
        <v>181</v>
      </c>
      <c r="R869" s="0" t="s">
        <v>182</v>
      </c>
      <c r="S869" s="0" t="s">
        <v>21</v>
      </c>
      <c r="T869" s="0" t="s">
        <v>104</v>
      </c>
      <c r="W869" s="0" t="s">
        <v>183</v>
      </c>
      <c r="AB869" s="0" t="s">
        <v>3721</v>
      </c>
    </row>
    <row r="870" customFormat="false" ht="15" hidden="false" customHeight="false" outlineLevel="0" collapsed="false">
      <c r="A870" s="0" t="s">
        <v>21</v>
      </c>
      <c r="B870" s="0" t="s">
        <v>3722</v>
      </c>
      <c r="C870" s="0" t="s">
        <v>174</v>
      </c>
      <c r="D870" s="0" t="s">
        <v>3723</v>
      </c>
      <c r="E870" s="0" t="s">
        <v>3724</v>
      </c>
      <c r="G870" s="0" t="s">
        <v>3725</v>
      </c>
      <c r="M870" s="0" t="s">
        <v>178</v>
      </c>
      <c r="N870" s="0" t="s">
        <v>124</v>
      </c>
      <c r="P870" s="0" t="s">
        <v>102</v>
      </c>
      <c r="Q870" s="0" t="s">
        <v>102</v>
      </c>
      <c r="R870" s="0" t="s">
        <v>131</v>
      </c>
      <c r="S870" s="0" t="s">
        <v>21</v>
      </c>
      <c r="T870" s="0" t="s">
        <v>104</v>
      </c>
      <c r="W870" s="0" t="s">
        <v>105</v>
      </c>
      <c r="AB870" s="0" t="s">
        <v>3726</v>
      </c>
    </row>
    <row r="871" customFormat="false" ht="15" hidden="false" customHeight="false" outlineLevel="0" collapsed="false">
      <c r="A871" s="0" t="s">
        <v>21</v>
      </c>
      <c r="B871" s="0" t="s">
        <v>3722</v>
      </c>
      <c r="C871" s="0" t="s">
        <v>174</v>
      </c>
      <c r="D871" s="0" t="s">
        <v>3723</v>
      </c>
      <c r="E871" s="0" t="s">
        <v>3724</v>
      </c>
      <c r="G871" s="0" t="s">
        <v>3725</v>
      </c>
      <c r="M871" s="0" t="s">
        <v>178</v>
      </c>
      <c r="N871" s="0" t="s">
        <v>124</v>
      </c>
      <c r="P871" s="0" t="s">
        <v>180</v>
      </c>
      <c r="Q871" s="0" t="s">
        <v>181</v>
      </c>
      <c r="R871" s="0" t="s">
        <v>182</v>
      </c>
      <c r="S871" s="0" t="s">
        <v>21</v>
      </c>
      <c r="T871" s="0" t="s">
        <v>104</v>
      </c>
      <c r="W871" s="0" t="s">
        <v>183</v>
      </c>
      <c r="AB871" s="0" t="s">
        <v>3726</v>
      </c>
    </row>
    <row r="872" customFormat="false" ht="15" hidden="false" customHeight="false" outlineLevel="0" collapsed="false">
      <c r="A872" s="0" t="s">
        <v>21</v>
      </c>
      <c r="B872" s="0" t="s">
        <v>3727</v>
      </c>
      <c r="C872" s="0" t="s">
        <v>174</v>
      </c>
      <c r="D872" s="0" t="s">
        <v>3728</v>
      </c>
      <c r="E872" s="0" t="s">
        <v>3729</v>
      </c>
      <c r="M872" s="0" t="s">
        <v>178</v>
      </c>
      <c r="N872" s="0" t="s">
        <v>124</v>
      </c>
      <c r="P872" s="0" t="s">
        <v>102</v>
      </c>
      <c r="Q872" s="0" t="s">
        <v>102</v>
      </c>
      <c r="R872" s="0" t="s">
        <v>131</v>
      </c>
      <c r="S872" s="0" t="s">
        <v>21</v>
      </c>
      <c r="T872" s="0" t="s">
        <v>104</v>
      </c>
      <c r="W872" s="0" t="s">
        <v>105</v>
      </c>
      <c r="AB872" s="0" t="s">
        <v>3726</v>
      </c>
    </row>
    <row r="873" customFormat="false" ht="15" hidden="false" customHeight="false" outlineLevel="0" collapsed="false">
      <c r="A873" s="0" t="s">
        <v>21</v>
      </c>
      <c r="B873" s="0" t="s">
        <v>3727</v>
      </c>
      <c r="C873" s="0" t="s">
        <v>174</v>
      </c>
      <c r="D873" s="0" t="s">
        <v>3728</v>
      </c>
      <c r="E873" s="0" t="s">
        <v>3729</v>
      </c>
      <c r="M873" s="0" t="s">
        <v>178</v>
      </c>
      <c r="N873" s="0" t="s">
        <v>124</v>
      </c>
      <c r="P873" s="0" t="s">
        <v>180</v>
      </c>
      <c r="Q873" s="0" t="s">
        <v>181</v>
      </c>
      <c r="R873" s="0" t="s">
        <v>182</v>
      </c>
      <c r="S873" s="0" t="s">
        <v>21</v>
      </c>
      <c r="T873" s="0" t="s">
        <v>104</v>
      </c>
      <c r="W873" s="0" t="s">
        <v>183</v>
      </c>
      <c r="AB873" s="0" t="s">
        <v>3726</v>
      </c>
    </row>
    <row r="874" customFormat="false" ht="15" hidden="false" customHeight="false" outlineLevel="0" collapsed="false">
      <c r="A874" s="0" t="s">
        <v>21</v>
      </c>
      <c r="B874" s="0" t="s">
        <v>3730</v>
      </c>
      <c r="C874" s="0" t="s">
        <v>174</v>
      </c>
      <c r="D874" s="0" t="s">
        <v>3731</v>
      </c>
      <c r="E874" s="0" t="s">
        <v>3731</v>
      </c>
      <c r="M874" s="0" t="s">
        <v>178</v>
      </c>
      <c r="N874" s="0" t="s">
        <v>124</v>
      </c>
      <c r="P874" s="0" t="s">
        <v>102</v>
      </c>
      <c r="Q874" s="0" t="s">
        <v>102</v>
      </c>
      <c r="R874" s="0" t="s">
        <v>131</v>
      </c>
      <c r="S874" s="0" t="s">
        <v>21</v>
      </c>
      <c r="T874" s="0" t="s">
        <v>104</v>
      </c>
      <c r="W874" s="0" t="s">
        <v>105</v>
      </c>
      <c r="AB874" s="0" t="s">
        <v>3732</v>
      </c>
    </row>
    <row r="875" customFormat="false" ht="15" hidden="false" customHeight="false" outlineLevel="0" collapsed="false">
      <c r="A875" s="0" t="s">
        <v>21</v>
      </c>
      <c r="B875" s="0" t="s">
        <v>3730</v>
      </c>
      <c r="C875" s="0" t="s">
        <v>174</v>
      </c>
      <c r="D875" s="0" t="s">
        <v>3731</v>
      </c>
      <c r="E875" s="0" t="s">
        <v>3731</v>
      </c>
      <c r="M875" s="0" t="s">
        <v>178</v>
      </c>
      <c r="N875" s="0" t="s">
        <v>124</v>
      </c>
      <c r="P875" s="0" t="s">
        <v>180</v>
      </c>
      <c r="Q875" s="0" t="s">
        <v>181</v>
      </c>
      <c r="R875" s="0" t="s">
        <v>182</v>
      </c>
      <c r="S875" s="0" t="s">
        <v>21</v>
      </c>
      <c r="T875" s="0" t="s">
        <v>104</v>
      </c>
      <c r="W875" s="0" t="s">
        <v>183</v>
      </c>
      <c r="AB875" s="0" t="s">
        <v>3732</v>
      </c>
    </row>
    <row r="876" customFormat="false" ht="15" hidden="false" customHeight="false" outlineLevel="0" collapsed="false">
      <c r="A876" s="0" t="s">
        <v>21</v>
      </c>
      <c r="B876" s="0" t="s">
        <v>3733</v>
      </c>
      <c r="C876" s="0" t="s">
        <v>97</v>
      </c>
      <c r="D876" s="0" t="s">
        <v>979</v>
      </c>
      <c r="E876" s="0" t="s">
        <v>979</v>
      </c>
      <c r="G876" s="0" t="s">
        <v>213</v>
      </c>
      <c r="M876" s="0" t="s">
        <v>208</v>
      </c>
      <c r="N876" s="0" t="s">
        <v>124</v>
      </c>
      <c r="P876" s="0" t="s">
        <v>204</v>
      </c>
      <c r="Q876" s="0" t="s">
        <v>204</v>
      </c>
      <c r="R876" s="0" t="s">
        <v>137</v>
      </c>
      <c r="S876" s="0" t="s">
        <v>21</v>
      </c>
      <c r="T876" s="0" t="s">
        <v>104</v>
      </c>
      <c r="W876" s="0" t="s">
        <v>105</v>
      </c>
      <c r="Z876" s="0" t="s">
        <v>215</v>
      </c>
    </row>
    <row r="877" customFormat="false" ht="28.35" hidden="false" customHeight="false" outlineLevel="0" collapsed="false">
      <c r="A877" s="0" t="s">
        <v>21</v>
      </c>
      <c r="B877" s="0" t="s">
        <v>3734</v>
      </c>
      <c r="C877" s="0" t="s">
        <v>110</v>
      </c>
      <c r="D877" s="0" t="s">
        <v>3735</v>
      </c>
      <c r="E877" s="0" t="s">
        <v>3736</v>
      </c>
      <c r="G877" s="9" t="s">
        <v>3737</v>
      </c>
      <c r="H877" s="0" t="s">
        <v>3738</v>
      </c>
      <c r="I877" s="0" t="s">
        <v>3739</v>
      </c>
      <c r="J877" s="0" t="s">
        <v>254</v>
      </c>
      <c r="K877" s="0" t="s">
        <v>3740</v>
      </c>
      <c r="L877" s="0" t="s">
        <v>124</v>
      </c>
      <c r="M877" s="0" t="s">
        <v>208</v>
      </c>
      <c r="N877" s="0" t="s">
        <v>124</v>
      </c>
      <c r="P877" s="0" t="s">
        <v>102</v>
      </c>
      <c r="Q877" s="0" t="s">
        <v>102</v>
      </c>
      <c r="R877" s="0" t="s">
        <v>113</v>
      </c>
      <c r="S877" s="0" t="s">
        <v>21</v>
      </c>
      <c r="T877" s="0" t="s">
        <v>104</v>
      </c>
      <c r="W877" s="0" t="s">
        <v>105</v>
      </c>
      <c r="X877" s="0" t="s">
        <v>3741</v>
      </c>
      <c r="Y877" s="0" t="s">
        <v>3742</v>
      </c>
      <c r="Z877" s="0" t="s">
        <v>134</v>
      </c>
    </row>
    <row r="878" customFormat="false" ht="15" hidden="false" customHeight="false" outlineLevel="0" collapsed="false">
      <c r="A878" s="0" t="s">
        <v>21</v>
      </c>
      <c r="B878" s="0" t="s">
        <v>3743</v>
      </c>
      <c r="C878" s="0" t="s">
        <v>97</v>
      </c>
      <c r="D878" s="0" t="s">
        <v>3744</v>
      </c>
      <c r="E878" s="0" t="s">
        <v>3745</v>
      </c>
      <c r="G878" s="0" t="s">
        <v>3746</v>
      </c>
      <c r="H878" s="0" t="s">
        <v>3747</v>
      </c>
      <c r="I878" s="0" t="s">
        <v>3748</v>
      </c>
      <c r="J878" s="0" t="s">
        <v>3749</v>
      </c>
      <c r="K878" s="0" t="s">
        <v>3750</v>
      </c>
      <c r="L878" s="0" t="s">
        <v>101</v>
      </c>
      <c r="M878" s="0" t="s">
        <v>3751</v>
      </c>
      <c r="N878" s="0" t="s">
        <v>101</v>
      </c>
      <c r="P878" s="0" t="s">
        <v>102</v>
      </c>
      <c r="Q878" s="0" t="s">
        <v>102</v>
      </c>
      <c r="R878" s="0" t="s">
        <v>113</v>
      </c>
      <c r="S878" s="0" t="s">
        <v>21</v>
      </c>
      <c r="T878" s="0" t="s">
        <v>104</v>
      </c>
      <c r="U878" s="0" t="s">
        <v>368</v>
      </c>
      <c r="W878" s="0" t="s">
        <v>105</v>
      </c>
      <c r="X878" s="0" t="s">
        <v>3752</v>
      </c>
      <c r="Y878" s="0" t="s">
        <v>3753</v>
      </c>
      <c r="Z878" s="0" t="s">
        <v>3754</v>
      </c>
      <c r="AA878" s="0" t="s">
        <v>172</v>
      </c>
    </row>
    <row r="879" customFormat="false" ht="15" hidden="false" customHeight="false" outlineLevel="0" collapsed="false">
      <c r="A879" s="0" t="s">
        <v>21</v>
      </c>
      <c r="B879" s="0" t="s">
        <v>3755</v>
      </c>
      <c r="C879" s="0" t="s">
        <v>97</v>
      </c>
      <c r="D879" s="0" t="s">
        <v>3756</v>
      </c>
      <c r="E879" s="0" t="s">
        <v>1941</v>
      </c>
      <c r="G879" s="0" t="s">
        <v>3746</v>
      </c>
      <c r="H879" s="0" t="s">
        <v>3757</v>
      </c>
      <c r="I879" s="0" t="s">
        <v>1332</v>
      </c>
      <c r="J879" s="0" t="s">
        <v>1332</v>
      </c>
      <c r="K879" s="0" t="s">
        <v>168</v>
      </c>
      <c r="L879" s="0" t="s">
        <v>101</v>
      </c>
      <c r="M879" s="0" t="s">
        <v>1332</v>
      </c>
      <c r="N879" s="0" t="s">
        <v>101</v>
      </c>
      <c r="P879" s="0" t="s">
        <v>102</v>
      </c>
      <c r="Q879" s="0" t="s">
        <v>102</v>
      </c>
      <c r="R879" s="0" t="s">
        <v>113</v>
      </c>
      <c r="S879" s="0" t="s">
        <v>21</v>
      </c>
      <c r="T879" s="0" t="s">
        <v>104</v>
      </c>
      <c r="U879" s="0" t="s">
        <v>368</v>
      </c>
      <c r="W879" s="0" t="s">
        <v>105</v>
      </c>
      <c r="X879" s="0" t="s">
        <v>3758</v>
      </c>
      <c r="Y879" s="0" t="s">
        <v>3759</v>
      </c>
      <c r="Z879" s="0" t="s">
        <v>3754</v>
      </c>
      <c r="AA879" s="0" t="s">
        <v>172</v>
      </c>
    </row>
    <row r="880" customFormat="false" ht="15" hidden="false" customHeight="false" outlineLevel="0" collapsed="false">
      <c r="A880" s="0" t="s">
        <v>21</v>
      </c>
      <c r="B880" s="0" t="s">
        <v>3760</v>
      </c>
      <c r="C880" s="0" t="s">
        <v>97</v>
      </c>
      <c r="D880" s="0" t="s">
        <v>3761</v>
      </c>
      <c r="E880" s="0" t="s">
        <v>3762</v>
      </c>
      <c r="G880" s="0" t="s">
        <v>3746</v>
      </c>
      <c r="H880" s="0" t="s">
        <v>3763</v>
      </c>
      <c r="I880" s="0" t="s">
        <v>1245</v>
      </c>
      <c r="J880" s="0" t="s">
        <v>1245</v>
      </c>
      <c r="K880" s="0" t="s">
        <v>498</v>
      </c>
      <c r="L880" s="0" t="s">
        <v>101</v>
      </c>
      <c r="M880" s="0" t="s">
        <v>3764</v>
      </c>
      <c r="N880" s="0" t="s">
        <v>101</v>
      </c>
      <c r="P880" s="0" t="s">
        <v>102</v>
      </c>
      <c r="Q880" s="0" t="s">
        <v>102</v>
      </c>
      <c r="R880" s="0" t="s">
        <v>113</v>
      </c>
      <c r="S880" s="0" t="s">
        <v>21</v>
      </c>
      <c r="T880" s="0" t="s">
        <v>104</v>
      </c>
      <c r="U880" s="0" t="s">
        <v>368</v>
      </c>
      <c r="W880" s="0" t="s">
        <v>105</v>
      </c>
      <c r="X880" s="0" t="s">
        <v>3765</v>
      </c>
      <c r="Y880" s="0" t="s">
        <v>3766</v>
      </c>
      <c r="Z880" s="0" t="s">
        <v>3754</v>
      </c>
      <c r="AA880" s="0" t="s">
        <v>172</v>
      </c>
    </row>
    <row r="881" customFormat="false" ht="15" hidden="false" customHeight="false" outlineLevel="0" collapsed="false">
      <c r="A881" s="0" t="s">
        <v>21</v>
      </c>
      <c r="B881" s="0" t="s">
        <v>3767</v>
      </c>
      <c r="C881" s="0" t="s">
        <v>97</v>
      </c>
      <c r="D881" s="0" t="s">
        <v>3768</v>
      </c>
      <c r="E881" s="0" t="s">
        <v>3768</v>
      </c>
      <c r="G881" s="0" t="s">
        <v>3392</v>
      </c>
      <c r="H881" s="0" t="s">
        <v>3256</v>
      </c>
      <c r="I881" s="0" t="s">
        <v>655</v>
      </c>
      <c r="J881" s="0" t="s">
        <v>100</v>
      </c>
      <c r="K881" s="0" t="s">
        <v>168</v>
      </c>
      <c r="L881" s="0" t="s">
        <v>101</v>
      </c>
      <c r="M881" s="0" t="s">
        <v>656</v>
      </c>
      <c r="N881" s="0" t="s">
        <v>101</v>
      </c>
      <c r="P881" s="0" t="s">
        <v>102</v>
      </c>
      <c r="Q881" s="0" t="s">
        <v>102</v>
      </c>
      <c r="R881" s="0" t="s">
        <v>113</v>
      </c>
      <c r="S881" s="0" t="s">
        <v>21</v>
      </c>
      <c r="T881" s="0" t="s">
        <v>104</v>
      </c>
      <c r="W881" s="0" t="s">
        <v>105</v>
      </c>
      <c r="X881" s="0" t="s">
        <v>3258</v>
      </c>
      <c r="Y881" s="0" t="s">
        <v>3259</v>
      </c>
      <c r="Z881" s="0" t="s">
        <v>159</v>
      </c>
      <c r="AA881" s="0" t="s">
        <v>172</v>
      </c>
    </row>
    <row r="882" customFormat="false" ht="15" hidden="false" customHeight="false" outlineLevel="0" collapsed="false">
      <c r="A882" s="0" t="s">
        <v>21</v>
      </c>
      <c r="B882" s="0" t="s">
        <v>3769</v>
      </c>
      <c r="C882" s="0" t="s">
        <v>97</v>
      </c>
      <c r="D882" s="0" t="s">
        <v>3770</v>
      </c>
      <c r="E882" s="0" t="s">
        <v>3771</v>
      </c>
      <c r="G882" s="0" t="s">
        <v>3392</v>
      </c>
      <c r="H882" s="0" t="s">
        <v>3256</v>
      </c>
      <c r="I882" s="0" t="s">
        <v>655</v>
      </c>
      <c r="J882" s="0" t="s">
        <v>100</v>
      </c>
      <c r="K882" s="0" t="s">
        <v>168</v>
      </c>
      <c r="L882" s="0" t="s">
        <v>101</v>
      </c>
      <c r="M882" s="0" t="s">
        <v>656</v>
      </c>
      <c r="N882" s="0" t="s">
        <v>101</v>
      </c>
      <c r="P882" s="0" t="s">
        <v>102</v>
      </c>
      <c r="Q882" s="0" t="s">
        <v>102</v>
      </c>
      <c r="R882" s="0" t="s">
        <v>137</v>
      </c>
      <c r="S882" s="0" t="s">
        <v>21</v>
      </c>
      <c r="T882" s="0" t="s">
        <v>104</v>
      </c>
      <c r="W882" s="0" t="s">
        <v>105</v>
      </c>
      <c r="X882" s="0" t="s">
        <v>3258</v>
      </c>
      <c r="Y882" s="0" t="s">
        <v>3259</v>
      </c>
      <c r="Z882" s="0" t="s">
        <v>159</v>
      </c>
      <c r="AA882" s="0" t="s">
        <v>172</v>
      </c>
    </row>
    <row r="883" customFormat="false" ht="15" hidden="false" customHeight="false" outlineLevel="0" collapsed="false">
      <c r="A883" s="0" t="s">
        <v>21</v>
      </c>
      <c r="B883" s="0" t="s">
        <v>3772</v>
      </c>
      <c r="C883" s="0" t="s">
        <v>97</v>
      </c>
      <c r="D883" s="0" t="s">
        <v>3773</v>
      </c>
      <c r="E883" s="0" t="s">
        <v>3774</v>
      </c>
      <c r="G883" s="0" t="s">
        <v>3392</v>
      </c>
      <c r="H883" s="0" t="s">
        <v>3256</v>
      </c>
      <c r="I883" s="0" t="s">
        <v>655</v>
      </c>
      <c r="J883" s="0" t="s">
        <v>100</v>
      </c>
      <c r="K883" s="0" t="s">
        <v>1169</v>
      </c>
      <c r="L883" s="0" t="s">
        <v>101</v>
      </c>
      <c r="M883" s="0" t="s">
        <v>656</v>
      </c>
      <c r="N883" s="0" t="s">
        <v>101</v>
      </c>
      <c r="P883" s="0" t="s">
        <v>102</v>
      </c>
      <c r="Q883" s="0" t="s">
        <v>102</v>
      </c>
      <c r="R883" s="0" t="s">
        <v>137</v>
      </c>
      <c r="S883" s="0" t="s">
        <v>21</v>
      </c>
      <c r="T883" s="0" t="s">
        <v>104</v>
      </c>
      <c r="W883" s="0" t="s">
        <v>105</v>
      </c>
      <c r="X883" s="0" t="s">
        <v>3258</v>
      </c>
      <c r="Y883" s="0" t="s">
        <v>3259</v>
      </c>
      <c r="Z883" s="0" t="s">
        <v>159</v>
      </c>
      <c r="AA883" s="0" t="s">
        <v>172</v>
      </c>
    </row>
    <row r="884" customFormat="false" ht="15" hidden="false" customHeight="false" outlineLevel="0" collapsed="false">
      <c r="A884" s="0" t="s">
        <v>21</v>
      </c>
      <c r="B884" s="0" t="s">
        <v>3775</v>
      </c>
      <c r="C884" s="0" t="s">
        <v>110</v>
      </c>
      <c r="D884" s="0" t="s">
        <v>3776</v>
      </c>
      <c r="E884" s="0" t="s">
        <v>3777</v>
      </c>
      <c r="F884" s="0" t="s">
        <v>3777</v>
      </c>
      <c r="H884" s="0" t="s">
        <v>3778</v>
      </c>
      <c r="I884" s="0" t="s">
        <v>3407</v>
      </c>
      <c r="J884" s="0" t="s">
        <v>275</v>
      </c>
      <c r="K884" s="0" t="s">
        <v>3408</v>
      </c>
      <c r="L884" s="0" t="s">
        <v>124</v>
      </c>
      <c r="M884" s="0" t="s">
        <v>3407</v>
      </c>
      <c r="N884" s="0" t="s">
        <v>124</v>
      </c>
      <c r="P884" s="0" t="s">
        <v>102</v>
      </c>
      <c r="Q884" s="0" t="s">
        <v>102</v>
      </c>
      <c r="R884" s="0" t="s">
        <v>113</v>
      </c>
      <c r="S884" s="0" t="s">
        <v>21</v>
      </c>
      <c r="T884" s="0" t="s">
        <v>104</v>
      </c>
      <c r="W884" s="0" t="s">
        <v>105</v>
      </c>
      <c r="X884" s="0" t="s">
        <v>3779</v>
      </c>
      <c r="Y884" s="0" t="s">
        <v>3780</v>
      </c>
      <c r="Z884" s="0" t="s">
        <v>3781</v>
      </c>
      <c r="AB884" s="0" t="s">
        <v>820</v>
      </c>
    </row>
    <row r="885" customFormat="false" ht="15" hidden="false" customHeight="false" outlineLevel="0" collapsed="false">
      <c r="A885" s="0" t="s">
        <v>21</v>
      </c>
      <c r="B885" s="0" t="s">
        <v>3782</v>
      </c>
      <c r="C885" s="0" t="s">
        <v>110</v>
      </c>
      <c r="D885" s="0" t="s">
        <v>3783</v>
      </c>
      <c r="E885" s="0" t="s">
        <v>3784</v>
      </c>
      <c r="G885" s="0" t="s">
        <v>3785</v>
      </c>
      <c r="H885" s="0" t="s">
        <v>387</v>
      </c>
      <c r="I885" s="0" t="s">
        <v>388</v>
      </c>
      <c r="J885" s="0" t="s">
        <v>157</v>
      </c>
      <c r="K885" s="0" t="s">
        <v>389</v>
      </c>
      <c r="L885" s="0" t="s">
        <v>124</v>
      </c>
      <c r="M885" s="0" t="s">
        <v>232</v>
      </c>
      <c r="N885" s="0" t="s">
        <v>124</v>
      </c>
      <c r="P885" s="0" t="s">
        <v>102</v>
      </c>
      <c r="Q885" s="0" t="s">
        <v>102</v>
      </c>
      <c r="R885" s="0" t="s">
        <v>113</v>
      </c>
      <c r="S885" s="0" t="s">
        <v>21</v>
      </c>
      <c r="T885" s="0" t="s">
        <v>104</v>
      </c>
      <c r="W885" s="0" t="s">
        <v>105</v>
      </c>
      <c r="X885" s="0" t="s">
        <v>3786</v>
      </c>
      <c r="Y885" s="0" t="s">
        <v>3787</v>
      </c>
      <c r="Z885" s="0" t="s">
        <v>3781</v>
      </c>
      <c r="AB885" s="0" t="s">
        <v>209</v>
      </c>
    </row>
    <row r="886" customFormat="false" ht="15" hidden="false" customHeight="false" outlineLevel="0" collapsed="false">
      <c r="A886" s="0" t="s">
        <v>21</v>
      </c>
      <c r="B886" s="0" t="s">
        <v>3788</v>
      </c>
      <c r="C886" s="0" t="s">
        <v>190</v>
      </c>
      <c r="E886" s="0" t="s">
        <v>3789</v>
      </c>
      <c r="H886" s="0" t="s">
        <v>3790</v>
      </c>
      <c r="I886" s="0" t="s">
        <v>3791</v>
      </c>
      <c r="J886" s="0" t="s">
        <v>254</v>
      </c>
      <c r="K886" s="0" t="s">
        <v>3792</v>
      </c>
      <c r="L886" s="0" t="s">
        <v>124</v>
      </c>
      <c r="M886" s="0" t="s">
        <v>208</v>
      </c>
      <c r="N886" s="0" t="s">
        <v>124</v>
      </c>
      <c r="P886" s="0" t="s">
        <v>130</v>
      </c>
      <c r="Q886" s="0" t="s">
        <v>130</v>
      </c>
      <c r="R886" s="0" t="s">
        <v>144</v>
      </c>
      <c r="S886" s="0" t="s">
        <v>21</v>
      </c>
      <c r="T886" s="0" t="s">
        <v>104</v>
      </c>
      <c r="W886" s="0" t="s">
        <v>105</v>
      </c>
      <c r="X886" s="0" t="s">
        <v>3793</v>
      </c>
      <c r="Y886" s="0" t="s">
        <v>3794</v>
      </c>
      <c r="Z886" s="0" t="s">
        <v>306</v>
      </c>
      <c r="AB886" s="0" t="s">
        <v>3795</v>
      </c>
    </row>
    <row r="887" customFormat="false" ht="15" hidden="false" customHeight="false" outlineLevel="0" collapsed="false">
      <c r="A887" s="0" t="s">
        <v>21</v>
      </c>
      <c r="B887" s="0" t="s">
        <v>3796</v>
      </c>
      <c r="C887" s="0" t="s">
        <v>771</v>
      </c>
      <c r="D887" s="0" t="s">
        <v>2005</v>
      </c>
      <c r="E887" s="0" t="s">
        <v>3797</v>
      </c>
      <c r="M887" s="0" t="s">
        <v>136</v>
      </c>
      <c r="N887" s="0" t="s">
        <v>124</v>
      </c>
      <c r="P887" s="0" t="s">
        <v>102</v>
      </c>
      <c r="Q887" s="0" t="s">
        <v>102</v>
      </c>
      <c r="R887" s="0" t="s">
        <v>137</v>
      </c>
      <c r="S887" s="0" t="s">
        <v>21</v>
      </c>
      <c r="T887" s="0" t="s">
        <v>104</v>
      </c>
      <c r="W887" s="0" t="s">
        <v>105</v>
      </c>
    </row>
    <row r="888" customFormat="false" ht="15" hidden="false" customHeight="false" outlineLevel="0" collapsed="false">
      <c r="A888" s="0" t="s">
        <v>21</v>
      </c>
      <c r="B888" s="0" t="s">
        <v>3796</v>
      </c>
      <c r="C888" s="0" t="s">
        <v>771</v>
      </c>
      <c r="D888" s="0" t="s">
        <v>2005</v>
      </c>
      <c r="E888" s="0" t="s">
        <v>3797</v>
      </c>
      <c r="M888" s="0" t="s">
        <v>136</v>
      </c>
      <c r="N888" s="0" t="s">
        <v>124</v>
      </c>
      <c r="P888" s="0" t="s">
        <v>26</v>
      </c>
      <c r="Q888" s="0" t="s">
        <v>26</v>
      </c>
      <c r="R888" s="0" t="s">
        <v>26</v>
      </c>
      <c r="S888" s="0" t="s">
        <v>21</v>
      </c>
      <c r="T888" s="0" t="s">
        <v>104</v>
      </c>
      <c r="W888" s="0" t="s">
        <v>183</v>
      </c>
    </row>
    <row r="889" customFormat="false" ht="15" hidden="false" customHeight="false" outlineLevel="0" collapsed="false">
      <c r="A889" s="0" t="s">
        <v>21</v>
      </c>
      <c r="B889" s="0" t="s">
        <v>3798</v>
      </c>
      <c r="C889" s="0" t="s">
        <v>771</v>
      </c>
      <c r="D889" s="0" t="s">
        <v>2036</v>
      </c>
      <c r="E889" s="0" t="s">
        <v>2036</v>
      </c>
      <c r="M889" s="0" t="s">
        <v>136</v>
      </c>
      <c r="N889" s="0" t="s">
        <v>124</v>
      </c>
      <c r="P889" s="0" t="s">
        <v>102</v>
      </c>
      <c r="Q889" s="0" t="s">
        <v>102</v>
      </c>
      <c r="R889" s="0" t="s">
        <v>137</v>
      </c>
      <c r="S889" s="0" t="s">
        <v>21</v>
      </c>
      <c r="T889" s="0" t="s">
        <v>104</v>
      </c>
      <c r="W889" s="0" t="s">
        <v>105</v>
      </c>
    </row>
    <row r="890" customFormat="false" ht="15" hidden="false" customHeight="false" outlineLevel="0" collapsed="false">
      <c r="A890" s="0" t="s">
        <v>21</v>
      </c>
      <c r="B890" s="0" t="s">
        <v>3798</v>
      </c>
      <c r="C890" s="0" t="s">
        <v>771</v>
      </c>
      <c r="D890" s="0" t="s">
        <v>2036</v>
      </c>
      <c r="E890" s="0" t="s">
        <v>2036</v>
      </c>
      <c r="M890" s="0" t="s">
        <v>136</v>
      </c>
      <c r="N890" s="0" t="s">
        <v>124</v>
      </c>
      <c r="P890" s="0" t="s">
        <v>26</v>
      </c>
      <c r="Q890" s="0" t="s">
        <v>26</v>
      </c>
      <c r="R890" s="0" t="s">
        <v>26</v>
      </c>
      <c r="S890" s="0" t="s">
        <v>21</v>
      </c>
      <c r="T890" s="0" t="s">
        <v>104</v>
      </c>
      <c r="W890" s="0" t="s">
        <v>183</v>
      </c>
    </row>
    <row r="891" customFormat="false" ht="15" hidden="false" customHeight="false" outlineLevel="0" collapsed="false">
      <c r="A891" s="0" t="s">
        <v>21</v>
      </c>
      <c r="B891" s="0" t="s">
        <v>3799</v>
      </c>
      <c r="C891" s="0" t="s">
        <v>771</v>
      </c>
      <c r="D891" s="0" t="s">
        <v>3800</v>
      </c>
      <c r="E891" s="0" t="s">
        <v>3801</v>
      </c>
      <c r="M891" s="0" t="s">
        <v>232</v>
      </c>
      <c r="N891" s="0" t="s">
        <v>124</v>
      </c>
      <c r="P891" s="0" t="s">
        <v>233</v>
      </c>
      <c r="Q891" s="0" t="s">
        <v>233</v>
      </c>
      <c r="R891" s="0" t="s">
        <v>233</v>
      </c>
      <c r="S891" s="0" t="s">
        <v>21</v>
      </c>
      <c r="T891" s="0" t="s">
        <v>104</v>
      </c>
      <c r="W891" s="0" t="s">
        <v>183</v>
      </c>
    </row>
    <row r="892" customFormat="false" ht="15" hidden="false" customHeight="false" outlineLevel="0" collapsed="false">
      <c r="A892" s="0" t="s">
        <v>21</v>
      </c>
      <c r="B892" s="0" t="s">
        <v>3799</v>
      </c>
      <c r="C892" s="0" t="s">
        <v>771</v>
      </c>
      <c r="D892" s="0" t="s">
        <v>3800</v>
      </c>
      <c r="E892" s="0" t="s">
        <v>3801</v>
      </c>
      <c r="M892" s="0" t="s">
        <v>232</v>
      </c>
      <c r="N892" s="0" t="s">
        <v>124</v>
      </c>
      <c r="P892" s="0" t="s">
        <v>102</v>
      </c>
      <c r="Q892" s="0" t="s">
        <v>102</v>
      </c>
      <c r="R892" s="0" t="s">
        <v>234</v>
      </c>
      <c r="S892" s="0" t="s">
        <v>21</v>
      </c>
      <c r="T892" s="0" t="s">
        <v>104</v>
      </c>
      <c r="V892" s="0" t="s">
        <v>235</v>
      </c>
      <c r="W892" s="0" t="s">
        <v>105</v>
      </c>
    </row>
    <row r="893" customFormat="false" ht="15" hidden="false" customHeight="false" outlineLevel="0" collapsed="false">
      <c r="A893" s="0" t="s">
        <v>21</v>
      </c>
      <c r="B893" s="0" t="s">
        <v>3799</v>
      </c>
      <c r="C893" s="0" t="s">
        <v>771</v>
      </c>
      <c r="D893" s="0" t="s">
        <v>3800</v>
      </c>
      <c r="E893" s="0" t="s">
        <v>3801</v>
      </c>
      <c r="M893" s="0" t="s">
        <v>232</v>
      </c>
      <c r="N893" s="0" t="s">
        <v>124</v>
      </c>
      <c r="P893" s="0" t="s">
        <v>26</v>
      </c>
      <c r="Q893" s="0" t="s">
        <v>26</v>
      </c>
      <c r="R893" s="0" t="s">
        <v>26</v>
      </c>
      <c r="S893" s="0" t="s">
        <v>21</v>
      </c>
      <c r="T893" s="0" t="s">
        <v>104</v>
      </c>
      <c r="W893" s="0" t="s">
        <v>183</v>
      </c>
    </row>
    <row r="894" customFormat="false" ht="15" hidden="false" customHeight="false" outlineLevel="0" collapsed="false">
      <c r="A894" s="0" t="s">
        <v>21</v>
      </c>
      <c r="B894" s="0" t="s">
        <v>3799</v>
      </c>
      <c r="C894" s="0" t="s">
        <v>771</v>
      </c>
      <c r="D894" s="0" t="s">
        <v>3800</v>
      </c>
      <c r="E894" s="0" t="s">
        <v>3801</v>
      </c>
      <c r="M894" s="0" t="s">
        <v>232</v>
      </c>
      <c r="N894" s="0" t="s">
        <v>124</v>
      </c>
      <c r="P894" s="0" t="s">
        <v>236</v>
      </c>
      <c r="Q894" s="0" t="s">
        <v>236</v>
      </c>
      <c r="R894" s="0" t="s">
        <v>237</v>
      </c>
      <c r="S894" s="0" t="s">
        <v>21</v>
      </c>
      <c r="T894" s="0" t="s">
        <v>104</v>
      </c>
      <c r="U894" s="0" t="s">
        <v>238</v>
      </c>
      <c r="W894" s="0" t="s">
        <v>105</v>
      </c>
    </row>
    <row r="895" customFormat="false" ht="15" hidden="false" customHeight="false" outlineLevel="0" collapsed="false">
      <c r="A895" s="0" t="s">
        <v>21</v>
      </c>
      <c r="B895" s="0" t="s">
        <v>3802</v>
      </c>
      <c r="C895" s="0" t="s">
        <v>97</v>
      </c>
      <c r="D895" s="0" t="s">
        <v>229</v>
      </c>
      <c r="E895" s="0" t="s">
        <v>229</v>
      </c>
      <c r="M895" s="0" t="s">
        <v>136</v>
      </c>
      <c r="N895" s="0" t="s">
        <v>124</v>
      </c>
      <c r="P895" s="0" t="s">
        <v>233</v>
      </c>
      <c r="Q895" s="0" t="s">
        <v>233</v>
      </c>
      <c r="R895" s="0" t="s">
        <v>233</v>
      </c>
      <c r="S895" s="0" t="s">
        <v>21</v>
      </c>
      <c r="T895" s="0" t="s">
        <v>104</v>
      </c>
      <c r="W895" s="0" t="s">
        <v>183</v>
      </c>
    </row>
    <row r="896" customFormat="false" ht="15" hidden="false" customHeight="false" outlineLevel="0" collapsed="false">
      <c r="A896" s="0" t="s">
        <v>21</v>
      </c>
      <c r="B896" s="0" t="s">
        <v>3802</v>
      </c>
      <c r="C896" s="0" t="s">
        <v>97</v>
      </c>
      <c r="D896" s="0" t="s">
        <v>229</v>
      </c>
      <c r="E896" s="0" t="s">
        <v>229</v>
      </c>
      <c r="M896" s="0" t="s">
        <v>136</v>
      </c>
      <c r="N896" s="0" t="s">
        <v>124</v>
      </c>
      <c r="P896" s="0" t="s">
        <v>102</v>
      </c>
      <c r="Q896" s="0" t="s">
        <v>102</v>
      </c>
      <c r="R896" s="0" t="s">
        <v>234</v>
      </c>
      <c r="S896" s="0" t="s">
        <v>21</v>
      </c>
      <c r="T896" s="0" t="s">
        <v>104</v>
      </c>
      <c r="V896" s="0" t="s">
        <v>235</v>
      </c>
      <c r="W896" s="0" t="s">
        <v>105</v>
      </c>
    </row>
    <row r="897" customFormat="false" ht="15" hidden="false" customHeight="false" outlineLevel="0" collapsed="false">
      <c r="A897" s="0" t="s">
        <v>21</v>
      </c>
      <c r="B897" s="0" t="s">
        <v>3802</v>
      </c>
      <c r="C897" s="0" t="s">
        <v>97</v>
      </c>
      <c r="D897" s="0" t="s">
        <v>229</v>
      </c>
      <c r="E897" s="0" t="s">
        <v>229</v>
      </c>
      <c r="M897" s="0" t="s">
        <v>136</v>
      </c>
      <c r="N897" s="0" t="s">
        <v>124</v>
      </c>
      <c r="P897" s="0" t="s">
        <v>26</v>
      </c>
      <c r="Q897" s="0" t="s">
        <v>26</v>
      </c>
      <c r="R897" s="0" t="s">
        <v>26</v>
      </c>
      <c r="S897" s="0" t="s">
        <v>21</v>
      </c>
      <c r="T897" s="0" t="s">
        <v>104</v>
      </c>
      <c r="W897" s="0" t="s">
        <v>183</v>
      </c>
    </row>
    <row r="898" customFormat="false" ht="15" hidden="false" customHeight="false" outlineLevel="0" collapsed="false">
      <c r="A898" s="0" t="s">
        <v>21</v>
      </c>
      <c r="B898" s="0" t="s">
        <v>3802</v>
      </c>
      <c r="C898" s="0" t="s">
        <v>97</v>
      </c>
      <c r="D898" s="0" t="s">
        <v>229</v>
      </c>
      <c r="E898" s="0" t="s">
        <v>229</v>
      </c>
      <c r="M898" s="0" t="s">
        <v>136</v>
      </c>
      <c r="N898" s="0" t="s">
        <v>124</v>
      </c>
      <c r="P898" s="0" t="s">
        <v>236</v>
      </c>
      <c r="Q898" s="0" t="s">
        <v>236</v>
      </c>
      <c r="R898" s="0" t="s">
        <v>237</v>
      </c>
      <c r="S898" s="0" t="s">
        <v>21</v>
      </c>
      <c r="T898" s="0" t="s">
        <v>104</v>
      </c>
      <c r="U898" s="0" t="s">
        <v>238</v>
      </c>
      <c r="W898" s="0" t="s">
        <v>105</v>
      </c>
    </row>
    <row r="899" customFormat="false" ht="15" hidden="false" customHeight="false" outlineLevel="0" collapsed="false">
      <c r="A899" s="0" t="s">
        <v>21</v>
      </c>
      <c r="B899" s="0" t="s">
        <v>3803</v>
      </c>
      <c r="C899" s="0" t="s">
        <v>771</v>
      </c>
      <c r="D899" s="0" t="s">
        <v>3804</v>
      </c>
      <c r="E899" s="0" t="s">
        <v>3805</v>
      </c>
      <c r="M899" s="0" t="s">
        <v>143</v>
      </c>
      <c r="N899" s="0" t="s">
        <v>124</v>
      </c>
      <c r="P899" s="0" t="s">
        <v>102</v>
      </c>
      <c r="Q899" s="0" t="s">
        <v>102</v>
      </c>
      <c r="R899" s="0" t="s">
        <v>144</v>
      </c>
      <c r="S899" s="0" t="s">
        <v>21</v>
      </c>
      <c r="T899" s="0" t="s">
        <v>104</v>
      </c>
      <c r="W899" s="0" t="s">
        <v>105</v>
      </c>
    </row>
    <row r="900" customFormat="false" ht="15" hidden="false" customHeight="false" outlineLevel="0" collapsed="false">
      <c r="A900" s="0" t="s">
        <v>21</v>
      </c>
      <c r="B900" s="0" t="s">
        <v>3803</v>
      </c>
      <c r="C900" s="0" t="s">
        <v>771</v>
      </c>
      <c r="D900" s="0" t="s">
        <v>3804</v>
      </c>
      <c r="E900" s="0" t="s">
        <v>3805</v>
      </c>
      <c r="M900" s="0" t="s">
        <v>143</v>
      </c>
      <c r="N900" s="0" t="s">
        <v>124</v>
      </c>
      <c r="P900" s="0" t="s">
        <v>26</v>
      </c>
      <c r="Q900" s="0" t="s">
        <v>26</v>
      </c>
      <c r="R900" s="0" t="s">
        <v>26</v>
      </c>
      <c r="S900" s="0" t="s">
        <v>21</v>
      </c>
      <c r="T900" s="0" t="s">
        <v>104</v>
      </c>
      <c r="W900" s="0" t="s">
        <v>183</v>
      </c>
    </row>
    <row r="901" customFormat="false" ht="15" hidden="false" customHeight="false" outlineLevel="0" collapsed="false">
      <c r="A901" s="0" t="s">
        <v>21</v>
      </c>
      <c r="B901" s="0" t="s">
        <v>3806</v>
      </c>
      <c r="C901" s="0" t="s">
        <v>771</v>
      </c>
      <c r="D901" s="0" t="s">
        <v>3807</v>
      </c>
      <c r="E901" s="0" t="s">
        <v>3808</v>
      </c>
      <c r="M901" s="0" t="s">
        <v>232</v>
      </c>
      <c r="N901" s="0" t="s">
        <v>124</v>
      </c>
      <c r="P901" s="0" t="s">
        <v>102</v>
      </c>
      <c r="Q901" s="0" t="s">
        <v>102</v>
      </c>
      <c r="R901" s="0" t="s">
        <v>131</v>
      </c>
      <c r="S901" s="0" t="s">
        <v>21</v>
      </c>
      <c r="T901" s="0" t="s">
        <v>104</v>
      </c>
      <c r="W901" s="0" t="s">
        <v>105</v>
      </c>
    </row>
    <row r="902" customFormat="false" ht="15" hidden="false" customHeight="false" outlineLevel="0" collapsed="false">
      <c r="A902" s="0" t="s">
        <v>21</v>
      </c>
      <c r="B902" s="0" t="s">
        <v>3806</v>
      </c>
      <c r="C902" s="0" t="s">
        <v>771</v>
      </c>
      <c r="D902" s="0" t="s">
        <v>3807</v>
      </c>
      <c r="E902" s="0" t="s">
        <v>3808</v>
      </c>
      <c r="M902" s="0" t="s">
        <v>232</v>
      </c>
      <c r="N902" s="0" t="s">
        <v>124</v>
      </c>
      <c r="P902" s="0" t="s">
        <v>26</v>
      </c>
      <c r="Q902" s="0" t="s">
        <v>26</v>
      </c>
      <c r="R902" s="0" t="s">
        <v>26</v>
      </c>
      <c r="S902" s="0" t="s">
        <v>21</v>
      </c>
      <c r="T902" s="0" t="s">
        <v>104</v>
      </c>
      <c r="W902" s="0" t="s">
        <v>183</v>
      </c>
    </row>
    <row r="903" customFormat="false" ht="15" hidden="false" customHeight="false" outlineLevel="0" collapsed="false">
      <c r="A903" s="0" t="s">
        <v>21</v>
      </c>
      <c r="B903" s="0" t="s">
        <v>3809</v>
      </c>
      <c r="C903" s="0" t="s">
        <v>771</v>
      </c>
      <c r="D903" s="0" t="s">
        <v>3810</v>
      </c>
      <c r="E903" s="0" t="s">
        <v>3811</v>
      </c>
      <c r="F903" s="0" t="s">
        <v>3811</v>
      </c>
      <c r="M903" s="0" t="s">
        <v>178</v>
      </c>
      <c r="N903" s="0" t="s">
        <v>124</v>
      </c>
      <c r="P903" s="0" t="s">
        <v>102</v>
      </c>
      <c r="Q903" s="0" t="s">
        <v>102</v>
      </c>
      <c r="R903" s="0" t="s">
        <v>113</v>
      </c>
      <c r="S903" s="0" t="s">
        <v>21</v>
      </c>
      <c r="T903" s="0" t="s">
        <v>104</v>
      </c>
      <c r="W903" s="0" t="s">
        <v>105</v>
      </c>
    </row>
    <row r="904" customFormat="false" ht="15" hidden="false" customHeight="false" outlineLevel="0" collapsed="false">
      <c r="A904" s="0" t="s">
        <v>21</v>
      </c>
      <c r="B904" s="0" t="s">
        <v>3809</v>
      </c>
      <c r="C904" s="0" t="s">
        <v>771</v>
      </c>
      <c r="D904" s="0" t="s">
        <v>3810</v>
      </c>
      <c r="E904" s="0" t="s">
        <v>3811</v>
      </c>
      <c r="F904" s="0" t="s">
        <v>3811</v>
      </c>
      <c r="M904" s="0" t="s">
        <v>178</v>
      </c>
      <c r="N904" s="0" t="s">
        <v>124</v>
      </c>
      <c r="P904" s="0" t="s">
        <v>26</v>
      </c>
      <c r="Q904" s="0" t="s">
        <v>26</v>
      </c>
      <c r="R904" s="0" t="s">
        <v>26</v>
      </c>
      <c r="S904" s="0" t="s">
        <v>21</v>
      </c>
      <c r="T904" s="0" t="s">
        <v>104</v>
      </c>
      <c r="W904" s="0" t="s">
        <v>183</v>
      </c>
    </row>
    <row r="905" customFormat="false" ht="15" hidden="false" customHeight="false" outlineLevel="0" collapsed="false">
      <c r="A905" s="0" t="s">
        <v>21</v>
      </c>
      <c r="B905" s="0" t="s">
        <v>3812</v>
      </c>
      <c r="C905" s="0" t="s">
        <v>771</v>
      </c>
      <c r="D905" s="0" t="s">
        <v>3813</v>
      </c>
      <c r="E905" s="0" t="s">
        <v>3814</v>
      </c>
      <c r="M905" s="0" t="s">
        <v>136</v>
      </c>
      <c r="N905" s="0" t="s">
        <v>124</v>
      </c>
      <c r="P905" s="0" t="s">
        <v>26</v>
      </c>
      <c r="Q905" s="0" t="s">
        <v>26</v>
      </c>
      <c r="R905" s="0" t="s">
        <v>26</v>
      </c>
      <c r="S905" s="0" t="s">
        <v>21</v>
      </c>
      <c r="T905" s="0" t="s">
        <v>104</v>
      </c>
      <c r="W905" s="0" t="s">
        <v>183</v>
      </c>
    </row>
    <row r="906" customFormat="false" ht="15" hidden="false" customHeight="false" outlineLevel="0" collapsed="false">
      <c r="A906" s="0" t="s">
        <v>21</v>
      </c>
      <c r="B906" s="0" t="s">
        <v>3812</v>
      </c>
      <c r="C906" s="0" t="s">
        <v>771</v>
      </c>
      <c r="D906" s="0" t="s">
        <v>3813</v>
      </c>
      <c r="E906" s="0" t="s">
        <v>3814</v>
      </c>
      <c r="M906" s="0" t="s">
        <v>136</v>
      </c>
      <c r="N906" s="0" t="s">
        <v>124</v>
      </c>
      <c r="P906" s="0" t="s">
        <v>236</v>
      </c>
      <c r="Q906" s="0" t="s">
        <v>236</v>
      </c>
      <c r="R906" s="0" t="s">
        <v>103</v>
      </c>
      <c r="S906" s="0" t="s">
        <v>21</v>
      </c>
      <c r="T906" s="0" t="s">
        <v>104</v>
      </c>
      <c r="W906" s="0" t="s">
        <v>105</v>
      </c>
    </row>
    <row r="907" customFormat="false" ht="15" hidden="false" customHeight="false" outlineLevel="0" collapsed="false">
      <c r="A907" s="0" t="s">
        <v>21</v>
      </c>
      <c r="B907" s="0" t="s">
        <v>3815</v>
      </c>
      <c r="C907" s="0" t="s">
        <v>771</v>
      </c>
      <c r="D907" s="0" t="s">
        <v>3816</v>
      </c>
      <c r="E907" s="0" t="s">
        <v>3817</v>
      </c>
      <c r="M907" s="0" t="s">
        <v>232</v>
      </c>
      <c r="N907" s="0" t="s">
        <v>124</v>
      </c>
      <c r="P907" s="0" t="s">
        <v>233</v>
      </c>
      <c r="Q907" s="0" t="s">
        <v>233</v>
      </c>
      <c r="R907" s="0" t="s">
        <v>233</v>
      </c>
      <c r="S907" s="0" t="s">
        <v>21</v>
      </c>
      <c r="T907" s="0" t="s">
        <v>104</v>
      </c>
      <c r="W907" s="0" t="s">
        <v>183</v>
      </c>
    </row>
    <row r="908" customFormat="false" ht="15" hidden="false" customHeight="false" outlineLevel="0" collapsed="false">
      <c r="A908" s="0" t="s">
        <v>21</v>
      </c>
      <c r="B908" s="0" t="s">
        <v>3815</v>
      </c>
      <c r="C908" s="0" t="s">
        <v>771</v>
      </c>
      <c r="D908" s="0" t="s">
        <v>3816</v>
      </c>
      <c r="E908" s="0" t="s">
        <v>3817</v>
      </c>
      <c r="M908" s="0" t="s">
        <v>232</v>
      </c>
      <c r="N908" s="0" t="s">
        <v>124</v>
      </c>
      <c r="P908" s="0" t="s">
        <v>102</v>
      </c>
      <c r="Q908" s="0" t="s">
        <v>102</v>
      </c>
      <c r="R908" s="0" t="s">
        <v>234</v>
      </c>
      <c r="S908" s="0" t="s">
        <v>21</v>
      </c>
      <c r="T908" s="0" t="s">
        <v>104</v>
      </c>
      <c r="V908" s="0" t="s">
        <v>235</v>
      </c>
      <c r="W908" s="0" t="s">
        <v>105</v>
      </c>
    </row>
    <row r="909" customFormat="false" ht="15" hidden="false" customHeight="false" outlineLevel="0" collapsed="false">
      <c r="A909" s="0" t="s">
        <v>21</v>
      </c>
      <c r="B909" s="0" t="s">
        <v>3815</v>
      </c>
      <c r="C909" s="0" t="s">
        <v>771</v>
      </c>
      <c r="D909" s="0" t="s">
        <v>3816</v>
      </c>
      <c r="E909" s="0" t="s">
        <v>3817</v>
      </c>
      <c r="M909" s="0" t="s">
        <v>232</v>
      </c>
      <c r="N909" s="0" t="s">
        <v>124</v>
      </c>
      <c r="P909" s="0" t="s">
        <v>26</v>
      </c>
      <c r="Q909" s="0" t="s">
        <v>26</v>
      </c>
      <c r="R909" s="0" t="s">
        <v>26</v>
      </c>
      <c r="S909" s="0" t="s">
        <v>21</v>
      </c>
      <c r="T909" s="0" t="s">
        <v>104</v>
      </c>
      <c r="W909" s="0" t="s">
        <v>183</v>
      </c>
    </row>
    <row r="910" customFormat="false" ht="15" hidden="false" customHeight="false" outlineLevel="0" collapsed="false">
      <c r="A910" s="0" t="s">
        <v>21</v>
      </c>
      <c r="B910" s="0" t="s">
        <v>3815</v>
      </c>
      <c r="C910" s="0" t="s">
        <v>771</v>
      </c>
      <c r="D910" s="0" t="s">
        <v>3816</v>
      </c>
      <c r="E910" s="0" t="s">
        <v>3817</v>
      </c>
      <c r="M910" s="0" t="s">
        <v>232</v>
      </c>
      <c r="N910" s="0" t="s">
        <v>124</v>
      </c>
      <c r="P910" s="0" t="s">
        <v>236</v>
      </c>
      <c r="Q910" s="0" t="s">
        <v>236</v>
      </c>
      <c r="R910" s="0" t="s">
        <v>237</v>
      </c>
      <c r="S910" s="0" t="s">
        <v>21</v>
      </c>
      <c r="T910" s="0" t="s">
        <v>104</v>
      </c>
      <c r="U910" s="0" t="s">
        <v>238</v>
      </c>
      <c r="W910" s="0" t="s">
        <v>105</v>
      </c>
    </row>
    <row r="911" customFormat="false" ht="15" hidden="false" customHeight="false" outlineLevel="0" collapsed="false">
      <c r="A911" s="0" t="s">
        <v>21</v>
      </c>
      <c r="B911" s="0" t="s">
        <v>3818</v>
      </c>
      <c r="C911" s="0" t="s">
        <v>97</v>
      </c>
      <c r="D911" s="0" t="s">
        <v>3819</v>
      </c>
      <c r="E911" s="0" t="s">
        <v>3819</v>
      </c>
      <c r="M911" s="0" t="s">
        <v>136</v>
      </c>
      <c r="N911" s="0" t="s">
        <v>124</v>
      </c>
      <c r="P911" s="0" t="s">
        <v>233</v>
      </c>
      <c r="Q911" s="0" t="s">
        <v>233</v>
      </c>
      <c r="R911" s="0" t="s">
        <v>233</v>
      </c>
      <c r="S911" s="0" t="s">
        <v>21</v>
      </c>
      <c r="T911" s="0" t="s">
        <v>104</v>
      </c>
      <c r="W911" s="0" t="s">
        <v>183</v>
      </c>
    </row>
    <row r="912" customFormat="false" ht="15" hidden="false" customHeight="false" outlineLevel="0" collapsed="false">
      <c r="A912" s="0" t="s">
        <v>21</v>
      </c>
      <c r="B912" s="0" t="s">
        <v>3818</v>
      </c>
      <c r="C912" s="0" t="s">
        <v>97</v>
      </c>
      <c r="D912" s="0" t="s">
        <v>3819</v>
      </c>
      <c r="E912" s="0" t="s">
        <v>3819</v>
      </c>
      <c r="M912" s="0" t="s">
        <v>136</v>
      </c>
      <c r="N912" s="0" t="s">
        <v>124</v>
      </c>
      <c r="P912" s="0" t="s">
        <v>102</v>
      </c>
      <c r="Q912" s="0" t="s">
        <v>102</v>
      </c>
      <c r="R912" s="0" t="s">
        <v>234</v>
      </c>
      <c r="S912" s="0" t="s">
        <v>21</v>
      </c>
      <c r="T912" s="0" t="s">
        <v>104</v>
      </c>
      <c r="V912" s="0" t="s">
        <v>235</v>
      </c>
      <c r="W912" s="0" t="s">
        <v>105</v>
      </c>
    </row>
    <row r="913" customFormat="false" ht="15" hidden="false" customHeight="false" outlineLevel="0" collapsed="false">
      <c r="A913" s="0" t="s">
        <v>21</v>
      </c>
      <c r="B913" s="0" t="s">
        <v>3818</v>
      </c>
      <c r="C913" s="0" t="s">
        <v>97</v>
      </c>
      <c r="D913" s="0" t="s">
        <v>3819</v>
      </c>
      <c r="E913" s="0" t="s">
        <v>3819</v>
      </c>
      <c r="M913" s="0" t="s">
        <v>136</v>
      </c>
      <c r="N913" s="0" t="s">
        <v>124</v>
      </c>
      <c r="P913" s="0" t="s">
        <v>26</v>
      </c>
      <c r="Q913" s="0" t="s">
        <v>26</v>
      </c>
      <c r="R913" s="0" t="s">
        <v>26</v>
      </c>
      <c r="S913" s="0" t="s">
        <v>21</v>
      </c>
      <c r="T913" s="0" t="s">
        <v>104</v>
      </c>
      <c r="W913" s="0" t="s">
        <v>183</v>
      </c>
    </row>
    <row r="914" customFormat="false" ht="15" hidden="false" customHeight="false" outlineLevel="0" collapsed="false">
      <c r="A914" s="0" t="s">
        <v>21</v>
      </c>
      <c r="B914" s="0" t="s">
        <v>3818</v>
      </c>
      <c r="C914" s="0" t="s">
        <v>97</v>
      </c>
      <c r="D914" s="0" t="s">
        <v>3819</v>
      </c>
      <c r="E914" s="0" t="s">
        <v>3819</v>
      </c>
      <c r="M914" s="0" t="s">
        <v>136</v>
      </c>
      <c r="N914" s="0" t="s">
        <v>124</v>
      </c>
      <c r="P914" s="0" t="s">
        <v>236</v>
      </c>
      <c r="Q914" s="0" t="s">
        <v>236</v>
      </c>
      <c r="R914" s="0" t="s">
        <v>237</v>
      </c>
      <c r="S914" s="0" t="s">
        <v>21</v>
      </c>
      <c r="T914" s="0" t="s">
        <v>104</v>
      </c>
      <c r="U914" s="0" t="s">
        <v>238</v>
      </c>
      <c r="W914" s="0" t="s">
        <v>105</v>
      </c>
    </row>
    <row r="915" customFormat="false" ht="15" hidden="false" customHeight="false" outlineLevel="0" collapsed="false">
      <c r="A915" s="0" t="s">
        <v>21</v>
      </c>
      <c r="B915" s="0" t="s">
        <v>3820</v>
      </c>
      <c r="C915" s="0" t="s">
        <v>771</v>
      </c>
      <c r="D915" s="0" t="s">
        <v>3821</v>
      </c>
      <c r="E915" s="0" t="s">
        <v>3822</v>
      </c>
      <c r="G915" s="0" t="s">
        <v>3823</v>
      </c>
      <c r="M915" s="0" t="s">
        <v>232</v>
      </c>
      <c r="N915" s="0" t="s">
        <v>124</v>
      </c>
      <c r="P915" s="0" t="s">
        <v>102</v>
      </c>
      <c r="Q915" s="0" t="s">
        <v>102</v>
      </c>
      <c r="R915" s="0" t="s">
        <v>131</v>
      </c>
      <c r="S915" s="0" t="s">
        <v>21</v>
      </c>
      <c r="T915" s="0" t="s">
        <v>104</v>
      </c>
      <c r="W915" s="0" t="s">
        <v>105</v>
      </c>
      <c r="AB915" s="0" t="s">
        <v>209</v>
      </c>
    </row>
    <row r="916" customFormat="false" ht="15" hidden="false" customHeight="false" outlineLevel="0" collapsed="false">
      <c r="A916" s="0" t="s">
        <v>21</v>
      </c>
      <c r="B916" s="0" t="s">
        <v>3820</v>
      </c>
      <c r="C916" s="0" t="s">
        <v>771</v>
      </c>
      <c r="D916" s="0" t="s">
        <v>3821</v>
      </c>
      <c r="E916" s="0" t="s">
        <v>3822</v>
      </c>
      <c r="G916" s="0" t="s">
        <v>3823</v>
      </c>
      <c r="M916" s="0" t="s">
        <v>232</v>
      </c>
      <c r="N916" s="0" t="s">
        <v>124</v>
      </c>
      <c r="P916" s="0" t="s">
        <v>26</v>
      </c>
      <c r="Q916" s="0" t="s">
        <v>26</v>
      </c>
      <c r="R916" s="0" t="s">
        <v>26</v>
      </c>
      <c r="S916" s="0" t="s">
        <v>21</v>
      </c>
      <c r="T916" s="0" t="s">
        <v>104</v>
      </c>
      <c r="W916" s="0" t="s">
        <v>183</v>
      </c>
      <c r="AB916" s="0" t="s">
        <v>209</v>
      </c>
    </row>
    <row r="917" customFormat="false" ht="15" hidden="false" customHeight="false" outlineLevel="0" collapsed="false">
      <c r="A917" s="0" t="s">
        <v>21</v>
      </c>
      <c r="B917" s="0" t="s">
        <v>3824</v>
      </c>
      <c r="C917" s="0" t="s">
        <v>771</v>
      </c>
      <c r="D917" s="0" t="s">
        <v>3825</v>
      </c>
      <c r="E917" s="0" t="s">
        <v>3826</v>
      </c>
      <c r="M917" s="0" t="s">
        <v>136</v>
      </c>
      <c r="N917" s="0" t="s">
        <v>124</v>
      </c>
      <c r="P917" s="0" t="s">
        <v>102</v>
      </c>
      <c r="Q917" s="0" t="s">
        <v>102</v>
      </c>
      <c r="R917" s="0" t="s">
        <v>137</v>
      </c>
      <c r="S917" s="0" t="s">
        <v>21</v>
      </c>
      <c r="T917" s="0" t="s">
        <v>104</v>
      </c>
      <c r="W917" s="0" t="s">
        <v>105</v>
      </c>
    </row>
    <row r="918" customFormat="false" ht="15" hidden="false" customHeight="false" outlineLevel="0" collapsed="false">
      <c r="A918" s="0" t="s">
        <v>21</v>
      </c>
      <c r="B918" s="0" t="s">
        <v>3824</v>
      </c>
      <c r="C918" s="0" t="s">
        <v>771</v>
      </c>
      <c r="D918" s="0" t="s">
        <v>3825</v>
      </c>
      <c r="E918" s="0" t="s">
        <v>3826</v>
      </c>
      <c r="M918" s="0" t="s">
        <v>136</v>
      </c>
      <c r="N918" s="0" t="s">
        <v>124</v>
      </c>
      <c r="P918" s="0" t="s">
        <v>26</v>
      </c>
      <c r="Q918" s="0" t="s">
        <v>26</v>
      </c>
      <c r="R918" s="0" t="s">
        <v>26</v>
      </c>
      <c r="S918" s="0" t="s">
        <v>21</v>
      </c>
      <c r="T918" s="0" t="s">
        <v>104</v>
      </c>
      <c r="W918" s="0" t="s">
        <v>183</v>
      </c>
    </row>
    <row r="919" customFormat="false" ht="15" hidden="false" customHeight="false" outlineLevel="0" collapsed="false">
      <c r="A919" s="0" t="s">
        <v>21</v>
      </c>
      <c r="B919" s="0" t="s">
        <v>3827</v>
      </c>
      <c r="C919" s="0" t="s">
        <v>771</v>
      </c>
      <c r="D919" s="0" t="s">
        <v>2012</v>
      </c>
      <c r="E919" s="0" t="s">
        <v>3828</v>
      </c>
      <c r="M919" s="0" t="s">
        <v>136</v>
      </c>
      <c r="N919" s="0" t="s">
        <v>124</v>
      </c>
      <c r="P919" s="0" t="s">
        <v>102</v>
      </c>
      <c r="Q919" s="0" t="s">
        <v>102</v>
      </c>
      <c r="R919" s="0" t="s">
        <v>144</v>
      </c>
      <c r="S919" s="0" t="s">
        <v>21</v>
      </c>
      <c r="T919" s="0" t="s">
        <v>104</v>
      </c>
      <c r="W919" s="0" t="s">
        <v>105</v>
      </c>
    </row>
    <row r="920" customFormat="false" ht="15" hidden="false" customHeight="false" outlineLevel="0" collapsed="false">
      <c r="A920" s="0" t="s">
        <v>21</v>
      </c>
      <c r="B920" s="0" t="s">
        <v>3827</v>
      </c>
      <c r="C920" s="0" t="s">
        <v>771</v>
      </c>
      <c r="D920" s="0" t="s">
        <v>2012</v>
      </c>
      <c r="E920" s="0" t="s">
        <v>3828</v>
      </c>
      <c r="M920" s="0" t="s">
        <v>136</v>
      </c>
      <c r="N920" s="0" t="s">
        <v>124</v>
      </c>
      <c r="P920" s="0" t="s">
        <v>26</v>
      </c>
      <c r="Q920" s="0" t="s">
        <v>26</v>
      </c>
      <c r="R920" s="0" t="s">
        <v>26</v>
      </c>
      <c r="S920" s="0" t="s">
        <v>21</v>
      </c>
      <c r="T920" s="0" t="s">
        <v>104</v>
      </c>
      <c r="W920" s="0" t="s">
        <v>183</v>
      </c>
    </row>
    <row r="921" customFormat="false" ht="15" hidden="false" customHeight="false" outlineLevel="0" collapsed="false">
      <c r="A921" s="0" t="s">
        <v>21</v>
      </c>
      <c r="B921" s="0" t="s">
        <v>3829</v>
      </c>
      <c r="C921" s="0" t="s">
        <v>771</v>
      </c>
      <c r="D921" s="0" t="s">
        <v>3830</v>
      </c>
      <c r="E921" s="0" t="s">
        <v>3831</v>
      </c>
      <c r="M921" s="0" t="s">
        <v>1934</v>
      </c>
      <c r="N921" s="0" t="s">
        <v>124</v>
      </c>
      <c r="P921" s="0" t="s">
        <v>102</v>
      </c>
      <c r="Q921" s="0" t="s">
        <v>102</v>
      </c>
      <c r="R921" s="0" t="s">
        <v>144</v>
      </c>
      <c r="S921" s="0" t="s">
        <v>21</v>
      </c>
      <c r="T921" s="0" t="s">
        <v>104</v>
      </c>
      <c r="W921" s="0" t="s">
        <v>105</v>
      </c>
    </row>
    <row r="922" customFormat="false" ht="15" hidden="false" customHeight="false" outlineLevel="0" collapsed="false">
      <c r="A922" s="0" t="s">
        <v>21</v>
      </c>
      <c r="B922" s="0" t="s">
        <v>3829</v>
      </c>
      <c r="C922" s="0" t="s">
        <v>771</v>
      </c>
      <c r="D922" s="0" t="s">
        <v>3830</v>
      </c>
      <c r="E922" s="0" t="s">
        <v>3831</v>
      </c>
      <c r="M922" s="0" t="s">
        <v>1934</v>
      </c>
      <c r="N922" s="0" t="s">
        <v>124</v>
      </c>
      <c r="P922" s="0" t="s">
        <v>26</v>
      </c>
      <c r="Q922" s="0" t="s">
        <v>26</v>
      </c>
      <c r="R922" s="0" t="s">
        <v>26</v>
      </c>
      <c r="S922" s="0" t="s">
        <v>21</v>
      </c>
      <c r="T922" s="0" t="s">
        <v>104</v>
      </c>
      <c r="W922" s="0" t="s">
        <v>183</v>
      </c>
    </row>
    <row r="923" customFormat="false" ht="15" hidden="false" customHeight="false" outlineLevel="0" collapsed="false">
      <c r="A923" s="0" t="s">
        <v>21</v>
      </c>
      <c r="B923" s="0" t="s">
        <v>3832</v>
      </c>
      <c r="C923" s="0" t="s">
        <v>771</v>
      </c>
      <c r="D923" s="0" t="s">
        <v>3833</v>
      </c>
      <c r="E923" s="0" t="s">
        <v>3834</v>
      </c>
      <c r="M923" s="0" t="s">
        <v>136</v>
      </c>
      <c r="N923" s="0" t="s">
        <v>124</v>
      </c>
      <c r="P923" s="0" t="s">
        <v>102</v>
      </c>
      <c r="Q923" s="0" t="s">
        <v>102</v>
      </c>
      <c r="R923" s="0" t="s">
        <v>137</v>
      </c>
      <c r="S923" s="0" t="s">
        <v>21</v>
      </c>
      <c r="T923" s="0" t="s">
        <v>104</v>
      </c>
      <c r="W923" s="0" t="s">
        <v>105</v>
      </c>
    </row>
    <row r="924" customFormat="false" ht="15" hidden="false" customHeight="false" outlineLevel="0" collapsed="false">
      <c r="A924" s="0" t="s">
        <v>21</v>
      </c>
      <c r="B924" s="0" t="s">
        <v>3832</v>
      </c>
      <c r="C924" s="0" t="s">
        <v>771</v>
      </c>
      <c r="D924" s="0" t="s">
        <v>3833</v>
      </c>
      <c r="E924" s="0" t="s">
        <v>3834</v>
      </c>
      <c r="M924" s="0" t="s">
        <v>136</v>
      </c>
      <c r="N924" s="0" t="s">
        <v>124</v>
      </c>
      <c r="P924" s="0" t="s">
        <v>26</v>
      </c>
      <c r="Q924" s="0" t="s">
        <v>26</v>
      </c>
      <c r="R924" s="0" t="s">
        <v>26</v>
      </c>
      <c r="S924" s="0" t="s">
        <v>21</v>
      </c>
      <c r="T924" s="0" t="s">
        <v>104</v>
      </c>
      <c r="W924" s="0" t="s">
        <v>183</v>
      </c>
    </row>
    <row r="925" customFormat="false" ht="15" hidden="false" customHeight="false" outlineLevel="0" collapsed="false">
      <c r="A925" s="0" t="s">
        <v>21</v>
      </c>
      <c r="B925" s="0" t="s">
        <v>3835</v>
      </c>
      <c r="C925" s="0" t="s">
        <v>771</v>
      </c>
      <c r="D925" s="0" t="s">
        <v>3836</v>
      </c>
      <c r="E925" s="0" t="s">
        <v>3837</v>
      </c>
      <c r="M925" s="0" t="s">
        <v>136</v>
      </c>
      <c r="N925" s="0" t="s">
        <v>124</v>
      </c>
      <c r="P925" s="0" t="s">
        <v>26</v>
      </c>
      <c r="Q925" s="0" t="s">
        <v>26</v>
      </c>
      <c r="R925" s="0" t="s">
        <v>26</v>
      </c>
      <c r="S925" s="0" t="s">
        <v>21</v>
      </c>
      <c r="T925" s="0" t="s">
        <v>104</v>
      </c>
      <c r="W925" s="0" t="s">
        <v>183</v>
      </c>
    </row>
    <row r="926" customFormat="false" ht="15" hidden="false" customHeight="false" outlineLevel="0" collapsed="false">
      <c r="A926" s="0" t="s">
        <v>21</v>
      </c>
      <c r="B926" s="0" t="s">
        <v>3835</v>
      </c>
      <c r="C926" s="0" t="s">
        <v>771</v>
      </c>
      <c r="D926" s="0" t="s">
        <v>3836</v>
      </c>
      <c r="E926" s="0" t="s">
        <v>3837</v>
      </c>
      <c r="M926" s="0" t="s">
        <v>136</v>
      </c>
      <c r="N926" s="0" t="s">
        <v>124</v>
      </c>
      <c r="P926" s="0" t="s">
        <v>236</v>
      </c>
      <c r="Q926" s="0" t="s">
        <v>236</v>
      </c>
      <c r="R926" s="0" t="s">
        <v>957</v>
      </c>
      <c r="S926" s="0" t="s">
        <v>21</v>
      </c>
      <c r="T926" s="0" t="s">
        <v>104</v>
      </c>
      <c r="W926" s="0" t="s">
        <v>105</v>
      </c>
    </row>
    <row r="927" customFormat="false" ht="15" hidden="false" customHeight="false" outlineLevel="0" collapsed="false">
      <c r="A927" s="0" t="s">
        <v>21</v>
      </c>
      <c r="B927" s="0" t="s">
        <v>3838</v>
      </c>
      <c r="C927" s="0" t="s">
        <v>771</v>
      </c>
      <c r="D927" s="0" t="s">
        <v>2561</v>
      </c>
      <c r="E927" s="0" t="s">
        <v>3839</v>
      </c>
      <c r="M927" s="0" t="s">
        <v>136</v>
      </c>
      <c r="N927" s="0" t="s">
        <v>124</v>
      </c>
      <c r="P927" s="0" t="s">
        <v>102</v>
      </c>
      <c r="Q927" s="0" t="s">
        <v>102</v>
      </c>
      <c r="R927" s="0" t="s">
        <v>113</v>
      </c>
      <c r="S927" s="0" t="s">
        <v>21</v>
      </c>
      <c r="T927" s="0" t="s">
        <v>104</v>
      </c>
      <c r="W927" s="0" t="s">
        <v>105</v>
      </c>
    </row>
    <row r="928" customFormat="false" ht="15" hidden="false" customHeight="false" outlineLevel="0" collapsed="false">
      <c r="A928" s="0" t="s">
        <v>21</v>
      </c>
      <c r="B928" s="0" t="s">
        <v>3838</v>
      </c>
      <c r="C928" s="0" t="s">
        <v>771</v>
      </c>
      <c r="D928" s="0" t="s">
        <v>2561</v>
      </c>
      <c r="E928" s="0" t="s">
        <v>3839</v>
      </c>
      <c r="M928" s="0" t="s">
        <v>136</v>
      </c>
      <c r="N928" s="0" t="s">
        <v>124</v>
      </c>
      <c r="P928" s="0" t="s">
        <v>26</v>
      </c>
      <c r="Q928" s="0" t="s">
        <v>26</v>
      </c>
      <c r="R928" s="0" t="s">
        <v>26</v>
      </c>
      <c r="S928" s="0" t="s">
        <v>21</v>
      </c>
      <c r="T928" s="0" t="s">
        <v>104</v>
      </c>
      <c r="W928" s="0" t="s">
        <v>183</v>
      </c>
    </row>
    <row r="929" customFormat="false" ht="15" hidden="false" customHeight="false" outlineLevel="0" collapsed="false">
      <c r="A929" s="0" t="s">
        <v>21</v>
      </c>
      <c r="B929" s="0" t="s">
        <v>3840</v>
      </c>
      <c r="C929" s="0" t="s">
        <v>771</v>
      </c>
      <c r="D929" s="0" t="s">
        <v>3841</v>
      </c>
      <c r="E929" s="0" t="s">
        <v>3842</v>
      </c>
      <c r="M929" s="0" t="s">
        <v>143</v>
      </c>
      <c r="N929" s="0" t="s">
        <v>124</v>
      </c>
      <c r="P929" s="0" t="s">
        <v>102</v>
      </c>
      <c r="Q929" s="0" t="s">
        <v>102</v>
      </c>
      <c r="R929" s="0" t="s">
        <v>144</v>
      </c>
      <c r="S929" s="0" t="s">
        <v>21</v>
      </c>
      <c r="T929" s="0" t="s">
        <v>104</v>
      </c>
      <c r="W929" s="0" t="s">
        <v>105</v>
      </c>
    </row>
    <row r="930" customFormat="false" ht="15" hidden="false" customHeight="false" outlineLevel="0" collapsed="false">
      <c r="A930" s="0" t="s">
        <v>21</v>
      </c>
      <c r="B930" s="0" t="s">
        <v>3840</v>
      </c>
      <c r="C930" s="0" t="s">
        <v>771</v>
      </c>
      <c r="D930" s="0" t="s">
        <v>3841</v>
      </c>
      <c r="E930" s="0" t="s">
        <v>3842</v>
      </c>
      <c r="M930" s="0" t="s">
        <v>143</v>
      </c>
      <c r="N930" s="0" t="s">
        <v>124</v>
      </c>
      <c r="P930" s="0" t="s">
        <v>26</v>
      </c>
      <c r="Q930" s="0" t="s">
        <v>26</v>
      </c>
      <c r="R930" s="0" t="s">
        <v>26</v>
      </c>
      <c r="S930" s="0" t="s">
        <v>21</v>
      </c>
      <c r="T930" s="0" t="s">
        <v>104</v>
      </c>
      <c r="W930" s="0" t="s">
        <v>183</v>
      </c>
    </row>
    <row r="931" customFormat="false" ht="15" hidden="false" customHeight="false" outlineLevel="0" collapsed="false">
      <c r="A931" s="0" t="s">
        <v>21</v>
      </c>
      <c r="B931" s="0" t="s">
        <v>3843</v>
      </c>
      <c r="C931" s="0" t="s">
        <v>771</v>
      </c>
      <c r="D931" s="0" t="s">
        <v>3844</v>
      </c>
      <c r="E931" s="0" t="s">
        <v>3845</v>
      </c>
      <c r="M931" s="0" t="s">
        <v>136</v>
      </c>
      <c r="N931" s="0" t="s">
        <v>124</v>
      </c>
      <c r="P931" s="0" t="s">
        <v>102</v>
      </c>
      <c r="Q931" s="0" t="s">
        <v>102</v>
      </c>
      <c r="R931" s="0" t="s">
        <v>131</v>
      </c>
      <c r="S931" s="0" t="s">
        <v>21</v>
      </c>
      <c r="T931" s="0" t="s">
        <v>104</v>
      </c>
      <c r="W931" s="0" t="s">
        <v>105</v>
      </c>
    </row>
    <row r="932" customFormat="false" ht="15" hidden="false" customHeight="false" outlineLevel="0" collapsed="false">
      <c r="A932" s="0" t="s">
        <v>21</v>
      </c>
      <c r="B932" s="0" t="s">
        <v>3843</v>
      </c>
      <c r="C932" s="0" t="s">
        <v>771</v>
      </c>
      <c r="D932" s="0" t="s">
        <v>3844</v>
      </c>
      <c r="E932" s="0" t="s">
        <v>3845</v>
      </c>
      <c r="M932" s="0" t="s">
        <v>136</v>
      </c>
      <c r="N932" s="0" t="s">
        <v>124</v>
      </c>
      <c r="P932" s="0" t="s">
        <v>26</v>
      </c>
      <c r="Q932" s="0" t="s">
        <v>26</v>
      </c>
      <c r="R932" s="0" t="s">
        <v>26</v>
      </c>
      <c r="S932" s="0" t="s">
        <v>21</v>
      </c>
      <c r="T932" s="0" t="s">
        <v>104</v>
      </c>
      <c r="W932" s="0" t="s">
        <v>183</v>
      </c>
    </row>
    <row r="933" customFormat="false" ht="15" hidden="false" customHeight="false" outlineLevel="0" collapsed="false">
      <c r="A933" s="0" t="s">
        <v>21</v>
      </c>
      <c r="B933" s="0" t="s">
        <v>3846</v>
      </c>
      <c r="C933" s="0" t="s">
        <v>771</v>
      </c>
      <c r="D933" s="0" t="s">
        <v>3847</v>
      </c>
      <c r="E933" s="0" t="s">
        <v>3848</v>
      </c>
      <c r="M933" s="0" t="s">
        <v>136</v>
      </c>
      <c r="N933" s="0" t="s">
        <v>124</v>
      </c>
      <c r="P933" s="0" t="s">
        <v>26</v>
      </c>
      <c r="Q933" s="0" t="s">
        <v>26</v>
      </c>
      <c r="R933" s="0" t="s">
        <v>26</v>
      </c>
      <c r="S933" s="0" t="s">
        <v>21</v>
      </c>
      <c r="T933" s="0" t="s">
        <v>104</v>
      </c>
      <c r="W933" s="0" t="s">
        <v>183</v>
      </c>
    </row>
    <row r="934" customFormat="false" ht="15" hidden="false" customHeight="false" outlineLevel="0" collapsed="false">
      <c r="A934" s="0" t="s">
        <v>21</v>
      </c>
      <c r="B934" s="0" t="s">
        <v>3846</v>
      </c>
      <c r="C934" s="0" t="s">
        <v>771</v>
      </c>
      <c r="D934" s="0" t="s">
        <v>3847</v>
      </c>
      <c r="E934" s="0" t="s">
        <v>3848</v>
      </c>
      <c r="M934" s="0" t="s">
        <v>136</v>
      </c>
      <c r="N934" s="0" t="s">
        <v>124</v>
      </c>
      <c r="P934" s="0" t="s">
        <v>236</v>
      </c>
      <c r="Q934" s="0" t="s">
        <v>236</v>
      </c>
      <c r="R934" s="0" t="s">
        <v>103</v>
      </c>
      <c r="S934" s="0" t="s">
        <v>21</v>
      </c>
      <c r="T934" s="0" t="s">
        <v>104</v>
      </c>
      <c r="W934" s="0" t="s">
        <v>105</v>
      </c>
    </row>
    <row r="935" customFormat="false" ht="15" hidden="false" customHeight="false" outlineLevel="0" collapsed="false">
      <c r="A935" s="0" t="s">
        <v>21</v>
      </c>
      <c r="B935" s="0" t="s">
        <v>3849</v>
      </c>
      <c r="C935" s="0" t="s">
        <v>771</v>
      </c>
      <c r="D935" s="0" t="s">
        <v>3850</v>
      </c>
      <c r="E935" s="0" t="s">
        <v>3850</v>
      </c>
      <c r="M935" s="0" t="s">
        <v>136</v>
      </c>
      <c r="N935" s="0" t="s">
        <v>124</v>
      </c>
      <c r="P935" s="0" t="s">
        <v>102</v>
      </c>
      <c r="Q935" s="0" t="s">
        <v>102</v>
      </c>
      <c r="R935" s="0" t="s">
        <v>137</v>
      </c>
      <c r="S935" s="0" t="s">
        <v>21</v>
      </c>
      <c r="T935" s="0" t="s">
        <v>104</v>
      </c>
      <c r="W935" s="0" t="s">
        <v>105</v>
      </c>
    </row>
    <row r="936" customFormat="false" ht="15" hidden="false" customHeight="false" outlineLevel="0" collapsed="false">
      <c r="A936" s="0" t="s">
        <v>21</v>
      </c>
      <c r="B936" s="0" t="s">
        <v>3849</v>
      </c>
      <c r="C936" s="0" t="s">
        <v>771</v>
      </c>
      <c r="D936" s="0" t="s">
        <v>3850</v>
      </c>
      <c r="E936" s="0" t="s">
        <v>3850</v>
      </c>
      <c r="M936" s="0" t="s">
        <v>136</v>
      </c>
      <c r="N936" s="0" t="s">
        <v>124</v>
      </c>
      <c r="P936" s="0" t="s">
        <v>26</v>
      </c>
      <c r="Q936" s="0" t="s">
        <v>26</v>
      </c>
      <c r="R936" s="0" t="s">
        <v>26</v>
      </c>
      <c r="S936" s="0" t="s">
        <v>21</v>
      </c>
      <c r="T936" s="0" t="s">
        <v>104</v>
      </c>
      <c r="W936" s="0" t="s">
        <v>183</v>
      </c>
    </row>
    <row r="937" customFormat="false" ht="15" hidden="false" customHeight="false" outlineLevel="0" collapsed="false">
      <c r="A937" s="0" t="s">
        <v>21</v>
      </c>
      <c r="B937" s="0" t="s">
        <v>3851</v>
      </c>
      <c r="C937" s="0" t="s">
        <v>771</v>
      </c>
      <c r="D937" s="0" t="s">
        <v>3852</v>
      </c>
      <c r="E937" s="0" t="s">
        <v>3853</v>
      </c>
      <c r="F937" s="0" t="s">
        <v>3853</v>
      </c>
      <c r="M937" s="0" t="s">
        <v>421</v>
      </c>
      <c r="N937" s="0" t="s">
        <v>101</v>
      </c>
      <c r="P937" s="0" t="s">
        <v>102</v>
      </c>
      <c r="Q937" s="0" t="s">
        <v>102</v>
      </c>
      <c r="R937" s="0" t="s">
        <v>144</v>
      </c>
      <c r="S937" s="0" t="s">
        <v>21</v>
      </c>
      <c r="T937" s="0" t="s">
        <v>104</v>
      </c>
      <c r="W937" s="0" t="s">
        <v>105</v>
      </c>
    </row>
    <row r="938" customFormat="false" ht="15" hidden="false" customHeight="false" outlineLevel="0" collapsed="false">
      <c r="A938" s="0" t="s">
        <v>21</v>
      </c>
      <c r="B938" s="0" t="s">
        <v>3851</v>
      </c>
      <c r="C938" s="0" t="s">
        <v>771</v>
      </c>
      <c r="D938" s="0" t="s">
        <v>3852</v>
      </c>
      <c r="E938" s="0" t="s">
        <v>3853</v>
      </c>
      <c r="F938" s="0" t="s">
        <v>3853</v>
      </c>
      <c r="M938" s="0" t="s">
        <v>421</v>
      </c>
      <c r="N938" s="0" t="s">
        <v>101</v>
      </c>
      <c r="P938" s="0" t="s">
        <v>26</v>
      </c>
      <c r="Q938" s="0" t="s">
        <v>26</v>
      </c>
      <c r="R938" s="0" t="s">
        <v>26</v>
      </c>
      <c r="S938" s="0" t="s">
        <v>21</v>
      </c>
      <c r="T938" s="0" t="s">
        <v>104</v>
      </c>
      <c r="W938" s="0" t="s">
        <v>183</v>
      </c>
    </row>
    <row r="939" customFormat="false" ht="15" hidden="false" customHeight="false" outlineLevel="0" collapsed="false">
      <c r="A939" s="0" t="s">
        <v>21</v>
      </c>
      <c r="B939" s="0" t="s">
        <v>3854</v>
      </c>
      <c r="C939" s="0" t="s">
        <v>771</v>
      </c>
      <c r="D939" s="0" t="s">
        <v>3855</v>
      </c>
      <c r="E939" s="0" t="s">
        <v>3855</v>
      </c>
      <c r="M939" s="0" t="s">
        <v>136</v>
      </c>
      <c r="N939" s="0" t="s">
        <v>124</v>
      </c>
      <c r="P939" s="0" t="s">
        <v>102</v>
      </c>
      <c r="Q939" s="0" t="s">
        <v>102</v>
      </c>
      <c r="R939" s="0" t="s">
        <v>131</v>
      </c>
      <c r="S939" s="0" t="s">
        <v>21</v>
      </c>
      <c r="T939" s="0" t="s">
        <v>104</v>
      </c>
      <c r="W939" s="0" t="s">
        <v>105</v>
      </c>
    </row>
    <row r="940" customFormat="false" ht="15" hidden="false" customHeight="false" outlineLevel="0" collapsed="false">
      <c r="A940" s="0" t="s">
        <v>21</v>
      </c>
      <c r="B940" s="0" t="s">
        <v>3854</v>
      </c>
      <c r="C940" s="0" t="s">
        <v>771</v>
      </c>
      <c r="D940" s="0" t="s">
        <v>3855</v>
      </c>
      <c r="E940" s="0" t="s">
        <v>3855</v>
      </c>
      <c r="M940" s="0" t="s">
        <v>136</v>
      </c>
      <c r="N940" s="0" t="s">
        <v>124</v>
      </c>
      <c r="P940" s="0" t="s">
        <v>26</v>
      </c>
      <c r="Q940" s="0" t="s">
        <v>26</v>
      </c>
      <c r="R940" s="0" t="s">
        <v>26</v>
      </c>
      <c r="S940" s="0" t="s">
        <v>21</v>
      </c>
      <c r="T940" s="0" t="s">
        <v>104</v>
      </c>
      <c r="W940" s="0" t="s">
        <v>183</v>
      </c>
    </row>
    <row r="941" customFormat="false" ht="15" hidden="false" customHeight="false" outlineLevel="0" collapsed="false">
      <c r="A941" s="0" t="s">
        <v>21</v>
      </c>
      <c r="B941" s="0" t="s">
        <v>3856</v>
      </c>
      <c r="C941" s="0" t="s">
        <v>771</v>
      </c>
      <c r="D941" s="0" t="s">
        <v>3857</v>
      </c>
      <c r="E941" s="0" t="s">
        <v>3858</v>
      </c>
      <c r="M941" s="0" t="s">
        <v>232</v>
      </c>
      <c r="N941" s="0" t="s">
        <v>124</v>
      </c>
      <c r="P941" s="0" t="s">
        <v>102</v>
      </c>
      <c r="Q941" s="0" t="s">
        <v>102</v>
      </c>
      <c r="R941" s="0" t="s">
        <v>131</v>
      </c>
      <c r="S941" s="0" t="s">
        <v>21</v>
      </c>
      <c r="T941" s="0" t="s">
        <v>104</v>
      </c>
      <c r="W941" s="0" t="s">
        <v>105</v>
      </c>
    </row>
    <row r="942" customFormat="false" ht="15" hidden="false" customHeight="false" outlineLevel="0" collapsed="false">
      <c r="A942" s="0" t="s">
        <v>21</v>
      </c>
      <c r="B942" s="0" t="s">
        <v>3856</v>
      </c>
      <c r="C942" s="0" t="s">
        <v>771</v>
      </c>
      <c r="D942" s="0" t="s">
        <v>3857</v>
      </c>
      <c r="E942" s="0" t="s">
        <v>3858</v>
      </c>
      <c r="M942" s="0" t="s">
        <v>232</v>
      </c>
      <c r="N942" s="0" t="s">
        <v>124</v>
      </c>
      <c r="P942" s="0" t="s">
        <v>26</v>
      </c>
      <c r="Q942" s="0" t="s">
        <v>26</v>
      </c>
      <c r="R942" s="0" t="s">
        <v>26</v>
      </c>
      <c r="S942" s="0" t="s">
        <v>21</v>
      </c>
      <c r="T942" s="0" t="s">
        <v>104</v>
      </c>
      <c r="W942" s="0" t="s">
        <v>183</v>
      </c>
    </row>
    <row r="943" customFormat="false" ht="15" hidden="false" customHeight="false" outlineLevel="0" collapsed="false">
      <c r="A943" s="0" t="s">
        <v>21</v>
      </c>
      <c r="B943" s="0" t="s">
        <v>3859</v>
      </c>
      <c r="C943" s="0" t="s">
        <v>771</v>
      </c>
      <c r="D943" s="0" t="s">
        <v>3860</v>
      </c>
      <c r="E943" s="0" t="s">
        <v>3861</v>
      </c>
      <c r="M943" s="0" t="s">
        <v>232</v>
      </c>
      <c r="N943" s="0" t="s">
        <v>124</v>
      </c>
      <c r="P943" s="0" t="s">
        <v>102</v>
      </c>
      <c r="Q943" s="0" t="s">
        <v>102</v>
      </c>
      <c r="R943" s="0" t="s">
        <v>131</v>
      </c>
      <c r="S943" s="0" t="s">
        <v>21</v>
      </c>
      <c r="T943" s="0" t="s">
        <v>104</v>
      </c>
      <c r="W943" s="0" t="s">
        <v>105</v>
      </c>
    </row>
    <row r="944" customFormat="false" ht="15" hidden="false" customHeight="false" outlineLevel="0" collapsed="false">
      <c r="A944" s="0" t="s">
        <v>21</v>
      </c>
      <c r="B944" s="0" t="s">
        <v>3859</v>
      </c>
      <c r="C944" s="0" t="s">
        <v>771</v>
      </c>
      <c r="D944" s="0" t="s">
        <v>3860</v>
      </c>
      <c r="E944" s="0" t="s">
        <v>3861</v>
      </c>
      <c r="M944" s="0" t="s">
        <v>232</v>
      </c>
      <c r="N944" s="0" t="s">
        <v>124</v>
      </c>
      <c r="P944" s="0" t="s">
        <v>26</v>
      </c>
      <c r="Q944" s="0" t="s">
        <v>26</v>
      </c>
      <c r="R944" s="0" t="s">
        <v>26</v>
      </c>
      <c r="S944" s="0" t="s">
        <v>21</v>
      </c>
      <c r="T944" s="0" t="s">
        <v>104</v>
      </c>
      <c r="W944" s="0" t="s">
        <v>183</v>
      </c>
    </row>
    <row r="945" customFormat="false" ht="15" hidden="false" customHeight="false" outlineLevel="0" collapsed="false">
      <c r="A945" s="0" t="s">
        <v>21</v>
      </c>
      <c r="B945" s="0" t="s">
        <v>3862</v>
      </c>
      <c r="C945" s="0" t="s">
        <v>771</v>
      </c>
      <c r="D945" s="0" t="s">
        <v>3863</v>
      </c>
      <c r="E945" s="0" t="s">
        <v>3864</v>
      </c>
      <c r="M945" s="0" t="s">
        <v>136</v>
      </c>
      <c r="N945" s="0" t="s">
        <v>124</v>
      </c>
      <c r="P945" s="0" t="s">
        <v>102</v>
      </c>
      <c r="Q945" s="0" t="s">
        <v>102</v>
      </c>
      <c r="R945" s="0" t="s">
        <v>144</v>
      </c>
      <c r="S945" s="0" t="s">
        <v>21</v>
      </c>
      <c r="T945" s="0" t="s">
        <v>104</v>
      </c>
      <c r="W945" s="0" t="s">
        <v>105</v>
      </c>
    </row>
    <row r="946" customFormat="false" ht="15" hidden="false" customHeight="false" outlineLevel="0" collapsed="false">
      <c r="A946" s="0" t="s">
        <v>21</v>
      </c>
      <c r="B946" s="0" t="s">
        <v>3862</v>
      </c>
      <c r="C946" s="0" t="s">
        <v>771</v>
      </c>
      <c r="D946" s="0" t="s">
        <v>3863</v>
      </c>
      <c r="E946" s="0" t="s">
        <v>3864</v>
      </c>
      <c r="M946" s="0" t="s">
        <v>136</v>
      </c>
      <c r="N946" s="0" t="s">
        <v>124</v>
      </c>
      <c r="P946" s="0" t="s">
        <v>26</v>
      </c>
      <c r="Q946" s="0" t="s">
        <v>26</v>
      </c>
      <c r="R946" s="0" t="s">
        <v>26</v>
      </c>
      <c r="S946" s="0" t="s">
        <v>21</v>
      </c>
      <c r="T946" s="0" t="s">
        <v>104</v>
      </c>
      <c r="W946" s="0" t="s">
        <v>183</v>
      </c>
    </row>
    <row r="947" customFormat="false" ht="15" hidden="false" customHeight="false" outlineLevel="0" collapsed="false">
      <c r="A947" s="0" t="s">
        <v>21</v>
      </c>
      <c r="B947" s="0" t="s">
        <v>3865</v>
      </c>
      <c r="C947" s="0" t="s">
        <v>139</v>
      </c>
      <c r="D947" s="0" t="s">
        <v>2012</v>
      </c>
      <c r="E947" s="0" t="s">
        <v>3866</v>
      </c>
      <c r="F947" s="0" t="s">
        <v>3866</v>
      </c>
      <c r="M947" s="0" t="s">
        <v>136</v>
      </c>
      <c r="N947" s="0" t="s">
        <v>124</v>
      </c>
      <c r="P947" s="0" t="s">
        <v>102</v>
      </c>
      <c r="Q947" s="0" t="s">
        <v>102</v>
      </c>
      <c r="R947" s="0" t="s">
        <v>144</v>
      </c>
      <c r="S947" s="0" t="s">
        <v>21</v>
      </c>
      <c r="T947" s="0" t="s">
        <v>104</v>
      </c>
      <c r="W947" s="0" t="s">
        <v>105</v>
      </c>
    </row>
    <row r="948" customFormat="false" ht="15" hidden="false" customHeight="false" outlineLevel="0" collapsed="false">
      <c r="A948" s="0" t="s">
        <v>21</v>
      </c>
      <c r="B948" s="0" t="s">
        <v>3865</v>
      </c>
      <c r="C948" s="0" t="s">
        <v>139</v>
      </c>
      <c r="D948" s="0" t="s">
        <v>2012</v>
      </c>
      <c r="E948" s="0" t="s">
        <v>3866</v>
      </c>
      <c r="F948" s="0" t="s">
        <v>3866</v>
      </c>
      <c r="M948" s="0" t="s">
        <v>136</v>
      </c>
      <c r="N948" s="0" t="s">
        <v>124</v>
      </c>
      <c r="P948" s="0" t="s">
        <v>26</v>
      </c>
      <c r="Q948" s="0" t="s">
        <v>26</v>
      </c>
      <c r="R948" s="0" t="s">
        <v>26</v>
      </c>
      <c r="S948" s="0" t="s">
        <v>21</v>
      </c>
      <c r="T948" s="0" t="s">
        <v>104</v>
      </c>
      <c r="W948" s="0" t="s">
        <v>183</v>
      </c>
    </row>
    <row r="949" customFormat="false" ht="15" hidden="false" customHeight="false" outlineLevel="0" collapsed="false">
      <c r="A949" s="0" t="s">
        <v>21</v>
      </c>
      <c r="B949" s="0" t="s">
        <v>3867</v>
      </c>
      <c r="C949" s="0" t="s">
        <v>771</v>
      </c>
      <c r="D949" s="0" t="s">
        <v>2010</v>
      </c>
      <c r="E949" s="0" t="s">
        <v>3868</v>
      </c>
      <c r="G949" s="0" t="s">
        <v>3869</v>
      </c>
      <c r="M949" s="0" t="s">
        <v>232</v>
      </c>
      <c r="N949" s="0" t="s">
        <v>124</v>
      </c>
      <c r="P949" s="0" t="s">
        <v>102</v>
      </c>
      <c r="Q949" s="0" t="s">
        <v>102</v>
      </c>
      <c r="R949" s="0" t="s">
        <v>131</v>
      </c>
      <c r="S949" s="0" t="s">
        <v>21</v>
      </c>
      <c r="T949" s="0" t="s">
        <v>104</v>
      </c>
      <c r="W949" s="0" t="s">
        <v>105</v>
      </c>
    </row>
    <row r="950" customFormat="false" ht="15" hidden="false" customHeight="false" outlineLevel="0" collapsed="false">
      <c r="A950" s="0" t="s">
        <v>21</v>
      </c>
      <c r="B950" s="0" t="s">
        <v>3867</v>
      </c>
      <c r="C950" s="0" t="s">
        <v>771</v>
      </c>
      <c r="D950" s="0" t="s">
        <v>2010</v>
      </c>
      <c r="E950" s="0" t="s">
        <v>3868</v>
      </c>
      <c r="G950" s="0" t="s">
        <v>3869</v>
      </c>
      <c r="M950" s="0" t="s">
        <v>232</v>
      </c>
      <c r="N950" s="0" t="s">
        <v>124</v>
      </c>
      <c r="P950" s="0" t="s">
        <v>26</v>
      </c>
      <c r="Q950" s="0" t="s">
        <v>26</v>
      </c>
      <c r="R950" s="0" t="s">
        <v>26</v>
      </c>
      <c r="S950" s="0" t="s">
        <v>21</v>
      </c>
      <c r="T950" s="0" t="s">
        <v>104</v>
      </c>
      <c r="W950" s="0" t="s">
        <v>183</v>
      </c>
    </row>
    <row r="951" customFormat="false" ht="15" hidden="false" customHeight="false" outlineLevel="0" collapsed="false">
      <c r="A951" s="0" t="s">
        <v>21</v>
      </c>
      <c r="B951" s="0" t="s">
        <v>3870</v>
      </c>
      <c r="C951" s="0" t="s">
        <v>771</v>
      </c>
      <c r="D951" s="0" t="s">
        <v>2010</v>
      </c>
      <c r="E951" s="0" t="s">
        <v>3868</v>
      </c>
      <c r="M951" s="0" t="s">
        <v>156</v>
      </c>
      <c r="N951" s="0" t="s">
        <v>124</v>
      </c>
      <c r="P951" s="0" t="s">
        <v>102</v>
      </c>
      <c r="Q951" s="0" t="s">
        <v>102</v>
      </c>
      <c r="R951" s="0" t="s">
        <v>131</v>
      </c>
      <c r="S951" s="0" t="s">
        <v>21</v>
      </c>
      <c r="T951" s="0" t="s">
        <v>104</v>
      </c>
      <c r="W951" s="0" t="s">
        <v>105</v>
      </c>
      <c r="AB951" s="0" t="s">
        <v>209</v>
      </c>
    </row>
    <row r="952" customFormat="false" ht="15" hidden="false" customHeight="false" outlineLevel="0" collapsed="false">
      <c r="A952" s="0" t="s">
        <v>21</v>
      </c>
      <c r="B952" s="0" t="s">
        <v>3870</v>
      </c>
      <c r="C952" s="0" t="s">
        <v>771</v>
      </c>
      <c r="D952" s="0" t="s">
        <v>2010</v>
      </c>
      <c r="E952" s="0" t="s">
        <v>3868</v>
      </c>
      <c r="M952" s="0" t="s">
        <v>156</v>
      </c>
      <c r="N952" s="0" t="s">
        <v>124</v>
      </c>
      <c r="P952" s="0" t="s">
        <v>26</v>
      </c>
      <c r="Q952" s="0" t="s">
        <v>26</v>
      </c>
      <c r="R952" s="0" t="s">
        <v>26</v>
      </c>
      <c r="S952" s="0" t="s">
        <v>21</v>
      </c>
      <c r="T952" s="0" t="s">
        <v>104</v>
      </c>
      <c r="W952" s="0" t="s">
        <v>183</v>
      </c>
      <c r="AB952" s="0" t="s">
        <v>209</v>
      </c>
    </row>
    <row r="953" customFormat="false" ht="15" hidden="false" customHeight="false" outlineLevel="0" collapsed="false">
      <c r="A953" s="0" t="s">
        <v>21</v>
      </c>
      <c r="B953" s="0" t="s">
        <v>3871</v>
      </c>
      <c r="C953" s="0" t="s">
        <v>771</v>
      </c>
      <c r="D953" s="0" t="s">
        <v>3872</v>
      </c>
      <c r="G953" s="0" t="s">
        <v>3873</v>
      </c>
      <c r="M953" s="0" t="s">
        <v>178</v>
      </c>
      <c r="N953" s="0" t="s">
        <v>124</v>
      </c>
      <c r="P953" s="0" t="s">
        <v>102</v>
      </c>
      <c r="Q953" s="0" t="s">
        <v>102</v>
      </c>
      <c r="R953" s="0" t="s">
        <v>113</v>
      </c>
      <c r="S953" s="0" t="s">
        <v>21</v>
      </c>
      <c r="T953" s="0" t="s">
        <v>104</v>
      </c>
      <c r="W953" s="0" t="s">
        <v>105</v>
      </c>
    </row>
    <row r="954" customFormat="false" ht="15" hidden="false" customHeight="false" outlineLevel="0" collapsed="false">
      <c r="A954" s="0" t="s">
        <v>21</v>
      </c>
      <c r="B954" s="0" t="s">
        <v>3871</v>
      </c>
      <c r="C954" s="0" t="s">
        <v>771</v>
      </c>
      <c r="D954" s="0" t="s">
        <v>3872</v>
      </c>
      <c r="G954" s="0" t="s">
        <v>3873</v>
      </c>
      <c r="M954" s="0" t="s">
        <v>178</v>
      </c>
      <c r="N954" s="0" t="s">
        <v>124</v>
      </c>
      <c r="P954" s="0" t="s">
        <v>26</v>
      </c>
      <c r="Q954" s="0" t="s">
        <v>26</v>
      </c>
      <c r="R954" s="0" t="s">
        <v>26</v>
      </c>
      <c r="S954" s="0" t="s">
        <v>21</v>
      </c>
      <c r="T954" s="0" t="s">
        <v>104</v>
      </c>
      <c r="W954" s="0" t="s">
        <v>183</v>
      </c>
    </row>
    <row r="955" customFormat="false" ht="15" hidden="false" customHeight="false" outlineLevel="0" collapsed="false">
      <c r="A955" s="0" t="s">
        <v>21</v>
      </c>
      <c r="B955" s="0" t="s">
        <v>3874</v>
      </c>
      <c r="C955" s="0" t="s">
        <v>771</v>
      </c>
      <c r="D955" s="0" t="s">
        <v>3875</v>
      </c>
      <c r="M955" s="0" t="s">
        <v>136</v>
      </c>
      <c r="N955" s="0" t="s">
        <v>124</v>
      </c>
      <c r="P955" s="0" t="s">
        <v>233</v>
      </c>
      <c r="Q955" s="0" t="s">
        <v>233</v>
      </c>
      <c r="R955" s="0" t="s">
        <v>233</v>
      </c>
      <c r="S955" s="0" t="s">
        <v>21</v>
      </c>
      <c r="T955" s="0" t="s">
        <v>104</v>
      </c>
      <c r="W955" s="0" t="s">
        <v>183</v>
      </c>
    </row>
    <row r="956" customFormat="false" ht="15" hidden="false" customHeight="false" outlineLevel="0" collapsed="false">
      <c r="A956" s="0" t="s">
        <v>21</v>
      </c>
      <c r="B956" s="0" t="s">
        <v>3874</v>
      </c>
      <c r="C956" s="0" t="s">
        <v>771</v>
      </c>
      <c r="D956" s="0" t="s">
        <v>3875</v>
      </c>
      <c r="M956" s="0" t="s">
        <v>136</v>
      </c>
      <c r="N956" s="0" t="s">
        <v>124</v>
      </c>
      <c r="P956" s="0" t="s">
        <v>102</v>
      </c>
      <c r="Q956" s="0" t="s">
        <v>102</v>
      </c>
      <c r="R956" s="0" t="s">
        <v>234</v>
      </c>
      <c r="S956" s="0" t="s">
        <v>21</v>
      </c>
      <c r="T956" s="0" t="s">
        <v>104</v>
      </c>
      <c r="V956" s="0" t="s">
        <v>235</v>
      </c>
      <c r="W956" s="0" t="s">
        <v>105</v>
      </c>
    </row>
    <row r="957" customFormat="false" ht="15" hidden="false" customHeight="false" outlineLevel="0" collapsed="false">
      <c r="A957" s="0" t="s">
        <v>21</v>
      </c>
      <c r="B957" s="0" t="s">
        <v>3874</v>
      </c>
      <c r="C957" s="0" t="s">
        <v>771</v>
      </c>
      <c r="D957" s="0" t="s">
        <v>3875</v>
      </c>
      <c r="M957" s="0" t="s">
        <v>136</v>
      </c>
      <c r="N957" s="0" t="s">
        <v>124</v>
      </c>
      <c r="P957" s="0" t="s">
        <v>26</v>
      </c>
      <c r="Q957" s="0" t="s">
        <v>26</v>
      </c>
      <c r="R957" s="0" t="s">
        <v>26</v>
      </c>
      <c r="S957" s="0" t="s">
        <v>21</v>
      </c>
      <c r="T957" s="0" t="s">
        <v>104</v>
      </c>
      <c r="W957" s="0" t="s">
        <v>183</v>
      </c>
    </row>
    <row r="958" customFormat="false" ht="15" hidden="false" customHeight="false" outlineLevel="0" collapsed="false">
      <c r="A958" s="0" t="s">
        <v>21</v>
      </c>
      <c r="B958" s="0" t="s">
        <v>3874</v>
      </c>
      <c r="C958" s="0" t="s">
        <v>771</v>
      </c>
      <c r="D958" s="0" t="s">
        <v>3875</v>
      </c>
      <c r="M958" s="0" t="s">
        <v>136</v>
      </c>
      <c r="N958" s="0" t="s">
        <v>124</v>
      </c>
      <c r="P958" s="0" t="s">
        <v>236</v>
      </c>
      <c r="Q958" s="0" t="s">
        <v>236</v>
      </c>
      <c r="R958" s="0" t="s">
        <v>237</v>
      </c>
      <c r="S958" s="0" t="s">
        <v>21</v>
      </c>
      <c r="T958" s="0" t="s">
        <v>104</v>
      </c>
      <c r="U958" s="0" t="s">
        <v>238</v>
      </c>
      <c r="W958" s="0" t="s">
        <v>105</v>
      </c>
    </row>
    <row r="959" customFormat="false" ht="15" hidden="false" customHeight="false" outlineLevel="0" collapsed="false">
      <c r="A959" s="0" t="s">
        <v>21</v>
      </c>
      <c r="B959" s="0" t="s">
        <v>3876</v>
      </c>
      <c r="C959" s="0" t="s">
        <v>771</v>
      </c>
      <c r="D959" s="0" t="s">
        <v>3877</v>
      </c>
      <c r="M959" s="0" t="s">
        <v>136</v>
      </c>
      <c r="N959" s="0" t="s">
        <v>124</v>
      </c>
      <c r="P959" s="0" t="s">
        <v>102</v>
      </c>
      <c r="Q959" s="0" t="s">
        <v>102</v>
      </c>
      <c r="R959" s="0" t="s">
        <v>137</v>
      </c>
      <c r="S959" s="0" t="s">
        <v>21</v>
      </c>
      <c r="T959" s="0" t="s">
        <v>104</v>
      </c>
      <c r="W959" s="0" t="s">
        <v>105</v>
      </c>
    </row>
    <row r="960" customFormat="false" ht="15" hidden="false" customHeight="false" outlineLevel="0" collapsed="false">
      <c r="A960" s="0" t="s">
        <v>21</v>
      </c>
      <c r="B960" s="0" t="s">
        <v>3876</v>
      </c>
      <c r="C960" s="0" t="s">
        <v>771</v>
      </c>
      <c r="D960" s="0" t="s">
        <v>3877</v>
      </c>
      <c r="M960" s="0" t="s">
        <v>136</v>
      </c>
      <c r="N960" s="0" t="s">
        <v>124</v>
      </c>
      <c r="P960" s="0" t="s">
        <v>26</v>
      </c>
      <c r="Q960" s="0" t="s">
        <v>26</v>
      </c>
      <c r="R960" s="0" t="s">
        <v>26</v>
      </c>
      <c r="S960" s="0" t="s">
        <v>21</v>
      </c>
      <c r="T960" s="0" t="s">
        <v>104</v>
      </c>
      <c r="W960" s="0" t="s">
        <v>183</v>
      </c>
    </row>
    <row r="961" customFormat="false" ht="15" hidden="false" customHeight="false" outlineLevel="0" collapsed="false">
      <c r="A961" s="0" t="s">
        <v>21</v>
      </c>
      <c r="B961" s="0" t="s">
        <v>3878</v>
      </c>
      <c r="C961" s="0" t="s">
        <v>771</v>
      </c>
      <c r="D961" s="0" t="s">
        <v>3879</v>
      </c>
      <c r="M961" s="0" t="s">
        <v>136</v>
      </c>
      <c r="N961" s="0" t="s">
        <v>124</v>
      </c>
      <c r="P961" s="0" t="s">
        <v>102</v>
      </c>
      <c r="Q961" s="0" t="s">
        <v>102</v>
      </c>
      <c r="R961" s="0" t="s">
        <v>137</v>
      </c>
      <c r="S961" s="0" t="s">
        <v>21</v>
      </c>
      <c r="T961" s="0" t="s">
        <v>104</v>
      </c>
      <c r="W961" s="0" t="s">
        <v>105</v>
      </c>
    </row>
    <row r="962" customFormat="false" ht="15" hidden="false" customHeight="false" outlineLevel="0" collapsed="false">
      <c r="A962" s="0" t="s">
        <v>21</v>
      </c>
      <c r="B962" s="0" t="s">
        <v>3878</v>
      </c>
      <c r="C962" s="0" t="s">
        <v>771</v>
      </c>
      <c r="D962" s="0" t="s">
        <v>3879</v>
      </c>
      <c r="M962" s="0" t="s">
        <v>136</v>
      </c>
      <c r="N962" s="0" t="s">
        <v>124</v>
      </c>
      <c r="P962" s="0" t="s">
        <v>26</v>
      </c>
      <c r="Q962" s="0" t="s">
        <v>26</v>
      </c>
      <c r="R962" s="0" t="s">
        <v>26</v>
      </c>
      <c r="S962" s="0" t="s">
        <v>21</v>
      </c>
      <c r="T962" s="0" t="s">
        <v>104</v>
      </c>
      <c r="W962" s="0" t="s">
        <v>183</v>
      </c>
    </row>
    <row r="963" customFormat="false" ht="15" hidden="false" customHeight="false" outlineLevel="0" collapsed="false">
      <c r="A963" s="0" t="s">
        <v>21</v>
      </c>
      <c r="B963" s="0" t="s">
        <v>3880</v>
      </c>
      <c r="C963" s="0" t="s">
        <v>771</v>
      </c>
      <c r="D963" s="0" t="s">
        <v>3881</v>
      </c>
      <c r="M963" s="0" t="s">
        <v>136</v>
      </c>
      <c r="N963" s="0" t="s">
        <v>124</v>
      </c>
      <c r="P963" s="0" t="s">
        <v>102</v>
      </c>
      <c r="Q963" s="0" t="s">
        <v>102</v>
      </c>
      <c r="R963" s="0" t="s">
        <v>144</v>
      </c>
      <c r="S963" s="0" t="s">
        <v>21</v>
      </c>
      <c r="T963" s="0" t="s">
        <v>104</v>
      </c>
      <c r="W963" s="0" t="s">
        <v>105</v>
      </c>
    </row>
    <row r="964" customFormat="false" ht="15" hidden="false" customHeight="false" outlineLevel="0" collapsed="false">
      <c r="A964" s="0" t="s">
        <v>21</v>
      </c>
      <c r="B964" s="0" t="s">
        <v>3880</v>
      </c>
      <c r="C964" s="0" t="s">
        <v>771</v>
      </c>
      <c r="D964" s="0" t="s">
        <v>3881</v>
      </c>
      <c r="M964" s="0" t="s">
        <v>136</v>
      </c>
      <c r="N964" s="0" t="s">
        <v>124</v>
      </c>
      <c r="P964" s="0" t="s">
        <v>26</v>
      </c>
      <c r="Q964" s="0" t="s">
        <v>26</v>
      </c>
      <c r="R964" s="0" t="s">
        <v>26</v>
      </c>
      <c r="S964" s="0" t="s">
        <v>21</v>
      </c>
      <c r="T964" s="0" t="s">
        <v>104</v>
      </c>
      <c r="W964" s="0" t="s">
        <v>183</v>
      </c>
    </row>
    <row r="965" customFormat="false" ht="15" hidden="false" customHeight="false" outlineLevel="0" collapsed="false">
      <c r="A965" s="0" t="s">
        <v>21</v>
      </c>
      <c r="B965" s="0" t="s">
        <v>3882</v>
      </c>
      <c r="C965" s="0" t="s">
        <v>771</v>
      </c>
      <c r="D965" s="0" t="s">
        <v>3883</v>
      </c>
      <c r="M965" s="0" t="s">
        <v>136</v>
      </c>
      <c r="N965" s="0" t="s">
        <v>124</v>
      </c>
      <c r="P965" s="0" t="s">
        <v>102</v>
      </c>
      <c r="Q965" s="0" t="s">
        <v>102</v>
      </c>
      <c r="R965" s="0" t="s">
        <v>137</v>
      </c>
      <c r="S965" s="0" t="s">
        <v>21</v>
      </c>
      <c r="T965" s="0" t="s">
        <v>104</v>
      </c>
      <c r="W965" s="0" t="s">
        <v>105</v>
      </c>
    </row>
    <row r="966" customFormat="false" ht="15" hidden="false" customHeight="false" outlineLevel="0" collapsed="false">
      <c r="A966" s="0" t="s">
        <v>21</v>
      </c>
      <c r="B966" s="0" t="s">
        <v>3882</v>
      </c>
      <c r="C966" s="0" t="s">
        <v>771</v>
      </c>
      <c r="D966" s="0" t="s">
        <v>3883</v>
      </c>
      <c r="M966" s="0" t="s">
        <v>136</v>
      </c>
      <c r="N966" s="0" t="s">
        <v>124</v>
      </c>
      <c r="P966" s="0" t="s">
        <v>26</v>
      </c>
      <c r="Q966" s="0" t="s">
        <v>26</v>
      </c>
      <c r="R966" s="0" t="s">
        <v>26</v>
      </c>
      <c r="S966" s="0" t="s">
        <v>21</v>
      </c>
      <c r="T966" s="0" t="s">
        <v>104</v>
      </c>
      <c r="W966" s="0" t="s">
        <v>183</v>
      </c>
    </row>
    <row r="967" customFormat="false" ht="15" hidden="false" customHeight="false" outlineLevel="0" collapsed="false">
      <c r="A967" s="0" t="s">
        <v>21</v>
      </c>
      <c r="B967" s="0" t="s">
        <v>3884</v>
      </c>
      <c r="C967" s="0" t="s">
        <v>771</v>
      </c>
      <c r="D967" s="0" t="s">
        <v>3885</v>
      </c>
      <c r="M967" s="0" t="s">
        <v>136</v>
      </c>
      <c r="N967" s="0" t="s">
        <v>124</v>
      </c>
      <c r="P967" s="0" t="s">
        <v>221</v>
      </c>
      <c r="Q967" s="0" t="s">
        <v>221</v>
      </c>
      <c r="R967" s="0" t="s">
        <v>221</v>
      </c>
      <c r="S967" s="0" t="s">
        <v>21</v>
      </c>
      <c r="T967" s="0" t="s">
        <v>104</v>
      </c>
      <c r="W967" s="0" t="s">
        <v>183</v>
      </c>
    </row>
    <row r="968" customFormat="false" ht="15" hidden="false" customHeight="false" outlineLevel="0" collapsed="false">
      <c r="A968" s="0" t="s">
        <v>21</v>
      </c>
      <c r="B968" s="0" t="s">
        <v>3884</v>
      </c>
      <c r="C968" s="0" t="s">
        <v>771</v>
      </c>
      <c r="D968" s="0" t="s">
        <v>3885</v>
      </c>
      <c r="M968" s="0" t="s">
        <v>136</v>
      </c>
      <c r="N968" s="0" t="s">
        <v>124</v>
      </c>
      <c r="P968" s="0" t="s">
        <v>102</v>
      </c>
      <c r="Q968" s="0" t="s">
        <v>102</v>
      </c>
      <c r="R968" s="0" t="s">
        <v>224</v>
      </c>
      <c r="S968" s="0" t="s">
        <v>21</v>
      </c>
      <c r="T968" s="0" t="s">
        <v>104</v>
      </c>
      <c r="V968" s="0" t="s">
        <v>225</v>
      </c>
      <c r="W968" s="0" t="s">
        <v>105</v>
      </c>
    </row>
    <row r="969" customFormat="false" ht="15" hidden="false" customHeight="false" outlineLevel="0" collapsed="false">
      <c r="A969" s="0" t="s">
        <v>21</v>
      </c>
      <c r="B969" s="0" t="s">
        <v>3884</v>
      </c>
      <c r="C969" s="0" t="s">
        <v>771</v>
      </c>
      <c r="D969" s="0" t="s">
        <v>3885</v>
      </c>
      <c r="M969" s="0" t="s">
        <v>136</v>
      </c>
      <c r="N969" s="0" t="s">
        <v>124</v>
      </c>
      <c r="P969" s="0" t="s">
        <v>26</v>
      </c>
      <c r="Q969" s="0" t="s">
        <v>26</v>
      </c>
      <c r="R969" s="0" t="s">
        <v>26</v>
      </c>
      <c r="S969" s="0" t="s">
        <v>21</v>
      </c>
      <c r="T969" s="0" t="s">
        <v>104</v>
      </c>
      <c r="W969" s="0" t="s">
        <v>183</v>
      </c>
    </row>
    <row r="970" customFormat="false" ht="15" hidden="false" customHeight="false" outlineLevel="0" collapsed="false">
      <c r="A970" s="0" t="s">
        <v>21</v>
      </c>
      <c r="B970" s="0" t="s">
        <v>3884</v>
      </c>
      <c r="C970" s="0" t="s">
        <v>771</v>
      </c>
      <c r="D970" s="0" t="s">
        <v>3885</v>
      </c>
      <c r="M970" s="0" t="s">
        <v>136</v>
      </c>
      <c r="N970" s="0" t="s">
        <v>124</v>
      </c>
      <c r="P970" s="0" t="s">
        <v>130</v>
      </c>
      <c r="Q970" s="0" t="s">
        <v>130</v>
      </c>
      <c r="R970" s="0" t="s">
        <v>226</v>
      </c>
      <c r="S970" s="0" t="s">
        <v>21</v>
      </c>
      <c r="T970" s="0" t="s">
        <v>104</v>
      </c>
      <c r="U970" s="0" t="s">
        <v>227</v>
      </c>
      <c r="W970" s="0" t="s">
        <v>105</v>
      </c>
    </row>
    <row r="971" customFormat="false" ht="15" hidden="false" customHeight="false" outlineLevel="0" collapsed="false">
      <c r="A971" s="0" t="s">
        <v>21</v>
      </c>
      <c r="B971" s="0" t="s">
        <v>3886</v>
      </c>
      <c r="C971" s="0" t="s">
        <v>771</v>
      </c>
      <c r="D971" s="0" t="s">
        <v>3887</v>
      </c>
      <c r="M971" s="0" t="s">
        <v>136</v>
      </c>
      <c r="N971" s="0" t="s">
        <v>124</v>
      </c>
      <c r="P971" s="0" t="s">
        <v>102</v>
      </c>
      <c r="Q971" s="0" t="s">
        <v>102</v>
      </c>
      <c r="R971" s="0" t="s">
        <v>131</v>
      </c>
      <c r="S971" s="0" t="s">
        <v>21</v>
      </c>
      <c r="T971" s="0" t="s">
        <v>104</v>
      </c>
      <c r="W971" s="0" t="s">
        <v>105</v>
      </c>
    </row>
    <row r="972" customFormat="false" ht="15" hidden="false" customHeight="false" outlineLevel="0" collapsed="false">
      <c r="A972" s="0" t="s">
        <v>21</v>
      </c>
      <c r="B972" s="0" t="s">
        <v>3886</v>
      </c>
      <c r="C972" s="0" t="s">
        <v>771</v>
      </c>
      <c r="D972" s="0" t="s">
        <v>3887</v>
      </c>
      <c r="M972" s="0" t="s">
        <v>136</v>
      </c>
      <c r="N972" s="0" t="s">
        <v>124</v>
      </c>
      <c r="P972" s="0" t="s">
        <v>26</v>
      </c>
      <c r="Q972" s="0" t="s">
        <v>26</v>
      </c>
      <c r="R972" s="0" t="s">
        <v>26</v>
      </c>
      <c r="S972" s="0" t="s">
        <v>21</v>
      </c>
      <c r="T972" s="0" t="s">
        <v>104</v>
      </c>
      <c r="W972" s="0" t="s">
        <v>183</v>
      </c>
    </row>
    <row r="973" customFormat="false" ht="15" hidden="false" customHeight="false" outlineLevel="0" collapsed="false">
      <c r="A973" s="0" t="s">
        <v>21</v>
      </c>
      <c r="B973" s="0" t="s">
        <v>3888</v>
      </c>
      <c r="C973" s="0" t="s">
        <v>771</v>
      </c>
      <c r="D973" s="0" t="s">
        <v>3889</v>
      </c>
      <c r="M973" s="0" t="s">
        <v>136</v>
      </c>
      <c r="N973" s="0" t="s">
        <v>124</v>
      </c>
      <c r="P973" s="0" t="s">
        <v>102</v>
      </c>
      <c r="Q973" s="0" t="s">
        <v>102</v>
      </c>
      <c r="R973" s="0" t="s">
        <v>804</v>
      </c>
      <c r="S973" s="0" t="s">
        <v>21</v>
      </c>
      <c r="T973" s="0" t="s">
        <v>104</v>
      </c>
      <c r="W973" s="0" t="s">
        <v>105</v>
      </c>
    </row>
    <row r="974" customFormat="false" ht="15" hidden="false" customHeight="false" outlineLevel="0" collapsed="false">
      <c r="A974" s="0" t="s">
        <v>21</v>
      </c>
      <c r="B974" s="0" t="s">
        <v>3888</v>
      </c>
      <c r="C974" s="0" t="s">
        <v>771</v>
      </c>
      <c r="D974" s="0" t="s">
        <v>3889</v>
      </c>
      <c r="M974" s="0" t="s">
        <v>136</v>
      </c>
      <c r="N974" s="0" t="s">
        <v>124</v>
      </c>
      <c r="P974" s="0" t="s">
        <v>26</v>
      </c>
      <c r="Q974" s="0" t="s">
        <v>26</v>
      </c>
      <c r="R974" s="0" t="s">
        <v>26</v>
      </c>
      <c r="S974" s="0" t="s">
        <v>21</v>
      </c>
      <c r="T974" s="0" t="s">
        <v>104</v>
      </c>
      <c r="W974" s="0" t="s">
        <v>183</v>
      </c>
    </row>
    <row r="975" customFormat="false" ht="15" hidden="false" customHeight="false" outlineLevel="0" collapsed="false">
      <c r="A975" s="0" t="s">
        <v>21</v>
      </c>
      <c r="B975" s="0" t="s">
        <v>3890</v>
      </c>
      <c r="C975" s="0" t="s">
        <v>771</v>
      </c>
      <c r="D975" s="0" t="s">
        <v>3891</v>
      </c>
      <c r="E975" s="0" t="s">
        <v>3892</v>
      </c>
      <c r="M975" s="0" t="s">
        <v>136</v>
      </c>
      <c r="N975" s="0" t="s">
        <v>124</v>
      </c>
      <c r="P975" s="0" t="s">
        <v>102</v>
      </c>
      <c r="Q975" s="0" t="s">
        <v>102</v>
      </c>
      <c r="R975" s="0" t="s">
        <v>113</v>
      </c>
      <c r="S975" s="0" t="s">
        <v>21</v>
      </c>
      <c r="T975" s="0" t="s">
        <v>104</v>
      </c>
      <c r="W975" s="0" t="s">
        <v>105</v>
      </c>
    </row>
    <row r="976" customFormat="false" ht="15" hidden="false" customHeight="false" outlineLevel="0" collapsed="false">
      <c r="A976" s="0" t="s">
        <v>21</v>
      </c>
      <c r="B976" s="0" t="s">
        <v>3890</v>
      </c>
      <c r="C976" s="0" t="s">
        <v>771</v>
      </c>
      <c r="D976" s="0" t="s">
        <v>3891</v>
      </c>
      <c r="E976" s="0" t="s">
        <v>3892</v>
      </c>
      <c r="M976" s="0" t="s">
        <v>136</v>
      </c>
      <c r="N976" s="0" t="s">
        <v>124</v>
      </c>
      <c r="P976" s="0" t="s">
        <v>26</v>
      </c>
      <c r="Q976" s="0" t="s">
        <v>26</v>
      </c>
      <c r="R976" s="0" t="s">
        <v>26</v>
      </c>
      <c r="S976" s="0" t="s">
        <v>21</v>
      </c>
      <c r="T976" s="0" t="s">
        <v>104</v>
      </c>
      <c r="W976" s="0" t="s">
        <v>183</v>
      </c>
    </row>
    <row r="977" customFormat="false" ht="15" hidden="false" customHeight="false" outlineLevel="0" collapsed="false">
      <c r="A977" s="0" t="s">
        <v>21</v>
      </c>
      <c r="B977" s="0" t="s">
        <v>3893</v>
      </c>
      <c r="C977" s="0" t="s">
        <v>771</v>
      </c>
      <c r="D977" s="0" t="s">
        <v>3894</v>
      </c>
      <c r="M977" s="0" t="s">
        <v>136</v>
      </c>
      <c r="N977" s="0" t="s">
        <v>124</v>
      </c>
      <c r="P977" s="0" t="s">
        <v>102</v>
      </c>
      <c r="Q977" s="0" t="s">
        <v>102</v>
      </c>
      <c r="R977" s="0" t="s">
        <v>131</v>
      </c>
      <c r="S977" s="0" t="s">
        <v>21</v>
      </c>
      <c r="T977" s="0" t="s">
        <v>104</v>
      </c>
      <c r="W977" s="0" t="s">
        <v>105</v>
      </c>
    </row>
    <row r="978" customFormat="false" ht="15" hidden="false" customHeight="false" outlineLevel="0" collapsed="false">
      <c r="A978" s="0" t="s">
        <v>21</v>
      </c>
      <c r="B978" s="0" t="s">
        <v>3893</v>
      </c>
      <c r="C978" s="0" t="s">
        <v>771</v>
      </c>
      <c r="D978" s="0" t="s">
        <v>3894</v>
      </c>
      <c r="M978" s="0" t="s">
        <v>136</v>
      </c>
      <c r="N978" s="0" t="s">
        <v>124</v>
      </c>
      <c r="P978" s="0" t="s">
        <v>26</v>
      </c>
      <c r="Q978" s="0" t="s">
        <v>26</v>
      </c>
      <c r="R978" s="0" t="s">
        <v>26</v>
      </c>
      <c r="S978" s="0" t="s">
        <v>21</v>
      </c>
      <c r="T978" s="0" t="s">
        <v>104</v>
      </c>
      <c r="W978" s="0" t="s">
        <v>183</v>
      </c>
    </row>
    <row r="979" customFormat="false" ht="15" hidden="false" customHeight="false" outlineLevel="0" collapsed="false">
      <c r="A979" s="0" t="s">
        <v>21</v>
      </c>
      <c r="B979" s="0" t="s">
        <v>3895</v>
      </c>
      <c r="C979" s="0" t="s">
        <v>771</v>
      </c>
      <c r="D979" s="0" t="s">
        <v>3896</v>
      </c>
      <c r="E979" s="0" t="s">
        <v>3897</v>
      </c>
      <c r="G979" s="0" t="s">
        <v>3898</v>
      </c>
      <c r="M979" s="0" t="s">
        <v>136</v>
      </c>
      <c r="N979" s="0" t="s">
        <v>124</v>
      </c>
      <c r="P979" s="0" t="s">
        <v>102</v>
      </c>
      <c r="Q979" s="0" t="s">
        <v>102</v>
      </c>
      <c r="R979" s="0" t="s">
        <v>144</v>
      </c>
      <c r="S979" s="0" t="s">
        <v>21</v>
      </c>
      <c r="T979" s="0" t="s">
        <v>104</v>
      </c>
      <c r="W979" s="0" t="s">
        <v>105</v>
      </c>
      <c r="AB979" s="0" t="s">
        <v>209</v>
      </c>
    </row>
    <row r="980" customFormat="false" ht="15" hidden="false" customHeight="false" outlineLevel="0" collapsed="false">
      <c r="A980" s="0" t="s">
        <v>21</v>
      </c>
      <c r="B980" s="0" t="s">
        <v>3895</v>
      </c>
      <c r="C980" s="0" t="s">
        <v>771</v>
      </c>
      <c r="D980" s="0" t="s">
        <v>3896</v>
      </c>
      <c r="E980" s="0" t="s">
        <v>3897</v>
      </c>
      <c r="G980" s="0" t="s">
        <v>3898</v>
      </c>
      <c r="M980" s="0" t="s">
        <v>136</v>
      </c>
      <c r="N980" s="0" t="s">
        <v>124</v>
      </c>
      <c r="P980" s="0" t="s">
        <v>26</v>
      </c>
      <c r="Q980" s="0" t="s">
        <v>26</v>
      </c>
      <c r="R980" s="0" t="s">
        <v>26</v>
      </c>
      <c r="S980" s="0" t="s">
        <v>21</v>
      </c>
      <c r="T980" s="0" t="s">
        <v>104</v>
      </c>
      <c r="W980" s="0" t="s">
        <v>183</v>
      </c>
      <c r="AB980" s="0" t="s">
        <v>209</v>
      </c>
    </row>
    <row r="981" customFormat="false" ht="15" hidden="false" customHeight="false" outlineLevel="0" collapsed="false">
      <c r="A981" s="0" t="s">
        <v>21</v>
      </c>
      <c r="B981" s="0" t="s">
        <v>3899</v>
      </c>
      <c r="C981" s="0" t="s">
        <v>771</v>
      </c>
      <c r="D981" s="0" t="s">
        <v>3900</v>
      </c>
      <c r="E981" s="0" t="s">
        <v>3901</v>
      </c>
      <c r="G981" s="0" t="s">
        <v>3902</v>
      </c>
      <c r="M981" s="0" t="s">
        <v>232</v>
      </c>
      <c r="N981" s="0" t="s">
        <v>124</v>
      </c>
      <c r="P981" s="0" t="s">
        <v>102</v>
      </c>
      <c r="Q981" s="0" t="s">
        <v>102</v>
      </c>
      <c r="R981" s="0" t="s">
        <v>144</v>
      </c>
      <c r="S981" s="0" t="s">
        <v>21</v>
      </c>
      <c r="T981" s="0" t="s">
        <v>104</v>
      </c>
      <c r="W981" s="0" t="s">
        <v>105</v>
      </c>
    </row>
    <row r="982" customFormat="false" ht="15" hidden="false" customHeight="false" outlineLevel="0" collapsed="false">
      <c r="A982" s="0" t="s">
        <v>21</v>
      </c>
      <c r="B982" s="0" t="s">
        <v>3899</v>
      </c>
      <c r="C982" s="0" t="s">
        <v>771</v>
      </c>
      <c r="D982" s="0" t="s">
        <v>3900</v>
      </c>
      <c r="E982" s="0" t="s">
        <v>3901</v>
      </c>
      <c r="G982" s="0" t="s">
        <v>3902</v>
      </c>
      <c r="M982" s="0" t="s">
        <v>232</v>
      </c>
      <c r="N982" s="0" t="s">
        <v>124</v>
      </c>
      <c r="P982" s="0" t="s">
        <v>26</v>
      </c>
      <c r="Q982" s="0" t="s">
        <v>26</v>
      </c>
      <c r="R982" s="0" t="s">
        <v>26</v>
      </c>
      <c r="S982" s="0" t="s">
        <v>21</v>
      </c>
      <c r="T982" s="0" t="s">
        <v>104</v>
      </c>
      <c r="W982" s="0" t="s">
        <v>183</v>
      </c>
    </row>
    <row r="983" customFormat="false" ht="15" hidden="false" customHeight="false" outlineLevel="0" collapsed="false">
      <c r="A983" s="0" t="s">
        <v>21</v>
      </c>
      <c r="B983" s="0" t="s">
        <v>3903</v>
      </c>
      <c r="C983" s="0" t="s">
        <v>771</v>
      </c>
      <c r="D983" s="0" t="s">
        <v>3904</v>
      </c>
      <c r="E983" s="0" t="s">
        <v>3905</v>
      </c>
      <c r="M983" s="0" t="s">
        <v>136</v>
      </c>
      <c r="N983" s="0" t="s">
        <v>124</v>
      </c>
      <c r="P983" s="0" t="s">
        <v>221</v>
      </c>
      <c r="Q983" s="0" t="s">
        <v>221</v>
      </c>
      <c r="R983" s="0" t="s">
        <v>221</v>
      </c>
      <c r="S983" s="0" t="s">
        <v>21</v>
      </c>
      <c r="T983" s="0" t="s">
        <v>104</v>
      </c>
      <c r="W983" s="0" t="s">
        <v>183</v>
      </c>
    </row>
    <row r="984" customFormat="false" ht="15" hidden="false" customHeight="false" outlineLevel="0" collapsed="false">
      <c r="A984" s="0" t="s">
        <v>21</v>
      </c>
      <c r="B984" s="0" t="s">
        <v>3903</v>
      </c>
      <c r="C984" s="0" t="s">
        <v>771</v>
      </c>
      <c r="D984" s="0" t="s">
        <v>3904</v>
      </c>
      <c r="E984" s="0" t="s">
        <v>3905</v>
      </c>
      <c r="M984" s="0" t="s">
        <v>136</v>
      </c>
      <c r="N984" s="0" t="s">
        <v>124</v>
      </c>
      <c r="P984" s="0" t="s">
        <v>102</v>
      </c>
      <c r="Q984" s="0" t="s">
        <v>102</v>
      </c>
      <c r="R984" s="0" t="s">
        <v>224</v>
      </c>
      <c r="S984" s="0" t="s">
        <v>21</v>
      </c>
      <c r="T984" s="0" t="s">
        <v>104</v>
      </c>
      <c r="V984" s="0" t="s">
        <v>225</v>
      </c>
      <c r="W984" s="0" t="s">
        <v>105</v>
      </c>
    </row>
    <row r="985" customFormat="false" ht="15" hidden="false" customHeight="false" outlineLevel="0" collapsed="false">
      <c r="A985" s="0" t="s">
        <v>21</v>
      </c>
      <c r="B985" s="0" t="s">
        <v>3903</v>
      </c>
      <c r="C985" s="0" t="s">
        <v>771</v>
      </c>
      <c r="D985" s="0" t="s">
        <v>3904</v>
      </c>
      <c r="E985" s="0" t="s">
        <v>3905</v>
      </c>
      <c r="M985" s="0" t="s">
        <v>136</v>
      </c>
      <c r="N985" s="0" t="s">
        <v>124</v>
      </c>
      <c r="P985" s="0" t="s">
        <v>26</v>
      </c>
      <c r="Q985" s="0" t="s">
        <v>26</v>
      </c>
      <c r="R985" s="0" t="s">
        <v>26</v>
      </c>
      <c r="S985" s="0" t="s">
        <v>21</v>
      </c>
      <c r="T985" s="0" t="s">
        <v>104</v>
      </c>
      <c r="W985" s="0" t="s">
        <v>183</v>
      </c>
    </row>
    <row r="986" customFormat="false" ht="15" hidden="false" customHeight="false" outlineLevel="0" collapsed="false">
      <c r="A986" s="0" t="s">
        <v>21</v>
      </c>
      <c r="B986" s="0" t="s">
        <v>3903</v>
      </c>
      <c r="C986" s="0" t="s">
        <v>771</v>
      </c>
      <c r="D986" s="0" t="s">
        <v>3904</v>
      </c>
      <c r="E986" s="0" t="s">
        <v>3905</v>
      </c>
      <c r="M986" s="0" t="s">
        <v>136</v>
      </c>
      <c r="N986" s="0" t="s">
        <v>124</v>
      </c>
      <c r="P986" s="0" t="s">
        <v>130</v>
      </c>
      <c r="Q986" s="0" t="s">
        <v>130</v>
      </c>
      <c r="R986" s="0" t="s">
        <v>226</v>
      </c>
      <c r="S986" s="0" t="s">
        <v>21</v>
      </c>
      <c r="T986" s="0" t="s">
        <v>104</v>
      </c>
      <c r="U986" s="0" t="s">
        <v>227</v>
      </c>
      <c r="W986" s="0" t="s">
        <v>105</v>
      </c>
    </row>
    <row r="987" customFormat="false" ht="15" hidden="false" customHeight="false" outlineLevel="0" collapsed="false">
      <c r="A987" s="0" t="s">
        <v>21</v>
      </c>
      <c r="B987" s="0" t="s">
        <v>3906</v>
      </c>
      <c r="C987" s="0" t="s">
        <v>771</v>
      </c>
      <c r="D987" s="0" t="s">
        <v>2027</v>
      </c>
      <c r="E987" s="0" t="s">
        <v>3907</v>
      </c>
      <c r="M987" s="0" t="s">
        <v>136</v>
      </c>
      <c r="N987" s="0" t="s">
        <v>124</v>
      </c>
      <c r="P987" s="0" t="s">
        <v>102</v>
      </c>
      <c r="Q987" s="0" t="s">
        <v>102</v>
      </c>
      <c r="R987" s="0" t="s">
        <v>144</v>
      </c>
      <c r="S987" s="0" t="s">
        <v>21</v>
      </c>
      <c r="T987" s="0" t="s">
        <v>104</v>
      </c>
      <c r="W987" s="0" t="s">
        <v>105</v>
      </c>
    </row>
    <row r="988" customFormat="false" ht="15" hidden="false" customHeight="false" outlineLevel="0" collapsed="false">
      <c r="A988" s="0" t="s">
        <v>21</v>
      </c>
      <c r="B988" s="0" t="s">
        <v>3906</v>
      </c>
      <c r="C988" s="0" t="s">
        <v>771</v>
      </c>
      <c r="D988" s="0" t="s">
        <v>2027</v>
      </c>
      <c r="E988" s="0" t="s">
        <v>3907</v>
      </c>
      <c r="M988" s="0" t="s">
        <v>136</v>
      </c>
      <c r="N988" s="0" t="s">
        <v>124</v>
      </c>
      <c r="P988" s="0" t="s">
        <v>26</v>
      </c>
      <c r="Q988" s="0" t="s">
        <v>26</v>
      </c>
      <c r="R988" s="0" t="s">
        <v>26</v>
      </c>
      <c r="S988" s="0" t="s">
        <v>21</v>
      </c>
      <c r="T988" s="0" t="s">
        <v>104</v>
      </c>
      <c r="W988" s="0" t="s">
        <v>183</v>
      </c>
    </row>
    <row r="989" customFormat="false" ht="15" hidden="false" customHeight="false" outlineLevel="0" collapsed="false">
      <c r="A989" s="0" t="s">
        <v>21</v>
      </c>
      <c r="B989" s="0" t="s">
        <v>3908</v>
      </c>
      <c r="C989" s="0" t="s">
        <v>2098</v>
      </c>
      <c r="D989" s="0" t="s">
        <v>3909</v>
      </c>
      <c r="E989" s="0" t="s">
        <v>3910</v>
      </c>
      <c r="M989" s="0" t="s">
        <v>136</v>
      </c>
      <c r="N989" s="0" t="s">
        <v>124</v>
      </c>
      <c r="P989" s="0" t="s">
        <v>102</v>
      </c>
      <c r="Q989" s="0" t="s">
        <v>102</v>
      </c>
      <c r="R989" s="0" t="s">
        <v>144</v>
      </c>
      <c r="S989" s="0" t="s">
        <v>21</v>
      </c>
      <c r="T989" s="0" t="s">
        <v>104</v>
      </c>
      <c r="W989" s="0" t="s">
        <v>105</v>
      </c>
    </row>
    <row r="990" customFormat="false" ht="15" hidden="false" customHeight="false" outlineLevel="0" collapsed="false">
      <c r="A990" s="0" t="s">
        <v>21</v>
      </c>
      <c r="B990" s="0" t="s">
        <v>3908</v>
      </c>
      <c r="C990" s="0" t="s">
        <v>2098</v>
      </c>
      <c r="D990" s="0" t="s">
        <v>3909</v>
      </c>
      <c r="E990" s="0" t="s">
        <v>3910</v>
      </c>
      <c r="M990" s="0" t="s">
        <v>136</v>
      </c>
      <c r="N990" s="0" t="s">
        <v>124</v>
      </c>
      <c r="P990" s="0" t="s">
        <v>26</v>
      </c>
      <c r="Q990" s="0" t="s">
        <v>26</v>
      </c>
      <c r="R990" s="0" t="s">
        <v>26</v>
      </c>
      <c r="S990" s="0" t="s">
        <v>21</v>
      </c>
      <c r="T990" s="0" t="s">
        <v>104</v>
      </c>
      <c r="W990" s="0" t="s">
        <v>183</v>
      </c>
    </row>
    <row r="991" customFormat="false" ht="15" hidden="false" customHeight="false" outlineLevel="0" collapsed="false">
      <c r="A991" s="0" t="s">
        <v>21</v>
      </c>
      <c r="B991" s="0" t="s">
        <v>3911</v>
      </c>
      <c r="C991" s="0" t="s">
        <v>771</v>
      </c>
      <c r="D991" s="0" t="s">
        <v>2376</v>
      </c>
      <c r="E991" s="0" t="s">
        <v>3912</v>
      </c>
      <c r="M991" s="0" t="s">
        <v>156</v>
      </c>
      <c r="N991" s="0" t="s">
        <v>124</v>
      </c>
      <c r="P991" s="0" t="s">
        <v>26</v>
      </c>
      <c r="Q991" s="0" t="s">
        <v>26</v>
      </c>
      <c r="R991" s="0" t="s">
        <v>26</v>
      </c>
      <c r="S991" s="0" t="s">
        <v>21</v>
      </c>
      <c r="T991" s="0" t="s">
        <v>104</v>
      </c>
      <c r="W991" s="0" t="s">
        <v>183</v>
      </c>
    </row>
    <row r="992" customFormat="false" ht="15" hidden="false" customHeight="false" outlineLevel="0" collapsed="false">
      <c r="A992" s="0" t="s">
        <v>21</v>
      </c>
      <c r="B992" s="0" t="s">
        <v>3911</v>
      </c>
      <c r="C992" s="0" t="s">
        <v>771</v>
      </c>
      <c r="D992" s="0" t="s">
        <v>2376</v>
      </c>
      <c r="E992" s="0" t="s">
        <v>3912</v>
      </c>
      <c r="M992" s="0" t="s">
        <v>156</v>
      </c>
      <c r="N992" s="0" t="s">
        <v>124</v>
      </c>
      <c r="P992" s="0" t="s">
        <v>236</v>
      </c>
      <c r="Q992" s="0" t="s">
        <v>236</v>
      </c>
      <c r="R992" s="0" t="s">
        <v>957</v>
      </c>
      <c r="S992" s="0" t="s">
        <v>21</v>
      </c>
      <c r="T992" s="0" t="s">
        <v>104</v>
      </c>
      <c r="W992" s="0" t="s">
        <v>105</v>
      </c>
    </row>
    <row r="993" customFormat="false" ht="15" hidden="false" customHeight="false" outlineLevel="0" collapsed="false">
      <c r="A993" s="0" t="s">
        <v>21</v>
      </c>
      <c r="B993" s="0" t="s">
        <v>3913</v>
      </c>
      <c r="C993" s="0" t="s">
        <v>97</v>
      </c>
      <c r="D993" s="0" t="s">
        <v>2807</v>
      </c>
      <c r="E993" s="0" t="s">
        <v>2807</v>
      </c>
      <c r="M993" s="0" t="s">
        <v>136</v>
      </c>
      <c r="N993" s="0" t="s">
        <v>124</v>
      </c>
      <c r="P993" s="0" t="s">
        <v>221</v>
      </c>
      <c r="Q993" s="0" t="s">
        <v>221</v>
      </c>
      <c r="R993" s="0" t="s">
        <v>221</v>
      </c>
      <c r="S993" s="0" t="s">
        <v>21</v>
      </c>
      <c r="T993" s="0" t="s">
        <v>104</v>
      </c>
      <c r="W993" s="0" t="s">
        <v>183</v>
      </c>
    </row>
    <row r="994" customFormat="false" ht="15" hidden="false" customHeight="false" outlineLevel="0" collapsed="false">
      <c r="A994" s="0" t="s">
        <v>21</v>
      </c>
      <c r="B994" s="0" t="s">
        <v>3913</v>
      </c>
      <c r="C994" s="0" t="s">
        <v>97</v>
      </c>
      <c r="D994" s="0" t="s">
        <v>2807</v>
      </c>
      <c r="E994" s="0" t="s">
        <v>2807</v>
      </c>
      <c r="M994" s="0" t="s">
        <v>136</v>
      </c>
      <c r="N994" s="0" t="s">
        <v>124</v>
      </c>
      <c r="P994" s="0" t="s">
        <v>102</v>
      </c>
      <c r="Q994" s="0" t="s">
        <v>102</v>
      </c>
      <c r="R994" s="0" t="s">
        <v>224</v>
      </c>
      <c r="S994" s="0" t="s">
        <v>21</v>
      </c>
      <c r="T994" s="0" t="s">
        <v>104</v>
      </c>
      <c r="V994" s="0" t="s">
        <v>225</v>
      </c>
      <c r="W994" s="0" t="s">
        <v>105</v>
      </c>
    </row>
    <row r="995" customFormat="false" ht="15" hidden="false" customHeight="false" outlineLevel="0" collapsed="false">
      <c r="A995" s="0" t="s">
        <v>21</v>
      </c>
      <c r="B995" s="0" t="s">
        <v>3913</v>
      </c>
      <c r="C995" s="0" t="s">
        <v>97</v>
      </c>
      <c r="D995" s="0" t="s">
        <v>2807</v>
      </c>
      <c r="E995" s="0" t="s">
        <v>2807</v>
      </c>
      <c r="M995" s="0" t="s">
        <v>136</v>
      </c>
      <c r="N995" s="0" t="s">
        <v>124</v>
      </c>
      <c r="P995" s="0" t="s">
        <v>26</v>
      </c>
      <c r="Q995" s="0" t="s">
        <v>26</v>
      </c>
      <c r="R995" s="0" t="s">
        <v>26</v>
      </c>
      <c r="S995" s="0" t="s">
        <v>21</v>
      </c>
      <c r="T995" s="0" t="s">
        <v>104</v>
      </c>
      <c r="W995" s="0" t="s">
        <v>183</v>
      </c>
    </row>
    <row r="996" customFormat="false" ht="15" hidden="false" customHeight="false" outlineLevel="0" collapsed="false">
      <c r="A996" s="0" t="s">
        <v>21</v>
      </c>
      <c r="B996" s="0" t="s">
        <v>3913</v>
      </c>
      <c r="C996" s="0" t="s">
        <v>97</v>
      </c>
      <c r="D996" s="0" t="s">
        <v>2807</v>
      </c>
      <c r="E996" s="0" t="s">
        <v>2807</v>
      </c>
      <c r="M996" s="0" t="s">
        <v>136</v>
      </c>
      <c r="N996" s="0" t="s">
        <v>124</v>
      </c>
      <c r="P996" s="0" t="s">
        <v>130</v>
      </c>
      <c r="Q996" s="0" t="s">
        <v>130</v>
      </c>
      <c r="R996" s="0" t="s">
        <v>226</v>
      </c>
      <c r="S996" s="0" t="s">
        <v>21</v>
      </c>
      <c r="T996" s="0" t="s">
        <v>104</v>
      </c>
      <c r="U996" s="0" t="s">
        <v>227</v>
      </c>
      <c r="W996" s="0" t="s">
        <v>105</v>
      </c>
    </row>
    <row r="997" customFormat="false" ht="15" hidden="false" customHeight="false" outlineLevel="0" collapsed="false">
      <c r="A997" s="0" t="s">
        <v>21</v>
      </c>
      <c r="B997" s="0" t="s">
        <v>3914</v>
      </c>
      <c r="C997" s="0" t="s">
        <v>771</v>
      </c>
      <c r="D997" s="0" t="s">
        <v>3915</v>
      </c>
      <c r="E997" s="0" t="s">
        <v>3916</v>
      </c>
      <c r="M997" s="0" t="s">
        <v>136</v>
      </c>
      <c r="N997" s="0" t="s">
        <v>124</v>
      </c>
      <c r="P997" s="0" t="s">
        <v>233</v>
      </c>
      <c r="Q997" s="0" t="s">
        <v>233</v>
      </c>
      <c r="R997" s="0" t="s">
        <v>233</v>
      </c>
      <c r="S997" s="0" t="s">
        <v>21</v>
      </c>
      <c r="T997" s="0" t="s">
        <v>104</v>
      </c>
      <c r="W997" s="0" t="s">
        <v>183</v>
      </c>
    </row>
    <row r="998" customFormat="false" ht="15" hidden="false" customHeight="false" outlineLevel="0" collapsed="false">
      <c r="A998" s="0" t="s">
        <v>21</v>
      </c>
      <c r="B998" s="0" t="s">
        <v>3914</v>
      </c>
      <c r="C998" s="0" t="s">
        <v>771</v>
      </c>
      <c r="D998" s="0" t="s">
        <v>3915</v>
      </c>
      <c r="E998" s="0" t="s">
        <v>3916</v>
      </c>
      <c r="M998" s="0" t="s">
        <v>136</v>
      </c>
      <c r="N998" s="0" t="s">
        <v>124</v>
      </c>
      <c r="P998" s="0" t="s">
        <v>102</v>
      </c>
      <c r="Q998" s="0" t="s">
        <v>102</v>
      </c>
      <c r="R998" s="0" t="s">
        <v>234</v>
      </c>
      <c r="S998" s="0" t="s">
        <v>21</v>
      </c>
      <c r="T998" s="0" t="s">
        <v>104</v>
      </c>
      <c r="V998" s="0" t="s">
        <v>235</v>
      </c>
      <c r="W998" s="0" t="s">
        <v>105</v>
      </c>
    </row>
    <row r="999" customFormat="false" ht="15" hidden="false" customHeight="false" outlineLevel="0" collapsed="false">
      <c r="A999" s="0" t="s">
        <v>21</v>
      </c>
      <c r="B999" s="0" t="s">
        <v>3914</v>
      </c>
      <c r="C999" s="0" t="s">
        <v>771</v>
      </c>
      <c r="D999" s="0" t="s">
        <v>3915</v>
      </c>
      <c r="E999" s="0" t="s">
        <v>3916</v>
      </c>
      <c r="M999" s="0" t="s">
        <v>136</v>
      </c>
      <c r="N999" s="0" t="s">
        <v>124</v>
      </c>
      <c r="P999" s="0" t="s">
        <v>26</v>
      </c>
      <c r="Q999" s="0" t="s">
        <v>26</v>
      </c>
      <c r="R999" s="0" t="s">
        <v>26</v>
      </c>
      <c r="S999" s="0" t="s">
        <v>21</v>
      </c>
      <c r="T999" s="0" t="s">
        <v>104</v>
      </c>
      <c r="W999" s="0" t="s">
        <v>183</v>
      </c>
    </row>
    <row r="1000" customFormat="false" ht="15" hidden="false" customHeight="false" outlineLevel="0" collapsed="false">
      <c r="A1000" s="0" t="s">
        <v>21</v>
      </c>
      <c r="B1000" s="0" t="s">
        <v>3914</v>
      </c>
      <c r="C1000" s="0" t="s">
        <v>771</v>
      </c>
      <c r="D1000" s="0" t="s">
        <v>3915</v>
      </c>
      <c r="E1000" s="0" t="s">
        <v>3916</v>
      </c>
      <c r="M1000" s="0" t="s">
        <v>136</v>
      </c>
      <c r="N1000" s="0" t="s">
        <v>124</v>
      </c>
      <c r="P1000" s="0" t="s">
        <v>236</v>
      </c>
      <c r="Q1000" s="0" t="s">
        <v>236</v>
      </c>
      <c r="R1000" s="0" t="s">
        <v>237</v>
      </c>
      <c r="S1000" s="0" t="s">
        <v>21</v>
      </c>
      <c r="T1000" s="0" t="s">
        <v>104</v>
      </c>
      <c r="U1000" s="0" t="s">
        <v>238</v>
      </c>
      <c r="W1000" s="0" t="s">
        <v>105</v>
      </c>
    </row>
    <row r="1001" customFormat="false" ht="15" hidden="false" customHeight="false" outlineLevel="0" collapsed="false">
      <c r="A1001" s="0" t="s">
        <v>21</v>
      </c>
      <c r="B1001" s="0" t="s">
        <v>3917</v>
      </c>
      <c r="C1001" s="0" t="s">
        <v>771</v>
      </c>
      <c r="D1001" s="0" t="s">
        <v>3918</v>
      </c>
      <c r="E1001" s="0" t="s">
        <v>3918</v>
      </c>
      <c r="M1001" s="0" t="s">
        <v>232</v>
      </c>
      <c r="N1001" s="0" t="s">
        <v>124</v>
      </c>
      <c r="P1001" s="0" t="s">
        <v>102</v>
      </c>
      <c r="Q1001" s="0" t="s">
        <v>102</v>
      </c>
      <c r="R1001" s="0" t="s">
        <v>131</v>
      </c>
      <c r="S1001" s="0" t="s">
        <v>21</v>
      </c>
      <c r="T1001" s="0" t="s">
        <v>104</v>
      </c>
      <c r="W1001" s="0" t="s">
        <v>105</v>
      </c>
    </row>
    <row r="1002" customFormat="false" ht="15" hidden="false" customHeight="false" outlineLevel="0" collapsed="false">
      <c r="A1002" s="0" t="s">
        <v>21</v>
      </c>
      <c r="B1002" s="0" t="s">
        <v>3917</v>
      </c>
      <c r="C1002" s="0" t="s">
        <v>771</v>
      </c>
      <c r="D1002" s="0" t="s">
        <v>3918</v>
      </c>
      <c r="E1002" s="0" t="s">
        <v>3918</v>
      </c>
      <c r="M1002" s="0" t="s">
        <v>232</v>
      </c>
      <c r="N1002" s="0" t="s">
        <v>124</v>
      </c>
      <c r="P1002" s="0" t="s">
        <v>26</v>
      </c>
      <c r="Q1002" s="0" t="s">
        <v>26</v>
      </c>
      <c r="R1002" s="0" t="s">
        <v>26</v>
      </c>
      <c r="S1002" s="0" t="s">
        <v>21</v>
      </c>
      <c r="T1002" s="0" t="s">
        <v>104</v>
      </c>
      <c r="W1002" s="0" t="s">
        <v>183</v>
      </c>
    </row>
    <row r="1003" customFormat="false" ht="15" hidden="false" customHeight="false" outlineLevel="0" collapsed="false">
      <c r="A1003" s="0" t="s">
        <v>21</v>
      </c>
      <c r="B1003" s="0" t="s">
        <v>3919</v>
      </c>
      <c r="C1003" s="0" t="s">
        <v>771</v>
      </c>
      <c r="D1003" s="0" t="s">
        <v>3920</v>
      </c>
      <c r="E1003" s="0" t="s">
        <v>3921</v>
      </c>
      <c r="M1003" s="0" t="s">
        <v>136</v>
      </c>
      <c r="N1003" s="0" t="s">
        <v>124</v>
      </c>
      <c r="P1003" s="0" t="s">
        <v>233</v>
      </c>
      <c r="Q1003" s="0" t="s">
        <v>233</v>
      </c>
      <c r="R1003" s="0" t="s">
        <v>233</v>
      </c>
      <c r="S1003" s="0" t="s">
        <v>21</v>
      </c>
      <c r="T1003" s="0" t="s">
        <v>104</v>
      </c>
      <c r="W1003" s="0" t="s">
        <v>183</v>
      </c>
    </row>
    <row r="1004" customFormat="false" ht="15" hidden="false" customHeight="false" outlineLevel="0" collapsed="false">
      <c r="A1004" s="0" t="s">
        <v>21</v>
      </c>
      <c r="B1004" s="0" t="s">
        <v>3919</v>
      </c>
      <c r="C1004" s="0" t="s">
        <v>771</v>
      </c>
      <c r="D1004" s="0" t="s">
        <v>3920</v>
      </c>
      <c r="E1004" s="0" t="s">
        <v>3921</v>
      </c>
      <c r="M1004" s="0" t="s">
        <v>136</v>
      </c>
      <c r="N1004" s="0" t="s">
        <v>124</v>
      </c>
      <c r="P1004" s="0" t="s">
        <v>102</v>
      </c>
      <c r="Q1004" s="0" t="s">
        <v>102</v>
      </c>
      <c r="R1004" s="0" t="s">
        <v>234</v>
      </c>
      <c r="S1004" s="0" t="s">
        <v>21</v>
      </c>
      <c r="T1004" s="0" t="s">
        <v>104</v>
      </c>
      <c r="V1004" s="0" t="s">
        <v>235</v>
      </c>
      <c r="W1004" s="0" t="s">
        <v>105</v>
      </c>
    </row>
    <row r="1005" customFormat="false" ht="15" hidden="false" customHeight="false" outlineLevel="0" collapsed="false">
      <c r="A1005" s="0" t="s">
        <v>21</v>
      </c>
      <c r="B1005" s="0" t="s">
        <v>3919</v>
      </c>
      <c r="C1005" s="0" t="s">
        <v>771</v>
      </c>
      <c r="D1005" s="0" t="s">
        <v>3920</v>
      </c>
      <c r="E1005" s="0" t="s">
        <v>3921</v>
      </c>
      <c r="M1005" s="0" t="s">
        <v>136</v>
      </c>
      <c r="N1005" s="0" t="s">
        <v>124</v>
      </c>
      <c r="P1005" s="0" t="s">
        <v>26</v>
      </c>
      <c r="Q1005" s="0" t="s">
        <v>26</v>
      </c>
      <c r="R1005" s="0" t="s">
        <v>26</v>
      </c>
      <c r="S1005" s="0" t="s">
        <v>21</v>
      </c>
      <c r="T1005" s="0" t="s">
        <v>104</v>
      </c>
      <c r="W1005" s="0" t="s">
        <v>183</v>
      </c>
    </row>
    <row r="1006" customFormat="false" ht="15" hidden="false" customHeight="false" outlineLevel="0" collapsed="false">
      <c r="A1006" s="0" t="s">
        <v>21</v>
      </c>
      <c r="B1006" s="0" t="s">
        <v>3919</v>
      </c>
      <c r="C1006" s="0" t="s">
        <v>771</v>
      </c>
      <c r="D1006" s="0" t="s">
        <v>3920</v>
      </c>
      <c r="E1006" s="0" t="s">
        <v>3921</v>
      </c>
      <c r="M1006" s="0" t="s">
        <v>136</v>
      </c>
      <c r="N1006" s="0" t="s">
        <v>124</v>
      </c>
      <c r="P1006" s="0" t="s">
        <v>236</v>
      </c>
      <c r="Q1006" s="0" t="s">
        <v>236</v>
      </c>
      <c r="R1006" s="0" t="s">
        <v>237</v>
      </c>
      <c r="S1006" s="0" t="s">
        <v>21</v>
      </c>
      <c r="T1006" s="0" t="s">
        <v>104</v>
      </c>
      <c r="U1006" s="0" t="s">
        <v>238</v>
      </c>
      <c r="W1006" s="0" t="s">
        <v>105</v>
      </c>
    </row>
    <row r="1007" customFormat="false" ht="15" hidden="false" customHeight="false" outlineLevel="0" collapsed="false">
      <c r="A1007" s="0" t="s">
        <v>21</v>
      </c>
      <c r="B1007" s="0" t="s">
        <v>3922</v>
      </c>
      <c r="C1007" s="0" t="s">
        <v>771</v>
      </c>
      <c r="D1007" s="0" t="s">
        <v>3860</v>
      </c>
      <c r="E1007" s="0" t="s">
        <v>3923</v>
      </c>
      <c r="M1007" s="0" t="s">
        <v>136</v>
      </c>
      <c r="N1007" s="0" t="s">
        <v>124</v>
      </c>
      <c r="P1007" s="0" t="s">
        <v>102</v>
      </c>
      <c r="Q1007" s="0" t="s">
        <v>102</v>
      </c>
      <c r="R1007" s="0" t="s">
        <v>131</v>
      </c>
      <c r="S1007" s="0" t="s">
        <v>21</v>
      </c>
      <c r="T1007" s="0" t="s">
        <v>104</v>
      </c>
      <c r="W1007" s="0" t="s">
        <v>105</v>
      </c>
    </row>
    <row r="1008" customFormat="false" ht="15" hidden="false" customHeight="false" outlineLevel="0" collapsed="false">
      <c r="A1008" s="0" t="s">
        <v>21</v>
      </c>
      <c r="B1008" s="0" t="s">
        <v>3922</v>
      </c>
      <c r="C1008" s="0" t="s">
        <v>771</v>
      </c>
      <c r="D1008" s="0" t="s">
        <v>3860</v>
      </c>
      <c r="E1008" s="0" t="s">
        <v>3923</v>
      </c>
      <c r="M1008" s="0" t="s">
        <v>136</v>
      </c>
      <c r="N1008" s="0" t="s">
        <v>124</v>
      </c>
      <c r="P1008" s="0" t="s">
        <v>26</v>
      </c>
      <c r="Q1008" s="0" t="s">
        <v>26</v>
      </c>
      <c r="R1008" s="0" t="s">
        <v>26</v>
      </c>
      <c r="S1008" s="0" t="s">
        <v>21</v>
      </c>
      <c r="T1008" s="0" t="s">
        <v>104</v>
      </c>
      <c r="W1008" s="0" t="s">
        <v>183</v>
      </c>
    </row>
    <row r="1009" customFormat="false" ht="15" hidden="false" customHeight="false" outlineLevel="0" collapsed="false">
      <c r="A1009" s="0" t="s">
        <v>21</v>
      </c>
      <c r="B1009" s="0" t="s">
        <v>3924</v>
      </c>
      <c r="C1009" s="0" t="s">
        <v>771</v>
      </c>
      <c r="D1009" s="0" t="s">
        <v>3925</v>
      </c>
      <c r="E1009" s="0" t="s">
        <v>3925</v>
      </c>
      <c r="M1009" s="0" t="s">
        <v>136</v>
      </c>
      <c r="N1009" s="0" t="s">
        <v>124</v>
      </c>
      <c r="P1009" s="0" t="s">
        <v>221</v>
      </c>
      <c r="Q1009" s="0" t="s">
        <v>221</v>
      </c>
      <c r="R1009" s="0" t="s">
        <v>221</v>
      </c>
      <c r="S1009" s="0" t="s">
        <v>21</v>
      </c>
      <c r="T1009" s="0" t="s">
        <v>104</v>
      </c>
      <c r="W1009" s="0" t="s">
        <v>183</v>
      </c>
    </row>
    <row r="1010" customFormat="false" ht="15" hidden="false" customHeight="false" outlineLevel="0" collapsed="false">
      <c r="A1010" s="0" t="s">
        <v>21</v>
      </c>
      <c r="B1010" s="0" t="s">
        <v>3924</v>
      </c>
      <c r="C1010" s="0" t="s">
        <v>771</v>
      </c>
      <c r="D1010" s="0" t="s">
        <v>3925</v>
      </c>
      <c r="E1010" s="0" t="s">
        <v>3925</v>
      </c>
      <c r="M1010" s="0" t="s">
        <v>136</v>
      </c>
      <c r="N1010" s="0" t="s">
        <v>124</v>
      </c>
      <c r="P1010" s="0" t="s">
        <v>102</v>
      </c>
      <c r="Q1010" s="0" t="s">
        <v>102</v>
      </c>
      <c r="R1010" s="0" t="s">
        <v>224</v>
      </c>
      <c r="S1010" s="0" t="s">
        <v>21</v>
      </c>
      <c r="T1010" s="0" t="s">
        <v>104</v>
      </c>
      <c r="V1010" s="0" t="s">
        <v>225</v>
      </c>
      <c r="W1010" s="0" t="s">
        <v>105</v>
      </c>
    </row>
    <row r="1011" customFormat="false" ht="15" hidden="false" customHeight="false" outlineLevel="0" collapsed="false">
      <c r="A1011" s="0" t="s">
        <v>21</v>
      </c>
      <c r="B1011" s="0" t="s">
        <v>3924</v>
      </c>
      <c r="C1011" s="0" t="s">
        <v>771</v>
      </c>
      <c r="D1011" s="0" t="s">
        <v>3925</v>
      </c>
      <c r="E1011" s="0" t="s">
        <v>3925</v>
      </c>
      <c r="M1011" s="0" t="s">
        <v>136</v>
      </c>
      <c r="N1011" s="0" t="s">
        <v>124</v>
      </c>
      <c r="P1011" s="0" t="s">
        <v>26</v>
      </c>
      <c r="Q1011" s="0" t="s">
        <v>26</v>
      </c>
      <c r="R1011" s="0" t="s">
        <v>26</v>
      </c>
      <c r="S1011" s="0" t="s">
        <v>21</v>
      </c>
      <c r="T1011" s="0" t="s">
        <v>104</v>
      </c>
      <c r="W1011" s="0" t="s">
        <v>183</v>
      </c>
    </row>
    <row r="1012" customFormat="false" ht="15" hidden="false" customHeight="false" outlineLevel="0" collapsed="false">
      <c r="A1012" s="0" t="s">
        <v>21</v>
      </c>
      <c r="B1012" s="0" t="s">
        <v>3924</v>
      </c>
      <c r="C1012" s="0" t="s">
        <v>771</v>
      </c>
      <c r="D1012" s="0" t="s">
        <v>3925</v>
      </c>
      <c r="E1012" s="0" t="s">
        <v>3925</v>
      </c>
      <c r="M1012" s="0" t="s">
        <v>136</v>
      </c>
      <c r="N1012" s="0" t="s">
        <v>124</v>
      </c>
      <c r="P1012" s="0" t="s">
        <v>130</v>
      </c>
      <c r="Q1012" s="0" t="s">
        <v>130</v>
      </c>
      <c r="R1012" s="0" t="s">
        <v>226</v>
      </c>
      <c r="S1012" s="0" t="s">
        <v>21</v>
      </c>
      <c r="T1012" s="0" t="s">
        <v>104</v>
      </c>
      <c r="U1012" s="0" t="s">
        <v>227</v>
      </c>
      <c r="W1012" s="0" t="s">
        <v>105</v>
      </c>
    </row>
    <row r="1013" customFormat="false" ht="15" hidden="false" customHeight="false" outlineLevel="0" collapsed="false">
      <c r="A1013" s="0" t="s">
        <v>21</v>
      </c>
      <c r="B1013" s="0" t="s">
        <v>3926</v>
      </c>
      <c r="C1013" s="0" t="s">
        <v>771</v>
      </c>
      <c r="D1013" s="0" t="s">
        <v>2214</v>
      </c>
      <c r="E1013" s="0" t="s">
        <v>3927</v>
      </c>
      <c r="M1013" s="0" t="s">
        <v>136</v>
      </c>
      <c r="N1013" s="0" t="s">
        <v>124</v>
      </c>
      <c r="P1013" s="0" t="s">
        <v>102</v>
      </c>
      <c r="Q1013" s="0" t="s">
        <v>102</v>
      </c>
      <c r="R1013" s="0" t="s">
        <v>131</v>
      </c>
      <c r="S1013" s="0" t="s">
        <v>21</v>
      </c>
      <c r="T1013" s="0" t="s">
        <v>104</v>
      </c>
      <c r="W1013" s="0" t="s">
        <v>105</v>
      </c>
    </row>
    <row r="1014" customFormat="false" ht="15" hidden="false" customHeight="false" outlineLevel="0" collapsed="false">
      <c r="A1014" s="0" t="s">
        <v>21</v>
      </c>
      <c r="B1014" s="0" t="s">
        <v>3926</v>
      </c>
      <c r="C1014" s="0" t="s">
        <v>771</v>
      </c>
      <c r="D1014" s="0" t="s">
        <v>2214</v>
      </c>
      <c r="E1014" s="0" t="s">
        <v>3927</v>
      </c>
      <c r="M1014" s="0" t="s">
        <v>136</v>
      </c>
      <c r="N1014" s="0" t="s">
        <v>124</v>
      </c>
      <c r="P1014" s="0" t="s">
        <v>26</v>
      </c>
      <c r="Q1014" s="0" t="s">
        <v>26</v>
      </c>
      <c r="R1014" s="0" t="s">
        <v>26</v>
      </c>
      <c r="S1014" s="0" t="s">
        <v>21</v>
      </c>
      <c r="T1014" s="0" t="s">
        <v>104</v>
      </c>
      <c r="W1014" s="0" t="s">
        <v>183</v>
      </c>
    </row>
    <row r="1015" customFormat="false" ht="15" hidden="false" customHeight="false" outlineLevel="0" collapsed="false">
      <c r="A1015" s="0" t="s">
        <v>21</v>
      </c>
      <c r="B1015" s="0" t="s">
        <v>3928</v>
      </c>
      <c r="C1015" s="0" t="s">
        <v>771</v>
      </c>
      <c r="D1015" s="0" t="s">
        <v>3929</v>
      </c>
      <c r="E1015" s="0" t="s">
        <v>3930</v>
      </c>
      <c r="M1015" s="0" t="s">
        <v>136</v>
      </c>
      <c r="N1015" s="0" t="s">
        <v>124</v>
      </c>
      <c r="P1015" s="0" t="s">
        <v>221</v>
      </c>
      <c r="Q1015" s="0" t="s">
        <v>221</v>
      </c>
      <c r="R1015" s="0" t="s">
        <v>221</v>
      </c>
      <c r="S1015" s="0" t="s">
        <v>21</v>
      </c>
      <c r="T1015" s="0" t="s">
        <v>104</v>
      </c>
      <c r="W1015" s="0" t="s">
        <v>183</v>
      </c>
    </row>
    <row r="1016" customFormat="false" ht="15" hidden="false" customHeight="false" outlineLevel="0" collapsed="false">
      <c r="A1016" s="0" t="s">
        <v>21</v>
      </c>
      <c r="B1016" s="0" t="s">
        <v>3928</v>
      </c>
      <c r="C1016" s="0" t="s">
        <v>771</v>
      </c>
      <c r="D1016" s="0" t="s">
        <v>3929</v>
      </c>
      <c r="E1016" s="0" t="s">
        <v>3930</v>
      </c>
      <c r="M1016" s="0" t="s">
        <v>136</v>
      </c>
      <c r="N1016" s="0" t="s">
        <v>124</v>
      </c>
      <c r="P1016" s="0" t="s">
        <v>102</v>
      </c>
      <c r="Q1016" s="0" t="s">
        <v>102</v>
      </c>
      <c r="R1016" s="0" t="s">
        <v>224</v>
      </c>
      <c r="S1016" s="0" t="s">
        <v>21</v>
      </c>
      <c r="T1016" s="0" t="s">
        <v>104</v>
      </c>
      <c r="V1016" s="0" t="s">
        <v>225</v>
      </c>
      <c r="W1016" s="0" t="s">
        <v>105</v>
      </c>
    </row>
    <row r="1017" customFormat="false" ht="15" hidden="false" customHeight="false" outlineLevel="0" collapsed="false">
      <c r="A1017" s="0" t="s">
        <v>21</v>
      </c>
      <c r="B1017" s="0" t="s">
        <v>3928</v>
      </c>
      <c r="C1017" s="0" t="s">
        <v>771</v>
      </c>
      <c r="D1017" s="0" t="s">
        <v>3929</v>
      </c>
      <c r="E1017" s="0" t="s">
        <v>3930</v>
      </c>
      <c r="M1017" s="0" t="s">
        <v>136</v>
      </c>
      <c r="N1017" s="0" t="s">
        <v>124</v>
      </c>
      <c r="P1017" s="0" t="s">
        <v>26</v>
      </c>
      <c r="Q1017" s="0" t="s">
        <v>26</v>
      </c>
      <c r="R1017" s="0" t="s">
        <v>26</v>
      </c>
      <c r="S1017" s="0" t="s">
        <v>21</v>
      </c>
      <c r="T1017" s="0" t="s">
        <v>104</v>
      </c>
      <c r="W1017" s="0" t="s">
        <v>183</v>
      </c>
    </row>
    <row r="1018" customFormat="false" ht="15" hidden="false" customHeight="false" outlineLevel="0" collapsed="false">
      <c r="A1018" s="0" t="s">
        <v>21</v>
      </c>
      <c r="B1018" s="0" t="s">
        <v>3928</v>
      </c>
      <c r="C1018" s="0" t="s">
        <v>771</v>
      </c>
      <c r="D1018" s="0" t="s">
        <v>3929</v>
      </c>
      <c r="E1018" s="0" t="s">
        <v>3930</v>
      </c>
      <c r="M1018" s="0" t="s">
        <v>136</v>
      </c>
      <c r="N1018" s="0" t="s">
        <v>124</v>
      </c>
      <c r="P1018" s="0" t="s">
        <v>130</v>
      </c>
      <c r="Q1018" s="0" t="s">
        <v>130</v>
      </c>
      <c r="R1018" s="0" t="s">
        <v>226</v>
      </c>
      <c r="S1018" s="0" t="s">
        <v>21</v>
      </c>
      <c r="T1018" s="0" t="s">
        <v>104</v>
      </c>
      <c r="U1018" s="0" t="s">
        <v>227</v>
      </c>
      <c r="W1018" s="0" t="s">
        <v>105</v>
      </c>
    </row>
    <row r="1019" customFormat="false" ht="15" hidden="false" customHeight="false" outlineLevel="0" collapsed="false">
      <c r="A1019" s="0" t="s">
        <v>21</v>
      </c>
      <c r="B1019" s="0" t="s">
        <v>3931</v>
      </c>
      <c r="C1019" s="0" t="s">
        <v>771</v>
      </c>
      <c r="D1019" s="0" t="s">
        <v>3932</v>
      </c>
      <c r="E1019" s="0" t="s">
        <v>3933</v>
      </c>
      <c r="M1019" s="0" t="s">
        <v>136</v>
      </c>
      <c r="N1019" s="0" t="s">
        <v>124</v>
      </c>
      <c r="P1019" s="0" t="s">
        <v>102</v>
      </c>
      <c r="Q1019" s="0" t="s">
        <v>102</v>
      </c>
      <c r="R1019" s="0" t="s">
        <v>131</v>
      </c>
      <c r="S1019" s="0" t="s">
        <v>21</v>
      </c>
      <c r="T1019" s="0" t="s">
        <v>104</v>
      </c>
      <c r="W1019" s="0" t="s">
        <v>105</v>
      </c>
    </row>
    <row r="1020" customFormat="false" ht="15" hidden="false" customHeight="false" outlineLevel="0" collapsed="false">
      <c r="A1020" s="0" t="s">
        <v>21</v>
      </c>
      <c r="B1020" s="0" t="s">
        <v>3931</v>
      </c>
      <c r="C1020" s="0" t="s">
        <v>771</v>
      </c>
      <c r="D1020" s="0" t="s">
        <v>3932</v>
      </c>
      <c r="E1020" s="0" t="s">
        <v>3933</v>
      </c>
      <c r="M1020" s="0" t="s">
        <v>136</v>
      </c>
      <c r="N1020" s="0" t="s">
        <v>124</v>
      </c>
      <c r="P1020" s="0" t="s">
        <v>26</v>
      </c>
      <c r="Q1020" s="0" t="s">
        <v>26</v>
      </c>
      <c r="R1020" s="0" t="s">
        <v>26</v>
      </c>
      <c r="S1020" s="0" t="s">
        <v>21</v>
      </c>
      <c r="T1020" s="0" t="s">
        <v>104</v>
      </c>
      <c r="W1020" s="0" t="s">
        <v>183</v>
      </c>
    </row>
    <row r="1021" customFormat="false" ht="15" hidden="false" customHeight="false" outlineLevel="0" collapsed="false">
      <c r="A1021" s="0" t="s">
        <v>21</v>
      </c>
      <c r="B1021" s="0" t="s">
        <v>3934</v>
      </c>
      <c r="C1021" s="0" t="s">
        <v>771</v>
      </c>
      <c r="D1021" s="0" t="s">
        <v>3935</v>
      </c>
      <c r="E1021" s="0" t="s">
        <v>3936</v>
      </c>
      <c r="M1021" s="0" t="s">
        <v>136</v>
      </c>
      <c r="N1021" s="0" t="s">
        <v>124</v>
      </c>
      <c r="P1021" s="0" t="s">
        <v>221</v>
      </c>
      <c r="Q1021" s="0" t="s">
        <v>221</v>
      </c>
      <c r="R1021" s="0" t="s">
        <v>221</v>
      </c>
      <c r="S1021" s="0" t="s">
        <v>21</v>
      </c>
      <c r="T1021" s="0" t="s">
        <v>104</v>
      </c>
      <c r="W1021" s="0" t="s">
        <v>183</v>
      </c>
    </row>
    <row r="1022" customFormat="false" ht="15" hidden="false" customHeight="false" outlineLevel="0" collapsed="false">
      <c r="A1022" s="0" t="s">
        <v>21</v>
      </c>
      <c r="B1022" s="0" t="s">
        <v>3934</v>
      </c>
      <c r="C1022" s="0" t="s">
        <v>771</v>
      </c>
      <c r="D1022" s="0" t="s">
        <v>3935</v>
      </c>
      <c r="E1022" s="0" t="s">
        <v>3936</v>
      </c>
      <c r="M1022" s="0" t="s">
        <v>136</v>
      </c>
      <c r="N1022" s="0" t="s">
        <v>124</v>
      </c>
      <c r="P1022" s="0" t="s">
        <v>102</v>
      </c>
      <c r="Q1022" s="0" t="s">
        <v>102</v>
      </c>
      <c r="R1022" s="0" t="s">
        <v>224</v>
      </c>
      <c r="S1022" s="0" t="s">
        <v>21</v>
      </c>
      <c r="T1022" s="0" t="s">
        <v>104</v>
      </c>
      <c r="V1022" s="0" t="s">
        <v>225</v>
      </c>
      <c r="W1022" s="0" t="s">
        <v>105</v>
      </c>
    </row>
    <row r="1023" customFormat="false" ht="15" hidden="false" customHeight="false" outlineLevel="0" collapsed="false">
      <c r="A1023" s="0" t="s">
        <v>21</v>
      </c>
      <c r="B1023" s="0" t="s">
        <v>3934</v>
      </c>
      <c r="C1023" s="0" t="s">
        <v>771</v>
      </c>
      <c r="D1023" s="0" t="s">
        <v>3935</v>
      </c>
      <c r="E1023" s="0" t="s">
        <v>3936</v>
      </c>
      <c r="M1023" s="0" t="s">
        <v>136</v>
      </c>
      <c r="N1023" s="0" t="s">
        <v>124</v>
      </c>
      <c r="P1023" s="0" t="s">
        <v>26</v>
      </c>
      <c r="Q1023" s="0" t="s">
        <v>26</v>
      </c>
      <c r="R1023" s="0" t="s">
        <v>26</v>
      </c>
      <c r="S1023" s="0" t="s">
        <v>21</v>
      </c>
      <c r="T1023" s="0" t="s">
        <v>104</v>
      </c>
      <c r="W1023" s="0" t="s">
        <v>183</v>
      </c>
    </row>
    <row r="1024" customFormat="false" ht="15" hidden="false" customHeight="false" outlineLevel="0" collapsed="false">
      <c r="A1024" s="0" t="s">
        <v>21</v>
      </c>
      <c r="B1024" s="0" t="s">
        <v>3934</v>
      </c>
      <c r="C1024" s="0" t="s">
        <v>771</v>
      </c>
      <c r="D1024" s="0" t="s">
        <v>3935</v>
      </c>
      <c r="E1024" s="0" t="s">
        <v>3936</v>
      </c>
      <c r="M1024" s="0" t="s">
        <v>136</v>
      </c>
      <c r="N1024" s="0" t="s">
        <v>124</v>
      </c>
      <c r="P1024" s="0" t="s">
        <v>130</v>
      </c>
      <c r="Q1024" s="0" t="s">
        <v>130</v>
      </c>
      <c r="R1024" s="0" t="s">
        <v>226</v>
      </c>
      <c r="S1024" s="0" t="s">
        <v>21</v>
      </c>
      <c r="T1024" s="0" t="s">
        <v>104</v>
      </c>
      <c r="U1024" s="0" t="s">
        <v>227</v>
      </c>
      <c r="W1024" s="0" t="s">
        <v>105</v>
      </c>
    </row>
    <row r="1025" customFormat="false" ht="15" hidden="false" customHeight="false" outlineLevel="0" collapsed="false">
      <c r="A1025" s="0" t="s">
        <v>21</v>
      </c>
      <c r="B1025" s="0" t="s">
        <v>3937</v>
      </c>
      <c r="C1025" s="0" t="s">
        <v>771</v>
      </c>
      <c r="D1025" s="0" t="s">
        <v>3938</v>
      </c>
      <c r="E1025" s="0" t="s">
        <v>3939</v>
      </c>
      <c r="M1025" s="0" t="s">
        <v>232</v>
      </c>
      <c r="N1025" s="0" t="s">
        <v>124</v>
      </c>
      <c r="P1025" s="0" t="s">
        <v>102</v>
      </c>
      <c r="Q1025" s="0" t="s">
        <v>102</v>
      </c>
      <c r="R1025" s="0" t="s">
        <v>137</v>
      </c>
      <c r="S1025" s="0" t="s">
        <v>21</v>
      </c>
      <c r="T1025" s="0" t="s">
        <v>104</v>
      </c>
      <c r="W1025" s="0" t="s">
        <v>105</v>
      </c>
    </row>
    <row r="1026" customFormat="false" ht="15" hidden="false" customHeight="false" outlineLevel="0" collapsed="false">
      <c r="A1026" s="0" t="s">
        <v>21</v>
      </c>
      <c r="B1026" s="0" t="s">
        <v>3937</v>
      </c>
      <c r="C1026" s="0" t="s">
        <v>771</v>
      </c>
      <c r="D1026" s="0" t="s">
        <v>3938</v>
      </c>
      <c r="E1026" s="0" t="s">
        <v>3939</v>
      </c>
      <c r="M1026" s="0" t="s">
        <v>232</v>
      </c>
      <c r="N1026" s="0" t="s">
        <v>124</v>
      </c>
      <c r="P1026" s="0" t="s">
        <v>26</v>
      </c>
      <c r="Q1026" s="0" t="s">
        <v>26</v>
      </c>
      <c r="R1026" s="0" t="s">
        <v>26</v>
      </c>
      <c r="S1026" s="0" t="s">
        <v>21</v>
      </c>
      <c r="T1026" s="0" t="s">
        <v>104</v>
      </c>
      <c r="W1026" s="0" t="s">
        <v>183</v>
      </c>
    </row>
    <row r="1027" customFormat="false" ht="15" hidden="false" customHeight="false" outlineLevel="0" collapsed="false">
      <c r="A1027" s="0" t="s">
        <v>21</v>
      </c>
      <c r="B1027" s="0" t="s">
        <v>3940</v>
      </c>
      <c r="C1027" s="0" t="s">
        <v>771</v>
      </c>
      <c r="D1027" s="0" t="s">
        <v>3938</v>
      </c>
      <c r="E1027" s="0" t="s">
        <v>3941</v>
      </c>
      <c r="M1027" s="0" t="s">
        <v>136</v>
      </c>
      <c r="N1027" s="0" t="s">
        <v>124</v>
      </c>
      <c r="P1027" s="0" t="s">
        <v>102</v>
      </c>
      <c r="Q1027" s="0" t="s">
        <v>102</v>
      </c>
      <c r="R1027" s="0" t="s">
        <v>137</v>
      </c>
      <c r="S1027" s="0" t="s">
        <v>21</v>
      </c>
      <c r="T1027" s="0" t="s">
        <v>104</v>
      </c>
      <c r="W1027" s="0" t="s">
        <v>105</v>
      </c>
    </row>
    <row r="1028" customFormat="false" ht="15" hidden="false" customHeight="false" outlineLevel="0" collapsed="false">
      <c r="A1028" s="0" t="s">
        <v>21</v>
      </c>
      <c r="B1028" s="0" t="s">
        <v>3940</v>
      </c>
      <c r="C1028" s="0" t="s">
        <v>771</v>
      </c>
      <c r="D1028" s="0" t="s">
        <v>3938</v>
      </c>
      <c r="E1028" s="0" t="s">
        <v>3941</v>
      </c>
      <c r="M1028" s="0" t="s">
        <v>136</v>
      </c>
      <c r="N1028" s="0" t="s">
        <v>124</v>
      </c>
      <c r="P1028" s="0" t="s">
        <v>26</v>
      </c>
      <c r="Q1028" s="0" t="s">
        <v>26</v>
      </c>
      <c r="R1028" s="0" t="s">
        <v>26</v>
      </c>
      <c r="S1028" s="0" t="s">
        <v>21</v>
      </c>
      <c r="T1028" s="0" t="s">
        <v>104</v>
      </c>
      <c r="W1028" s="0" t="s">
        <v>183</v>
      </c>
    </row>
    <row r="1029" customFormat="false" ht="15" hidden="false" customHeight="false" outlineLevel="0" collapsed="false">
      <c r="A1029" s="0" t="s">
        <v>21</v>
      </c>
      <c r="B1029" s="0" t="s">
        <v>3942</v>
      </c>
      <c r="C1029" s="0" t="s">
        <v>771</v>
      </c>
      <c r="D1029" s="0" t="s">
        <v>3943</v>
      </c>
      <c r="E1029" s="0" t="s">
        <v>3943</v>
      </c>
      <c r="M1029" s="0" t="s">
        <v>232</v>
      </c>
      <c r="N1029" s="0" t="s">
        <v>124</v>
      </c>
      <c r="P1029" s="0" t="s">
        <v>221</v>
      </c>
      <c r="Q1029" s="0" t="s">
        <v>221</v>
      </c>
      <c r="R1029" s="0" t="s">
        <v>221</v>
      </c>
      <c r="S1029" s="0" t="s">
        <v>21</v>
      </c>
      <c r="T1029" s="0" t="s">
        <v>104</v>
      </c>
      <c r="W1029" s="0" t="s">
        <v>183</v>
      </c>
    </row>
    <row r="1030" customFormat="false" ht="15" hidden="false" customHeight="false" outlineLevel="0" collapsed="false">
      <c r="A1030" s="0" t="s">
        <v>21</v>
      </c>
      <c r="B1030" s="0" t="s">
        <v>3942</v>
      </c>
      <c r="C1030" s="0" t="s">
        <v>771</v>
      </c>
      <c r="D1030" s="0" t="s">
        <v>3943</v>
      </c>
      <c r="E1030" s="0" t="s">
        <v>3943</v>
      </c>
      <c r="M1030" s="0" t="s">
        <v>232</v>
      </c>
      <c r="N1030" s="0" t="s">
        <v>124</v>
      </c>
      <c r="P1030" s="0" t="s">
        <v>102</v>
      </c>
      <c r="Q1030" s="0" t="s">
        <v>102</v>
      </c>
      <c r="R1030" s="0" t="s">
        <v>224</v>
      </c>
      <c r="S1030" s="0" t="s">
        <v>21</v>
      </c>
      <c r="T1030" s="0" t="s">
        <v>104</v>
      </c>
      <c r="V1030" s="0" t="s">
        <v>225</v>
      </c>
      <c r="W1030" s="0" t="s">
        <v>105</v>
      </c>
    </row>
    <row r="1031" customFormat="false" ht="15" hidden="false" customHeight="false" outlineLevel="0" collapsed="false">
      <c r="A1031" s="0" t="s">
        <v>21</v>
      </c>
      <c r="B1031" s="0" t="s">
        <v>3942</v>
      </c>
      <c r="C1031" s="0" t="s">
        <v>771</v>
      </c>
      <c r="D1031" s="0" t="s">
        <v>3943</v>
      </c>
      <c r="E1031" s="0" t="s">
        <v>3943</v>
      </c>
      <c r="M1031" s="0" t="s">
        <v>232</v>
      </c>
      <c r="N1031" s="0" t="s">
        <v>124</v>
      </c>
      <c r="P1031" s="0" t="s">
        <v>26</v>
      </c>
      <c r="Q1031" s="0" t="s">
        <v>26</v>
      </c>
      <c r="R1031" s="0" t="s">
        <v>26</v>
      </c>
      <c r="S1031" s="0" t="s">
        <v>21</v>
      </c>
      <c r="T1031" s="0" t="s">
        <v>104</v>
      </c>
      <c r="W1031" s="0" t="s">
        <v>183</v>
      </c>
    </row>
    <row r="1032" customFormat="false" ht="15" hidden="false" customHeight="false" outlineLevel="0" collapsed="false">
      <c r="A1032" s="0" t="s">
        <v>21</v>
      </c>
      <c r="B1032" s="0" t="s">
        <v>3942</v>
      </c>
      <c r="C1032" s="0" t="s">
        <v>771</v>
      </c>
      <c r="D1032" s="0" t="s">
        <v>3943</v>
      </c>
      <c r="E1032" s="0" t="s">
        <v>3943</v>
      </c>
      <c r="M1032" s="0" t="s">
        <v>232</v>
      </c>
      <c r="N1032" s="0" t="s">
        <v>124</v>
      </c>
      <c r="P1032" s="0" t="s">
        <v>130</v>
      </c>
      <c r="Q1032" s="0" t="s">
        <v>130</v>
      </c>
      <c r="R1032" s="0" t="s">
        <v>226</v>
      </c>
      <c r="S1032" s="0" t="s">
        <v>21</v>
      </c>
      <c r="T1032" s="0" t="s">
        <v>104</v>
      </c>
      <c r="U1032" s="0" t="s">
        <v>227</v>
      </c>
      <c r="W1032" s="0" t="s">
        <v>105</v>
      </c>
    </row>
    <row r="1033" customFormat="false" ht="15" hidden="false" customHeight="false" outlineLevel="0" collapsed="false">
      <c r="A1033" s="0" t="s">
        <v>21</v>
      </c>
      <c r="B1033" s="0" t="s">
        <v>3944</v>
      </c>
      <c r="C1033" s="0" t="s">
        <v>2098</v>
      </c>
      <c r="D1033" s="0" t="s">
        <v>3945</v>
      </c>
      <c r="E1033" s="0" t="s">
        <v>3946</v>
      </c>
      <c r="M1033" s="0" t="s">
        <v>136</v>
      </c>
      <c r="N1033" s="0" t="s">
        <v>124</v>
      </c>
      <c r="P1033" s="0" t="s">
        <v>102</v>
      </c>
      <c r="Q1033" s="0" t="s">
        <v>102</v>
      </c>
      <c r="R1033" s="0" t="s">
        <v>3947</v>
      </c>
      <c r="S1033" s="0" t="s">
        <v>21</v>
      </c>
      <c r="T1033" s="0" t="s">
        <v>104</v>
      </c>
      <c r="W1033" s="0" t="s">
        <v>105</v>
      </c>
    </row>
    <row r="1034" customFormat="false" ht="15" hidden="false" customHeight="false" outlineLevel="0" collapsed="false">
      <c r="A1034" s="0" t="s">
        <v>21</v>
      </c>
      <c r="B1034" s="0" t="s">
        <v>3944</v>
      </c>
      <c r="C1034" s="0" t="s">
        <v>2098</v>
      </c>
      <c r="D1034" s="0" t="s">
        <v>3945</v>
      </c>
      <c r="E1034" s="0" t="s">
        <v>3946</v>
      </c>
      <c r="M1034" s="0" t="s">
        <v>136</v>
      </c>
      <c r="N1034" s="0" t="s">
        <v>124</v>
      </c>
      <c r="P1034" s="0" t="s">
        <v>26</v>
      </c>
      <c r="Q1034" s="0" t="s">
        <v>26</v>
      </c>
      <c r="R1034" s="0" t="s">
        <v>26</v>
      </c>
      <c r="S1034" s="0" t="s">
        <v>21</v>
      </c>
      <c r="T1034" s="0" t="s">
        <v>104</v>
      </c>
      <c r="W1034" s="0" t="s">
        <v>183</v>
      </c>
    </row>
    <row r="1035" customFormat="false" ht="15" hidden="false" customHeight="false" outlineLevel="0" collapsed="false">
      <c r="A1035" s="0" t="s">
        <v>21</v>
      </c>
      <c r="B1035" s="0" t="s">
        <v>3948</v>
      </c>
      <c r="C1035" s="0" t="s">
        <v>771</v>
      </c>
      <c r="D1035" s="0" t="s">
        <v>3949</v>
      </c>
      <c r="E1035" s="0" t="s">
        <v>3950</v>
      </c>
      <c r="M1035" s="0" t="s">
        <v>136</v>
      </c>
      <c r="N1035" s="0" t="s">
        <v>124</v>
      </c>
      <c r="P1035" s="0" t="s">
        <v>26</v>
      </c>
      <c r="Q1035" s="0" t="s">
        <v>26</v>
      </c>
      <c r="R1035" s="0" t="s">
        <v>26</v>
      </c>
      <c r="S1035" s="0" t="s">
        <v>21</v>
      </c>
      <c r="T1035" s="0" t="s">
        <v>104</v>
      </c>
      <c r="W1035" s="0" t="s">
        <v>183</v>
      </c>
    </row>
    <row r="1036" customFormat="false" ht="15" hidden="false" customHeight="false" outlineLevel="0" collapsed="false">
      <c r="A1036" s="0" t="s">
        <v>21</v>
      </c>
      <c r="B1036" s="0" t="s">
        <v>3948</v>
      </c>
      <c r="C1036" s="0" t="s">
        <v>771</v>
      </c>
      <c r="D1036" s="0" t="s">
        <v>3949</v>
      </c>
      <c r="E1036" s="0" t="s">
        <v>3950</v>
      </c>
      <c r="M1036" s="0" t="s">
        <v>136</v>
      </c>
      <c r="N1036" s="0" t="s">
        <v>124</v>
      </c>
      <c r="P1036" s="0" t="s">
        <v>236</v>
      </c>
      <c r="Q1036" s="0" t="s">
        <v>236</v>
      </c>
      <c r="R1036" s="0" t="s">
        <v>957</v>
      </c>
      <c r="S1036" s="0" t="s">
        <v>21</v>
      </c>
      <c r="T1036" s="0" t="s">
        <v>104</v>
      </c>
      <c r="W1036" s="0" t="s">
        <v>105</v>
      </c>
    </row>
    <row r="1037" customFormat="false" ht="15" hidden="false" customHeight="false" outlineLevel="0" collapsed="false">
      <c r="A1037" s="0" t="s">
        <v>21</v>
      </c>
      <c r="B1037" s="0" t="s">
        <v>3951</v>
      </c>
      <c r="C1037" s="0" t="s">
        <v>771</v>
      </c>
      <c r="D1037" s="0" t="s">
        <v>3952</v>
      </c>
      <c r="E1037" s="0" t="s">
        <v>3953</v>
      </c>
      <c r="M1037" s="0" t="s">
        <v>156</v>
      </c>
      <c r="N1037" s="0" t="s">
        <v>124</v>
      </c>
      <c r="P1037" s="0" t="s">
        <v>26</v>
      </c>
      <c r="Q1037" s="0" t="s">
        <v>26</v>
      </c>
      <c r="R1037" s="0" t="s">
        <v>26</v>
      </c>
      <c r="S1037" s="0" t="s">
        <v>21</v>
      </c>
      <c r="T1037" s="0" t="s">
        <v>104</v>
      </c>
      <c r="W1037" s="0" t="s">
        <v>183</v>
      </c>
    </row>
    <row r="1038" customFormat="false" ht="15" hidden="false" customHeight="false" outlineLevel="0" collapsed="false">
      <c r="A1038" s="0" t="s">
        <v>21</v>
      </c>
      <c r="B1038" s="0" t="s">
        <v>3951</v>
      </c>
      <c r="C1038" s="0" t="s">
        <v>771</v>
      </c>
      <c r="D1038" s="0" t="s">
        <v>3952</v>
      </c>
      <c r="E1038" s="0" t="s">
        <v>3953</v>
      </c>
      <c r="M1038" s="0" t="s">
        <v>156</v>
      </c>
      <c r="N1038" s="0" t="s">
        <v>124</v>
      </c>
      <c r="P1038" s="0" t="s">
        <v>236</v>
      </c>
      <c r="Q1038" s="0" t="s">
        <v>236</v>
      </c>
      <c r="R1038" s="0" t="s">
        <v>957</v>
      </c>
      <c r="S1038" s="0" t="s">
        <v>21</v>
      </c>
      <c r="T1038" s="0" t="s">
        <v>104</v>
      </c>
      <c r="W1038" s="0" t="s">
        <v>105</v>
      </c>
    </row>
    <row r="1039" customFormat="false" ht="15" hidden="false" customHeight="false" outlineLevel="0" collapsed="false">
      <c r="A1039" s="0" t="s">
        <v>21</v>
      </c>
      <c r="B1039" s="0" t="s">
        <v>3954</v>
      </c>
      <c r="C1039" s="0" t="s">
        <v>771</v>
      </c>
      <c r="D1039" s="0" t="s">
        <v>3955</v>
      </c>
      <c r="E1039" s="0" t="s">
        <v>3956</v>
      </c>
      <c r="M1039" s="0" t="s">
        <v>136</v>
      </c>
      <c r="N1039" s="0" t="s">
        <v>124</v>
      </c>
      <c r="P1039" s="0" t="s">
        <v>26</v>
      </c>
      <c r="Q1039" s="0" t="s">
        <v>26</v>
      </c>
      <c r="R1039" s="0" t="s">
        <v>26</v>
      </c>
      <c r="S1039" s="0" t="s">
        <v>21</v>
      </c>
      <c r="T1039" s="0" t="s">
        <v>104</v>
      </c>
      <c r="W1039" s="0" t="s">
        <v>183</v>
      </c>
    </row>
    <row r="1040" customFormat="false" ht="15" hidden="false" customHeight="false" outlineLevel="0" collapsed="false">
      <c r="A1040" s="0" t="s">
        <v>21</v>
      </c>
      <c r="B1040" s="0" t="s">
        <v>3954</v>
      </c>
      <c r="C1040" s="0" t="s">
        <v>771</v>
      </c>
      <c r="D1040" s="0" t="s">
        <v>3955</v>
      </c>
      <c r="E1040" s="0" t="s">
        <v>3956</v>
      </c>
      <c r="M1040" s="0" t="s">
        <v>136</v>
      </c>
      <c r="N1040" s="0" t="s">
        <v>124</v>
      </c>
      <c r="P1040" s="0" t="s">
        <v>204</v>
      </c>
      <c r="Q1040" s="0" t="s">
        <v>204</v>
      </c>
      <c r="R1040" s="0" t="s">
        <v>137</v>
      </c>
      <c r="S1040" s="0" t="s">
        <v>21</v>
      </c>
      <c r="T1040" s="0" t="s">
        <v>104</v>
      </c>
      <c r="W1040" s="0" t="s">
        <v>105</v>
      </c>
    </row>
    <row r="1041" customFormat="false" ht="15" hidden="false" customHeight="false" outlineLevel="0" collapsed="false">
      <c r="A1041" s="0" t="s">
        <v>21</v>
      </c>
      <c r="B1041" s="0" t="s">
        <v>3957</v>
      </c>
      <c r="C1041" s="0" t="s">
        <v>771</v>
      </c>
      <c r="D1041" s="0" t="s">
        <v>3958</v>
      </c>
      <c r="E1041" s="0" t="s">
        <v>3959</v>
      </c>
      <c r="M1041" s="0" t="s">
        <v>136</v>
      </c>
      <c r="N1041" s="0" t="s">
        <v>124</v>
      </c>
      <c r="P1041" s="0" t="s">
        <v>102</v>
      </c>
      <c r="Q1041" s="0" t="s">
        <v>102</v>
      </c>
      <c r="R1041" s="0" t="s">
        <v>131</v>
      </c>
      <c r="S1041" s="0" t="s">
        <v>21</v>
      </c>
      <c r="T1041" s="0" t="s">
        <v>104</v>
      </c>
      <c r="W1041" s="0" t="s">
        <v>105</v>
      </c>
    </row>
    <row r="1042" customFormat="false" ht="15" hidden="false" customHeight="false" outlineLevel="0" collapsed="false">
      <c r="A1042" s="0" t="s">
        <v>21</v>
      </c>
      <c r="B1042" s="0" t="s">
        <v>3957</v>
      </c>
      <c r="C1042" s="0" t="s">
        <v>771</v>
      </c>
      <c r="D1042" s="0" t="s">
        <v>3958</v>
      </c>
      <c r="E1042" s="0" t="s">
        <v>3959</v>
      </c>
      <c r="M1042" s="0" t="s">
        <v>136</v>
      </c>
      <c r="N1042" s="0" t="s">
        <v>124</v>
      </c>
      <c r="P1042" s="0" t="s">
        <v>26</v>
      </c>
      <c r="Q1042" s="0" t="s">
        <v>26</v>
      </c>
      <c r="R1042" s="0" t="s">
        <v>26</v>
      </c>
      <c r="S1042" s="0" t="s">
        <v>21</v>
      </c>
      <c r="T1042" s="0" t="s">
        <v>104</v>
      </c>
      <c r="W1042" s="0" t="s">
        <v>183</v>
      </c>
    </row>
    <row r="1043" customFormat="false" ht="15" hidden="false" customHeight="false" outlineLevel="0" collapsed="false">
      <c r="A1043" s="0" t="s">
        <v>21</v>
      </c>
      <c r="B1043" s="0" t="s">
        <v>3960</v>
      </c>
      <c r="C1043" s="0" t="s">
        <v>771</v>
      </c>
      <c r="D1043" s="0" t="s">
        <v>3961</v>
      </c>
      <c r="E1043" s="0" t="s">
        <v>3962</v>
      </c>
      <c r="M1043" s="0" t="s">
        <v>232</v>
      </c>
      <c r="N1043" s="0" t="s">
        <v>124</v>
      </c>
      <c r="P1043" s="0" t="s">
        <v>221</v>
      </c>
      <c r="Q1043" s="0" t="s">
        <v>221</v>
      </c>
      <c r="R1043" s="0" t="s">
        <v>221</v>
      </c>
      <c r="S1043" s="0" t="s">
        <v>21</v>
      </c>
      <c r="T1043" s="0" t="s">
        <v>104</v>
      </c>
      <c r="W1043" s="0" t="s">
        <v>183</v>
      </c>
    </row>
    <row r="1044" customFormat="false" ht="15" hidden="false" customHeight="false" outlineLevel="0" collapsed="false">
      <c r="A1044" s="0" t="s">
        <v>21</v>
      </c>
      <c r="B1044" s="0" t="s">
        <v>3960</v>
      </c>
      <c r="C1044" s="0" t="s">
        <v>771</v>
      </c>
      <c r="D1044" s="0" t="s">
        <v>3961</v>
      </c>
      <c r="E1044" s="0" t="s">
        <v>3962</v>
      </c>
      <c r="M1044" s="0" t="s">
        <v>232</v>
      </c>
      <c r="N1044" s="0" t="s">
        <v>124</v>
      </c>
      <c r="P1044" s="0" t="s">
        <v>102</v>
      </c>
      <c r="Q1044" s="0" t="s">
        <v>102</v>
      </c>
      <c r="R1044" s="0" t="s">
        <v>224</v>
      </c>
      <c r="S1044" s="0" t="s">
        <v>21</v>
      </c>
      <c r="T1044" s="0" t="s">
        <v>104</v>
      </c>
      <c r="V1044" s="0" t="s">
        <v>225</v>
      </c>
      <c r="W1044" s="0" t="s">
        <v>105</v>
      </c>
    </row>
    <row r="1045" customFormat="false" ht="15" hidden="false" customHeight="false" outlineLevel="0" collapsed="false">
      <c r="A1045" s="0" t="s">
        <v>21</v>
      </c>
      <c r="B1045" s="0" t="s">
        <v>3960</v>
      </c>
      <c r="C1045" s="0" t="s">
        <v>771</v>
      </c>
      <c r="D1045" s="0" t="s">
        <v>3961</v>
      </c>
      <c r="E1045" s="0" t="s">
        <v>3962</v>
      </c>
      <c r="M1045" s="0" t="s">
        <v>232</v>
      </c>
      <c r="N1045" s="0" t="s">
        <v>124</v>
      </c>
      <c r="P1045" s="0" t="s">
        <v>26</v>
      </c>
      <c r="Q1045" s="0" t="s">
        <v>26</v>
      </c>
      <c r="R1045" s="0" t="s">
        <v>26</v>
      </c>
      <c r="S1045" s="0" t="s">
        <v>21</v>
      </c>
      <c r="T1045" s="0" t="s">
        <v>104</v>
      </c>
      <c r="W1045" s="0" t="s">
        <v>183</v>
      </c>
    </row>
    <row r="1046" customFormat="false" ht="15" hidden="false" customHeight="false" outlineLevel="0" collapsed="false">
      <c r="A1046" s="0" t="s">
        <v>21</v>
      </c>
      <c r="B1046" s="0" t="s">
        <v>3960</v>
      </c>
      <c r="C1046" s="0" t="s">
        <v>771</v>
      </c>
      <c r="D1046" s="0" t="s">
        <v>3961</v>
      </c>
      <c r="E1046" s="0" t="s">
        <v>3962</v>
      </c>
      <c r="M1046" s="0" t="s">
        <v>232</v>
      </c>
      <c r="N1046" s="0" t="s">
        <v>124</v>
      </c>
      <c r="P1046" s="0" t="s">
        <v>130</v>
      </c>
      <c r="Q1046" s="0" t="s">
        <v>130</v>
      </c>
      <c r="R1046" s="0" t="s">
        <v>226</v>
      </c>
      <c r="S1046" s="0" t="s">
        <v>21</v>
      </c>
      <c r="T1046" s="0" t="s">
        <v>104</v>
      </c>
      <c r="U1046" s="0" t="s">
        <v>227</v>
      </c>
      <c r="W1046" s="0" t="s">
        <v>105</v>
      </c>
    </row>
    <row r="1047" customFormat="false" ht="15" hidden="false" customHeight="false" outlineLevel="0" collapsed="false">
      <c r="A1047" s="0" t="s">
        <v>21</v>
      </c>
      <c r="B1047" s="0" t="s">
        <v>3963</v>
      </c>
      <c r="C1047" s="0" t="s">
        <v>771</v>
      </c>
      <c r="D1047" s="0" t="s">
        <v>2042</v>
      </c>
      <c r="E1047" s="0" t="s">
        <v>3964</v>
      </c>
      <c r="M1047" s="0" t="s">
        <v>232</v>
      </c>
      <c r="N1047" s="0" t="s">
        <v>124</v>
      </c>
      <c r="P1047" s="0" t="s">
        <v>102</v>
      </c>
      <c r="Q1047" s="0" t="s">
        <v>102</v>
      </c>
      <c r="R1047" s="0" t="s">
        <v>2043</v>
      </c>
      <c r="S1047" s="0" t="s">
        <v>21</v>
      </c>
      <c r="T1047" s="0" t="s">
        <v>104</v>
      </c>
      <c r="W1047" s="0" t="s">
        <v>105</v>
      </c>
    </row>
    <row r="1048" customFormat="false" ht="15" hidden="false" customHeight="false" outlineLevel="0" collapsed="false">
      <c r="A1048" s="0" t="s">
        <v>21</v>
      </c>
      <c r="B1048" s="0" t="s">
        <v>3963</v>
      </c>
      <c r="C1048" s="0" t="s">
        <v>771</v>
      </c>
      <c r="D1048" s="0" t="s">
        <v>2042</v>
      </c>
      <c r="E1048" s="0" t="s">
        <v>3964</v>
      </c>
      <c r="M1048" s="0" t="s">
        <v>232</v>
      </c>
      <c r="N1048" s="0" t="s">
        <v>124</v>
      </c>
      <c r="P1048" s="0" t="s">
        <v>26</v>
      </c>
      <c r="Q1048" s="0" t="s">
        <v>26</v>
      </c>
      <c r="R1048" s="0" t="s">
        <v>26</v>
      </c>
      <c r="S1048" s="0" t="s">
        <v>21</v>
      </c>
      <c r="T1048" s="0" t="s">
        <v>104</v>
      </c>
      <c r="W1048" s="0" t="s">
        <v>183</v>
      </c>
    </row>
    <row r="1049" customFormat="false" ht="15" hidden="false" customHeight="false" outlineLevel="0" collapsed="false">
      <c r="A1049" s="0" t="s">
        <v>21</v>
      </c>
      <c r="B1049" s="0" t="s">
        <v>3965</v>
      </c>
      <c r="C1049" s="0" t="s">
        <v>771</v>
      </c>
      <c r="D1049" s="0" t="s">
        <v>2045</v>
      </c>
      <c r="E1049" s="0" t="s">
        <v>3966</v>
      </c>
      <c r="M1049" s="0" t="s">
        <v>136</v>
      </c>
      <c r="N1049" s="0" t="s">
        <v>124</v>
      </c>
      <c r="P1049" s="0" t="s">
        <v>102</v>
      </c>
      <c r="Q1049" s="0" t="s">
        <v>102</v>
      </c>
      <c r="R1049" s="0" t="s">
        <v>131</v>
      </c>
      <c r="S1049" s="0" t="s">
        <v>21</v>
      </c>
      <c r="T1049" s="0" t="s">
        <v>104</v>
      </c>
      <c r="W1049" s="0" t="s">
        <v>105</v>
      </c>
    </row>
    <row r="1050" customFormat="false" ht="15" hidden="false" customHeight="false" outlineLevel="0" collapsed="false">
      <c r="A1050" s="0" t="s">
        <v>21</v>
      </c>
      <c r="B1050" s="0" t="s">
        <v>3965</v>
      </c>
      <c r="C1050" s="0" t="s">
        <v>771</v>
      </c>
      <c r="D1050" s="0" t="s">
        <v>2045</v>
      </c>
      <c r="E1050" s="0" t="s">
        <v>3966</v>
      </c>
      <c r="M1050" s="0" t="s">
        <v>136</v>
      </c>
      <c r="N1050" s="0" t="s">
        <v>124</v>
      </c>
      <c r="P1050" s="0" t="s">
        <v>26</v>
      </c>
      <c r="Q1050" s="0" t="s">
        <v>26</v>
      </c>
      <c r="R1050" s="0" t="s">
        <v>26</v>
      </c>
      <c r="S1050" s="0" t="s">
        <v>21</v>
      </c>
      <c r="T1050" s="0" t="s">
        <v>104</v>
      </c>
      <c r="W1050" s="0" t="s">
        <v>183</v>
      </c>
    </row>
    <row r="1051" customFormat="false" ht="15" hidden="false" customHeight="false" outlineLevel="0" collapsed="false">
      <c r="A1051" s="0" t="s">
        <v>21</v>
      </c>
      <c r="B1051" s="0" t="s">
        <v>3967</v>
      </c>
      <c r="C1051" s="0" t="s">
        <v>771</v>
      </c>
      <c r="D1051" s="0" t="s">
        <v>3968</v>
      </c>
      <c r="E1051" s="0" t="s">
        <v>3969</v>
      </c>
      <c r="M1051" s="0" t="s">
        <v>136</v>
      </c>
      <c r="N1051" s="0" t="s">
        <v>124</v>
      </c>
      <c r="P1051" s="0" t="s">
        <v>102</v>
      </c>
      <c r="Q1051" s="0" t="s">
        <v>102</v>
      </c>
      <c r="R1051" s="0" t="s">
        <v>131</v>
      </c>
      <c r="S1051" s="0" t="s">
        <v>21</v>
      </c>
      <c r="T1051" s="0" t="s">
        <v>104</v>
      </c>
      <c r="W1051" s="0" t="s">
        <v>105</v>
      </c>
    </row>
    <row r="1052" customFormat="false" ht="15" hidden="false" customHeight="false" outlineLevel="0" collapsed="false">
      <c r="A1052" s="0" t="s">
        <v>21</v>
      </c>
      <c r="B1052" s="0" t="s">
        <v>3967</v>
      </c>
      <c r="C1052" s="0" t="s">
        <v>771</v>
      </c>
      <c r="D1052" s="0" t="s">
        <v>3968</v>
      </c>
      <c r="E1052" s="0" t="s">
        <v>3969</v>
      </c>
      <c r="M1052" s="0" t="s">
        <v>136</v>
      </c>
      <c r="N1052" s="0" t="s">
        <v>124</v>
      </c>
      <c r="P1052" s="0" t="s">
        <v>26</v>
      </c>
      <c r="Q1052" s="0" t="s">
        <v>26</v>
      </c>
      <c r="R1052" s="0" t="s">
        <v>26</v>
      </c>
      <c r="S1052" s="0" t="s">
        <v>21</v>
      </c>
      <c r="T1052" s="0" t="s">
        <v>104</v>
      </c>
      <c r="W1052" s="0" t="s">
        <v>183</v>
      </c>
    </row>
    <row r="1053" customFormat="false" ht="15" hidden="false" customHeight="false" outlineLevel="0" collapsed="false">
      <c r="A1053" s="0" t="s">
        <v>21</v>
      </c>
      <c r="B1053" s="0" t="s">
        <v>3970</v>
      </c>
      <c r="C1053" s="0" t="s">
        <v>771</v>
      </c>
      <c r="D1053" s="0" t="s">
        <v>3971</v>
      </c>
      <c r="E1053" s="0" t="s">
        <v>3972</v>
      </c>
      <c r="M1053" s="0" t="s">
        <v>208</v>
      </c>
      <c r="N1053" s="0" t="s">
        <v>124</v>
      </c>
      <c r="P1053" s="0" t="s">
        <v>102</v>
      </c>
      <c r="Q1053" s="0" t="s">
        <v>102</v>
      </c>
      <c r="R1053" s="0" t="s">
        <v>131</v>
      </c>
      <c r="S1053" s="0" t="s">
        <v>21</v>
      </c>
      <c r="T1053" s="0" t="s">
        <v>104</v>
      </c>
      <c r="W1053" s="0" t="s">
        <v>105</v>
      </c>
    </row>
    <row r="1054" customFormat="false" ht="15" hidden="false" customHeight="false" outlineLevel="0" collapsed="false">
      <c r="A1054" s="0" t="s">
        <v>21</v>
      </c>
      <c r="B1054" s="0" t="s">
        <v>3970</v>
      </c>
      <c r="C1054" s="0" t="s">
        <v>771</v>
      </c>
      <c r="D1054" s="0" t="s">
        <v>3971</v>
      </c>
      <c r="E1054" s="0" t="s">
        <v>3972</v>
      </c>
      <c r="M1054" s="0" t="s">
        <v>208</v>
      </c>
      <c r="N1054" s="0" t="s">
        <v>124</v>
      </c>
      <c r="P1054" s="0" t="s">
        <v>26</v>
      </c>
      <c r="Q1054" s="0" t="s">
        <v>26</v>
      </c>
      <c r="R1054" s="0" t="s">
        <v>26</v>
      </c>
      <c r="S1054" s="0" t="s">
        <v>21</v>
      </c>
      <c r="T1054" s="0" t="s">
        <v>104</v>
      </c>
      <c r="W1054" s="0" t="s">
        <v>183</v>
      </c>
    </row>
    <row r="1055" customFormat="false" ht="15" hidden="false" customHeight="false" outlineLevel="0" collapsed="false">
      <c r="A1055" s="0" t="s">
        <v>21</v>
      </c>
      <c r="B1055" s="0" t="s">
        <v>3973</v>
      </c>
      <c r="C1055" s="0" t="s">
        <v>771</v>
      </c>
      <c r="D1055" s="0" t="s">
        <v>3974</v>
      </c>
      <c r="E1055" s="0" t="s">
        <v>3975</v>
      </c>
      <c r="M1055" s="0" t="s">
        <v>232</v>
      </c>
      <c r="N1055" s="0" t="s">
        <v>124</v>
      </c>
      <c r="P1055" s="0" t="s">
        <v>102</v>
      </c>
      <c r="Q1055" s="0" t="s">
        <v>102</v>
      </c>
      <c r="R1055" s="0" t="s">
        <v>131</v>
      </c>
      <c r="S1055" s="0" t="s">
        <v>21</v>
      </c>
      <c r="T1055" s="0" t="s">
        <v>104</v>
      </c>
      <c r="W1055" s="0" t="s">
        <v>105</v>
      </c>
    </row>
    <row r="1056" customFormat="false" ht="15" hidden="false" customHeight="false" outlineLevel="0" collapsed="false">
      <c r="A1056" s="0" t="s">
        <v>21</v>
      </c>
      <c r="B1056" s="0" t="s">
        <v>3973</v>
      </c>
      <c r="C1056" s="0" t="s">
        <v>771</v>
      </c>
      <c r="D1056" s="0" t="s">
        <v>3974</v>
      </c>
      <c r="E1056" s="0" t="s">
        <v>3975</v>
      </c>
      <c r="M1056" s="0" t="s">
        <v>232</v>
      </c>
      <c r="N1056" s="0" t="s">
        <v>124</v>
      </c>
      <c r="P1056" s="0" t="s">
        <v>26</v>
      </c>
      <c r="Q1056" s="0" t="s">
        <v>26</v>
      </c>
      <c r="R1056" s="0" t="s">
        <v>26</v>
      </c>
      <c r="S1056" s="0" t="s">
        <v>21</v>
      </c>
      <c r="T1056" s="0" t="s">
        <v>104</v>
      </c>
      <c r="W1056" s="0" t="s">
        <v>183</v>
      </c>
    </row>
    <row r="1057" customFormat="false" ht="15" hidden="false" customHeight="false" outlineLevel="0" collapsed="false">
      <c r="A1057" s="0" t="s">
        <v>21</v>
      </c>
      <c r="B1057" s="0" t="s">
        <v>3976</v>
      </c>
      <c r="C1057" s="0" t="s">
        <v>771</v>
      </c>
      <c r="D1057" s="0" t="s">
        <v>3977</v>
      </c>
      <c r="E1057" s="0" t="s">
        <v>3978</v>
      </c>
      <c r="M1057" s="0" t="s">
        <v>136</v>
      </c>
      <c r="N1057" s="0" t="s">
        <v>124</v>
      </c>
      <c r="P1057" s="0" t="s">
        <v>102</v>
      </c>
      <c r="Q1057" s="0" t="s">
        <v>102</v>
      </c>
      <c r="R1057" s="0" t="s">
        <v>131</v>
      </c>
      <c r="S1057" s="0" t="s">
        <v>21</v>
      </c>
      <c r="T1057" s="0" t="s">
        <v>104</v>
      </c>
      <c r="W1057" s="0" t="s">
        <v>105</v>
      </c>
    </row>
    <row r="1058" customFormat="false" ht="15" hidden="false" customHeight="false" outlineLevel="0" collapsed="false">
      <c r="A1058" s="0" t="s">
        <v>21</v>
      </c>
      <c r="B1058" s="0" t="s">
        <v>3976</v>
      </c>
      <c r="C1058" s="0" t="s">
        <v>771</v>
      </c>
      <c r="D1058" s="0" t="s">
        <v>3977</v>
      </c>
      <c r="E1058" s="0" t="s">
        <v>3978</v>
      </c>
      <c r="M1058" s="0" t="s">
        <v>136</v>
      </c>
      <c r="N1058" s="0" t="s">
        <v>124</v>
      </c>
      <c r="P1058" s="0" t="s">
        <v>26</v>
      </c>
      <c r="Q1058" s="0" t="s">
        <v>26</v>
      </c>
      <c r="R1058" s="0" t="s">
        <v>26</v>
      </c>
      <c r="S1058" s="0" t="s">
        <v>21</v>
      </c>
      <c r="T1058" s="0" t="s">
        <v>104</v>
      </c>
      <c r="W1058" s="0" t="s">
        <v>183</v>
      </c>
    </row>
    <row r="1059" customFormat="false" ht="15" hidden="false" customHeight="false" outlineLevel="0" collapsed="false">
      <c r="A1059" s="0" t="s">
        <v>21</v>
      </c>
      <c r="B1059" s="0" t="s">
        <v>3979</v>
      </c>
      <c r="C1059" s="0" t="s">
        <v>771</v>
      </c>
      <c r="D1059" s="0" t="s">
        <v>3980</v>
      </c>
      <c r="E1059" s="0" t="s">
        <v>3981</v>
      </c>
      <c r="M1059" s="0" t="s">
        <v>136</v>
      </c>
      <c r="N1059" s="0" t="s">
        <v>124</v>
      </c>
      <c r="P1059" s="0" t="s">
        <v>102</v>
      </c>
      <c r="Q1059" s="0" t="s">
        <v>102</v>
      </c>
      <c r="R1059" s="0" t="s">
        <v>131</v>
      </c>
      <c r="S1059" s="0" t="s">
        <v>21</v>
      </c>
      <c r="T1059" s="0" t="s">
        <v>104</v>
      </c>
      <c r="W1059" s="0" t="s">
        <v>105</v>
      </c>
    </row>
    <row r="1060" customFormat="false" ht="15" hidden="false" customHeight="false" outlineLevel="0" collapsed="false">
      <c r="A1060" s="0" t="s">
        <v>21</v>
      </c>
      <c r="B1060" s="0" t="s">
        <v>3979</v>
      </c>
      <c r="C1060" s="0" t="s">
        <v>771</v>
      </c>
      <c r="D1060" s="0" t="s">
        <v>3980</v>
      </c>
      <c r="E1060" s="0" t="s">
        <v>3981</v>
      </c>
      <c r="M1060" s="0" t="s">
        <v>136</v>
      </c>
      <c r="N1060" s="0" t="s">
        <v>124</v>
      </c>
      <c r="P1060" s="0" t="s">
        <v>26</v>
      </c>
      <c r="Q1060" s="0" t="s">
        <v>26</v>
      </c>
      <c r="R1060" s="0" t="s">
        <v>26</v>
      </c>
      <c r="S1060" s="0" t="s">
        <v>21</v>
      </c>
      <c r="T1060" s="0" t="s">
        <v>104</v>
      </c>
      <c r="W1060" s="0" t="s">
        <v>183</v>
      </c>
    </row>
    <row r="1061" customFormat="false" ht="15" hidden="false" customHeight="false" outlineLevel="0" collapsed="false">
      <c r="A1061" s="0" t="s">
        <v>21</v>
      </c>
      <c r="B1061" s="0" t="s">
        <v>3982</v>
      </c>
      <c r="C1061" s="0" t="s">
        <v>771</v>
      </c>
      <c r="D1061" s="0" t="s">
        <v>3983</v>
      </c>
      <c r="E1061" s="0" t="s">
        <v>3984</v>
      </c>
      <c r="M1061" s="0" t="s">
        <v>136</v>
      </c>
      <c r="N1061" s="0" t="s">
        <v>124</v>
      </c>
      <c r="P1061" s="0" t="s">
        <v>102</v>
      </c>
      <c r="Q1061" s="0" t="s">
        <v>102</v>
      </c>
      <c r="R1061" s="0" t="s">
        <v>131</v>
      </c>
      <c r="S1061" s="0" t="s">
        <v>21</v>
      </c>
      <c r="T1061" s="0" t="s">
        <v>104</v>
      </c>
      <c r="W1061" s="0" t="s">
        <v>105</v>
      </c>
    </row>
    <row r="1062" customFormat="false" ht="15" hidden="false" customHeight="false" outlineLevel="0" collapsed="false">
      <c r="A1062" s="0" t="s">
        <v>21</v>
      </c>
      <c r="B1062" s="0" t="s">
        <v>3982</v>
      </c>
      <c r="C1062" s="0" t="s">
        <v>771</v>
      </c>
      <c r="D1062" s="0" t="s">
        <v>3983</v>
      </c>
      <c r="E1062" s="0" t="s">
        <v>3984</v>
      </c>
      <c r="M1062" s="0" t="s">
        <v>136</v>
      </c>
      <c r="N1062" s="0" t="s">
        <v>124</v>
      </c>
      <c r="P1062" s="0" t="s">
        <v>26</v>
      </c>
      <c r="Q1062" s="0" t="s">
        <v>26</v>
      </c>
      <c r="R1062" s="0" t="s">
        <v>26</v>
      </c>
      <c r="S1062" s="0" t="s">
        <v>21</v>
      </c>
      <c r="T1062" s="0" t="s">
        <v>104</v>
      </c>
      <c r="W1062" s="0" t="s">
        <v>183</v>
      </c>
    </row>
    <row r="1063" customFormat="false" ht="15" hidden="false" customHeight="false" outlineLevel="0" collapsed="false">
      <c r="A1063" s="0" t="s">
        <v>21</v>
      </c>
      <c r="B1063" s="0" t="s">
        <v>3985</v>
      </c>
      <c r="C1063" s="0" t="s">
        <v>771</v>
      </c>
      <c r="D1063" s="0" t="s">
        <v>3986</v>
      </c>
      <c r="E1063" s="0" t="s">
        <v>3987</v>
      </c>
      <c r="M1063" s="0" t="s">
        <v>136</v>
      </c>
      <c r="N1063" s="0" t="s">
        <v>124</v>
      </c>
      <c r="P1063" s="0" t="s">
        <v>102</v>
      </c>
      <c r="Q1063" s="0" t="s">
        <v>102</v>
      </c>
      <c r="R1063" s="0" t="s">
        <v>131</v>
      </c>
      <c r="S1063" s="0" t="s">
        <v>21</v>
      </c>
      <c r="T1063" s="0" t="s">
        <v>104</v>
      </c>
      <c r="W1063" s="0" t="s">
        <v>105</v>
      </c>
    </row>
    <row r="1064" customFormat="false" ht="15" hidden="false" customHeight="false" outlineLevel="0" collapsed="false">
      <c r="A1064" s="0" t="s">
        <v>21</v>
      </c>
      <c r="B1064" s="0" t="s">
        <v>3985</v>
      </c>
      <c r="C1064" s="0" t="s">
        <v>771</v>
      </c>
      <c r="D1064" s="0" t="s">
        <v>3986</v>
      </c>
      <c r="E1064" s="0" t="s">
        <v>3987</v>
      </c>
      <c r="M1064" s="0" t="s">
        <v>136</v>
      </c>
      <c r="N1064" s="0" t="s">
        <v>124</v>
      </c>
      <c r="P1064" s="0" t="s">
        <v>26</v>
      </c>
      <c r="Q1064" s="0" t="s">
        <v>26</v>
      </c>
      <c r="R1064" s="0" t="s">
        <v>26</v>
      </c>
      <c r="S1064" s="0" t="s">
        <v>21</v>
      </c>
      <c r="T1064" s="0" t="s">
        <v>104</v>
      </c>
      <c r="W1064" s="0" t="s">
        <v>183</v>
      </c>
    </row>
    <row r="1065" customFormat="false" ht="15" hidden="false" customHeight="false" outlineLevel="0" collapsed="false">
      <c r="A1065" s="0" t="s">
        <v>21</v>
      </c>
      <c r="B1065" s="0" t="s">
        <v>3988</v>
      </c>
      <c r="C1065" s="0" t="s">
        <v>771</v>
      </c>
      <c r="D1065" s="0" t="s">
        <v>2001</v>
      </c>
      <c r="E1065" s="0" t="s">
        <v>3989</v>
      </c>
      <c r="M1065" s="0" t="s">
        <v>208</v>
      </c>
      <c r="N1065" s="0" t="s">
        <v>124</v>
      </c>
      <c r="P1065" s="0" t="s">
        <v>26</v>
      </c>
      <c r="Q1065" s="0" t="s">
        <v>26</v>
      </c>
      <c r="R1065" s="0" t="s">
        <v>26</v>
      </c>
      <c r="S1065" s="0" t="s">
        <v>21</v>
      </c>
      <c r="T1065" s="0" t="s">
        <v>104</v>
      </c>
      <c r="W1065" s="0" t="s">
        <v>183</v>
      </c>
    </row>
    <row r="1066" customFormat="false" ht="15" hidden="false" customHeight="false" outlineLevel="0" collapsed="false">
      <c r="A1066" s="0" t="s">
        <v>21</v>
      </c>
      <c r="B1066" s="0" t="s">
        <v>3988</v>
      </c>
      <c r="C1066" s="0" t="s">
        <v>771</v>
      </c>
      <c r="D1066" s="0" t="s">
        <v>2001</v>
      </c>
      <c r="E1066" s="0" t="s">
        <v>3989</v>
      </c>
      <c r="M1066" s="0" t="s">
        <v>208</v>
      </c>
      <c r="N1066" s="0" t="s">
        <v>124</v>
      </c>
      <c r="P1066" s="0" t="s">
        <v>236</v>
      </c>
      <c r="Q1066" s="0" t="s">
        <v>236</v>
      </c>
      <c r="R1066" s="0" t="s">
        <v>103</v>
      </c>
      <c r="S1066" s="0" t="s">
        <v>21</v>
      </c>
      <c r="T1066" s="0" t="s">
        <v>104</v>
      </c>
      <c r="W1066" s="0" t="s">
        <v>105</v>
      </c>
    </row>
    <row r="1067" customFormat="false" ht="15" hidden="false" customHeight="false" outlineLevel="0" collapsed="false">
      <c r="A1067" s="0" t="s">
        <v>21</v>
      </c>
      <c r="B1067" s="0" t="s">
        <v>3990</v>
      </c>
      <c r="C1067" s="0" t="s">
        <v>931</v>
      </c>
      <c r="D1067" s="0" t="s">
        <v>3991</v>
      </c>
      <c r="E1067" s="0" t="s">
        <v>3992</v>
      </c>
      <c r="M1067" s="0" t="s">
        <v>136</v>
      </c>
      <c r="N1067" s="0" t="s">
        <v>124</v>
      </c>
      <c r="P1067" s="0" t="s">
        <v>26</v>
      </c>
      <c r="Q1067" s="0" t="s">
        <v>26</v>
      </c>
      <c r="R1067" s="0" t="s">
        <v>26</v>
      </c>
      <c r="S1067" s="0" t="s">
        <v>21</v>
      </c>
      <c r="T1067" s="0" t="s">
        <v>104</v>
      </c>
      <c r="W1067" s="0" t="s">
        <v>183</v>
      </c>
    </row>
    <row r="1068" customFormat="false" ht="15" hidden="false" customHeight="false" outlineLevel="0" collapsed="false">
      <c r="A1068" s="0" t="s">
        <v>21</v>
      </c>
      <c r="B1068" s="0" t="s">
        <v>3990</v>
      </c>
      <c r="C1068" s="0" t="s">
        <v>931</v>
      </c>
      <c r="D1068" s="0" t="s">
        <v>3991</v>
      </c>
      <c r="E1068" s="0" t="s">
        <v>3992</v>
      </c>
      <c r="M1068" s="0" t="s">
        <v>136</v>
      </c>
      <c r="N1068" s="0" t="s">
        <v>124</v>
      </c>
      <c r="P1068" s="0" t="s">
        <v>236</v>
      </c>
      <c r="Q1068" s="0" t="s">
        <v>236</v>
      </c>
      <c r="R1068" s="0" t="s">
        <v>103</v>
      </c>
      <c r="S1068" s="0" t="s">
        <v>21</v>
      </c>
      <c r="T1068" s="0" t="s">
        <v>104</v>
      </c>
      <c r="V1068" s="0" t="s">
        <v>760</v>
      </c>
      <c r="W1068" s="0" t="s">
        <v>105</v>
      </c>
    </row>
    <row r="1069" customFormat="false" ht="15" hidden="false" customHeight="false" outlineLevel="0" collapsed="false">
      <c r="A1069" s="0" t="s">
        <v>21</v>
      </c>
      <c r="B1069" s="0" t="s">
        <v>3990</v>
      </c>
      <c r="C1069" s="0" t="s">
        <v>931</v>
      </c>
      <c r="D1069" s="0" t="s">
        <v>3991</v>
      </c>
      <c r="E1069" s="0" t="s">
        <v>3992</v>
      </c>
      <c r="M1069" s="0" t="s">
        <v>136</v>
      </c>
      <c r="N1069" s="0" t="s">
        <v>124</v>
      </c>
      <c r="P1069" s="0" t="s">
        <v>1044</v>
      </c>
      <c r="Q1069" s="0" t="s">
        <v>1044</v>
      </c>
      <c r="R1069" s="0" t="s">
        <v>103</v>
      </c>
      <c r="S1069" s="0" t="s">
        <v>21</v>
      </c>
      <c r="T1069" s="0" t="s">
        <v>104</v>
      </c>
      <c r="U1069" s="0" t="s">
        <v>3993</v>
      </c>
      <c r="W1069" s="0" t="s">
        <v>105</v>
      </c>
    </row>
    <row r="1070" customFormat="false" ht="15" hidden="false" customHeight="false" outlineLevel="0" collapsed="false">
      <c r="A1070" s="0" t="s">
        <v>21</v>
      </c>
      <c r="B1070" s="0" t="s">
        <v>3994</v>
      </c>
      <c r="C1070" s="0" t="s">
        <v>771</v>
      </c>
      <c r="D1070" s="0" t="s">
        <v>3995</v>
      </c>
      <c r="E1070" s="0" t="s">
        <v>3996</v>
      </c>
      <c r="M1070" s="0" t="s">
        <v>208</v>
      </c>
      <c r="N1070" s="0" t="s">
        <v>124</v>
      </c>
      <c r="P1070" s="0" t="s">
        <v>102</v>
      </c>
      <c r="Q1070" s="0" t="s">
        <v>102</v>
      </c>
      <c r="R1070" s="0" t="s">
        <v>137</v>
      </c>
      <c r="S1070" s="0" t="s">
        <v>21</v>
      </c>
      <c r="T1070" s="0" t="s">
        <v>104</v>
      </c>
      <c r="W1070" s="0" t="s">
        <v>105</v>
      </c>
    </row>
    <row r="1071" customFormat="false" ht="15" hidden="false" customHeight="false" outlineLevel="0" collapsed="false">
      <c r="A1071" s="0" t="s">
        <v>21</v>
      </c>
      <c r="B1071" s="0" t="s">
        <v>3994</v>
      </c>
      <c r="C1071" s="0" t="s">
        <v>771</v>
      </c>
      <c r="D1071" s="0" t="s">
        <v>3995</v>
      </c>
      <c r="E1071" s="0" t="s">
        <v>3996</v>
      </c>
      <c r="M1071" s="0" t="s">
        <v>208</v>
      </c>
      <c r="N1071" s="0" t="s">
        <v>124</v>
      </c>
      <c r="P1071" s="0" t="s">
        <v>26</v>
      </c>
      <c r="Q1071" s="0" t="s">
        <v>26</v>
      </c>
      <c r="R1071" s="0" t="s">
        <v>26</v>
      </c>
      <c r="S1071" s="0" t="s">
        <v>21</v>
      </c>
      <c r="T1071" s="0" t="s">
        <v>104</v>
      </c>
      <c r="W1071" s="0" t="s">
        <v>183</v>
      </c>
    </row>
    <row r="1072" customFormat="false" ht="15" hidden="false" customHeight="false" outlineLevel="0" collapsed="false">
      <c r="A1072" s="0" t="s">
        <v>21</v>
      </c>
      <c r="B1072" s="0" t="s">
        <v>3997</v>
      </c>
      <c r="C1072" s="0" t="s">
        <v>771</v>
      </c>
      <c r="D1072" s="0" t="s">
        <v>3998</v>
      </c>
      <c r="E1072" s="0" t="s">
        <v>3999</v>
      </c>
      <c r="M1072" s="0" t="s">
        <v>136</v>
      </c>
      <c r="N1072" s="0" t="s">
        <v>124</v>
      </c>
      <c r="P1072" s="0" t="s">
        <v>26</v>
      </c>
      <c r="Q1072" s="0" t="s">
        <v>26</v>
      </c>
      <c r="R1072" s="0" t="s">
        <v>26</v>
      </c>
      <c r="S1072" s="0" t="s">
        <v>21</v>
      </c>
      <c r="T1072" s="0" t="s">
        <v>104</v>
      </c>
      <c r="W1072" s="0" t="s">
        <v>183</v>
      </c>
    </row>
    <row r="1073" customFormat="false" ht="15" hidden="false" customHeight="false" outlineLevel="0" collapsed="false">
      <c r="A1073" s="0" t="s">
        <v>21</v>
      </c>
      <c r="B1073" s="0" t="s">
        <v>3997</v>
      </c>
      <c r="C1073" s="0" t="s">
        <v>771</v>
      </c>
      <c r="D1073" s="0" t="s">
        <v>3998</v>
      </c>
      <c r="E1073" s="0" t="s">
        <v>3999</v>
      </c>
      <c r="M1073" s="0" t="s">
        <v>136</v>
      </c>
      <c r="N1073" s="0" t="s">
        <v>124</v>
      </c>
      <c r="P1073" s="0" t="s">
        <v>236</v>
      </c>
      <c r="Q1073" s="0" t="s">
        <v>236</v>
      </c>
      <c r="R1073" s="0" t="s">
        <v>103</v>
      </c>
      <c r="S1073" s="0" t="s">
        <v>21</v>
      </c>
      <c r="T1073" s="0" t="s">
        <v>104</v>
      </c>
      <c r="V1073" s="0" t="s">
        <v>760</v>
      </c>
      <c r="W1073" s="0" t="s">
        <v>105</v>
      </c>
    </row>
    <row r="1074" customFormat="false" ht="15" hidden="false" customHeight="false" outlineLevel="0" collapsed="false">
      <c r="A1074" s="0" t="s">
        <v>21</v>
      </c>
      <c r="B1074" s="0" t="s">
        <v>3997</v>
      </c>
      <c r="C1074" s="0" t="s">
        <v>771</v>
      </c>
      <c r="D1074" s="0" t="s">
        <v>3998</v>
      </c>
      <c r="E1074" s="0" t="s">
        <v>3999</v>
      </c>
      <c r="M1074" s="0" t="s">
        <v>136</v>
      </c>
      <c r="N1074" s="0" t="s">
        <v>124</v>
      </c>
      <c r="P1074" s="0" t="s">
        <v>1044</v>
      </c>
      <c r="Q1074" s="0" t="s">
        <v>1044</v>
      </c>
      <c r="R1074" s="0" t="s">
        <v>103</v>
      </c>
      <c r="S1074" s="0" t="s">
        <v>21</v>
      </c>
      <c r="T1074" s="0" t="s">
        <v>104</v>
      </c>
      <c r="U1074" s="0" t="s">
        <v>3993</v>
      </c>
      <c r="W1074" s="0" t="s">
        <v>105</v>
      </c>
    </row>
    <row r="1075" customFormat="false" ht="15" hidden="false" customHeight="false" outlineLevel="0" collapsed="false">
      <c r="A1075" s="0" t="s">
        <v>21</v>
      </c>
      <c r="B1075" s="0" t="s">
        <v>4000</v>
      </c>
      <c r="C1075" s="0" t="s">
        <v>771</v>
      </c>
      <c r="D1075" s="0" t="s">
        <v>4001</v>
      </c>
      <c r="E1075" s="0" t="s">
        <v>4002</v>
      </c>
      <c r="M1075" s="0" t="s">
        <v>208</v>
      </c>
      <c r="N1075" s="0" t="s">
        <v>124</v>
      </c>
      <c r="P1075" s="0" t="s">
        <v>26</v>
      </c>
      <c r="Q1075" s="0" t="s">
        <v>26</v>
      </c>
      <c r="R1075" s="0" t="s">
        <v>26</v>
      </c>
      <c r="S1075" s="0" t="s">
        <v>21</v>
      </c>
      <c r="T1075" s="0" t="s">
        <v>104</v>
      </c>
      <c r="W1075" s="0" t="s">
        <v>183</v>
      </c>
      <c r="AB1075" s="0" t="s">
        <v>209</v>
      </c>
    </row>
    <row r="1076" customFormat="false" ht="15" hidden="false" customHeight="false" outlineLevel="0" collapsed="false">
      <c r="A1076" s="0" t="s">
        <v>21</v>
      </c>
      <c r="B1076" s="0" t="s">
        <v>4000</v>
      </c>
      <c r="C1076" s="0" t="s">
        <v>771</v>
      </c>
      <c r="D1076" s="0" t="s">
        <v>4001</v>
      </c>
      <c r="E1076" s="0" t="s">
        <v>4002</v>
      </c>
      <c r="M1076" s="0" t="s">
        <v>208</v>
      </c>
      <c r="N1076" s="0" t="s">
        <v>124</v>
      </c>
      <c r="P1076" s="0" t="s">
        <v>236</v>
      </c>
      <c r="Q1076" s="0" t="s">
        <v>236</v>
      </c>
      <c r="R1076" s="0" t="s">
        <v>103</v>
      </c>
      <c r="S1076" s="0" t="s">
        <v>21</v>
      </c>
      <c r="T1076" s="0" t="s">
        <v>104</v>
      </c>
      <c r="W1076" s="0" t="s">
        <v>105</v>
      </c>
      <c r="AB1076" s="0" t="s">
        <v>209</v>
      </c>
    </row>
    <row r="1077" customFormat="false" ht="15" hidden="false" customHeight="false" outlineLevel="0" collapsed="false">
      <c r="A1077" s="0" t="s">
        <v>21</v>
      </c>
      <c r="B1077" s="0" t="s">
        <v>4003</v>
      </c>
      <c r="C1077" s="0" t="s">
        <v>771</v>
      </c>
      <c r="D1077" s="0" t="s">
        <v>4004</v>
      </c>
      <c r="E1077" s="0" t="s">
        <v>4004</v>
      </c>
      <c r="F1077" s="0" t="s">
        <v>4004</v>
      </c>
      <c r="M1077" s="0" t="s">
        <v>136</v>
      </c>
      <c r="N1077" s="0" t="s">
        <v>124</v>
      </c>
      <c r="P1077" s="0" t="s">
        <v>26</v>
      </c>
      <c r="Q1077" s="0" t="s">
        <v>26</v>
      </c>
      <c r="R1077" s="0" t="s">
        <v>26</v>
      </c>
      <c r="S1077" s="0" t="s">
        <v>21</v>
      </c>
      <c r="T1077" s="0" t="s">
        <v>104</v>
      </c>
      <c r="W1077" s="0" t="s">
        <v>183</v>
      </c>
      <c r="AB1077" s="0" t="s">
        <v>209</v>
      </c>
    </row>
    <row r="1078" customFormat="false" ht="15" hidden="false" customHeight="false" outlineLevel="0" collapsed="false">
      <c r="A1078" s="0" t="s">
        <v>21</v>
      </c>
      <c r="B1078" s="0" t="s">
        <v>4003</v>
      </c>
      <c r="C1078" s="0" t="s">
        <v>771</v>
      </c>
      <c r="D1078" s="0" t="s">
        <v>4004</v>
      </c>
      <c r="E1078" s="0" t="s">
        <v>4004</v>
      </c>
      <c r="F1078" s="0" t="s">
        <v>4004</v>
      </c>
      <c r="M1078" s="0" t="s">
        <v>136</v>
      </c>
      <c r="N1078" s="0" t="s">
        <v>124</v>
      </c>
      <c r="P1078" s="0" t="s">
        <v>236</v>
      </c>
      <c r="Q1078" s="0" t="s">
        <v>236</v>
      </c>
      <c r="R1078" s="0" t="s">
        <v>103</v>
      </c>
      <c r="S1078" s="0" t="s">
        <v>21</v>
      </c>
      <c r="T1078" s="0" t="s">
        <v>104</v>
      </c>
      <c r="W1078" s="0" t="s">
        <v>105</v>
      </c>
      <c r="AB1078" s="0" t="s">
        <v>209</v>
      </c>
    </row>
    <row r="1079" customFormat="false" ht="15" hidden="false" customHeight="false" outlineLevel="0" collapsed="false">
      <c r="A1079" s="0" t="s">
        <v>21</v>
      </c>
      <c r="B1079" s="0" t="s">
        <v>4005</v>
      </c>
      <c r="C1079" s="0" t="s">
        <v>2098</v>
      </c>
      <c r="D1079" s="0" t="s">
        <v>4006</v>
      </c>
      <c r="E1079" s="0" t="s">
        <v>4007</v>
      </c>
      <c r="M1079" s="0" t="s">
        <v>136</v>
      </c>
      <c r="N1079" s="0" t="s">
        <v>124</v>
      </c>
      <c r="P1079" s="0" t="s">
        <v>26</v>
      </c>
      <c r="Q1079" s="0" t="s">
        <v>26</v>
      </c>
      <c r="R1079" s="0" t="s">
        <v>26</v>
      </c>
      <c r="S1079" s="0" t="s">
        <v>21</v>
      </c>
      <c r="T1079" s="0" t="s">
        <v>104</v>
      </c>
      <c r="W1079" s="0" t="s">
        <v>183</v>
      </c>
      <c r="AB1079" s="0" t="s">
        <v>209</v>
      </c>
    </row>
    <row r="1080" customFormat="false" ht="15" hidden="false" customHeight="false" outlineLevel="0" collapsed="false">
      <c r="A1080" s="0" t="s">
        <v>21</v>
      </c>
      <c r="B1080" s="0" t="s">
        <v>4005</v>
      </c>
      <c r="C1080" s="0" t="s">
        <v>2098</v>
      </c>
      <c r="D1080" s="0" t="s">
        <v>4006</v>
      </c>
      <c r="E1080" s="0" t="s">
        <v>4007</v>
      </c>
      <c r="M1080" s="0" t="s">
        <v>136</v>
      </c>
      <c r="N1080" s="0" t="s">
        <v>124</v>
      </c>
      <c r="P1080" s="0" t="s">
        <v>236</v>
      </c>
      <c r="Q1080" s="0" t="s">
        <v>236</v>
      </c>
      <c r="R1080" s="0" t="s">
        <v>103</v>
      </c>
      <c r="S1080" s="0" t="s">
        <v>21</v>
      </c>
      <c r="T1080" s="0" t="s">
        <v>104</v>
      </c>
      <c r="W1080" s="0" t="s">
        <v>105</v>
      </c>
      <c r="AB1080" s="0" t="s">
        <v>209</v>
      </c>
    </row>
    <row r="1081" customFormat="false" ht="15" hidden="false" customHeight="false" outlineLevel="0" collapsed="false">
      <c r="A1081" s="0" t="s">
        <v>21</v>
      </c>
      <c r="B1081" s="0" t="s">
        <v>4008</v>
      </c>
      <c r="C1081" s="0" t="s">
        <v>771</v>
      </c>
      <c r="D1081" s="0" t="s">
        <v>4009</v>
      </c>
      <c r="E1081" s="0" t="s">
        <v>4010</v>
      </c>
      <c r="M1081" s="0" t="s">
        <v>136</v>
      </c>
      <c r="N1081" s="0" t="s">
        <v>124</v>
      </c>
      <c r="P1081" s="0" t="s">
        <v>102</v>
      </c>
      <c r="Q1081" s="0" t="s">
        <v>102</v>
      </c>
      <c r="R1081" s="0" t="s">
        <v>144</v>
      </c>
      <c r="S1081" s="0" t="s">
        <v>21</v>
      </c>
      <c r="T1081" s="0" t="s">
        <v>104</v>
      </c>
      <c r="W1081" s="0" t="s">
        <v>105</v>
      </c>
    </row>
    <row r="1082" customFormat="false" ht="15" hidden="false" customHeight="false" outlineLevel="0" collapsed="false">
      <c r="A1082" s="0" t="s">
        <v>21</v>
      </c>
      <c r="B1082" s="0" t="s">
        <v>4008</v>
      </c>
      <c r="C1082" s="0" t="s">
        <v>771</v>
      </c>
      <c r="D1082" s="0" t="s">
        <v>4009</v>
      </c>
      <c r="E1082" s="0" t="s">
        <v>4010</v>
      </c>
      <c r="M1082" s="0" t="s">
        <v>136</v>
      </c>
      <c r="N1082" s="0" t="s">
        <v>124</v>
      </c>
      <c r="P1082" s="0" t="s">
        <v>26</v>
      </c>
      <c r="Q1082" s="0" t="s">
        <v>26</v>
      </c>
      <c r="R1082" s="0" t="s">
        <v>26</v>
      </c>
      <c r="S1082" s="0" t="s">
        <v>21</v>
      </c>
      <c r="T1082" s="0" t="s">
        <v>104</v>
      </c>
      <c r="W1082" s="0" t="s">
        <v>183</v>
      </c>
    </row>
    <row r="1083" customFormat="false" ht="15" hidden="false" customHeight="false" outlineLevel="0" collapsed="false">
      <c r="A1083" s="0" t="s">
        <v>21</v>
      </c>
      <c r="B1083" s="0" t="s">
        <v>4011</v>
      </c>
      <c r="C1083" s="0" t="s">
        <v>771</v>
      </c>
      <c r="D1083" s="0" t="s">
        <v>4012</v>
      </c>
      <c r="E1083" s="0" t="s">
        <v>4013</v>
      </c>
      <c r="M1083" s="0" t="s">
        <v>208</v>
      </c>
      <c r="N1083" s="0" t="s">
        <v>124</v>
      </c>
      <c r="P1083" s="0" t="s">
        <v>102</v>
      </c>
      <c r="Q1083" s="0" t="s">
        <v>102</v>
      </c>
      <c r="R1083" s="0" t="s">
        <v>131</v>
      </c>
      <c r="S1083" s="0" t="s">
        <v>21</v>
      </c>
      <c r="T1083" s="0" t="s">
        <v>104</v>
      </c>
      <c r="W1083" s="0" t="s">
        <v>105</v>
      </c>
    </row>
    <row r="1084" customFormat="false" ht="15" hidden="false" customHeight="false" outlineLevel="0" collapsed="false">
      <c r="A1084" s="0" t="s">
        <v>21</v>
      </c>
      <c r="B1084" s="0" t="s">
        <v>4011</v>
      </c>
      <c r="C1084" s="0" t="s">
        <v>771</v>
      </c>
      <c r="D1084" s="0" t="s">
        <v>4012</v>
      </c>
      <c r="E1084" s="0" t="s">
        <v>4013</v>
      </c>
      <c r="M1084" s="0" t="s">
        <v>208</v>
      </c>
      <c r="N1084" s="0" t="s">
        <v>124</v>
      </c>
      <c r="P1084" s="0" t="s">
        <v>26</v>
      </c>
      <c r="Q1084" s="0" t="s">
        <v>26</v>
      </c>
      <c r="R1084" s="0" t="s">
        <v>26</v>
      </c>
      <c r="S1084" s="0" t="s">
        <v>21</v>
      </c>
      <c r="T1084" s="0" t="s">
        <v>104</v>
      </c>
      <c r="W1084" s="0" t="s">
        <v>183</v>
      </c>
    </row>
    <row r="1085" customFormat="false" ht="15" hidden="false" customHeight="false" outlineLevel="0" collapsed="false">
      <c r="A1085" s="0" t="s">
        <v>21</v>
      </c>
      <c r="B1085" s="0" t="s">
        <v>4014</v>
      </c>
      <c r="C1085" s="0" t="s">
        <v>771</v>
      </c>
      <c r="D1085" s="0" t="s">
        <v>4015</v>
      </c>
      <c r="E1085" s="0" t="s">
        <v>4016</v>
      </c>
      <c r="M1085" s="0" t="s">
        <v>208</v>
      </c>
      <c r="N1085" s="0" t="s">
        <v>124</v>
      </c>
      <c r="P1085" s="0" t="s">
        <v>102</v>
      </c>
      <c r="Q1085" s="0" t="s">
        <v>102</v>
      </c>
      <c r="R1085" s="0" t="s">
        <v>131</v>
      </c>
      <c r="S1085" s="0" t="s">
        <v>21</v>
      </c>
      <c r="T1085" s="0" t="s">
        <v>104</v>
      </c>
      <c r="W1085" s="0" t="s">
        <v>105</v>
      </c>
    </row>
    <row r="1086" customFormat="false" ht="15" hidden="false" customHeight="false" outlineLevel="0" collapsed="false">
      <c r="A1086" s="0" t="s">
        <v>21</v>
      </c>
      <c r="B1086" s="0" t="s">
        <v>4014</v>
      </c>
      <c r="C1086" s="0" t="s">
        <v>771</v>
      </c>
      <c r="D1086" s="0" t="s">
        <v>4015</v>
      </c>
      <c r="E1086" s="0" t="s">
        <v>4016</v>
      </c>
      <c r="M1086" s="0" t="s">
        <v>208</v>
      </c>
      <c r="N1086" s="0" t="s">
        <v>124</v>
      </c>
      <c r="P1086" s="0" t="s">
        <v>26</v>
      </c>
      <c r="Q1086" s="0" t="s">
        <v>26</v>
      </c>
      <c r="R1086" s="0" t="s">
        <v>26</v>
      </c>
      <c r="S1086" s="0" t="s">
        <v>21</v>
      </c>
      <c r="T1086" s="0" t="s">
        <v>104</v>
      </c>
      <c r="W1086" s="0" t="s">
        <v>183</v>
      </c>
    </row>
    <row r="1087" customFormat="false" ht="15" hidden="false" customHeight="false" outlineLevel="0" collapsed="false">
      <c r="A1087" s="0" t="s">
        <v>21</v>
      </c>
      <c r="B1087" s="0" t="s">
        <v>4017</v>
      </c>
      <c r="C1087" s="0" t="s">
        <v>771</v>
      </c>
      <c r="D1087" s="0" t="s">
        <v>3980</v>
      </c>
      <c r="E1087" s="0" t="s">
        <v>4018</v>
      </c>
      <c r="M1087" s="0" t="s">
        <v>208</v>
      </c>
      <c r="N1087" s="0" t="s">
        <v>124</v>
      </c>
      <c r="P1087" s="0" t="s">
        <v>102</v>
      </c>
      <c r="Q1087" s="0" t="s">
        <v>102</v>
      </c>
      <c r="R1087" s="0" t="s">
        <v>131</v>
      </c>
      <c r="S1087" s="0" t="s">
        <v>21</v>
      </c>
      <c r="T1087" s="0" t="s">
        <v>104</v>
      </c>
      <c r="W1087" s="0" t="s">
        <v>105</v>
      </c>
    </row>
    <row r="1088" customFormat="false" ht="15" hidden="false" customHeight="false" outlineLevel="0" collapsed="false">
      <c r="A1088" s="0" t="s">
        <v>21</v>
      </c>
      <c r="B1088" s="0" t="s">
        <v>4017</v>
      </c>
      <c r="C1088" s="0" t="s">
        <v>771</v>
      </c>
      <c r="D1088" s="0" t="s">
        <v>3980</v>
      </c>
      <c r="E1088" s="0" t="s">
        <v>4018</v>
      </c>
      <c r="M1088" s="0" t="s">
        <v>208</v>
      </c>
      <c r="N1088" s="0" t="s">
        <v>124</v>
      </c>
      <c r="P1088" s="0" t="s">
        <v>26</v>
      </c>
      <c r="Q1088" s="0" t="s">
        <v>26</v>
      </c>
      <c r="R1088" s="0" t="s">
        <v>26</v>
      </c>
      <c r="S1088" s="0" t="s">
        <v>21</v>
      </c>
      <c r="T1088" s="0" t="s">
        <v>104</v>
      </c>
      <c r="W1088" s="0" t="s">
        <v>183</v>
      </c>
    </row>
    <row r="1089" customFormat="false" ht="15" hidden="false" customHeight="false" outlineLevel="0" collapsed="false">
      <c r="A1089" s="0" t="s">
        <v>21</v>
      </c>
      <c r="B1089" s="0" t="s">
        <v>4019</v>
      </c>
      <c r="C1089" s="0" t="s">
        <v>771</v>
      </c>
      <c r="D1089" s="0" t="s">
        <v>4020</v>
      </c>
      <c r="E1089" s="0" t="s">
        <v>4021</v>
      </c>
      <c r="M1089" s="0" t="s">
        <v>100</v>
      </c>
      <c r="N1089" s="0" t="s">
        <v>101</v>
      </c>
      <c r="P1089" s="0" t="s">
        <v>102</v>
      </c>
      <c r="Q1089" s="0" t="s">
        <v>102</v>
      </c>
      <c r="R1089" s="0" t="s">
        <v>137</v>
      </c>
      <c r="S1089" s="0" t="s">
        <v>21</v>
      </c>
      <c r="T1089" s="0" t="s">
        <v>104</v>
      </c>
      <c r="W1089" s="0" t="s">
        <v>105</v>
      </c>
    </row>
    <row r="1090" customFormat="false" ht="15" hidden="false" customHeight="false" outlineLevel="0" collapsed="false">
      <c r="A1090" s="0" t="s">
        <v>21</v>
      </c>
      <c r="B1090" s="0" t="s">
        <v>4019</v>
      </c>
      <c r="C1090" s="0" t="s">
        <v>771</v>
      </c>
      <c r="D1090" s="0" t="s">
        <v>4020</v>
      </c>
      <c r="E1090" s="0" t="s">
        <v>4021</v>
      </c>
      <c r="M1090" s="0" t="s">
        <v>100</v>
      </c>
      <c r="N1090" s="0" t="s">
        <v>101</v>
      </c>
      <c r="P1090" s="0" t="s">
        <v>26</v>
      </c>
      <c r="Q1090" s="0" t="s">
        <v>26</v>
      </c>
      <c r="R1090" s="0" t="s">
        <v>26</v>
      </c>
      <c r="S1090" s="0" t="s">
        <v>21</v>
      </c>
      <c r="T1090" s="0" t="s">
        <v>104</v>
      </c>
      <c r="W1090" s="0" t="s">
        <v>183</v>
      </c>
    </row>
    <row r="1091" customFormat="false" ht="15" hidden="false" customHeight="false" outlineLevel="0" collapsed="false">
      <c r="A1091" s="0" t="s">
        <v>21</v>
      </c>
      <c r="B1091" s="0" t="s">
        <v>4022</v>
      </c>
      <c r="C1091" s="0" t="s">
        <v>771</v>
      </c>
      <c r="D1091" s="0" t="s">
        <v>4023</v>
      </c>
      <c r="E1091" s="0" t="s">
        <v>4024</v>
      </c>
      <c r="M1091" s="0" t="s">
        <v>100</v>
      </c>
      <c r="N1091" s="0" t="s">
        <v>101</v>
      </c>
      <c r="P1091" s="0" t="s">
        <v>102</v>
      </c>
      <c r="Q1091" s="0" t="s">
        <v>102</v>
      </c>
      <c r="R1091" s="0" t="s">
        <v>144</v>
      </c>
      <c r="S1091" s="0" t="s">
        <v>21</v>
      </c>
      <c r="T1091" s="0" t="s">
        <v>104</v>
      </c>
      <c r="W1091" s="0" t="s">
        <v>105</v>
      </c>
    </row>
    <row r="1092" customFormat="false" ht="15" hidden="false" customHeight="false" outlineLevel="0" collapsed="false">
      <c r="A1092" s="0" t="s">
        <v>21</v>
      </c>
      <c r="B1092" s="0" t="s">
        <v>4022</v>
      </c>
      <c r="C1092" s="0" t="s">
        <v>771</v>
      </c>
      <c r="D1092" s="0" t="s">
        <v>4023</v>
      </c>
      <c r="E1092" s="0" t="s">
        <v>4024</v>
      </c>
      <c r="M1092" s="0" t="s">
        <v>100</v>
      </c>
      <c r="N1092" s="0" t="s">
        <v>101</v>
      </c>
      <c r="P1092" s="0" t="s">
        <v>26</v>
      </c>
      <c r="Q1092" s="0" t="s">
        <v>26</v>
      </c>
      <c r="R1092" s="0" t="s">
        <v>26</v>
      </c>
      <c r="S1092" s="0" t="s">
        <v>21</v>
      </c>
      <c r="T1092" s="0" t="s">
        <v>104</v>
      </c>
      <c r="W1092" s="0" t="s">
        <v>183</v>
      </c>
    </row>
    <row r="1093" customFormat="false" ht="15" hidden="false" customHeight="false" outlineLevel="0" collapsed="false">
      <c r="A1093" s="0" t="s">
        <v>21</v>
      </c>
      <c r="B1093" s="0" t="s">
        <v>4025</v>
      </c>
      <c r="C1093" s="0" t="s">
        <v>771</v>
      </c>
      <c r="D1093" s="0" t="s">
        <v>3356</v>
      </c>
      <c r="E1093" s="0" t="s">
        <v>3356</v>
      </c>
      <c r="M1093" s="0" t="s">
        <v>442</v>
      </c>
      <c r="N1093" s="0" t="s">
        <v>101</v>
      </c>
      <c r="P1093" s="0" t="s">
        <v>102</v>
      </c>
      <c r="Q1093" s="0" t="s">
        <v>102</v>
      </c>
      <c r="R1093" s="0" t="s">
        <v>137</v>
      </c>
      <c r="S1093" s="0" t="s">
        <v>21</v>
      </c>
      <c r="T1093" s="0" t="s">
        <v>104</v>
      </c>
      <c r="W1093" s="0" t="s">
        <v>105</v>
      </c>
    </row>
    <row r="1094" customFormat="false" ht="15" hidden="false" customHeight="false" outlineLevel="0" collapsed="false">
      <c r="A1094" s="0" t="s">
        <v>21</v>
      </c>
      <c r="B1094" s="0" t="s">
        <v>4025</v>
      </c>
      <c r="C1094" s="0" t="s">
        <v>771</v>
      </c>
      <c r="D1094" s="0" t="s">
        <v>3356</v>
      </c>
      <c r="E1094" s="0" t="s">
        <v>3356</v>
      </c>
      <c r="M1094" s="0" t="s">
        <v>442</v>
      </c>
      <c r="N1094" s="0" t="s">
        <v>101</v>
      </c>
      <c r="P1094" s="0" t="s">
        <v>26</v>
      </c>
      <c r="Q1094" s="0" t="s">
        <v>26</v>
      </c>
      <c r="R1094" s="0" t="s">
        <v>26</v>
      </c>
      <c r="S1094" s="0" t="s">
        <v>21</v>
      </c>
      <c r="T1094" s="0" t="s">
        <v>104</v>
      </c>
      <c r="W1094" s="0" t="s">
        <v>183</v>
      </c>
    </row>
    <row r="1095" customFormat="false" ht="15" hidden="false" customHeight="false" outlineLevel="0" collapsed="false">
      <c r="A1095" s="0" t="s">
        <v>21</v>
      </c>
      <c r="B1095" s="0" t="s">
        <v>4026</v>
      </c>
      <c r="C1095" s="0" t="s">
        <v>771</v>
      </c>
      <c r="D1095" s="0" t="s">
        <v>2294</v>
      </c>
      <c r="E1095" s="0" t="s">
        <v>4027</v>
      </c>
      <c r="M1095" s="0" t="s">
        <v>442</v>
      </c>
      <c r="N1095" s="0" t="s">
        <v>101</v>
      </c>
      <c r="P1095" s="0" t="s">
        <v>102</v>
      </c>
      <c r="Q1095" s="0" t="s">
        <v>102</v>
      </c>
      <c r="R1095" s="0" t="s">
        <v>113</v>
      </c>
      <c r="S1095" s="0" t="s">
        <v>21</v>
      </c>
      <c r="T1095" s="0" t="s">
        <v>104</v>
      </c>
      <c r="U1095" s="0" t="s">
        <v>368</v>
      </c>
      <c r="W1095" s="0" t="s">
        <v>105</v>
      </c>
    </row>
    <row r="1096" customFormat="false" ht="15" hidden="false" customHeight="false" outlineLevel="0" collapsed="false">
      <c r="A1096" s="0" t="s">
        <v>21</v>
      </c>
      <c r="B1096" s="0" t="s">
        <v>4026</v>
      </c>
      <c r="C1096" s="0" t="s">
        <v>771</v>
      </c>
      <c r="D1096" s="0" t="s">
        <v>2294</v>
      </c>
      <c r="E1096" s="0" t="s">
        <v>4027</v>
      </c>
      <c r="M1096" s="0" t="s">
        <v>442</v>
      </c>
      <c r="N1096" s="0" t="s">
        <v>101</v>
      </c>
      <c r="P1096" s="0" t="s">
        <v>26</v>
      </c>
      <c r="Q1096" s="0" t="s">
        <v>26</v>
      </c>
      <c r="R1096" s="0" t="s">
        <v>26</v>
      </c>
      <c r="S1096" s="0" t="s">
        <v>21</v>
      </c>
      <c r="T1096" s="0" t="s">
        <v>104</v>
      </c>
      <c r="W1096" s="0" t="s">
        <v>183</v>
      </c>
    </row>
    <row r="1097" customFormat="false" ht="15" hidden="false" customHeight="false" outlineLevel="0" collapsed="false">
      <c r="A1097" s="0" t="s">
        <v>21</v>
      </c>
      <c r="B1097" s="0" t="s">
        <v>4028</v>
      </c>
      <c r="C1097" s="0" t="s">
        <v>771</v>
      </c>
      <c r="D1097" s="0" t="s">
        <v>4029</v>
      </c>
      <c r="E1097" s="0" t="s">
        <v>4030</v>
      </c>
      <c r="M1097" s="0" t="s">
        <v>100</v>
      </c>
      <c r="N1097" s="0" t="s">
        <v>101</v>
      </c>
      <c r="P1097" s="0" t="s">
        <v>102</v>
      </c>
      <c r="Q1097" s="0" t="s">
        <v>102</v>
      </c>
      <c r="R1097" s="0" t="s">
        <v>131</v>
      </c>
      <c r="S1097" s="0" t="s">
        <v>21</v>
      </c>
      <c r="T1097" s="0" t="s">
        <v>104</v>
      </c>
      <c r="W1097" s="0" t="s">
        <v>105</v>
      </c>
    </row>
    <row r="1098" customFormat="false" ht="15" hidden="false" customHeight="false" outlineLevel="0" collapsed="false">
      <c r="A1098" s="0" t="s">
        <v>21</v>
      </c>
      <c r="B1098" s="0" t="s">
        <v>4028</v>
      </c>
      <c r="C1098" s="0" t="s">
        <v>771</v>
      </c>
      <c r="D1098" s="0" t="s">
        <v>4029</v>
      </c>
      <c r="E1098" s="0" t="s">
        <v>4030</v>
      </c>
      <c r="M1098" s="0" t="s">
        <v>100</v>
      </c>
      <c r="N1098" s="0" t="s">
        <v>101</v>
      </c>
      <c r="P1098" s="0" t="s">
        <v>26</v>
      </c>
      <c r="Q1098" s="0" t="s">
        <v>26</v>
      </c>
      <c r="R1098" s="0" t="s">
        <v>26</v>
      </c>
      <c r="S1098" s="0" t="s">
        <v>21</v>
      </c>
      <c r="T1098" s="0" t="s">
        <v>104</v>
      </c>
      <c r="W1098" s="0" t="s">
        <v>183</v>
      </c>
    </row>
    <row r="1099" customFormat="false" ht="15" hidden="false" customHeight="false" outlineLevel="0" collapsed="false">
      <c r="A1099" s="0" t="s">
        <v>21</v>
      </c>
      <c r="B1099" s="0" t="s">
        <v>4031</v>
      </c>
      <c r="C1099" s="0" t="s">
        <v>110</v>
      </c>
      <c r="D1099" s="0" t="s">
        <v>198</v>
      </c>
      <c r="E1099" s="0" t="s">
        <v>4032</v>
      </c>
      <c r="M1099" s="0" t="s">
        <v>442</v>
      </c>
      <c r="N1099" s="0" t="s">
        <v>101</v>
      </c>
      <c r="P1099" s="0" t="s">
        <v>102</v>
      </c>
      <c r="Q1099" s="0" t="s">
        <v>102</v>
      </c>
      <c r="R1099" s="0" t="s">
        <v>137</v>
      </c>
      <c r="S1099" s="0" t="s">
        <v>21</v>
      </c>
      <c r="T1099" s="0" t="s">
        <v>104</v>
      </c>
      <c r="W1099" s="0" t="s">
        <v>105</v>
      </c>
    </row>
    <row r="1100" customFormat="false" ht="15" hidden="false" customHeight="false" outlineLevel="0" collapsed="false">
      <c r="A1100" s="0" t="s">
        <v>21</v>
      </c>
      <c r="B1100" s="0" t="s">
        <v>4031</v>
      </c>
      <c r="C1100" s="0" t="s">
        <v>110</v>
      </c>
      <c r="D1100" s="0" t="s">
        <v>198</v>
      </c>
      <c r="E1100" s="0" t="s">
        <v>4032</v>
      </c>
      <c r="M1100" s="0" t="s">
        <v>442</v>
      </c>
      <c r="N1100" s="0" t="s">
        <v>101</v>
      </c>
      <c r="P1100" s="0" t="s">
        <v>26</v>
      </c>
      <c r="Q1100" s="0" t="s">
        <v>26</v>
      </c>
      <c r="R1100" s="0" t="s">
        <v>26</v>
      </c>
      <c r="S1100" s="0" t="s">
        <v>21</v>
      </c>
      <c r="T1100" s="0" t="s">
        <v>104</v>
      </c>
      <c r="W1100" s="0" t="s">
        <v>183</v>
      </c>
    </row>
    <row r="1101" customFormat="false" ht="15" hidden="false" customHeight="false" outlineLevel="0" collapsed="false">
      <c r="A1101" s="0" t="s">
        <v>21</v>
      </c>
      <c r="B1101" s="0" t="s">
        <v>4033</v>
      </c>
      <c r="C1101" s="0" t="s">
        <v>4034</v>
      </c>
      <c r="D1101" s="0" t="s">
        <v>4035</v>
      </c>
      <c r="E1101" s="0" t="s">
        <v>4036</v>
      </c>
      <c r="M1101" s="0" t="s">
        <v>442</v>
      </c>
      <c r="N1101" s="0" t="s">
        <v>101</v>
      </c>
      <c r="P1101" s="0" t="s">
        <v>102</v>
      </c>
      <c r="Q1101" s="0" t="s">
        <v>102</v>
      </c>
      <c r="R1101" s="0" t="s">
        <v>113</v>
      </c>
      <c r="S1101" s="0" t="s">
        <v>21</v>
      </c>
      <c r="T1101" s="0" t="s">
        <v>104</v>
      </c>
      <c r="W1101" s="0" t="s">
        <v>105</v>
      </c>
    </row>
    <row r="1102" customFormat="false" ht="15" hidden="false" customHeight="false" outlineLevel="0" collapsed="false">
      <c r="A1102" s="0" t="s">
        <v>21</v>
      </c>
      <c r="B1102" s="0" t="s">
        <v>4033</v>
      </c>
      <c r="C1102" s="0" t="s">
        <v>4034</v>
      </c>
      <c r="D1102" s="0" t="s">
        <v>4035</v>
      </c>
      <c r="E1102" s="0" t="s">
        <v>4036</v>
      </c>
      <c r="M1102" s="0" t="s">
        <v>442</v>
      </c>
      <c r="N1102" s="0" t="s">
        <v>101</v>
      </c>
      <c r="P1102" s="0" t="s">
        <v>26</v>
      </c>
      <c r="Q1102" s="0" t="s">
        <v>26</v>
      </c>
      <c r="R1102" s="0" t="s">
        <v>26</v>
      </c>
      <c r="S1102" s="0" t="s">
        <v>21</v>
      </c>
      <c r="T1102" s="0" t="s">
        <v>104</v>
      </c>
      <c r="W1102" s="0" t="s">
        <v>183</v>
      </c>
    </row>
    <row r="1103" customFormat="false" ht="15" hidden="false" customHeight="false" outlineLevel="0" collapsed="false">
      <c r="A1103" s="0" t="s">
        <v>21</v>
      </c>
      <c r="B1103" s="0" t="s">
        <v>4037</v>
      </c>
      <c r="C1103" s="0" t="s">
        <v>771</v>
      </c>
      <c r="D1103" s="0" t="s">
        <v>4038</v>
      </c>
      <c r="E1103" s="0" t="s">
        <v>4039</v>
      </c>
      <c r="M1103" s="0" t="s">
        <v>442</v>
      </c>
      <c r="N1103" s="0" t="s">
        <v>101</v>
      </c>
      <c r="P1103" s="0" t="s">
        <v>102</v>
      </c>
      <c r="Q1103" s="0" t="s">
        <v>102</v>
      </c>
      <c r="R1103" s="0" t="s">
        <v>131</v>
      </c>
      <c r="S1103" s="0" t="s">
        <v>21</v>
      </c>
      <c r="T1103" s="0" t="s">
        <v>104</v>
      </c>
      <c r="W1103" s="0" t="s">
        <v>105</v>
      </c>
    </row>
    <row r="1104" customFormat="false" ht="15" hidden="false" customHeight="false" outlineLevel="0" collapsed="false">
      <c r="A1104" s="0" t="s">
        <v>21</v>
      </c>
      <c r="B1104" s="0" t="s">
        <v>4037</v>
      </c>
      <c r="C1104" s="0" t="s">
        <v>771</v>
      </c>
      <c r="D1104" s="0" t="s">
        <v>4038</v>
      </c>
      <c r="E1104" s="0" t="s">
        <v>4039</v>
      </c>
      <c r="M1104" s="0" t="s">
        <v>442</v>
      </c>
      <c r="N1104" s="0" t="s">
        <v>101</v>
      </c>
      <c r="P1104" s="0" t="s">
        <v>26</v>
      </c>
      <c r="Q1104" s="0" t="s">
        <v>26</v>
      </c>
      <c r="R1104" s="0" t="s">
        <v>26</v>
      </c>
      <c r="S1104" s="0" t="s">
        <v>21</v>
      </c>
      <c r="T1104" s="0" t="s">
        <v>104</v>
      </c>
      <c r="W1104" s="0" t="s">
        <v>183</v>
      </c>
    </row>
    <row r="1105" customFormat="false" ht="15" hidden="false" customHeight="false" outlineLevel="0" collapsed="false">
      <c r="A1105" s="0" t="s">
        <v>21</v>
      </c>
      <c r="B1105" s="0" t="s">
        <v>4040</v>
      </c>
      <c r="C1105" s="0" t="s">
        <v>771</v>
      </c>
      <c r="D1105" s="0" t="s">
        <v>4041</v>
      </c>
      <c r="E1105" s="0" t="s">
        <v>4042</v>
      </c>
      <c r="M1105" s="0" t="s">
        <v>442</v>
      </c>
      <c r="N1105" s="0" t="s">
        <v>101</v>
      </c>
      <c r="P1105" s="0" t="s">
        <v>102</v>
      </c>
      <c r="Q1105" s="0" t="s">
        <v>102</v>
      </c>
      <c r="R1105" s="0" t="s">
        <v>113</v>
      </c>
      <c r="S1105" s="0" t="s">
        <v>21</v>
      </c>
      <c r="T1105" s="0" t="s">
        <v>104</v>
      </c>
      <c r="W1105" s="0" t="s">
        <v>105</v>
      </c>
    </row>
    <row r="1106" customFormat="false" ht="15" hidden="false" customHeight="false" outlineLevel="0" collapsed="false">
      <c r="A1106" s="0" t="s">
        <v>21</v>
      </c>
      <c r="B1106" s="0" t="s">
        <v>4040</v>
      </c>
      <c r="C1106" s="0" t="s">
        <v>771</v>
      </c>
      <c r="D1106" s="0" t="s">
        <v>4041</v>
      </c>
      <c r="E1106" s="0" t="s">
        <v>4042</v>
      </c>
      <c r="M1106" s="0" t="s">
        <v>442</v>
      </c>
      <c r="N1106" s="0" t="s">
        <v>101</v>
      </c>
      <c r="P1106" s="0" t="s">
        <v>26</v>
      </c>
      <c r="Q1106" s="0" t="s">
        <v>26</v>
      </c>
      <c r="R1106" s="0" t="s">
        <v>26</v>
      </c>
      <c r="S1106" s="0" t="s">
        <v>21</v>
      </c>
      <c r="T1106" s="0" t="s">
        <v>104</v>
      </c>
      <c r="W1106" s="0" t="s">
        <v>183</v>
      </c>
    </row>
    <row r="1107" customFormat="false" ht="15" hidden="false" customHeight="false" outlineLevel="0" collapsed="false">
      <c r="A1107" s="0" t="s">
        <v>21</v>
      </c>
      <c r="B1107" s="0" t="s">
        <v>4043</v>
      </c>
      <c r="C1107" s="0" t="s">
        <v>771</v>
      </c>
      <c r="D1107" s="0" t="s">
        <v>4044</v>
      </c>
      <c r="E1107" s="0" t="s">
        <v>4045</v>
      </c>
      <c r="M1107" s="0" t="s">
        <v>442</v>
      </c>
      <c r="N1107" s="0" t="s">
        <v>101</v>
      </c>
      <c r="P1107" s="0" t="s">
        <v>102</v>
      </c>
      <c r="Q1107" s="0" t="s">
        <v>102</v>
      </c>
      <c r="R1107" s="0" t="s">
        <v>113</v>
      </c>
      <c r="S1107" s="0" t="s">
        <v>21</v>
      </c>
      <c r="T1107" s="0" t="s">
        <v>104</v>
      </c>
      <c r="W1107" s="0" t="s">
        <v>105</v>
      </c>
    </row>
    <row r="1108" customFormat="false" ht="15" hidden="false" customHeight="false" outlineLevel="0" collapsed="false">
      <c r="A1108" s="0" t="s">
        <v>21</v>
      </c>
      <c r="B1108" s="0" t="s">
        <v>4043</v>
      </c>
      <c r="C1108" s="0" t="s">
        <v>771</v>
      </c>
      <c r="D1108" s="0" t="s">
        <v>4044</v>
      </c>
      <c r="E1108" s="0" t="s">
        <v>4045</v>
      </c>
      <c r="M1108" s="0" t="s">
        <v>442</v>
      </c>
      <c r="N1108" s="0" t="s">
        <v>101</v>
      </c>
      <c r="P1108" s="0" t="s">
        <v>26</v>
      </c>
      <c r="Q1108" s="0" t="s">
        <v>26</v>
      </c>
      <c r="R1108" s="0" t="s">
        <v>26</v>
      </c>
      <c r="S1108" s="0" t="s">
        <v>21</v>
      </c>
      <c r="T1108" s="0" t="s">
        <v>104</v>
      </c>
      <c r="W1108" s="0" t="s">
        <v>183</v>
      </c>
    </row>
    <row r="1109" customFormat="false" ht="15" hidden="false" customHeight="false" outlineLevel="0" collapsed="false">
      <c r="A1109" s="0" t="s">
        <v>21</v>
      </c>
      <c r="B1109" s="0" t="s">
        <v>4046</v>
      </c>
      <c r="C1109" s="0" t="s">
        <v>771</v>
      </c>
      <c r="D1109" s="0" t="s">
        <v>4047</v>
      </c>
      <c r="E1109" s="0" t="s">
        <v>4048</v>
      </c>
      <c r="M1109" s="0" t="s">
        <v>442</v>
      </c>
      <c r="N1109" s="0" t="s">
        <v>101</v>
      </c>
      <c r="P1109" s="0" t="s">
        <v>102</v>
      </c>
      <c r="Q1109" s="0" t="s">
        <v>102</v>
      </c>
      <c r="R1109" s="0" t="s">
        <v>144</v>
      </c>
      <c r="S1109" s="0" t="s">
        <v>21</v>
      </c>
      <c r="T1109" s="0" t="s">
        <v>104</v>
      </c>
      <c r="W1109" s="0" t="s">
        <v>105</v>
      </c>
    </row>
    <row r="1110" customFormat="false" ht="15" hidden="false" customHeight="false" outlineLevel="0" collapsed="false">
      <c r="A1110" s="0" t="s">
        <v>21</v>
      </c>
      <c r="B1110" s="0" t="s">
        <v>4046</v>
      </c>
      <c r="C1110" s="0" t="s">
        <v>771</v>
      </c>
      <c r="D1110" s="0" t="s">
        <v>4047</v>
      </c>
      <c r="E1110" s="0" t="s">
        <v>4048</v>
      </c>
      <c r="M1110" s="0" t="s">
        <v>442</v>
      </c>
      <c r="N1110" s="0" t="s">
        <v>101</v>
      </c>
      <c r="P1110" s="0" t="s">
        <v>26</v>
      </c>
      <c r="Q1110" s="0" t="s">
        <v>26</v>
      </c>
      <c r="R1110" s="0" t="s">
        <v>26</v>
      </c>
      <c r="S1110" s="0" t="s">
        <v>21</v>
      </c>
      <c r="T1110" s="0" t="s">
        <v>104</v>
      </c>
      <c r="W1110" s="0" t="s">
        <v>183</v>
      </c>
    </row>
    <row r="1111" customFormat="false" ht="15" hidden="false" customHeight="false" outlineLevel="0" collapsed="false">
      <c r="A1111" s="0" t="s">
        <v>21</v>
      </c>
      <c r="B1111" s="0" t="s">
        <v>4049</v>
      </c>
      <c r="C1111" s="0" t="s">
        <v>771</v>
      </c>
      <c r="D1111" s="0" t="s">
        <v>4050</v>
      </c>
      <c r="E1111" s="0" t="s">
        <v>4051</v>
      </c>
      <c r="M1111" s="0" t="s">
        <v>442</v>
      </c>
      <c r="N1111" s="0" t="s">
        <v>101</v>
      </c>
      <c r="P1111" s="0" t="s">
        <v>102</v>
      </c>
      <c r="Q1111" s="0" t="s">
        <v>102</v>
      </c>
      <c r="R1111" s="0" t="s">
        <v>144</v>
      </c>
      <c r="S1111" s="0" t="s">
        <v>21</v>
      </c>
      <c r="T1111" s="0" t="s">
        <v>104</v>
      </c>
      <c r="W1111" s="0" t="s">
        <v>105</v>
      </c>
    </row>
    <row r="1112" customFormat="false" ht="15" hidden="false" customHeight="false" outlineLevel="0" collapsed="false">
      <c r="A1112" s="0" t="s">
        <v>21</v>
      </c>
      <c r="B1112" s="0" t="s">
        <v>4049</v>
      </c>
      <c r="C1112" s="0" t="s">
        <v>771</v>
      </c>
      <c r="D1112" s="0" t="s">
        <v>4050</v>
      </c>
      <c r="E1112" s="0" t="s">
        <v>4051</v>
      </c>
      <c r="M1112" s="0" t="s">
        <v>442</v>
      </c>
      <c r="N1112" s="0" t="s">
        <v>101</v>
      </c>
      <c r="P1112" s="0" t="s">
        <v>26</v>
      </c>
      <c r="Q1112" s="0" t="s">
        <v>26</v>
      </c>
      <c r="R1112" s="0" t="s">
        <v>26</v>
      </c>
      <c r="S1112" s="0" t="s">
        <v>21</v>
      </c>
      <c r="T1112" s="0" t="s">
        <v>104</v>
      </c>
      <c r="W1112" s="0" t="s">
        <v>183</v>
      </c>
    </row>
    <row r="1113" customFormat="false" ht="15" hidden="false" customHeight="false" outlineLevel="0" collapsed="false">
      <c r="A1113" s="0" t="s">
        <v>21</v>
      </c>
      <c r="B1113" s="0" t="s">
        <v>4052</v>
      </c>
      <c r="C1113" s="0" t="s">
        <v>771</v>
      </c>
      <c r="D1113" s="0" t="s">
        <v>4053</v>
      </c>
      <c r="E1113" s="0" t="s">
        <v>4054</v>
      </c>
      <c r="M1113" s="0" t="s">
        <v>442</v>
      </c>
      <c r="N1113" s="0" t="s">
        <v>101</v>
      </c>
      <c r="P1113" s="0" t="s">
        <v>102</v>
      </c>
      <c r="Q1113" s="0" t="s">
        <v>102</v>
      </c>
      <c r="R1113" s="0" t="s">
        <v>144</v>
      </c>
      <c r="S1113" s="0" t="s">
        <v>21</v>
      </c>
      <c r="T1113" s="0" t="s">
        <v>104</v>
      </c>
      <c r="W1113" s="0" t="s">
        <v>105</v>
      </c>
    </row>
    <row r="1114" customFormat="false" ht="15" hidden="false" customHeight="false" outlineLevel="0" collapsed="false">
      <c r="A1114" s="0" t="s">
        <v>21</v>
      </c>
      <c r="B1114" s="0" t="s">
        <v>4052</v>
      </c>
      <c r="C1114" s="0" t="s">
        <v>771</v>
      </c>
      <c r="D1114" s="0" t="s">
        <v>4053</v>
      </c>
      <c r="E1114" s="0" t="s">
        <v>4054</v>
      </c>
      <c r="M1114" s="0" t="s">
        <v>442</v>
      </c>
      <c r="N1114" s="0" t="s">
        <v>101</v>
      </c>
      <c r="P1114" s="0" t="s">
        <v>26</v>
      </c>
      <c r="Q1114" s="0" t="s">
        <v>26</v>
      </c>
      <c r="R1114" s="0" t="s">
        <v>26</v>
      </c>
      <c r="S1114" s="0" t="s">
        <v>21</v>
      </c>
      <c r="T1114" s="0" t="s">
        <v>104</v>
      </c>
      <c r="W1114" s="0" t="s">
        <v>183</v>
      </c>
    </row>
    <row r="1115" customFormat="false" ht="15" hidden="false" customHeight="false" outlineLevel="0" collapsed="false">
      <c r="A1115" s="0" t="s">
        <v>21</v>
      </c>
      <c r="B1115" s="0" t="s">
        <v>4055</v>
      </c>
      <c r="C1115" s="0" t="s">
        <v>771</v>
      </c>
      <c r="D1115" s="0" t="s">
        <v>4056</v>
      </c>
      <c r="E1115" s="0" t="s">
        <v>4057</v>
      </c>
      <c r="M1115" s="0" t="s">
        <v>136</v>
      </c>
      <c r="N1115" s="0" t="s">
        <v>124</v>
      </c>
      <c r="P1115" s="0" t="s">
        <v>102</v>
      </c>
      <c r="Q1115" s="0" t="s">
        <v>102</v>
      </c>
      <c r="R1115" s="0" t="s">
        <v>131</v>
      </c>
      <c r="S1115" s="0" t="s">
        <v>21</v>
      </c>
      <c r="T1115" s="0" t="s">
        <v>104</v>
      </c>
      <c r="W1115" s="0" t="s">
        <v>105</v>
      </c>
    </row>
    <row r="1116" customFormat="false" ht="15" hidden="false" customHeight="false" outlineLevel="0" collapsed="false">
      <c r="A1116" s="0" t="s">
        <v>21</v>
      </c>
      <c r="B1116" s="0" t="s">
        <v>4055</v>
      </c>
      <c r="C1116" s="0" t="s">
        <v>771</v>
      </c>
      <c r="D1116" s="0" t="s">
        <v>4056</v>
      </c>
      <c r="E1116" s="0" t="s">
        <v>4057</v>
      </c>
      <c r="M1116" s="0" t="s">
        <v>136</v>
      </c>
      <c r="N1116" s="0" t="s">
        <v>124</v>
      </c>
      <c r="P1116" s="0" t="s">
        <v>26</v>
      </c>
      <c r="Q1116" s="0" t="s">
        <v>26</v>
      </c>
      <c r="R1116" s="0" t="s">
        <v>26</v>
      </c>
      <c r="S1116" s="0" t="s">
        <v>21</v>
      </c>
      <c r="T1116" s="0" t="s">
        <v>104</v>
      </c>
      <c r="W1116" s="0" t="s">
        <v>183</v>
      </c>
    </row>
    <row r="1117" customFormat="false" ht="15" hidden="false" customHeight="false" outlineLevel="0" collapsed="false">
      <c r="A1117" s="0" t="s">
        <v>21</v>
      </c>
      <c r="B1117" s="0" t="s">
        <v>4058</v>
      </c>
      <c r="C1117" s="0" t="s">
        <v>2098</v>
      </c>
      <c r="D1117" s="0" t="s">
        <v>4059</v>
      </c>
      <c r="E1117" s="0" t="s">
        <v>4060</v>
      </c>
      <c r="M1117" s="0" t="s">
        <v>136</v>
      </c>
      <c r="N1117" s="0" t="s">
        <v>124</v>
      </c>
      <c r="P1117" s="0" t="s">
        <v>26</v>
      </c>
      <c r="Q1117" s="0" t="s">
        <v>26</v>
      </c>
      <c r="R1117" s="0" t="s">
        <v>26</v>
      </c>
      <c r="S1117" s="0" t="s">
        <v>21</v>
      </c>
      <c r="T1117" s="0" t="s">
        <v>104</v>
      </c>
      <c r="W1117" s="0" t="s">
        <v>183</v>
      </c>
      <c r="AB1117" s="0" t="s">
        <v>209</v>
      </c>
    </row>
    <row r="1118" customFormat="false" ht="15" hidden="false" customHeight="false" outlineLevel="0" collapsed="false">
      <c r="A1118" s="0" t="s">
        <v>21</v>
      </c>
      <c r="B1118" s="0" t="s">
        <v>4058</v>
      </c>
      <c r="C1118" s="0" t="s">
        <v>2098</v>
      </c>
      <c r="D1118" s="0" t="s">
        <v>4059</v>
      </c>
      <c r="E1118" s="0" t="s">
        <v>4060</v>
      </c>
      <c r="M1118" s="0" t="s">
        <v>136</v>
      </c>
      <c r="N1118" s="0" t="s">
        <v>124</v>
      </c>
      <c r="P1118" s="0" t="s">
        <v>236</v>
      </c>
      <c r="Q1118" s="0" t="s">
        <v>236</v>
      </c>
      <c r="R1118" s="0" t="s">
        <v>103</v>
      </c>
      <c r="S1118" s="0" t="s">
        <v>21</v>
      </c>
      <c r="T1118" s="0" t="s">
        <v>104</v>
      </c>
      <c r="W1118" s="0" t="s">
        <v>105</v>
      </c>
      <c r="AB1118" s="0" t="s">
        <v>209</v>
      </c>
    </row>
    <row r="1119" customFormat="false" ht="15" hidden="false" customHeight="false" outlineLevel="0" collapsed="false">
      <c r="A1119" s="0" t="s">
        <v>21</v>
      </c>
      <c r="B1119" s="0" t="s">
        <v>4061</v>
      </c>
      <c r="C1119" s="0" t="s">
        <v>771</v>
      </c>
      <c r="D1119" s="0" t="s">
        <v>4062</v>
      </c>
      <c r="E1119" s="0" t="s">
        <v>4063</v>
      </c>
      <c r="M1119" s="0" t="s">
        <v>136</v>
      </c>
      <c r="N1119" s="0" t="s">
        <v>124</v>
      </c>
      <c r="P1119" s="0" t="s">
        <v>102</v>
      </c>
      <c r="Q1119" s="0" t="s">
        <v>102</v>
      </c>
      <c r="R1119" s="0" t="s">
        <v>113</v>
      </c>
      <c r="S1119" s="0" t="s">
        <v>21</v>
      </c>
      <c r="T1119" s="0" t="s">
        <v>104</v>
      </c>
      <c r="W1119" s="0" t="s">
        <v>105</v>
      </c>
    </row>
    <row r="1120" customFormat="false" ht="15" hidden="false" customHeight="false" outlineLevel="0" collapsed="false">
      <c r="A1120" s="0" t="s">
        <v>21</v>
      </c>
      <c r="B1120" s="0" t="s">
        <v>4061</v>
      </c>
      <c r="C1120" s="0" t="s">
        <v>771</v>
      </c>
      <c r="D1120" s="0" t="s">
        <v>4062</v>
      </c>
      <c r="E1120" s="0" t="s">
        <v>4063</v>
      </c>
      <c r="M1120" s="0" t="s">
        <v>136</v>
      </c>
      <c r="N1120" s="0" t="s">
        <v>124</v>
      </c>
      <c r="P1120" s="0" t="s">
        <v>26</v>
      </c>
      <c r="Q1120" s="0" t="s">
        <v>26</v>
      </c>
      <c r="R1120" s="0" t="s">
        <v>26</v>
      </c>
      <c r="S1120" s="0" t="s">
        <v>21</v>
      </c>
      <c r="T1120" s="0" t="s">
        <v>104</v>
      </c>
      <c r="W1120" s="0" t="s">
        <v>183</v>
      </c>
    </row>
    <row r="1121" customFormat="false" ht="15" hidden="false" customHeight="false" outlineLevel="0" collapsed="false">
      <c r="A1121" s="0" t="s">
        <v>21</v>
      </c>
      <c r="B1121" s="0" t="s">
        <v>4064</v>
      </c>
      <c r="C1121" s="0" t="s">
        <v>771</v>
      </c>
      <c r="D1121" s="0" t="s">
        <v>4065</v>
      </c>
      <c r="E1121" s="0" t="s">
        <v>4066</v>
      </c>
      <c r="M1121" s="0" t="s">
        <v>232</v>
      </c>
      <c r="N1121" s="0" t="s">
        <v>124</v>
      </c>
      <c r="P1121" s="0" t="s">
        <v>221</v>
      </c>
      <c r="Q1121" s="0" t="s">
        <v>221</v>
      </c>
      <c r="R1121" s="0" t="s">
        <v>221</v>
      </c>
      <c r="S1121" s="0" t="s">
        <v>21</v>
      </c>
      <c r="T1121" s="0" t="s">
        <v>104</v>
      </c>
      <c r="W1121" s="0" t="s">
        <v>183</v>
      </c>
    </row>
    <row r="1122" customFormat="false" ht="15" hidden="false" customHeight="false" outlineLevel="0" collapsed="false">
      <c r="A1122" s="0" t="s">
        <v>21</v>
      </c>
      <c r="B1122" s="0" t="s">
        <v>4064</v>
      </c>
      <c r="C1122" s="0" t="s">
        <v>771</v>
      </c>
      <c r="D1122" s="0" t="s">
        <v>4065</v>
      </c>
      <c r="E1122" s="0" t="s">
        <v>4066</v>
      </c>
      <c r="M1122" s="0" t="s">
        <v>232</v>
      </c>
      <c r="N1122" s="0" t="s">
        <v>124</v>
      </c>
      <c r="P1122" s="0" t="s">
        <v>102</v>
      </c>
      <c r="Q1122" s="0" t="s">
        <v>102</v>
      </c>
      <c r="R1122" s="0" t="s">
        <v>224</v>
      </c>
      <c r="S1122" s="0" t="s">
        <v>21</v>
      </c>
      <c r="T1122" s="0" t="s">
        <v>104</v>
      </c>
      <c r="V1122" s="0" t="s">
        <v>225</v>
      </c>
      <c r="W1122" s="0" t="s">
        <v>105</v>
      </c>
    </row>
    <row r="1123" customFormat="false" ht="15" hidden="false" customHeight="false" outlineLevel="0" collapsed="false">
      <c r="A1123" s="0" t="s">
        <v>21</v>
      </c>
      <c r="B1123" s="0" t="s">
        <v>4064</v>
      </c>
      <c r="C1123" s="0" t="s">
        <v>771</v>
      </c>
      <c r="D1123" s="0" t="s">
        <v>4065</v>
      </c>
      <c r="E1123" s="0" t="s">
        <v>4066</v>
      </c>
      <c r="M1123" s="0" t="s">
        <v>232</v>
      </c>
      <c r="N1123" s="0" t="s">
        <v>124</v>
      </c>
      <c r="P1123" s="0" t="s">
        <v>26</v>
      </c>
      <c r="Q1123" s="0" t="s">
        <v>26</v>
      </c>
      <c r="R1123" s="0" t="s">
        <v>26</v>
      </c>
      <c r="S1123" s="0" t="s">
        <v>21</v>
      </c>
      <c r="T1123" s="0" t="s">
        <v>104</v>
      </c>
      <c r="W1123" s="0" t="s">
        <v>183</v>
      </c>
    </row>
    <row r="1124" customFormat="false" ht="15" hidden="false" customHeight="false" outlineLevel="0" collapsed="false">
      <c r="A1124" s="0" t="s">
        <v>21</v>
      </c>
      <c r="B1124" s="0" t="s">
        <v>4064</v>
      </c>
      <c r="C1124" s="0" t="s">
        <v>771</v>
      </c>
      <c r="D1124" s="0" t="s">
        <v>4065</v>
      </c>
      <c r="E1124" s="0" t="s">
        <v>4066</v>
      </c>
      <c r="M1124" s="0" t="s">
        <v>232</v>
      </c>
      <c r="N1124" s="0" t="s">
        <v>124</v>
      </c>
      <c r="P1124" s="0" t="s">
        <v>130</v>
      </c>
      <c r="Q1124" s="0" t="s">
        <v>130</v>
      </c>
      <c r="R1124" s="0" t="s">
        <v>226</v>
      </c>
      <c r="S1124" s="0" t="s">
        <v>21</v>
      </c>
      <c r="T1124" s="0" t="s">
        <v>104</v>
      </c>
      <c r="U1124" s="0" t="s">
        <v>227</v>
      </c>
      <c r="W1124" s="0" t="s">
        <v>105</v>
      </c>
    </row>
    <row r="1125" customFormat="false" ht="15" hidden="false" customHeight="false" outlineLevel="0" collapsed="false">
      <c r="A1125" s="0" t="s">
        <v>21</v>
      </c>
      <c r="B1125" s="0" t="s">
        <v>4067</v>
      </c>
      <c r="C1125" s="0" t="s">
        <v>771</v>
      </c>
      <c r="D1125" s="0" t="s">
        <v>4068</v>
      </c>
      <c r="E1125" s="0" t="s">
        <v>4069</v>
      </c>
      <c r="F1125" s="0" t="s">
        <v>4069</v>
      </c>
      <c r="M1125" s="0" t="s">
        <v>178</v>
      </c>
      <c r="N1125" s="0" t="s">
        <v>124</v>
      </c>
      <c r="P1125" s="0" t="s">
        <v>102</v>
      </c>
      <c r="Q1125" s="0" t="s">
        <v>102</v>
      </c>
      <c r="R1125" s="0" t="s">
        <v>113</v>
      </c>
      <c r="S1125" s="0" t="s">
        <v>21</v>
      </c>
      <c r="T1125" s="0" t="s">
        <v>104</v>
      </c>
      <c r="W1125" s="0" t="s">
        <v>105</v>
      </c>
    </row>
    <row r="1126" customFormat="false" ht="15" hidden="false" customHeight="false" outlineLevel="0" collapsed="false">
      <c r="A1126" s="0" t="s">
        <v>21</v>
      </c>
      <c r="B1126" s="0" t="s">
        <v>4067</v>
      </c>
      <c r="C1126" s="0" t="s">
        <v>771</v>
      </c>
      <c r="D1126" s="0" t="s">
        <v>4068</v>
      </c>
      <c r="E1126" s="0" t="s">
        <v>4069</v>
      </c>
      <c r="F1126" s="0" t="s">
        <v>4069</v>
      </c>
      <c r="M1126" s="0" t="s">
        <v>178</v>
      </c>
      <c r="N1126" s="0" t="s">
        <v>124</v>
      </c>
      <c r="P1126" s="0" t="s">
        <v>26</v>
      </c>
      <c r="Q1126" s="0" t="s">
        <v>26</v>
      </c>
      <c r="R1126" s="0" t="s">
        <v>26</v>
      </c>
      <c r="S1126" s="0" t="s">
        <v>21</v>
      </c>
      <c r="T1126" s="0" t="s">
        <v>104</v>
      </c>
      <c r="W1126" s="0" t="s">
        <v>183</v>
      </c>
    </row>
    <row r="1127" customFormat="false" ht="15" hidden="false" customHeight="false" outlineLevel="0" collapsed="false">
      <c r="A1127" s="0" t="s">
        <v>21</v>
      </c>
      <c r="B1127" s="0" t="s">
        <v>4070</v>
      </c>
      <c r="C1127" s="0" t="s">
        <v>771</v>
      </c>
      <c r="D1127" s="0" t="s">
        <v>4071</v>
      </c>
      <c r="E1127" s="0" t="s">
        <v>4072</v>
      </c>
      <c r="M1127" s="0" t="s">
        <v>136</v>
      </c>
      <c r="N1127" s="0" t="s">
        <v>124</v>
      </c>
      <c r="P1127" s="0" t="s">
        <v>102</v>
      </c>
      <c r="Q1127" s="0" t="s">
        <v>102</v>
      </c>
      <c r="R1127" s="0" t="s">
        <v>137</v>
      </c>
      <c r="S1127" s="0" t="s">
        <v>21</v>
      </c>
      <c r="T1127" s="0" t="s">
        <v>104</v>
      </c>
      <c r="W1127" s="0" t="s">
        <v>105</v>
      </c>
    </row>
    <row r="1128" customFormat="false" ht="15" hidden="false" customHeight="false" outlineLevel="0" collapsed="false">
      <c r="A1128" s="0" t="s">
        <v>21</v>
      </c>
      <c r="B1128" s="0" t="s">
        <v>4070</v>
      </c>
      <c r="C1128" s="0" t="s">
        <v>771</v>
      </c>
      <c r="D1128" s="0" t="s">
        <v>4071</v>
      </c>
      <c r="E1128" s="0" t="s">
        <v>4072</v>
      </c>
      <c r="M1128" s="0" t="s">
        <v>136</v>
      </c>
      <c r="N1128" s="0" t="s">
        <v>124</v>
      </c>
      <c r="P1128" s="0" t="s">
        <v>26</v>
      </c>
      <c r="Q1128" s="0" t="s">
        <v>26</v>
      </c>
      <c r="R1128" s="0" t="s">
        <v>26</v>
      </c>
      <c r="S1128" s="0" t="s">
        <v>21</v>
      </c>
      <c r="T1128" s="0" t="s">
        <v>104</v>
      </c>
      <c r="W1128" s="0" t="s">
        <v>183</v>
      </c>
    </row>
    <row r="1129" customFormat="false" ht="15" hidden="false" customHeight="false" outlineLevel="0" collapsed="false">
      <c r="A1129" s="0" t="s">
        <v>21</v>
      </c>
      <c r="B1129" s="0" t="s">
        <v>4073</v>
      </c>
      <c r="C1129" s="0" t="s">
        <v>771</v>
      </c>
      <c r="D1129" s="0" t="s">
        <v>4074</v>
      </c>
      <c r="E1129" s="0" t="s">
        <v>4075</v>
      </c>
      <c r="M1129" s="0" t="s">
        <v>232</v>
      </c>
      <c r="N1129" s="0" t="s">
        <v>124</v>
      </c>
      <c r="P1129" s="0" t="s">
        <v>102</v>
      </c>
      <c r="Q1129" s="0" t="s">
        <v>102</v>
      </c>
      <c r="R1129" s="0" t="s">
        <v>131</v>
      </c>
      <c r="S1129" s="0" t="s">
        <v>21</v>
      </c>
      <c r="T1129" s="0" t="s">
        <v>104</v>
      </c>
      <c r="W1129" s="0" t="s">
        <v>105</v>
      </c>
    </row>
    <row r="1130" customFormat="false" ht="15" hidden="false" customHeight="false" outlineLevel="0" collapsed="false">
      <c r="A1130" s="0" t="s">
        <v>21</v>
      </c>
      <c r="B1130" s="0" t="s">
        <v>4073</v>
      </c>
      <c r="C1130" s="0" t="s">
        <v>771</v>
      </c>
      <c r="D1130" s="0" t="s">
        <v>4074</v>
      </c>
      <c r="E1130" s="0" t="s">
        <v>4075</v>
      </c>
      <c r="M1130" s="0" t="s">
        <v>232</v>
      </c>
      <c r="N1130" s="0" t="s">
        <v>124</v>
      </c>
      <c r="P1130" s="0" t="s">
        <v>26</v>
      </c>
      <c r="Q1130" s="0" t="s">
        <v>26</v>
      </c>
      <c r="R1130" s="0" t="s">
        <v>26</v>
      </c>
      <c r="S1130" s="0" t="s">
        <v>21</v>
      </c>
      <c r="T1130" s="0" t="s">
        <v>104</v>
      </c>
      <c r="W1130" s="0" t="s">
        <v>183</v>
      </c>
    </row>
    <row r="1131" customFormat="false" ht="15" hidden="false" customHeight="false" outlineLevel="0" collapsed="false">
      <c r="A1131" s="0" t="s">
        <v>21</v>
      </c>
      <c r="B1131" s="0" t="s">
        <v>4076</v>
      </c>
      <c r="C1131" s="0" t="s">
        <v>771</v>
      </c>
      <c r="D1131" s="0" t="s">
        <v>3855</v>
      </c>
      <c r="E1131" s="0" t="s">
        <v>4077</v>
      </c>
      <c r="G1131" s="0" t="s">
        <v>4078</v>
      </c>
      <c r="M1131" s="0" t="s">
        <v>232</v>
      </c>
      <c r="N1131" s="0" t="s">
        <v>124</v>
      </c>
      <c r="P1131" s="0" t="s">
        <v>102</v>
      </c>
      <c r="Q1131" s="0" t="s">
        <v>102</v>
      </c>
      <c r="R1131" s="0" t="s">
        <v>131</v>
      </c>
      <c r="S1131" s="0" t="s">
        <v>21</v>
      </c>
      <c r="T1131" s="0" t="s">
        <v>104</v>
      </c>
      <c r="W1131" s="0" t="s">
        <v>105</v>
      </c>
    </row>
    <row r="1132" customFormat="false" ht="15" hidden="false" customHeight="false" outlineLevel="0" collapsed="false">
      <c r="A1132" s="0" t="s">
        <v>21</v>
      </c>
      <c r="B1132" s="0" t="s">
        <v>4076</v>
      </c>
      <c r="C1132" s="0" t="s">
        <v>771</v>
      </c>
      <c r="D1132" s="0" t="s">
        <v>3855</v>
      </c>
      <c r="E1132" s="0" t="s">
        <v>4077</v>
      </c>
      <c r="G1132" s="0" t="s">
        <v>4078</v>
      </c>
      <c r="M1132" s="0" t="s">
        <v>232</v>
      </c>
      <c r="N1132" s="0" t="s">
        <v>124</v>
      </c>
      <c r="P1132" s="0" t="s">
        <v>26</v>
      </c>
      <c r="Q1132" s="0" t="s">
        <v>26</v>
      </c>
      <c r="R1132" s="0" t="s">
        <v>26</v>
      </c>
      <c r="S1132" s="0" t="s">
        <v>21</v>
      </c>
      <c r="T1132" s="0" t="s">
        <v>104</v>
      </c>
      <c r="W1132" s="0" t="s">
        <v>183</v>
      </c>
    </row>
    <row r="1133" customFormat="false" ht="15" hidden="false" customHeight="false" outlineLevel="0" collapsed="false">
      <c r="A1133" s="0" t="s">
        <v>21</v>
      </c>
      <c r="B1133" s="0" t="s">
        <v>4079</v>
      </c>
      <c r="C1133" s="0" t="s">
        <v>931</v>
      </c>
      <c r="D1133" s="0" t="s">
        <v>4080</v>
      </c>
      <c r="E1133" s="0" t="s">
        <v>4081</v>
      </c>
      <c r="M1133" s="0" t="s">
        <v>136</v>
      </c>
      <c r="N1133" s="0" t="s">
        <v>124</v>
      </c>
      <c r="P1133" s="0" t="s">
        <v>233</v>
      </c>
      <c r="Q1133" s="0" t="s">
        <v>233</v>
      </c>
      <c r="R1133" s="0" t="s">
        <v>233</v>
      </c>
      <c r="S1133" s="0" t="s">
        <v>21</v>
      </c>
      <c r="T1133" s="0" t="s">
        <v>104</v>
      </c>
      <c r="W1133" s="0" t="s">
        <v>183</v>
      </c>
    </row>
    <row r="1134" customFormat="false" ht="15" hidden="false" customHeight="false" outlineLevel="0" collapsed="false">
      <c r="A1134" s="0" t="s">
        <v>21</v>
      </c>
      <c r="B1134" s="0" t="s">
        <v>4079</v>
      </c>
      <c r="C1134" s="0" t="s">
        <v>931</v>
      </c>
      <c r="D1134" s="0" t="s">
        <v>4080</v>
      </c>
      <c r="E1134" s="0" t="s">
        <v>4081</v>
      </c>
      <c r="M1134" s="0" t="s">
        <v>136</v>
      </c>
      <c r="N1134" s="0" t="s">
        <v>124</v>
      </c>
      <c r="P1134" s="0" t="s">
        <v>102</v>
      </c>
      <c r="Q1134" s="0" t="s">
        <v>102</v>
      </c>
      <c r="R1134" s="0" t="s">
        <v>234</v>
      </c>
      <c r="S1134" s="0" t="s">
        <v>21</v>
      </c>
      <c r="T1134" s="0" t="s">
        <v>104</v>
      </c>
      <c r="V1134" s="0" t="s">
        <v>235</v>
      </c>
      <c r="W1134" s="0" t="s">
        <v>105</v>
      </c>
    </row>
    <row r="1135" customFormat="false" ht="15" hidden="false" customHeight="false" outlineLevel="0" collapsed="false">
      <c r="A1135" s="0" t="s">
        <v>21</v>
      </c>
      <c r="B1135" s="0" t="s">
        <v>4079</v>
      </c>
      <c r="C1135" s="0" t="s">
        <v>931</v>
      </c>
      <c r="D1135" s="0" t="s">
        <v>4080</v>
      </c>
      <c r="E1135" s="0" t="s">
        <v>4081</v>
      </c>
      <c r="M1135" s="0" t="s">
        <v>136</v>
      </c>
      <c r="N1135" s="0" t="s">
        <v>124</v>
      </c>
      <c r="P1135" s="0" t="s">
        <v>26</v>
      </c>
      <c r="Q1135" s="0" t="s">
        <v>26</v>
      </c>
      <c r="R1135" s="0" t="s">
        <v>26</v>
      </c>
      <c r="S1135" s="0" t="s">
        <v>21</v>
      </c>
      <c r="T1135" s="0" t="s">
        <v>104</v>
      </c>
      <c r="W1135" s="0" t="s">
        <v>183</v>
      </c>
    </row>
    <row r="1136" customFormat="false" ht="15" hidden="false" customHeight="false" outlineLevel="0" collapsed="false">
      <c r="A1136" s="0" t="s">
        <v>21</v>
      </c>
      <c r="B1136" s="0" t="s">
        <v>4079</v>
      </c>
      <c r="C1136" s="0" t="s">
        <v>931</v>
      </c>
      <c r="D1136" s="0" t="s">
        <v>4080</v>
      </c>
      <c r="E1136" s="0" t="s">
        <v>4081</v>
      </c>
      <c r="M1136" s="0" t="s">
        <v>136</v>
      </c>
      <c r="N1136" s="0" t="s">
        <v>124</v>
      </c>
      <c r="P1136" s="0" t="s">
        <v>236</v>
      </c>
      <c r="Q1136" s="0" t="s">
        <v>236</v>
      </c>
      <c r="R1136" s="0" t="s">
        <v>237</v>
      </c>
      <c r="S1136" s="0" t="s">
        <v>21</v>
      </c>
      <c r="T1136" s="0" t="s">
        <v>104</v>
      </c>
      <c r="U1136" s="0" t="s">
        <v>238</v>
      </c>
      <c r="W1136" s="0" t="s">
        <v>105</v>
      </c>
    </row>
    <row r="1137" customFormat="false" ht="15" hidden="false" customHeight="false" outlineLevel="0" collapsed="false">
      <c r="A1137" s="0" t="s">
        <v>21</v>
      </c>
      <c r="B1137" s="0" t="s">
        <v>4082</v>
      </c>
      <c r="C1137" s="0" t="s">
        <v>771</v>
      </c>
      <c r="D1137" s="0" t="s">
        <v>4083</v>
      </c>
      <c r="E1137" s="0" t="s">
        <v>4084</v>
      </c>
      <c r="M1137" s="0" t="s">
        <v>156</v>
      </c>
      <c r="N1137" s="0" t="s">
        <v>124</v>
      </c>
      <c r="P1137" s="0" t="s">
        <v>102</v>
      </c>
      <c r="Q1137" s="0" t="s">
        <v>102</v>
      </c>
      <c r="R1137" s="0" t="s">
        <v>131</v>
      </c>
      <c r="S1137" s="0" t="s">
        <v>21</v>
      </c>
      <c r="T1137" s="0" t="s">
        <v>104</v>
      </c>
      <c r="W1137" s="0" t="s">
        <v>105</v>
      </c>
      <c r="AB1137" s="0" t="s">
        <v>209</v>
      </c>
    </row>
    <row r="1138" customFormat="false" ht="15" hidden="false" customHeight="false" outlineLevel="0" collapsed="false">
      <c r="A1138" s="0" t="s">
        <v>21</v>
      </c>
      <c r="B1138" s="0" t="s">
        <v>4082</v>
      </c>
      <c r="C1138" s="0" t="s">
        <v>771</v>
      </c>
      <c r="D1138" s="0" t="s">
        <v>4083</v>
      </c>
      <c r="E1138" s="0" t="s">
        <v>4084</v>
      </c>
      <c r="M1138" s="0" t="s">
        <v>156</v>
      </c>
      <c r="N1138" s="0" t="s">
        <v>124</v>
      </c>
      <c r="P1138" s="0" t="s">
        <v>26</v>
      </c>
      <c r="Q1138" s="0" t="s">
        <v>26</v>
      </c>
      <c r="R1138" s="0" t="s">
        <v>26</v>
      </c>
      <c r="S1138" s="0" t="s">
        <v>21</v>
      </c>
      <c r="T1138" s="0" t="s">
        <v>104</v>
      </c>
      <c r="W1138" s="0" t="s">
        <v>183</v>
      </c>
      <c r="AB1138" s="0" t="s">
        <v>209</v>
      </c>
    </row>
    <row r="1139" customFormat="false" ht="15" hidden="false" customHeight="false" outlineLevel="0" collapsed="false">
      <c r="A1139" s="0" t="s">
        <v>21</v>
      </c>
      <c r="B1139" s="0" t="s">
        <v>4085</v>
      </c>
      <c r="C1139" s="0" t="s">
        <v>771</v>
      </c>
      <c r="D1139" s="0" t="s">
        <v>4086</v>
      </c>
      <c r="E1139" s="0" t="s">
        <v>4087</v>
      </c>
      <c r="M1139" s="0" t="s">
        <v>232</v>
      </c>
      <c r="N1139" s="0" t="s">
        <v>124</v>
      </c>
      <c r="P1139" s="0" t="s">
        <v>102</v>
      </c>
      <c r="Q1139" s="0" t="s">
        <v>102</v>
      </c>
      <c r="R1139" s="0" t="s">
        <v>131</v>
      </c>
      <c r="S1139" s="0" t="s">
        <v>21</v>
      </c>
      <c r="T1139" s="0" t="s">
        <v>104</v>
      </c>
      <c r="W1139" s="0" t="s">
        <v>105</v>
      </c>
    </row>
    <row r="1140" customFormat="false" ht="15" hidden="false" customHeight="false" outlineLevel="0" collapsed="false">
      <c r="A1140" s="0" t="s">
        <v>21</v>
      </c>
      <c r="B1140" s="0" t="s">
        <v>4085</v>
      </c>
      <c r="C1140" s="0" t="s">
        <v>771</v>
      </c>
      <c r="D1140" s="0" t="s">
        <v>4086</v>
      </c>
      <c r="E1140" s="0" t="s">
        <v>4087</v>
      </c>
      <c r="M1140" s="0" t="s">
        <v>232</v>
      </c>
      <c r="N1140" s="0" t="s">
        <v>124</v>
      </c>
      <c r="P1140" s="0" t="s">
        <v>26</v>
      </c>
      <c r="Q1140" s="0" t="s">
        <v>26</v>
      </c>
      <c r="R1140" s="0" t="s">
        <v>26</v>
      </c>
      <c r="S1140" s="0" t="s">
        <v>21</v>
      </c>
      <c r="T1140" s="0" t="s">
        <v>104</v>
      </c>
      <c r="W1140" s="0" t="s">
        <v>183</v>
      </c>
    </row>
    <row r="1141" customFormat="false" ht="15" hidden="false" customHeight="false" outlineLevel="0" collapsed="false">
      <c r="A1141" s="0" t="s">
        <v>21</v>
      </c>
      <c r="B1141" s="0" t="s">
        <v>4088</v>
      </c>
      <c r="C1141" s="0" t="s">
        <v>771</v>
      </c>
      <c r="D1141" s="0" t="s">
        <v>4089</v>
      </c>
      <c r="E1141" s="0" t="s">
        <v>4090</v>
      </c>
      <c r="M1141" s="0" t="s">
        <v>136</v>
      </c>
      <c r="N1141" s="0" t="s">
        <v>124</v>
      </c>
      <c r="P1141" s="0" t="s">
        <v>102</v>
      </c>
      <c r="Q1141" s="0" t="s">
        <v>102</v>
      </c>
      <c r="R1141" s="0" t="s">
        <v>131</v>
      </c>
      <c r="S1141" s="0" t="s">
        <v>21</v>
      </c>
      <c r="T1141" s="0" t="s">
        <v>104</v>
      </c>
      <c r="W1141" s="0" t="s">
        <v>105</v>
      </c>
    </row>
    <row r="1142" customFormat="false" ht="15" hidden="false" customHeight="false" outlineLevel="0" collapsed="false">
      <c r="A1142" s="0" t="s">
        <v>21</v>
      </c>
      <c r="B1142" s="0" t="s">
        <v>4088</v>
      </c>
      <c r="C1142" s="0" t="s">
        <v>771</v>
      </c>
      <c r="D1142" s="0" t="s">
        <v>4089</v>
      </c>
      <c r="E1142" s="0" t="s">
        <v>4090</v>
      </c>
      <c r="M1142" s="0" t="s">
        <v>136</v>
      </c>
      <c r="N1142" s="0" t="s">
        <v>124</v>
      </c>
      <c r="P1142" s="0" t="s">
        <v>26</v>
      </c>
      <c r="Q1142" s="0" t="s">
        <v>26</v>
      </c>
      <c r="R1142" s="0" t="s">
        <v>26</v>
      </c>
      <c r="S1142" s="0" t="s">
        <v>21</v>
      </c>
      <c r="T1142" s="0" t="s">
        <v>104</v>
      </c>
      <c r="W1142" s="0" t="s">
        <v>183</v>
      </c>
    </row>
    <row r="1143" customFormat="false" ht="15" hidden="false" customHeight="false" outlineLevel="0" collapsed="false">
      <c r="A1143" s="0" t="s">
        <v>21</v>
      </c>
      <c r="B1143" s="0" t="s">
        <v>4091</v>
      </c>
      <c r="C1143" s="0" t="s">
        <v>771</v>
      </c>
      <c r="D1143" s="0" t="s">
        <v>4092</v>
      </c>
      <c r="E1143" s="0" t="s">
        <v>4093</v>
      </c>
      <c r="M1143" s="0" t="s">
        <v>136</v>
      </c>
      <c r="N1143" s="0" t="s">
        <v>124</v>
      </c>
      <c r="P1143" s="0" t="s">
        <v>102</v>
      </c>
      <c r="Q1143" s="0" t="s">
        <v>102</v>
      </c>
      <c r="R1143" s="0" t="s">
        <v>131</v>
      </c>
      <c r="S1143" s="0" t="s">
        <v>21</v>
      </c>
      <c r="T1143" s="0" t="s">
        <v>104</v>
      </c>
      <c r="W1143" s="0" t="s">
        <v>105</v>
      </c>
    </row>
    <row r="1144" customFormat="false" ht="15" hidden="false" customHeight="false" outlineLevel="0" collapsed="false">
      <c r="A1144" s="0" t="s">
        <v>21</v>
      </c>
      <c r="B1144" s="0" t="s">
        <v>4091</v>
      </c>
      <c r="C1144" s="0" t="s">
        <v>771</v>
      </c>
      <c r="D1144" s="0" t="s">
        <v>4092</v>
      </c>
      <c r="E1144" s="0" t="s">
        <v>4093</v>
      </c>
      <c r="M1144" s="0" t="s">
        <v>136</v>
      </c>
      <c r="N1144" s="0" t="s">
        <v>124</v>
      </c>
      <c r="P1144" s="0" t="s">
        <v>26</v>
      </c>
      <c r="Q1144" s="0" t="s">
        <v>26</v>
      </c>
      <c r="R1144" s="0" t="s">
        <v>26</v>
      </c>
      <c r="S1144" s="0" t="s">
        <v>21</v>
      </c>
      <c r="T1144" s="0" t="s">
        <v>104</v>
      </c>
      <c r="W1144" s="0" t="s">
        <v>183</v>
      </c>
    </row>
    <row r="1145" customFormat="false" ht="15" hidden="false" customHeight="false" outlineLevel="0" collapsed="false">
      <c r="A1145" s="0" t="s">
        <v>21</v>
      </c>
      <c r="B1145" s="0" t="s">
        <v>4094</v>
      </c>
      <c r="C1145" s="0" t="s">
        <v>771</v>
      </c>
      <c r="D1145" s="0" t="s">
        <v>4095</v>
      </c>
      <c r="E1145" s="0" t="s">
        <v>4096</v>
      </c>
      <c r="M1145" s="0" t="s">
        <v>208</v>
      </c>
      <c r="N1145" s="0" t="s">
        <v>124</v>
      </c>
      <c r="P1145" s="0" t="s">
        <v>221</v>
      </c>
      <c r="Q1145" s="0" t="s">
        <v>221</v>
      </c>
      <c r="R1145" s="0" t="s">
        <v>221</v>
      </c>
      <c r="S1145" s="0" t="s">
        <v>21</v>
      </c>
      <c r="T1145" s="0" t="s">
        <v>104</v>
      </c>
      <c r="W1145" s="0" t="s">
        <v>183</v>
      </c>
    </row>
    <row r="1146" customFormat="false" ht="15" hidden="false" customHeight="false" outlineLevel="0" collapsed="false">
      <c r="A1146" s="0" t="s">
        <v>21</v>
      </c>
      <c r="B1146" s="0" t="s">
        <v>4094</v>
      </c>
      <c r="C1146" s="0" t="s">
        <v>771</v>
      </c>
      <c r="D1146" s="0" t="s">
        <v>4095</v>
      </c>
      <c r="E1146" s="0" t="s">
        <v>4096</v>
      </c>
      <c r="M1146" s="0" t="s">
        <v>208</v>
      </c>
      <c r="N1146" s="0" t="s">
        <v>124</v>
      </c>
      <c r="P1146" s="0" t="s">
        <v>102</v>
      </c>
      <c r="Q1146" s="0" t="s">
        <v>102</v>
      </c>
      <c r="R1146" s="0" t="s">
        <v>224</v>
      </c>
      <c r="S1146" s="0" t="s">
        <v>21</v>
      </c>
      <c r="T1146" s="0" t="s">
        <v>104</v>
      </c>
      <c r="V1146" s="0" t="s">
        <v>225</v>
      </c>
      <c r="W1146" s="0" t="s">
        <v>105</v>
      </c>
    </row>
    <row r="1147" customFormat="false" ht="15" hidden="false" customHeight="false" outlineLevel="0" collapsed="false">
      <c r="A1147" s="0" t="s">
        <v>21</v>
      </c>
      <c r="B1147" s="0" t="s">
        <v>4094</v>
      </c>
      <c r="C1147" s="0" t="s">
        <v>771</v>
      </c>
      <c r="D1147" s="0" t="s">
        <v>4095</v>
      </c>
      <c r="E1147" s="0" t="s">
        <v>4096</v>
      </c>
      <c r="M1147" s="0" t="s">
        <v>208</v>
      </c>
      <c r="N1147" s="0" t="s">
        <v>124</v>
      </c>
      <c r="P1147" s="0" t="s">
        <v>26</v>
      </c>
      <c r="Q1147" s="0" t="s">
        <v>26</v>
      </c>
      <c r="R1147" s="0" t="s">
        <v>26</v>
      </c>
      <c r="S1147" s="0" t="s">
        <v>21</v>
      </c>
      <c r="T1147" s="0" t="s">
        <v>104</v>
      </c>
      <c r="W1147" s="0" t="s">
        <v>183</v>
      </c>
    </row>
    <row r="1148" customFormat="false" ht="15" hidden="false" customHeight="false" outlineLevel="0" collapsed="false">
      <c r="A1148" s="0" t="s">
        <v>21</v>
      </c>
      <c r="B1148" s="0" t="s">
        <v>4094</v>
      </c>
      <c r="C1148" s="0" t="s">
        <v>771</v>
      </c>
      <c r="D1148" s="0" t="s">
        <v>4095</v>
      </c>
      <c r="E1148" s="0" t="s">
        <v>4096</v>
      </c>
      <c r="M1148" s="0" t="s">
        <v>208</v>
      </c>
      <c r="N1148" s="0" t="s">
        <v>124</v>
      </c>
      <c r="P1148" s="0" t="s">
        <v>130</v>
      </c>
      <c r="Q1148" s="0" t="s">
        <v>130</v>
      </c>
      <c r="R1148" s="0" t="s">
        <v>226</v>
      </c>
      <c r="S1148" s="0" t="s">
        <v>21</v>
      </c>
      <c r="T1148" s="0" t="s">
        <v>104</v>
      </c>
      <c r="U1148" s="0" t="s">
        <v>227</v>
      </c>
      <c r="W1148" s="0" t="s">
        <v>105</v>
      </c>
    </row>
    <row r="1149" customFormat="false" ht="15" hidden="false" customHeight="false" outlineLevel="0" collapsed="false">
      <c r="A1149" s="0" t="s">
        <v>21</v>
      </c>
      <c r="B1149" s="0" t="s">
        <v>4097</v>
      </c>
      <c r="C1149" s="0" t="s">
        <v>771</v>
      </c>
      <c r="D1149" s="0" t="s">
        <v>4098</v>
      </c>
      <c r="E1149" s="0" t="s">
        <v>4099</v>
      </c>
      <c r="M1149" s="0" t="s">
        <v>178</v>
      </c>
      <c r="N1149" s="0" t="s">
        <v>124</v>
      </c>
      <c r="P1149" s="0" t="s">
        <v>102</v>
      </c>
      <c r="Q1149" s="0" t="s">
        <v>102</v>
      </c>
      <c r="R1149" s="0" t="s">
        <v>137</v>
      </c>
      <c r="S1149" s="0" t="s">
        <v>21</v>
      </c>
      <c r="T1149" s="0" t="s">
        <v>104</v>
      </c>
      <c r="W1149" s="0" t="s">
        <v>105</v>
      </c>
    </row>
    <row r="1150" customFormat="false" ht="15" hidden="false" customHeight="false" outlineLevel="0" collapsed="false">
      <c r="A1150" s="0" t="s">
        <v>21</v>
      </c>
      <c r="B1150" s="0" t="s">
        <v>4097</v>
      </c>
      <c r="C1150" s="0" t="s">
        <v>771</v>
      </c>
      <c r="D1150" s="0" t="s">
        <v>4098</v>
      </c>
      <c r="E1150" s="0" t="s">
        <v>4099</v>
      </c>
      <c r="M1150" s="0" t="s">
        <v>178</v>
      </c>
      <c r="N1150" s="0" t="s">
        <v>124</v>
      </c>
      <c r="P1150" s="0" t="s">
        <v>26</v>
      </c>
      <c r="Q1150" s="0" t="s">
        <v>26</v>
      </c>
      <c r="R1150" s="0" t="s">
        <v>26</v>
      </c>
      <c r="S1150" s="0" t="s">
        <v>21</v>
      </c>
      <c r="T1150" s="0" t="s">
        <v>104</v>
      </c>
      <c r="W1150" s="0" t="s">
        <v>183</v>
      </c>
    </row>
    <row r="1151" customFormat="false" ht="15" hidden="false" customHeight="false" outlineLevel="0" collapsed="false">
      <c r="A1151" s="0" t="s">
        <v>21</v>
      </c>
      <c r="B1151" s="0" t="s">
        <v>4100</v>
      </c>
      <c r="C1151" s="0" t="s">
        <v>771</v>
      </c>
      <c r="D1151" s="0" t="s">
        <v>4101</v>
      </c>
      <c r="E1151" s="0" t="s">
        <v>4102</v>
      </c>
      <c r="M1151" s="0" t="s">
        <v>232</v>
      </c>
      <c r="N1151" s="0" t="s">
        <v>124</v>
      </c>
      <c r="P1151" s="0" t="s">
        <v>221</v>
      </c>
      <c r="Q1151" s="0" t="s">
        <v>221</v>
      </c>
      <c r="R1151" s="0" t="s">
        <v>221</v>
      </c>
      <c r="S1151" s="0" t="s">
        <v>21</v>
      </c>
      <c r="T1151" s="0" t="s">
        <v>104</v>
      </c>
      <c r="W1151" s="0" t="s">
        <v>183</v>
      </c>
    </row>
    <row r="1152" customFormat="false" ht="15" hidden="false" customHeight="false" outlineLevel="0" collapsed="false">
      <c r="A1152" s="0" t="s">
        <v>21</v>
      </c>
      <c r="B1152" s="0" t="s">
        <v>4100</v>
      </c>
      <c r="C1152" s="0" t="s">
        <v>771</v>
      </c>
      <c r="D1152" s="0" t="s">
        <v>4101</v>
      </c>
      <c r="E1152" s="0" t="s">
        <v>4102</v>
      </c>
      <c r="M1152" s="0" t="s">
        <v>232</v>
      </c>
      <c r="N1152" s="0" t="s">
        <v>124</v>
      </c>
      <c r="P1152" s="0" t="s">
        <v>102</v>
      </c>
      <c r="Q1152" s="0" t="s">
        <v>102</v>
      </c>
      <c r="R1152" s="0" t="s">
        <v>224</v>
      </c>
      <c r="S1152" s="0" t="s">
        <v>21</v>
      </c>
      <c r="T1152" s="0" t="s">
        <v>104</v>
      </c>
      <c r="V1152" s="0" t="s">
        <v>225</v>
      </c>
      <c r="W1152" s="0" t="s">
        <v>105</v>
      </c>
    </row>
    <row r="1153" customFormat="false" ht="15" hidden="false" customHeight="false" outlineLevel="0" collapsed="false">
      <c r="A1153" s="0" t="s">
        <v>21</v>
      </c>
      <c r="B1153" s="0" t="s">
        <v>4100</v>
      </c>
      <c r="C1153" s="0" t="s">
        <v>771</v>
      </c>
      <c r="D1153" s="0" t="s">
        <v>4101</v>
      </c>
      <c r="E1153" s="0" t="s">
        <v>4102</v>
      </c>
      <c r="M1153" s="0" t="s">
        <v>232</v>
      </c>
      <c r="N1153" s="0" t="s">
        <v>124</v>
      </c>
      <c r="P1153" s="0" t="s">
        <v>26</v>
      </c>
      <c r="Q1153" s="0" t="s">
        <v>26</v>
      </c>
      <c r="R1153" s="0" t="s">
        <v>26</v>
      </c>
      <c r="S1153" s="0" t="s">
        <v>21</v>
      </c>
      <c r="T1153" s="0" t="s">
        <v>104</v>
      </c>
      <c r="W1153" s="0" t="s">
        <v>183</v>
      </c>
    </row>
    <row r="1154" customFormat="false" ht="15" hidden="false" customHeight="false" outlineLevel="0" collapsed="false">
      <c r="A1154" s="0" t="s">
        <v>21</v>
      </c>
      <c r="B1154" s="0" t="s">
        <v>4100</v>
      </c>
      <c r="C1154" s="0" t="s">
        <v>771</v>
      </c>
      <c r="D1154" s="0" t="s">
        <v>4101</v>
      </c>
      <c r="E1154" s="0" t="s">
        <v>4102</v>
      </c>
      <c r="M1154" s="0" t="s">
        <v>232</v>
      </c>
      <c r="N1154" s="0" t="s">
        <v>124</v>
      </c>
      <c r="P1154" s="0" t="s">
        <v>130</v>
      </c>
      <c r="Q1154" s="0" t="s">
        <v>130</v>
      </c>
      <c r="R1154" s="0" t="s">
        <v>226</v>
      </c>
      <c r="S1154" s="0" t="s">
        <v>21</v>
      </c>
      <c r="T1154" s="0" t="s">
        <v>104</v>
      </c>
      <c r="U1154" s="0" t="s">
        <v>227</v>
      </c>
      <c r="W1154" s="0" t="s">
        <v>105</v>
      </c>
    </row>
    <row r="1155" customFormat="false" ht="15" hidden="false" customHeight="false" outlineLevel="0" collapsed="false">
      <c r="A1155" s="0" t="s">
        <v>21</v>
      </c>
      <c r="B1155" s="0" t="s">
        <v>4103</v>
      </c>
      <c r="C1155" s="0" t="s">
        <v>771</v>
      </c>
      <c r="D1155" s="0" t="s">
        <v>4104</v>
      </c>
      <c r="E1155" s="0" t="s">
        <v>4105</v>
      </c>
      <c r="M1155" s="0" t="s">
        <v>232</v>
      </c>
      <c r="N1155" s="0" t="s">
        <v>124</v>
      </c>
      <c r="P1155" s="0" t="s">
        <v>102</v>
      </c>
      <c r="Q1155" s="0" t="s">
        <v>102</v>
      </c>
      <c r="R1155" s="0" t="s">
        <v>113</v>
      </c>
      <c r="S1155" s="0" t="s">
        <v>21</v>
      </c>
      <c r="T1155" s="0" t="s">
        <v>104</v>
      </c>
      <c r="W1155" s="0" t="s">
        <v>105</v>
      </c>
    </row>
    <row r="1156" customFormat="false" ht="15" hidden="false" customHeight="false" outlineLevel="0" collapsed="false">
      <c r="A1156" s="0" t="s">
        <v>21</v>
      </c>
      <c r="B1156" s="0" t="s">
        <v>4103</v>
      </c>
      <c r="C1156" s="0" t="s">
        <v>771</v>
      </c>
      <c r="D1156" s="0" t="s">
        <v>4104</v>
      </c>
      <c r="E1156" s="0" t="s">
        <v>4105</v>
      </c>
      <c r="M1156" s="0" t="s">
        <v>232</v>
      </c>
      <c r="N1156" s="0" t="s">
        <v>124</v>
      </c>
      <c r="P1156" s="0" t="s">
        <v>26</v>
      </c>
      <c r="Q1156" s="0" t="s">
        <v>26</v>
      </c>
      <c r="R1156" s="0" t="s">
        <v>26</v>
      </c>
      <c r="S1156" s="0" t="s">
        <v>21</v>
      </c>
      <c r="T1156" s="0" t="s">
        <v>104</v>
      </c>
      <c r="W1156" s="0" t="s">
        <v>183</v>
      </c>
    </row>
    <row r="1157" customFormat="false" ht="15" hidden="false" customHeight="false" outlineLevel="0" collapsed="false">
      <c r="A1157" s="0" t="s">
        <v>21</v>
      </c>
      <c r="B1157" s="0" t="s">
        <v>4106</v>
      </c>
      <c r="C1157" s="0" t="s">
        <v>771</v>
      </c>
      <c r="D1157" s="0" t="s">
        <v>4104</v>
      </c>
      <c r="E1157" s="0" t="s">
        <v>4107</v>
      </c>
      <c r="M1157" s="0" t="s">
        <v>136</v>
      </c>
      <c r="N1157" s="0" t="s">
        <v>124</v>
      </c>
      <c r="P1157" s="0" t="s">
        <v>102</v>
      </c>
      <c r="Q1157" s="0" t="s">
        <v>102</v>
      </c>
      <c r="R1157" s="0" t="s">
        <v>113</v>
      </c>
      <c r="S1157" s="0" t="s">
        <v>21</v>
      </c>
      <c r="T1157" s="0" t="s">
        <v>104</v>
      </c>
      <c r="W1157" s="0" t="s">
        <v>105</v>
      </c>
    </row>
    <row r="1158" customFormat="false" ht="15" hidden="false" customHeight="false" outlineLevel="0" collapsed="false">
      <c r="A1158" s="0" t="s">
        <v>21</v>
      </c>
      <c r="B1158" s="0" t="s">
        <v>4106</v>
      </c>
      <c r="C1158" s="0" t="s">
        <v>771</v>
      </c>
      <c r="D1158" s="0" t="s">
        <v>4104</v>
      </c>
      <c r="E1158" s="0" t="s">
        <v>4107</v>
      </c>
      <c r="M1158" s="0" t="s">
        <v>136</v>
      </c>
      <c r="N1158" s="0" t="s">
        <v>124</v>
      </c>
      <c r="P1158" s="0" t="s">
        <v>26</v>
      </c>
      <c r="Q1158" s="0" t="s">
        <v>26</v>
      </c>
      <c r="R1158" s="0" t="s">
        <v>26</v>
      </c>
      <c r="S1158" s="0" t="s">
        <v>21</v>
      </c>
      <c r="T1158" s="0" t="s">
        <v>104</v>
      </c>
      <c r="W1158" s="0" t="s">
        <v>183</v>
      </c>
    </row>
    <row r="1159" customFormat="false" ht="15" hidden="false" customHeight="false" outlineLevel="0" collapsed="false">
      <c r="A1159" s="0" t="s">
        <v>21</v>
      </c>
      <c r="B1159" s="0" t="s">
        <v>4108</v>
      </c>
      <c r="C1159" s="0" t="s">
        <v>771</v>
      </c>
      <c r="D1159" s="0" t="s">
        <v>4109</v>
      </c>
      <c r="E1159" s="0" t="s">
        <v>4110</v>
      </c>
      <c r="M1159" s="0" t="s">
        <v>178</v>
      </c>
      <c r="N1159" s="0" t="s">
        <v>124</v>
      </c>
      <c r="P1159" s="0" t="s">
        <v>102</v>
      </c>
      <c r="Q1159" s="0" t="s">
        <v>102</v>
      </c>
      <c r="R1159" s="0" t="s">
        <v>113</v>
      </c>
      <c r="S1159" s="0" t="s">
        <v>21</v>
      </c>
      <c r="T1159" s="0" t="s">
        <v>104</v>
      </c>
      <c r="W1159" s="0" t="s">
        <v>105</v>
      </c>
    </row>
    <row r="1160" customFormat="false" ht="15" hidden="false" customHeight="false" outlineLevel="0" collapsed="false">
      <c r="A1160" s="0" t="s">
        <v>21</v>
      </c>
      <c r="B1160" s="0" t="s">
        <v>4108</v>
      </c>
      <c r="C1160" s="0" t="s">
        <v>771</v>
      </c>
      <c r="D1160" s="0" t="s">
        <v>4109</v>
      </c>
      <c r="E1160" s="0" t="s">
        <v>4110</v>
      </c>
      <c r="M1160" s="0" t="s">
        <v>178</v>
      </c>
      <c r="N1160" s="0" t="s">
        <v>124</v>
      </c>
      <c r="P1160" s="0" t="s">
        <v>26</v>
      </c>
      <c r="Q1160" s="0" t="s">
        <v>26</v>
      </c>
      <c r="R1160" s="0" t="s">
        <v>26</v>
      </c>
      <c r="S1160" s="0" t="s">
        <v>21</v>
      </c>
      <c r="T1160" s="0" t="s">
        <v>104</v>
      </c>
      <c r="W1160" s="0" t="s">
        <v>183</v>
      </c>
    </row>
    <row r="1161" customFormat="false" ht="15" hidden="false" customHeight="false" outlineLevel="0" collapsed="false">
      <c r="A1161" s="0" t="s">
        <v>21</v>
      </c>
      <c r="B1161" s="0" t="s">
        <v>4111</v>
      </c>
      <c r="C1161" s="0" t="s">
        <v>771</v>
      </c>
      <c r="D1161" s="0" t="s">
        <v>4112</v>
      </c>
      <c r="E1161" s="0" t="s">
        <v>4113</v>
      </c>
      <c r="M1161" s="0" t="s">
        <v>232</v>
      </c>
      <c r="N1161" s="0" t="s">
        <v>124</v>
      </c>
      <c r="P1161" s="0" t="s">
        <v>102</v>
      </c>
      <c r="Q1161" s="0" t="s">
        <v>102</v>
      </c>
      <c r="R1161" s="0" t="s">
        <v>144</v>
      </c>
      <c r="S1161" s="0" t="s">
        <v>21</v>
      </c>
      <c r="T1161" s="0" t="s">
        <v>104</v>
      </c>
      <c r="W1161" s="0" t="s">
        <v>105</v>
      </c>
      <c r="AB1161" s="0" t="s">
        <v>209</v>
      </c>
    </row>
    <row r="1162" customFormat="false" ht="15" hidden="false" customHeight="false" outlineLevel="0" collapsed="false">
      <c r="A1162" s="0" t="s">
        <v>21</v>
      </c>
      <c r="B1162" s="0" t="s">
        <v>4111</v>
      </c>
      <c r="C1162" s="0" t="s">
        <v>771</v>
      </c>
      <c r="D1162" s="0" t="s">
        <v>4112</v>
      </c>
      <c r="E1162" s="0" t="s">
        <v>4113</v>
      </c>
      <c r="M1162" s="0" t="s">
        <v>232</v>
      </c>
      <c r="N1162" s="0" t="s">
        <v>124</v>
      </c>
      <c r="P1162" s="0" t="s">
        <v>26</v>
      </c>
      <c r="Q1162" s="0" t="s">
        <v>26</v>
      </c>
      <c r="R1162" s="0" t="s">
        <v>26</v>
      </c>
      <c r="S1162" s="0" t="s">
        <v>21</v>
      </c>
      <c r="T1162" s="0" t="s">
        <v>104</v>
      </c>
      <c r="W1162" s="0" t="s">
        <v>183</v>
      </c>
      <c r="AB1162" s="0" t="s">
        <v>209</v>
      </c>
    </row>
    <row r="1163" customFormat="false" ht="15" hidden="false" customHeight="false" outlineLevel="0" collapsed="false">
      <c r="A1163" s="0" t="s">
        <v>21</v>
      </c>
      <c r="B1163" s="0" t="s">
        <v>4114</v>
      </c>
      <c r="C1163" s="0" t="s">
        <v>771</v>
      </c>
      <c r="D1163" s="0" t="s">
        <v>4115</v>
      </c>
      <c r="E1163" s="0" t="s">
        <v>4116</v>
      </c>
      <c r="M1163" s="0" t="s">
        <v>232</v>
      </c>
      <c r="N1163" s="0" t="s">
        <v>124</v>
      </c>
      <c r="P1163" s="0" t="s">
        <v>102</v>
      </c>
      <c r="Q1163" s="0" t="s">
        <v>102</v>
      </c>
      <c r="R1163" s="0" t="s">
        <v>113</v>
      </c>
      <c r="S1163" s="0" t="s">
        <v>21</v>
      </c>
      <c r="T1163" s="0" t="s">
        <v>104</v>
      </c>
      <c r="W1163" s="0" t="s">
        <v>105</v>
      </c>
      <c r="AB1163" s="0" t="s">
        <v>209</v>
      </c>
    </row>
    <row r="1164" customFormat="false" ht="15" hidden="false" customHeight="false" outlineLevel="0" collapsed="false">
      <c r="A1164" s="0" t="s">
        <v>21</v>
      </c>
      <c r="B1164" s="0" t="s">
        <v>4114</v>
      </c>
      <c r="C1164" s="0" t="s">
        <v>771</v>
      </c>
      <c r="D1164" s="0" t="s">
        <v>4115</v>
      </c>
      <c r="E1164" s="0" t="s">
        <v>4116</v>
      </c>
      <c r="M1164" s="0" t="s">
        <v>232</v>
      </c>
      <c r="N1164" s="0" t="s">
        <v>124</v>
      </c>
      <c r="P1164" s="0" t="s">
        <v>26</v>
      </c>
      <c r="Q1164" s="0" t="s">
        <v>26</v>
      </c>
      <c r="R1164" s="0" t="s">
        <v>26</v>
      </c>
      <c r="S1164" s="0" t="s">
        <v>21</v>
      </c>
      <c r="T1164" s="0" t="s">
        <v>104</v>
      </c>
      <c r="W1164" s="0" t="s">
        <v>183</v>
      </c>
      <c r="AB1164" s="0" t="s">
        <v>209</v>
      </c>
    </row>
    <row r="1165" customFormat="false" ht="15" hidden="false" customHeight="false" outlineLevel="0" collapsed="false">
      <c r="A1165" s="0" t="s">
        <v>21</v>
      </c>
      <c r="B1165" s="0" t="s">
        <v>4117</v>
      </c>
      <c r="C1165" s="0" t="s">
        <v>771</v>
      </c>
      <c r="D1165" s="0" t="s">
        <v>4118</v>
      </c>
      <c r="E1165" s="0" t="s">
        <v>4119</v>
      </c>
      <c r="M1165" s="0" t="s">
        <v>136</v>
      </c>
      <c r="N1165" s="0" t="s">
        <v>124</v>
      </c>
      <c r="P1165" s="0" t="s">
        <v>499</v>
      </c>
      <c r="Q1165" s="0" t="s">
        <v>499</v>
      </c>
      <c r="R1165" s="0" t="s">
        <v>499</v>
      </c>
      <c r="S1165" s="0" t="s">
        <v>21</v>
      </c>
      <c r="T1165" s="0" t="s">
        <v>104</v>
      </c>
      <c r="W1165" s="0" t="s">
        <v>183</v>
      </c>
    </row>
    <row r="1166" customFormat="false" ht="15" hidden="false" customHeight="false" outlineLevel="0" collapsed="false">
      <c r="A1166" s="0" t="s">
        <v>21</v>
      </c>
      <c r="B1166" s="0" t="s">
        <v>4117</v>
      </c>
      <c r="C1166" s="0" t="s">
        <v>771</v>
      </c>
      <c r="D1166" s="0" t="s">
        <v>4118</v>
      </c>
      <c r="E1166" s="0" t="s">
        <v>4119</v>
      </c>
      <c r="M1166" s="0" t="s">
        <v>136</v>
      </c>
      <c r="N1166" s="0" t="s">
        <v>124</v>
      </c>
      <c r="P1166" s="0" t="s">
        <v>102</v>
      </c>
      <c r="Q1166" s="0" t="s">
        <v>102</v>
      </c>
      <c r="R1166" s="0" t="s">
        <v>113</v>
      </c>
      <c r="S1166" s="0" t="s">
        <v>21</v>
      </c>
      <c r="T1166" s="0" t="s">
        <v>104</v>
      </c>
      <c r="W1166" s="0" t="s">
        <v>105</v>
      </c>
    </row>
    <row r="1167" customFormat="false" ht="15" hidden="false" customHeight="false" outlineLevel="0" collapsed="false">
      <c r="A1167" s="0" t="s">
        <v>21</v>
      </c>
      <c r="B1167" s="0" t="s">
        <v>4117</v>
      </c>
      <c r="C1167" s="0" t="s">
        <v>771</v>
      </c>
      <c r="D1167" s="0" t="s">
        <v>4118</v>
      </c>
      <c r="E1167" s="0" t="s">
        <v>4119</v>
      </c>
      <c r="M1167" s="0" t="s">
        <v>136</v>
      </c>
      <c r="N1167" s="0" t="s">
        <v>124</v>
      </c>
      <c r="P1167" s="0" t="s">
        <v>26</v>
      </c>
      <c r="Q1167" s="0" t="s">
        <v>26</v>
      </c>
      <c r="R1167" s="0" t="s">
        <v>26</v>
      </c>
      <c r="S1167" s="0" t="s">
        <v>21</v>
      </c>
      <c r="T1167" s="0" t="s">
        <v>104</v>
      </c>
      <c r="W1167" s="0" t="s">
        <v>183</v>
      </c>
    </row>
    <row r="1168" customFormat="false" ht="15" hidden="false" customHeight="false" outlineLevel="0" collapsed="false">
      <c r="A1168" s="0" t="s">
        <v>21</v>
      </c>
      <c r="B1168" s="0" t="s">
        <v>4120</v>
      </c>
      <c r="C1168" s="0" t="s">
        <v>771</v>
      </c>
      <c r="D1168" s="0" t="s">
        <v>4121</v>
      </c>
      <c r="E1168" s="0" t="s">
        <v>4122</v>
      </c>
      <c r="M1168" s="0" t="s">
        <v>136</v>
      </c>
      <c r="N1168" s="0" t="s">
        <v>124</v>
      </c>
      <c r="P1168" s="0" t="s">
        <v>102</v>
      </c>
      <c r="Q1168" s="0" t="s">
        <v>102</v>
      </c>
      <c r="R1168" s="0" t="s">
        <v>113</v>
      </c>
      <c r="S1168" s="0" t="s">
        <v>21</v>
      </c>
      <c r="T1168" s="0" t="s">
        <v>104</v>
      </c>
      <c r="W1168" s="0" t="s">
        <v>105</v>
      </c>
    </row>
    <row r="1169" customFormat="false" ht="15" hidden="false" customHeight="false" outlineLevel="0" collapsed="false">
      <c r="A1169" s="0" t="s">
        <v>21</v>
      </c>
      <c r="B1169" s="0" t="s">
        <v>4120</v>
      </c>
      <c r="C1169" s="0" t="s">
        <v>771</v>
      </c>
      <c r="D1169" s="0" t="s">
        <v>4121</v>
      </c>
      <c r="E1169" s="0" t="s">
        <v>4122</v>
      </c>
      <c r="M1169" s="0" t="s">
        <v>136</v>
      </c>
      <c r="N1169" s="0" t="s">
        <v>124</v>
      </c>
      <c r="P1169" s="0" t="s">
        <v>26</v>
      </c>
      <c r="Q1169" s="0" t="s">
        <v>26</v>
      </c>
      <c r="R1169" s="0" t="s">
        <v>26</v>
      </c>
      <c r="S1169" s="0" t="s">
        <v>21</v>
      </c>
      <c r="T1169" s="0" t="s">
        <v>104</v>
      </c>
      <c r="W1169" s="0" t="s">
        <v>183</v>
      </c>
    </row>
    <row r="1170" customFormat="false" ht="15" hidden="false" customHeight="false" outlineLevel="0" collapsed="false">
      <c r="A1170" s="0" t="s">
        <v>21</v>
      </c>
      <c r="B1170" s="0" t="s">
        <v>4123</v>
      </c>
      <c r="C1170" s="0" t="s">
        <v>771</v>
      </c>
      <c r="D1170" s="0" t="s">
        <v>4124</v>
      </c>
      <c r="E1170" s="0" t="s">
        <v>4125</v>
      </c>
      <c r="G1170" s="0" t="s">
        <v>4126</v>
      </c>
      <c r="M1170" s="0" t="s">
        <v>136</v>
      </c>
      <c r="N1170" s="0" t="s">
        <v>124</v>
      </c>
      <c r="P1170" s="0" t="s">
        <v>102</v>
      </c>
      <c r="Q1170" s="0" t="s">
        <v>102</v>
      </c>
      <c r="R1170" s="0" t="s">
        <v>113</v>
      </c>
      <c r="S1170" s="0" t="s">
        <v>21</v>
      </c>
      <c r="T1170" s="0" t="s">
        <v>104</v>
      </c>
      <c r="W1170" s="0" t="s">
        <v>105</v>
      </c>
    </row>
    <row r="1171" customFormat="false" ht="15" hidden="false" customHeight="false" outlineLevel="0" collapsed="false">
      <c r="A1171" s="0" t="s">
        <v>21</v>
      </c>
      <c r="B1171" s="0" t="s">
        <v>4123</v>
      </c>
      <c r="C1171" s="0" t="s">
        <v>771</v>
      </c>
      <c r="D1171" s="0" t="s">
        <v>4124</v>
      </c>
      <c r="E1171" s="0" t="s">
        <v>4125</v>
      </c>
      <c r="G1171" s="0" t="s">
        <v>4126</v>
      </c>
      <c r="M1171" s="0" t="s">
        <v>136</v>
      </c>
      <c r="N1171" s="0" t="s">
        <v>124</v>
      </c>
      <c r="P1171" s="0" t="s">
        <v>26</v>
      </c>
      <c r="Q1171" s="0" t="s">
        <v>26</v>
      </c>
      <c r="R1171" s="0" t="s">
        <v>26</v>
      </c>
      <c r="S1171" s="0" t="s">
        <v>21</v>
      </c>
      <c r="T1171" s="0" t="s">
        <v>104</v>
      </c>
      <c r="W1171" s="0" t="s">
        <v>183</v>
      </c>
    </row>
    <row r="1172" customFormat="false" ht="15" hidden="false" customHeight="false" outlineLevel="0" collapsed="false">
      <c r="A1172" s="0" t="s">
        <v>21</v>
      </c>
      <c r="B1172" s="0" t="s">
        <v>4127</v>
      </c>
      <c r="C1172" s="0" t="s">
        <v>771</v>
      </c>
      <c r="D1172" s="0" t="s">
        <v>4128</v>
      </c>
      <c r="E1172" s="0" t="s">
        <v>4129</v>
      </c>
      <c r="M1172" s="0" t="s">
        <v>136</v>
      </c>
      <c r="N1172" s="0" t="s">
        <v>124</v>
      </c>
      <c r="P1172" s="0" t="s">
        <v>102</v>
      </c>
      <c r="Q1172" s="0" t="s">
        <v>102</v>
      </c>
      <c r="R1172" s="0" t="s">
        <v>804</v>
      </c>
      <c r="S1172" s="0" t="s">
        <v>21</v>
      </c>
      <c r="T1172" s="0" t="s">
        <v>104</v>
      </c>
      <c r="W1172" s="0" t="s">
        <v>105</v>
      </c>
    </row>
    <row r="1173" customFormat="false" ht="15" hidden="false" customHeight="false" outlineLevel="0" collapsed="false">
      <c r="A1173" s="0" t="s">
        <v>21</v>
      </c>
      <c r="B1173" s="0" t="s">
        <v>4127</v>
      </c>
      <c r="C1173" s="0" t="s">
        <v>771</v>
      </c>
      <c r="D1173" s="0" t="s">
        <v>4128</v>
      </c>
      <c r="E1173" s="0" t="s">
        <v>4129</v>
      </c>
      <c r="M1173" s="0" t="s">
        <v>136</v>
      </c>
      <c r="N1173" s="0" t="s">
        <v>124</v>
      </c>
      <c r="P1173" s="0" t="s">
        <v>26</v>
      </c>
      <c r="Q1173" s="0" t="s">
        <v>26</v>
      </c>
      <c r="R1173" s="0" t="s">
        <v>26</v>
      </c>
      <c r="S1173" s="0" t="s">
        <v>21</v>
      </c>
      <c r="T1173" s="0" t="s">
        <v>104</v>
      </c>
      <c r="W1173" s="0" t="s">
        <v>183</v>
      </c>
    </row>
    <row r="1174" customFormat="false" ht="15" hidden="false" customHeight="false" outlineLevel="0" collapsed="false">
      <c r="A1174" s="0" t="s">
        <v>21</v>
      </c>
      <c r="B1174" s="0" t="s">
        <v>4130</v>
      </c>
      <c r="C1174" s="0" t="s">
        <v>771</v>
      </c>
      <c r="D1174" s="0" t="s">
        <v>4131</v>
      </c>
      <c r="E1174" s="0" t="s">
        <v>4132</v>
      </c>
      <c r="M1174" s="0" t="s">
        <v>136</v>
      </c>
      <c r="N1174" s="0" t="s">
        <v>124</v>
      </c>
      <c r="P1174" s="0" t="s">
        <v>102</v>
      </c>
      <c r="Q1174" s="0" t="s">
        <v>102</v>
      </c>
      <c r="R1174" s="0" t="s">
        <v>804</v>
      </c>
      <c r="S1174" s="0" t="s">
        <v>21</v>
      </c>
      <c r="T1174" s="0" t="s">
        <v>104</v>
      </c>
      <c r="W1174" s="0" t="s">
        <v>105</v>
      </c>
    </row>
    <row r="1175" customFormat="false" ht="15" hidden="false" customHeight="false" outlineLevel="0" collapsed="false">
      <c r="A1175" s="0" t="s">
        <v>21</v>
      </c>
      <c r="B1175" s="0" t="s">
        <v>4130</v>
      </c>
      <c r="C1175" s="0" t="s">
        <v>771</v>
      </c>
      <c r="D1175" s="0" t="s">
        <v>4131</v>
      </c>
      <c r="E1175" s="0" t="s">
        <v>4132</v>
      </c>
      <c r="M1175" s="0" t="s">
        <v>136</v>
      </c>
      <c r="N1175" s="0" t="s">
        <v>124</v>
      </c>
      <c r="P1175" s="0" t="s">
        <v>26</v>
      </c>
      <c r="Q1175" s="0" t="s">
        <v>26</v>
      </c>
      <c r="R1175" s="0" t="s">
        <v>26</v>
      </c>
      <c r="S1175" s="0" t="s">
        <v>21</v>
      </c>
      <c r="T1175" s="0" t="s">
        <v>104</v>
      </c>
      <c r="W1175" s="0" t="s">
        <v>183</v>
      </c>
    </row>
    <row r="1176" customFormat="false" ht="15" hidden="false" customHeight="false" outlineLevel="0" collapsed="false">
      <c r="A1176" s="0" t="s">
        <v>21</v>
      </c>
      <c r="B1176" s="0" t="s">
        <v>4133</v>
      </c>
      <c r="C1176" s="0" t="s">
        <v>771</v>
      </c>
      <c r="D1176" s="0" t="s">
        <v>4134</v>
      </c>
      <c r="E1176" s="0" t="s">
        <v>4135</v>
      </c>
      <c r="F1176" s="0" t="s">
        <v>4135</v>
      </c>
      <c r="M1176" s="0" t="s">
        <v>208</v>
      </c>
      <c r="N1176" s="0" t="s">
        <v>124</v>
      </c>
      <c r="P1176" s="0" t="s">
        <v>102</v>
      </c>
      <c r="Q1176" s="0" t="s">
        <v>102</v>
      </c>
      <c r="R1176" s="0" t="s">
        <v>113</v>
      </c>
      <c r="S1176" s="0" t="s">
        <v>21</v>
      </c>
      <c r="T1176" s="0" t="s">
        <v>104</v>
      </c>
      <c r="W1176" s="0" t="s">
        <v>105</v>
      </c>
    </row>
    <row r="1177" customFormat="false" ht="15" hidden="false" customHeight="false" outlineLevel="0" collapsed="false">
      <c r="A1177" s="0" t="s">
        <v>21</v>
      </c>
      <c r="B1177" s="0" t="s">
        <v>4133</v>
      </c>
      <c r="C1177" s="0" t="s">
        <v>771</v>
      </c>
      <c r="D1177" s="0" t="s">
        <v>4134</v>
      </c>
      <c r="E1177" s="0" t="s">
        <v>4135</v>
      </c>
      <c r="F1177" s="0" t="s">
        <v>4135</v>
      </c>
      <c r="M1177" s="0" t="s">
        <v>208</v>
      </c>
      <c r="N1177" s="0" t="s">
        <v>124</v>
      </c>
      <c r="P1177" s="0" t="s">
        <v>26</v>
      </c>
      <c r="Q1177" s="0" t="s">
        <v>26</v>
      </c>
      <c r="R1177" s="0" t="s">
        <v>26</v>
      </c>
      <c r="S1177" s="0" t="s">
        <v>21</v>
      </c>
      <c r="T1177" s="0" t="s">
        <v>104</v>
      </c>
      <c r="W1177" s="0" t="s">
        <v>183</v>
      </c>
    </row>
    <row r="1178" customFormat="false" ht="15" hidden="false" customHeight="false" outlineLevel="0" collapsed="false">
      <c r="A1178" s="0" t="s">
        <v>21</v>
      </c>
      <c r="B1178" s="0" t="s">
        <v>4136</v>
      </c>
      <c r="C1178" s="0" t="s">
        <v>771</v>
      </c>
      <c r="D1178" s="0" t="s">
        <v>4137</v>
      </c>
      <c r="E1178" s="0" t="s">
        <v>4138</v>
      </c>
      <c r="F1178" s="0" t="s">
        <v>4138</v>
      </c>
      <c r="M1178" s="0" t="s">
        <v>156</v>
      </c>
      <c r="N1178" s="0" t="s">
        <v>124</v>
      </c>
      <c r="P1178" s="0" t="s">
        <v>26</v>
      </c>
      <c r="Q1178" s="0" t="s">
        <v>26</v>
      </c>
      <c r="R1178" s="0" t="s">
        <v>26</v>
      </c>
      <c r="S1178" s="0" t="s">
        <v>21</v>
      </c>
      <c r="T1178" s="0" t="s">
        <v>104</v>
      </c>
      <c r="W1178" s="0" t="s">
        <v>183</v>
      </c>
      <c r="AB1178" s="0" t="s">
        <v>209</v>
      </c>
    </row>
    <row r="1179" customFormat="false" ht="15" hidden="false" customHeight="false" outlineLevel="0" collapsed="false">
      <c r="A1179" s="0" t="s">
        <v>21</v>
      </c>
      <c r="B1179" s="0" t="s">
        <v>4136</v>
      </c>
      <c r="C1179" s="0" t="s">
        <v>771</v>
      </c>
      <c r="D1179" s="0" t="s">
        <v>4137</v>
      </c>
      <c r="E1179" s="0" t="s">
        <v>4138</v>
      </c>
      <c r="F1179" s="0" t="s">
        <v>4138</v>
      </c>
      <c r="M1179" s="0" t="s">
        <v>156</v>
      </c>
      <c r="N1179" s="0" t="s">
        <v>124</v>
      </c>
      <c r="P1179" s="0" t="s">
        <v>236</v>
      </c>
      <c r="Q1179" s="0" t="s">
        <v>236</v>
      </c>
      <c r="R1179" s="0" t="s">
        <v>103</v>
      </c>
      <c r="S1179" s="0" t="s">
        <v>21</v>
      </c>
      <c r="T1179" s="0" t="s">
        <v>104</v>
      </c>
      <c r="W1179" s="0" t="s">
        <v>105</v>
      </c>
      <c r="AB1179" s="0" t="s">
        <v>209</v>
      </c>
    </row>
    <row r="1180" customFormat="false" ht="15" hidden="false" customHeight="false" outlineLevel="0" collapsed="false">
      <c r="A1180" s="0" t="s">
        <v>21</v>
      </c>
      <c r="B1180" s="0" t="s">
        <v>4139</v>
      </c>
      <c r="C1180" s="0" t="s">
        <v>771</v>
      </c>
      <c r="D1180" s="0" t="s">
        <v>4140</v>
      </c>
      <c r="E1180" s="0" t="s">
        <v>4141</v>
      </c>
      <c r="M1180" s="0" t="s">
        <v>232</v>
      </c>
      <c r="N1180" s="0" t="s">
        <v>124</v>
      </c>
      <c r="P1180" s="0" t="s">
        <v>102</v>
      </c>
      <c r="Q1180" s="0" t="s">
        <v>102</v>
      </c>
      <c r="R1180" s="0" t="s">
        <v>804</v>
      </c>
      <c r="S1180" s="0" t="s">
        <v>21</v>
      </c>
      <c r="T1180" s="0" t="s">
        <v>104</v>
      </c>
      <c r="W1180" s="0" t="s">
        <v>105</v>
      </c>
    </row>
    <row r="1181" customFormat="false" ht="15" hidden="false" customHeight="false" outlineLevel="0" collapsed="false">
      <c r="A1181" s="0" t="s">
        <v>21</v>
      </c>
      <c r="B1181" s="0" t="s">
        <v>4139</v>
      </c>
      <c r="C1181" s="0" t="s">
        <v>771</v>
      </c>
      <c r="D1181" s="0" t="s">
        <v>4140</v>
      </c>
      <c r="E1181" s="0" t="s">
        <v>4141</v>
      </c>
      <c r="M1181" s="0" t="s">
        <v>232</v>
      </c>
      <c r="N1181" s="0" t="s">
        <v>124</v>
      </c>
      <c r="P1181" s="0" t="s">
        <v>26</v>
      </c>
      <c r="Q1181" s="0" t="s">
        <v>26</v>
      </c>
      <c r="R1181" s="0" t="s">
        <v>26</v>
      </c>
      <c r="S1181" s="0" t="s">
        <v>21</v>
      </c>
      <c r="T1181" s="0" t="s">
        <v>104</v>
      </c>
      <c r="W1181" s="0" t="s">
        <v>183</v>
      </c>
    </row>
    <row r="1182" customFormat="false" ht="15" hidden="false" customHeight="false" outlineLevel="0" collapsed="false">
      <c r="A1182" s="0" t="s">
        <v>21</v>
      </c>
      <c r="B1182" s="0" t="s">
        <v>4142</v>
      </c>
      <c r="C1182" s="0" t="s">
        <v>771</v>
      </c>
      <c r="D1182" s="0" t="s">
        <v>4143</v>
      </c>
      <c r="E1182" s="0" t="s">
        <v>4144</v>
      </c>
      <c r="M1182" s="0" t="s">
        <v>232</v>
      </c>
      <c r="N1182" s="0" t="s">
        <v>124</v>
      </c>
      <c r="P1182" s="0" t="s">
        <v>102</v>
      </c>
      <c r="Q1182" s="0" t="s">
        <v>102</v>
      </c>
      <c r="R1182" s="0" t="s">
        <v>804</v>
      </c>
      <c r="S1182" s="0" t="s">
        <v>21</v>
      </c>
      <c r="T1182" s="0" t="s">
        <v>104</v>
      </c>
      <c r="W1182" s="0" t="s">
        <v>105</v>
      </c>
    </row>
    <row r="1183" customFormat="false" ht="15" hidden="false" customHeight="false" outlineLevel="0" collapsed="false">
      <c r="A1183" s="0" t="s">
        <v>21</v>
      </c>
      <c r="B1183" s="0" t="s">
        <v>4142</v>
      </c>
      <c r="C1183" s="0" t="s">
        <v>771</v>
      </c>
      <c r="D1183" s="0" t="s">
        <v>4143</v>
      </c>
      <c r="E1183" s="0" t="s">
        <v>4144</v>
      </c>
      <c r="M1183" s="0" t="s">
        <v>232</v>
      </c>
      <c r="N1183" s="0" t="s">
        <v>124</v>
      </c>
      <c r="P1183" s="0" t="s">
        <v>26</v>
      </c>
      <c r="Q1183" s="0" t="s">
        <v>26</v>
      </c>
      <c r="R1183" s="0" t="s">
        <v>26</v>
      </c>
      <c r="S1183" s="0" t="s">
        <v>21</v>
      </c>
      <c r="T1183" s="0" t="s">
        <v>104</v>
      </c>
      <c r="W1183" s="0" t="s">
        <v>183</v>
      </c>
    </row>
    <row r="1184" customFormat="false" ht="15" hidden="false" customHeight="false" outlineLevel="0" collapsed="false">
      <c r="A1184" s="0" t="s">
        <v>21</v>
      </c>
      <c r="B1184" s="0" t="s">
        <v>4145</v>
      </c>
      <c r="C1184" s="0" t="s">
        <v>97</v>
      </c>
      <c r="D1184" s="0" t="s">
        <v>4146</v>
      </c>
      <c r="E1184" s="0" t="s">
        <v>4146</v>
      </c>
      <c r="M1184" s="0" t="s">
        <v>136</v>
      </c>
      <c r="N1184" s="0" t="s">
        <v>124</v>
      </c>
      <c r="P1184" s="0" t="s">
        <v>102</v>
      </c>
      <c r="Q1184" s="0" t="s">
        <v>102</v>
      </c>
      <c r="R1184" s="0" t="s">
        <v>804</v>
      </c>
      <c r="S1184" s="0" t="s">
        <v>21</v>
      </c>
      <c r="T1184" s="0" t="s">
        <v>104</v>
      </c>
      <c r="W1184" s="0" t="s">
        <v>105</v>
      </c>
    </row>
    <row r="1185" customFormat="false" ht="15" hidden="false" customHeight="false" outlineLevel="0" collapsed="false">
      <c r="A1185" s="0" t="s">
        <v>21</v>
      </c>
      <c r="B1185" s="0" t="s">
        <v>4145</v>
      </c>
      <c r="C1185" s="0" t="s">
        <v>97</v>
      </c>
      <c r="D1185" s="0" t="s">
        <v>4146</v>
      </c>
      <c r="E1185" s="0" t="s">
        <v>4146</v>
      </c>
      <c r="M1185" s="0" t="s">
        <v>136</v>
      </c>
      <c r="N1185" s="0" t="s">
        <v>124</v>
      </c>
      <c r="P1185" s="0" t="s">
        <v>26</v>
      </c>
      <c r="Q1185" s="0" t="s">
        <v>26</v>
      </c>
      <c r="R1185" s="0" t="s">
        <v>26</v>
      </c>
      <c r="S1185" s="0" t="s">
        <v>21</v>
      </c>
      <c r="T1185" s="0" t="s">
        <v>104</v>
      </c>
      <c r="W1185" s="0" t="s">
        <v>183</v>
      </c>
    </row>
    <row r="1186" customFormat="false" ht="15" hidden="false" customHeight="false" outlineLevel="0" collapsed="false">
      <c r="A1186" s="0" t="s">
        <v>21</v>
      </c>
      <c r="B1186" s="0" t="s">
        <v>4147</v>
      </c>
      <c r="C1186" s="0" t="s">
        <v>771</v>
      </c>
      <c r="D1186" s="0" t="s">
        <v>4148</v>
      </c>
      <c r="E1186" s="0" t="s">
        <v>4149</v>
      </c>
      <c r="M1186" s="0" t="s">
        <v>208</v>
      </c>
      <c r="N1186" s="0" t="s">
        <v>124</v>
      </c>
      <c r="P1186" s="0" t="s">
        <v>102</v>
      </c>
      <c r="Q1186" s="0" t="s">
        <v>102</v>
      </c>
      <c r="R1186" s="0" t="s">
        <v>804</v>
      </c>
      <c r="S1186" s="0" t="s">
        <v>21</v>
      </c>
      <c r="T1186" s="0" t="s">
        <v>104</v>
      </c>
      <c r="W1186" s="0" t="s">
        <v>105</v>
      </c>
    </row>
    <row r="1187" customFormat="false" ht="15" hidden="false" customHeight="false" outlineLevel="0" collapsed="false">
      <c r="A1187" s="0" t="s">
        <v>21</v>
      </c>
      <c r="B1187" s="0" t="s">
        <v>4147</v>
      </c>
      <c r="C1187" s="0" t="s">
        <v>771</v>
      </c>
      <c r="D1187" s="0" t="s">
        <v>4148</v>
      </c>
      <c r="E1187" s="0" t="s">
        <v>4149</v>
      </c>
      <c r="M1187" s="0" t="s">
        <v>208</v>
      </c>
      <c r="N1187" s="0" t="s">
        <v>124</v>
      </c>
      <c r="P1187" s="0" t="s">
        <v>26</v>
      </c>
      <c r="Q1187" s="0" t="s">
        <v>26</v>
      </c>
      <c r="R1187" s="0" t="s">
        <v>26</v>
      </c>
      <c r="S1187" s="0" t="s">
        <v>21</v>
      </c>
      <c r="T1187" s="0" t="s">
        <v>104</v>
      </c>
      <c r="W1187" s="0" t="s">
        <v>183</v>
      </c>
    </row>
    <row r="1188" customFormat="false" ht="15" hidden="false" customHeight="false" outlineLevel="0" collapsed="false">
      <c r="A1188" s="0" t="s">
        <v>21</v>
      </c>
      <c r="B1188" s="0" t="s">
        <v>4150</v>
      </c>
      <c r="C1188" s="0" t="s">
        <v>771</v>
      </c>
      <c r="D1188" s="0" t="s">
        <v>4151</v>
      </c>
      <c r="E1188" s="0" t="s">
        <v>4152</v>
      </c>
      <c r="M1188" s="0" t="s">
        <v>178</v>
      </c>
      <c r="N1188" s="0" t="s">
        <v>124</v>
      </c>
      <c r="P1188" s="0" t="s">
        <v>102</v>
      </c>
      <c r="Q1188" s="0" t="s">
        <v>102</v>
      </c>
      <c r="R1188" s="0" t="s">
        <v>804</v>
      </c>
      <c r="S1188" s="0" t="s">
        <v>21</v>
      </c>
      <c r="T1188" s="0" t="s">
        <v>104</v>
      </c>
      <c r="W1188" s="0" t="s">
        <v>105</v>
      </c>
    </row>
    <row r="1189" customFormat="false" ht="15" hidden="false" customHeight="false" outlineLevel="0" collapsed="false">
      <c r="A1189" s="0" t="s">
        <v>21</v>
      </c>
      <c r="B1189" s="0" t="s">
        <v>4150</v>
      </c>
      <c r="C1189" s="0" t="s">
        <v>771</v>
      </c>
      <c r="D1189" s="0" t="s">
        <v>4151</v>
      </c>
      <c r="E1189" s="0" t="s">
        <v>4152</v>
      </c>
      <c r="M1189" s="0" t="s">
        <v>178</v>
      </c>
      <c r="N1189" s="0" t="s">
        <v>124</v>
      </c>
      <c r="P1189" s="0" t="s">
        <v>26</v>
      </c>
      <c r="Q1189" s="0" t="s">
        <v>26</v>
      </c>
      <c r="R1189" s="0" t="s">
        <v>26</v>
      </c>
      <c r="S1189" s="0" t="s">
        <v>21</v>
      </c>
      <c r="T1189" s="0" t="s">
        <v>104</v>
      </c>
      <c r="W1189" s="0" t="s">
        <v>183</v>
      </c>
    </row>
    <row r="1190" customFormat="false" ht="15" hidden="false" customHeight="false" outlineLevel="0" collapsed="false">
      <c r="A1190" s="0" t="s">
        <v>21</v>
      </c>
      <c r="B1190" s="0" t="s">
        <v>4153</v>
      </c>
      <c r="C1190" s="0" t="s">
        <v>771</v>
      </c>
      <c r="D1190" s="0" t="s">
        <v>2017</v>
      </c>
      <c r="E1190" s="0" t="s">
        <v>4154</v>
      </c>
      <c r="M1190" s="0" t="s">
        <v>247</v>
      </c>
      <c r="N1190" s="0" t="s">
        <v>124</v>
      </c>
      <c r="P1190" s="0" t="s">
        <v>102</v>
      </c>
      <c r="Q1190" s="0" t="s">
        <v>102</v>
      </c>
      <c r="R1190" s="0" t="s">
        <v>804</v>
      </c>
      <c r="S1190" s="0" t="s">
        <v>21</v>
      </c>
      <c r="T1190" s="0" t="s">
        <v>104</v>
      </c>
      <c r="W1190" s="0" t="s">
        <v>105</v>
      </c>
    </row>
    <row r="1191" customFormat="false" ht="15" hidden="false" customHeight="false" outlineLevel="0" collapsed="false">
      <c r="A1191" s="0" t="s">
        <v>21</v>
      </c>
      <c r="B1191" s="0" t="s">
        <v>4153</v>
      </c>
      <c r="C1191" s="0" t="s">
        <v>771</v>
      </c>
      <c r="D1191" s="0" t="s">
        <v>2017</v>
      </c>
      <c r="E1191" s="0" t="s">
        <v>4154</v>
      </c>
      <c r="M1191" s="0" t="s">
        <v>247</v>
      </c>
      <c r="N1191" s="0" t="s">
        <v>124</v>
      </c>
      <c r="P1191" s="0" t="s">
        <v>26</v>
      </c>
      <c r="Q1191" s="0" t="s">
        <v>26</v>
      </c>
      <c r="R1191" s="0" t="s">
        <v>26</v>
      </c>
      <c r="S1191" s="0" t="s">
        <v>21</v>
      </c>
      <c r="T1191" s="0" t="s">
        <v>104</v>
      </c>
      <c r="W1191" s="0" t="s">
        <v>183</v>
      </c>
    </row>
    <row r="1192" customFormat="false" ht="15" hidden="false" customHeight="false" outlineLevel="0" collapsed="false">
      <c r="A1192" s="0" t="s">
        <v>21</v>
      </c>
      <c r="B1192" s="0" t="s">
        <v>4155</v>
      </c>
      <c r="C1192" s="0" t="s">
        <v>771</v>
      </c>
      <c r="D1192" s="0" t="s">
        <v>4156</v>
      </c>
      <c r="E1192" s="0" t="s">
        <v>4157</v>
      </c>
      <c r="M1192" s="0" t="s">
        <v>136</v>
      </c>
      <c r="N1192" s="0" t="s">
        <v>124</v>
      </c>
      <c r="P1192" s="0" t="s">
        <v>102</v>
      </c>
      <c r="Q1192" s="0" t="s">
        <v>102</v>
      </c>
      <c r="R1192" s="0" t="s">
        <v>804</v>
      </c>
      <c r="S1192" s="0" t="s">
        <v>21</v>
      </c>
      <c r="T1192" s="0" t="s">
        <v>104</v>
      </c>
      <c r="W1192" s="0" t="s">
        <v>105</v>
      </c>
    </row>
    <row r="1193" customFormat="false" ht="15" hidden="false" customHeight="false" outlineLevel="0" collapsed="false">
      <c r="A1193" s="0" t="s">
        <v>21</v>
      </c>
      <c r="B1193" s="0" t="s">
        <v>4155</v>
      </c>
      <c r="C1193" s="0" t="s">
        <v>771</v>
      </c>
      <c r="D1193" s="0" t="s">
        <v>4156</v>
      </c>
      <c r="E1193" s="0" t="s">
        <v>4157</v>
      </c>
      <c r="M1193" s="0" t="s">
        <v>136</v>
      </c>
      <c r="N1193" s="0" t="s">
        <v>124</v>
      </c>
      <c r="P1193" s="0" t="s">
        <v>26</v>
      </c>
      <c r="Q1193" s="0" t="s">
        <v>26</v>
      </c>
      <c r="R1193" s="0" t="s">
        <v>26</v>
      </c>
      <c r="S1193" s="0" t="s">
        <v>21</v>
      </c>
      <c r="T1193" s="0" t="s">
        <v>104</v>
      </c>
      <c r="W1193" s="0" t="s">
        <v>183</v>
      </c>
    </row>
    <row r="1194" customFormat="false" ht="15" hidden="false" customHeight="false" outlineLevel="0" collapsed="false">
      <c r="A1194" s="0" t="s">
        <v>21</v>
      </c>
      <c r="B1194" s="0" t="s">
        <v>4158</v>
      </c>
      <c r="C1194" s="0" t="s">
        <v>771</v>
      </c>
      <c r="D1194" s="0" t="s">
        <v>4159</v>
      </c>
      <c r="E1194" s="0" t="s">
        <v>4160</v>
      </c>
      <c r="M1194" s="0" t="s">
        <v>136</v>
      </c>
      <c r="N1194" s="0" t="s">
        <v>124</v>
      </c>
      <c r="P1194" s="0" t="s">
        <v>221</v>
      </c>
      <c r="Q1194" s="0" t="s">
        <v>221</v>
      </c>
      <c r="R1194" s="0" t="s">
        <v>221</v>
      </c>
      <c r="S1194" s="0" t="s">
        <v>21</v>
      </c>
      <c r="T1194" s="0" t="s">
        <v>104</v>
      </c>
      <c r="W1194" s="0" t="s">
        <v>183</v>
      </c>
    </row>
    <row r="1195" customFormat="false" ht="15" hidden="false" customHeight="false" outlineLevel="0" collapsed="false">
      <c r="A1195" s="0" t="s">
        <v>21</v>
      </c>
      <c r="B1195" s="0" t="s">
        <v>4158</v>
      </c>
      <c r="C1195" s="0" t="s">
        <v>771</v>
      </c>
      <c r="D1195" s="0" t="s">
        <v>4159</v>
      </c>
      <c r="E1195" s="0" t="s">
        <v>4160</v>
      </c>
      <c r="M1195" s="0" t="s">
        <v>136</v>
      </c>
      <c r="N1195" s="0" t="s">
        <v>124</v>
      </c>
      <c r="P1195" s="0" t="s">
        <v>102</v>
      </c>
      <c r="Q1195" s="0" t="s">
        <v>102</v>
      </c>
      <c r="R1195" s="0" t="s">
        <v>224</v>
      </c>
      <c r="S1195" s="0" t="s">
        <v>21</v>
      </c>
      <c r="T1195" s="0" t="s">
        <v>104</v>
      </c>
      <c r="V1195" s="0" t="s">
        <v>225</v>
      </c>
      <c r="W1195" s="0" t="s">
        <v>105</v>
      </c>
    </row>
    <row r="1196" customFormat="false" ht="15" hidden="false" customHeight="false" outlineLevel="0" collapsed="false">
      <c r="A1196" s="0" t="s">
        <v>21</v>
      </c>
      <c r="B1196" s="0" t="s">
        <v>4158</v>
      </c>
      <c r="C1196" s="0" t="s">
        <v>771</v>
      </c>
      <c r="D1196" s="0" t="s">
        <v>4159</v>
      </c>
      <c r="E1196" s="0" t="s">
        <v>4160</v>
      </c>
      <c r="M1196" s="0" t="s">
        <v>136</v>
      </c>
      <c r="N1196" s="0" t="s">
        <v>124</v>
      </c>
      <c r="P1196" s="0" t="s">
        <v>26</v>
      </c>
      <c r="Q1196" s="0" t="s">
        <v>26</v>
      </c>
      <c r="R1196" s="0" t="s">
        <v>26</v>
      </c>
      <c r="S1196" s="0" t="s">
        <v>21</v>
      </c>
      <c r="T1196" s="0" t="s">
        <v>104</v>
      </c>
      <c r="W1196" s="0" t="s">
        <v>183</v>
      </c>
    </row>
    <row r="1197" customFormat="false" ht="15" hidden="false" customHeight="false" outlineLevel="0" collapsed="false">
      <c r="A1197" s="0" t="s">
        <v>21</v>
      </c>
      <c r="B1197" s="0" t="s">
        <v>4158</v>
      </c>
      <c r="C1197" s="0" t="s">
        <v>771</v>
      </c>
      <c r="D1197" s="0" t="s">
        <v>4159</v>
      </c>
      <c r="E1197" s="0" t="s">
        <v>4160</v>
      </c>
      <c r="M1197" s="0" t="s">
        <v>136</v>
      </c>
      <c r="N1197" s="0" t="s">
        <v>124</v>
      </c>
      <c r="P1197" s="0" t="s">
        <v>130</v>
      </c>
      <c r="Q1197" s="0" t="s">
        <v>130</v>
      </c>
      <c r="R1197" s="0" t="s">
        <v>226</v>
      </c>
      <c r="S1197" s="0" t="s">
        <v>21</v>
      </c>
      <c r="T1197" s="0" t="s">
        <v>104</v>
      </c>
      <c r="U1197" s="0" t="s">
        <v>227</v>
      </c>
      <c r="W1197" s="0" t="s">
        <v>105</v>
      </c>
    </row>
    <row r="1198" customFormat="false" ht="15" hidden="false" customHeight="false" outlineLevel="0" collapsed="false">
      <c r="A1198" s="0" t="s">
        <v>21</v>
      </c>
      <c r="B1198" s="0" t="s">
        <v>4161</v>
      </c>
      <c r="C1198" s="0" t="s">
        <v>771</v>
      </c>
      <c r="D1198" s="0" t="s">
        <v>4162</v>
      </c>
      <c r="E1198" s="0" t="s">
        <v>4163</v>
      </c>
      <c r="M1198" s="0" t="s">
        <v>136</v>
      </c>
      <c r="N1198" s="0" t="s">
        <v>124</v>
      </c>
      <c r="P1198" s="0" t="s">
        <v>26</v>
      </c>
      <c r="Q1198" s="0" t="s">
        <v>26</v>
      </c>
      <c r="R1198" s="0" t="s">
        <v>26</v>
      </c>
      <c r="S1198" s="0" t="s">
        <v>21</v>
      </c>
      <c r="T1198" s="0" t="s">
        <v>104</v>
      </c>
      <c r="W1198" s="0" t="s">
        <v>183</v>
      </c>
    </row>
    <row r="1199" customFormat="false" ht="15" hidden="false" customHeight="false" outlineLevel="0" collapsed="false">
      <c r="A1199" s="0" t="s">
        <v>21</v>
      </c>
      <c r="B1199" s="0" t="s">
        <v>4161</v>
      </c>
      <c r="C1199" s="0" t="s">
        <v>771</v>
      </c>
      <c r="D1199" s="0" t="s">
        <v>4162</v>
      </c>
      <c r="E1199" s="0" t="s">
        <v>4163</v>
      </c>
      <c r="M1199" s="0" t="s">
        <v>136</v>
      </c>
      <c r="N1199" s="0" t="s">
        <v>124</v>
      </c>
      <c r="P1199" s="0" t="s">
        <v>236</v>
      </c>
      <c r="Q1199" s="0" t="s">
        <v>236</v>
      </c>
      <c r="R1199" s="0" t="s">
        <v>103</v>
      </c>
      <c r="S1199" s="0" t="s">
        <v>21</v>
      </c>
      <c r="T1199" s="0" t="s">
        <v>104</v>
      </c>
      <c r="W1199" s="0" t="s">
        <v>105</v>
      </c>
    </row>
    <row r="1200" customFormat="false" ht="15" hidden="false" customHeight="false" outlineLevel="0" collapsed="false">
      <c r="A1200" s="0" t="s">
        <v>21</v>
      </c>
      <c r="B1200" s="0" t="s">
        <v>4164</v>
      </c>
      <c r="C1200" s="0" t="s">
        <v>771</v>
      </c>
      <c r="D1200" s="0" t="s">
        <v>4165</v>
      </c>
      <c r="E1200" s="0" t="s">
        <v>4166</v>
      </c>
      <c r="M1200" s="0" t="s">
        <v>232</v>
      </c>
      <c r="N1200" s="0" t="s">
        <v>124</v>
      </c>
      <c r="P1200" s="0" t="s">
        <v>221</v>
      </c>
      <c r="Q1200" s="0" t="s">
        <v>221</v>
      </c>
      <c r="R1200" s="0" t="s">
        <v>221</v>
      </c>
      <c r="S1200" s="0" t="s">
        <v>21</v>
      </c>
      <c r="T1200" s="0" t="s">
        <v>104</v>
      </c>
      <c r="W1200" s="0" t="s">
        <v>183</v>
      </c>
    </row>
    <row r="1201" customFormat="false" ht="15" hidden="false" customHeight="false" outlineLevel="0" collapsed="false">
      <c r="A1201" s="0" t="s">
        <v>21</v>
      </c>
      <c r="B1201" s="0" t="s">
        <v>4164</v>
      </c>
      <c r="C1201" s="0" t="s">
        <v>771</v>
      </c>
      <c r="D1201" s="0" t="s">
        <v>4165</v>
      </c>
      <c r="E1201" s="0" t="s">
        <v>4166</v>
      </c>
      <c r="M1201" s="0" t="s">
        <v>232</v>
      </c>
      <c r="N1201" s="0" t="s">
        <v>124</v>
      </c>
      <c r="P1201" s="0" t="s">
        <v>102</v>
      </c>
      <c r="Q1201" s="0" t="s">
        <v>102</v>
      </c>
      <c r="R1201" s="0" t="s">
        <v>224</v>
      </c>
      <c r="S1201" s="0" t="s">
        <v>21</v>
      </c>
      <c r="T1201" s="0" t="s">
        <v>104</v>
      </c>
      <c r="V1201" s="0" t="s">
        <v>225</v>
      </c>
      <c r="W1201" s="0" t="s">
        <v>105</v>
      </c>
    </row>
    <row r="1202" customFormat="false" ht="15" hidden="false" customHeight="false" outlineLevel="0" collapsed="false">
      <c r="A1202" s="0" t="s">
        <v>21</v>
      </c>
      <c r="B1202" s="0" t="s">
        <v>4164</v>
      </c>
      <c r="C1202" s="0" t="s">
        <v>771</v>
      </c>
      <c r="D1202" s="0" t="s">
        <v>4165</v>
      </c>
      <c r="E1202" s="0" t="s">
        <v>4166</v>
      </c>
      <c r="M1202" s="0" t="s">
        <v>232</v>
      </c>
      <c r="N1202" s="0" t="s">
        <v>124</v>
      </c>
      <c r="P1202" s="0" t="s">
        <v>26</v>
      </c>
      <c r="Q1202" s="0" t="s">
        <v>26</v>
      </c>
      <c r="R1202" s="0" t="s">
        <v>26</v>
      </c>
      <c r="S1202" s="0" t="s">
        <v>21</v>
      </c>
      <c r="T1202" s="0" t="s">
        <v>104</v>
      </c>
      <c r="W1202" s="0" t="s">
        <v>183</v>
      </c>
    </row>
    <row r="1203" customFormat="false" ht="15" hidden="false" customHeight="false" outlineLevel="0" collapsed="false">
      <c r="A1203" s="0" t="s">
        <v>21</v>
      </c>
      <c r="B1203" s="0" t="s">
        <v>4164</v>
      </c>
      <c r="C1203" s="0" t="s">
        <v>771</v>
      </c>
      <c r="D1203" s="0" t="s">
        <v>4165</v>
      </c>
      <c r="E1203" s="0" t="s">
        <v>4166</v>
      </c>
      <c r="M1203" s="0" t="s">
        <v>232</v>
      </c>
      <c r="N1203" s="0" t="s">
        <v>124</v>
      </c>
      <c r="P1203" s="0" t="s">
        <v>130</v>
      </c>
      <c r="Q1203" s="0" t="s">
        <v>130</v>
      </c>
      <c r="R1203" s="0" t="s">
        <v>226</v>
      </c>
      <c r="S1203" s="0" t="s">
        <v>21</v>
      </c>
      <c r="T1203" s="0" t="s">
        <v>104</v>
      </c>
      <c r="U1203" s="0" t="s">
        <v>227</v>
      </c>
      <c r="W1203" s="0" t="s">
        <v>105</v>
      </c>
    </row>
    <row r="1204" customFormat="false" ht="15" hidden="false" customHeight="false" outlineLevel="0" collapsed="false">
      <c r="A1204" s="0" t="s">
        <v>21</v>
      </c>
      <c r="B1204" s="0" t="s">
        <v>4167</v>
      </c>
      <c r="C1204" s="0" t="s">
        <v>771</v>
      </c>
      <c r="D1204" s="0" t="s">
        <v>4168</v>
      </c>
      <c r="E1204" s="0" t="s">
        <v>4169</v>
      </c>
      <c r="M1204" s="0" t="s">
        <v>136</v>
      </c>
      <c r="N1204" s="0" t="s">
        <v>124</v>
      </c>
      <c r="P1204" s="0" t="s">
        <v>26</v>
      </c>
      <c r="Q1204" s="0" t="s">
        <v>26</v>
      </c>
      <c r="R1204" s="0" t="s">
        <v>26</v>
      </c>
      <c r="S1204" s="0" t="s">
        <v>21</v>
      </c>
      <c r="T1204" s="0" t="s">
        <v>104</v>
      </c>
      <c r="W1204" s="0" t="s">
        <v>183</v>
      </c>
    </row>
    <row r="1205" customFormat="false" ht="15" hidden="false" customHeight="false" outlineLevel="0" collapsed="false">
      <c r="A1205" s="0" t="s">
        <v>21</v>
      </c>
      <c r="B1205" s="0" t="s">
        <v>4167</v>
      </c>
      <c r="C1205" s="0" t="s">
        <v>771</v>
      </c>
      <c r="D1205" s="0" t="s">
        <v>4168</v>
      </c>
      <c r="E1205" s="0" t="s">
        <v>4169</v>
      </c>
      <c r="M1205" s="0" t="s">
        <v>136</v>
      </c>
      <c r="N1205" s="0" t="s">
        <v>124</v>
      </c>
      <c r="P1205" s="0" t="s">
        <v>236</v>
      </c>
      <c r="Q1205" s="0" t="s">
        <v>236</v>
      </c>
      <c r="R1205" s="0" t="s">
        <v>957</v>
      </c>
      <c r="S1205" s="0" t="s">
        <v>21</v>
      </c>
      <c r="T1205" s="0" t="s">
        <v>104</v>
      </c>
      <c r="W1205" s="0" t="s">
        <v>105</v>
      </c>
    </row>
    <row r="1206" customFormat="false" ht="15" hidden="false" customHeight="false" outlineLevel="0" collapsed="false">
      <c r="A1206" s="0" t="s">
        <v>21</v>
      </c>
      <c r="B1206" s="0" t="s">
        <v>4170</v>
      </c>
      <c r="C1206" s="0" t="s">
        <v>771</v>
      </c>
      <c r="D1206" s="0" t="s">
        <v>2805</v>
      </c>
      <c r="E1206" s="0" t="s">
        <v>2805</v>
      </c>
      <c r="F1206" s="0" t="s">
        <v>2805</v>
      </c>
      <c r="M1206" s="0" t="s">
        <v>136</v>
      </c>
      <c r="N1206" s="0" t="s">
        <v>124</v>
      </c>
      <c r="P1206" s="0" t="s">
        <v>26</v>
      </c>
      <c r="Q1206" s="0" t="s">
        <v>26</v>
      </c>
      <c r="R1206" s="0" t="s">
        <v>26</v>
      </c>
      <c r="S1206" s="0" t="s">
        <v>21</v>
      </c>
      <c r="T1206" s="0" t="s">
        <v>104</v>
      </c>
      <c r="W1206" s="0" t="s">
        <v>183</v>
      </c>
      <c r="AB1206" s="0" t="s">
        <v>209</v>
      </c>
    </row>
    <row r="1207" customFormat="false" ht="15" hidden="false" customHeight="false" outlineLevel="0" collapsed="false">
      <c r="A1207" s="0" t="s">
        <v>21</v>
      </c>
      <c r="B1207" s="0" t="s">
        <v>4170</v>
      </c>
      <c r="C1207" s="0" t="s">
        <v>771</v>
      </c>
      <c r="D1207" s="0" t="s">
        <v>2805</v>
      </c>
      <c r="E1207" s="0" t="s">
        <v>2805</v>
      </c>
      <c r="F1207" s="0" t="s">
        <v>2805</v>
      </c>
      <c r="M1207" s="0" t="s">
        <v>136</v>
      </c>
      <c r="N1207" s="0" t="s">
        <v>124</v>
      </c>
      <c r="P1207" s="0" t="s">
        <v>204</v>
      </c>
      <c r="Q1207" s="0" t="s">
        <v>204</v>
      </c>
      <c r="R1207" s="0" t="s">
        <v>137</v>
      </c>
      <c r="S1207" s="0" t="s">
        <v>21</v>
      </c>
      <c r="T1207" s="0" t="s">
        <v>104</v>
      </c>
      <c r="W1207" s="0" t="s">
        <v>105</v>
      </c>
      <c r="AB1207" s="0" t="s">
        <v>209</v>
      </c>
    </row>
    <row r="1208" customFormat="false" ht="15" hidden="false" customHeight="false" outlineLevel="0" collapsed="false">
      <c r="A1208" s="0" t="s">
        <v>21</v>
      </c>
      <c r="B1208" s="0" t="s">
        <v>4171</v>
      </c>
      <c r="C1208" s="0" t="s">
        <v>771</v>
      </c>
      <c r="D1208" s="0" t="s">
        <v>4172</v>
      </c>
      <c r="E1208" s="0" t="s">
        <v>4173</v>
      </c>
      <c r="M1208" s="0" t="s">
        <v>136</v>
      </c>
      <c r="N1208" s="0" t="s">
        <v>124</v>
      </c>
      <c r="P1208" s="0" t="s">
        <v>26</v>
      </c>
      <c r="Q1208" s="0" t="s">
        <v>26</v>
      </c>
      <c r="R1208" s="0" t="s">
        <v>26</v>
      </c>
      <c r="S1208" s="0" t="s">
        <v>21</v>
      </c>
      <c r="T1208" s="0" t="s">
        <v>104</v>
      </c>
      <c r="W1208" s="0" t="s">
        <v>183</v>
      </c>
    </row>
    <row r="1209" customFormat="false" ht="15" hidden="false" customHeight="false" outlineLevel="0" collapsed="false">
      <c r="A1209" s="0" t="s">
        <v>21</v>
      </c>
      <c r="B1209" s="0" t="s">
        <v>4171</v>
      </c>
      <c r="C1209" s="0" t="s">
        <v>771</v>
      </c>
      <c r="D1209" s="0" t="s">
        <v>4172</v>
      </c>
      <c r="E1209" s="0" t="s">
        <v>4173</v>
      </c>
      <c r="M1209" s="0" t="s">
        <v>136</v>
      </c>
      <c r="N1209" s="0" t="s">
        <v>124</v>
      </c>
      <c r="P1209" s="0" t="s">
        <v>236</v>
      </c>
      <c r="Q1209" s="0" t="s">
        <v>236</v>
      </c>
      <c r="R1209" s="0" t="s">
        <v>957</v>
      </c>
      <c r="S1209" s="0" t="s">
        <v>21</v>
      </c>
      <c r="T1209" s="0" t="s">
        <v>104</v>
      </c>
      <c r="W1209" s="0" t="s">
        <v>105</v>
      </c>
    </row>
    <row r="1210" customFormat="false" ht="15" hidden="false" customHeight="false" outlineLevel="0" collapsed="false">
      <c r="A1210" s="0" t="s">
        <v>21</v>
      </c>
      <c r="B1210" s="0" t="s">
        <v>4174</v>
      </c>
      <c r="C1210" s="0" t="s">
        <v>771</v>
      </c>
      <c r="D1210" s="0" t="s">
        <v>4175</v>
      </c>
      <c r="E1210" s="0" t="s">
        <v>4176</v>
      </c>
      <c r="M1210" s="0" t="s">
        <v>121</v>
      </c>
      <c r="N1210" s="0" t="s">
        <v>124</v>
      </c>
      <c r="P1210" s="0" t="s">
        <v>102</v>
      </c>
      <c r="Q1210" s="0" t="s">
        <v>102</v>
      </c>
      <c r="R1210" s="0" t="s">
        <v>113</v>
      </c>
      <c r="S1210" s="0" t="s">
        <v>21</v>
      </c>
      <c r="T1210" s="0" t="s">
        <v>104</v>
      </c>
      <c r="W1210" s="0" t="s">
        <v>105</v>
      </c>
    </row>
    <row r="1211" customFormat="false" ht="15" hidden="false" customHeight="false" outlineLevel="0" collapsed="false">
      <c r="A1211" s="0" t="s">
        <v>21</v>
      </c>
      <c r="B1211" s="0" t="s">
        <v>4174</v>
      </c>
      <c r="C1211" s="0" t="s">
        <v>771</v>
      </c>
      <c r="D1211" s="0" t="s">
        <v>4175</v>
      </c>
      <c r="E1211" s="0" t="s">
        <v>4176</v>
      </c>
      <c r="M1211" s="0" t="s">
        <v>121</v>
      </c>
      <c r="N1211" s="0" t="s">
        <v>124</v>
      </c>
      <c r="P1211" s="0" t="s">
        <v>26</v>
      </c>
      <c r="Q1211" s="0" t="s">
        <v>26</v>
      </c>
      <c r="R1211" s="0" t="s">
        <v>26</v>
      </c>
      <c r="S1211" s="0" t="s">
        <v>21</v>
      </c>
      <c r="T1211" s="0" t="s">
        <v>104</v>
      </c>
      <c r="W1211" s="0" t="s">
        <v>183</v>
      </c>
    </row>
    <row r="1212" customFormat="false" ht="15" hidden="false" customHeight="false" outlineLevel="0" collapsed="false">
      <c r="A1212" s="0" t="s">
        <v>21</v>
      </c>
      <c r="B1212" s="0" t="s">
        <v>4177</v>
      </c>
      <c r="C1212" s="0" t="s">
        <v>771</v>
      </c>
      <c r="D1212" s="0" t="s">
        <v>4178</v>
      </c>
      <c r="E1212" s="0" t="s">
        <v>4179</v>
      </c>
      <c r="M1212" s="0" t="s">
        <v>232</v>
      </c>
      <c r="N1212" s="0" t="s">
        <v>124</v>
      </c>
      <c r="P1212" s="0" t="s">
        <v>102</v>
      </c>
      <c r="Q1212" s="0" t="s">
        <v>102</v>
      </c>
      <c r="R1212" s="0" t="s">
        <v>131</v>
      </c>
      <c r="S1212" s="0" t="s">
        <v>21</v>
      </c>
      <c r="T1212" s="0" t="s">
        <v>104</v>
      </c>
      <c r="W1212" s="0" t="s">
        <v>105</v>
      </c>
    </row>
    <row r="1213" customFormat="false" ht="15" hidden="false" customHeight="false" outlineLevel="0" collapsed="false">
      <c r="A1213" s="0" t="s">
        <v>21</v>
      </c>
      <c r="B1213" s="0" t="s">
        <v>4177</v>
      </c>
      <c r="C1213" s="0" t="s">
        <v>771</v>
      </c>
      <c r="D1213" s="0" t="s">
        <v>4178</v>
      </c>
      <c r="E1213" s="0" t="s">
        <v>4179</v>
      </c>
      <c r="M1213" s="0" t="s">
        <v>232</v>
      </c>
      <c r="N1213" s="0" t="s">
        <v>124</v>
      </c>
      <c r="P1213" s="0" t="s">
        <v>26</v>
      </c>
      <c r="Q1213" s="0" t="s">
        <v>26</v>
      </c>
      <c r="R1213" s="0" t="s">
        <v>26</v>
      </c>
      <c r="S1213" s="0" t="s">
        <v>21</v>
      </c>
      <c r="T1213" s="0" t="s">
        <v>104</v>
      </c>
      <c r="W1213" s="0" t="s">
        <v>183</v>
      </c>
    </row>
    <row r="1214" customFormat="false" ht="15" hidden="false" customHeight="false" outlineLevel="0" collapsed="false">
      <c r="A1214" s="0" t="s">
        <v>21</v>
      </c>
      <c r="B1214" s="0" t="s">
        <v>4180</v>
      </c>
      <c r="C1214" s="0" t="s">
        <v>97</v>
      </c>
      <c r="D1214" s="0" t="s">
        <v>4181</v>
      </c>
      <c r="E1214" s="0" t="s">
        <v>4181</v>
      </c>
      <c r="M1214" s="0" t="s">
        <v>136</v>
      </c>
      <c r="N1214" s="0" t="s">
        <v>124</v>
      </c>
      <c r="P1214" s="0" t="s">
        <v>102</v>
      </c>
      <c r="Q1214" s="0" t="s">
        <v>102</v>
      </c>
      <c r="R1214" s="0" t="s">
        <v>131</v>
      </c>
      <c r="S1214" s="0" t="s">
        <v>21</v>
      </c>
      <c r="T1214" s="0" t="s">
        <v>104</v>
      </c>
      <c r="W1214" s="0" t="s">
        <v>105</v>
      </c>
    </row>
    <row r="1215" customFormat="false" ht="15" hidden="false" customHeight="false" outlineLevel="0" collapsed="false">
      <c r="A1215" s="0" t="s">
        <v>21</v>
      </c>
      <c r="B1215" s="0" t="s">
        <v>4180</v>
      </c>
      <c r="C1215" s="0" t="s">
        <v>97</v>
      </c>
      <c r="D1215" s="0" t="s">
        <v>4181</v>
      </c>
      <c r="E1215" s="0" t="s">
        <v>4181</v>
      </c>
      <c r="M1215" s="0" t="s">
        <v>136</v>
      </c>
      <c r="N1215" s="0" t="s">
        <v>124</v>
      </c>
      <c r="P1215" s="0" t="s">
        <v>26</v>
      </c>
      <c r="Q1215" s="0" t="s">
        <v>26</v>
      </c>
      <c r="R1215" s="0" t="s">
        <v>26</v>
      </c>
      <c r="S1215" s="0" t="s">
        <v>21</v>
      </c>
      <c r="T1215" s="0" t="s">
        <v>104</v>
      </c>
      <c r="W1215" s="0" t="s">
        <v>183</v>
      </c>
    </row>
    <row r="1216" customFormat="false" ht="15" hidden="false" customHeight="false" outlineLevel="0" collapsed="false">
      <c r="A1216" s="0" t="s">
        <v>21</v>
      </c>
      <c r="B1216" s="0" t="s">
        <v>4182</v>
      </c>
      <c r="C1216" s="0" t="s">
        <v>771</v>
      </c>
      <c r="D1216" s="0" t="s">
        <v>4004</v>
      </c>
      <c r="E1216" s="0" t="s">
        <v>4183</v>
      </c>
      <c r="M1216" s="0" t="s">
        <v>136</v>
      </c>
      <c r="N1216" s="0" t="s">
        <v>124</v>
      </c>
      <c r="P1216" s="0" t="s">
        <v>26</v>
      </c>
      <c r="Q1216" s="0" t="s">
        <v>26</v>
      </c>
      <c r="R1216" s="0" t="s">
        <v>26</v>
      </c>
      <c r="S1216" s="0" t="s">
        <v>21</v>
      </c>
      <c r="T1216" s="0" t="s">
        <v>104</v>
      </c>
      <c r="W1216" s="0" t="s">
        <v>183</v>
      </c>
    </row>
    <row r="1217" customFormat="false" ht="15" hidden="false" customHeight="false" outlineLevel="0" collapsed="false">
      <c r="A1217" s="0" t="s">
        <v>21</v>
      </c>
      <c r="B1217" s="0" t="s">
        <v>4182</v>
      </c>
      <c r="C1217" s="0" t="s">
        <v>771</v>
      </c>
      <c r="D1217" s="0" t="s">
        <v>4004</v>
      </c>
      <c r="E1217" s="0" t="s">
        <v>4183</v>
      </c>
      <c r="M1217" s="0" t="s">
        <v>136</v>
      </c>
      <c r="N1217" s="0" t="s">
        <v>124</v>
      </c>
      <c r="P1217" s="0" t="s">
        <v>236</v>
      </c>
      <c r="Q1217" s="0" t="s">
        <v>236</v>
      </c>
      <c r="R1217" s="0" t="s">
        <v>103</v>
      </c>
      <c r="S1217" s="0" t="s">
        <v>21</v>
      </c>
      <c r="T1217" s="0" t="s">
        <v>104</v>
      </c>
      <c r="W1217" s="0" t="s">
        <v>105</v>
      </c>
    </row>
    <row r="1218" customFormat="false" ht="15" hidden="false" customHeight="false" outlineLevel="0" collapsed="false">
      <c r="A1218" s="0" t="s">
        <v>21</v>
      </c>
      <c r="B1218" s="0" t="s">
        <v>4184</v>
      </c>
      <c r="C1218" s="0" t="s">
        <v>771</v>
      </c>
      <c r="D1218" s="0" t="s">
        <v>4185</v>
      </c>
      <c r="E1218" s="0" t="s">
        <v>4186</v>
      </c>
      <c r="F1218" s="0" t="s">
        <v>4186</v>
      </c>
      <c r="M1218" s="0" t="s">
        <v>208</v>
      </c>
      <c r="N1218" s="0" t="s">
        <v>124</v>
      </c>
      <c r="P1218" s="0" t="s">
        <v>102</v>
      </c>
      <c r="Q1218" s="0" t="s">
        <v>102</v>
      </c>
      <c r="R1218" s="0" t="s">
        <v>131</v>
      </c>
      <c r="S1218" s="0" t="s">
        <v>21</v>
      </c>
      <c r="T1218" s="0" t="s">
        <v>104</v>
      </c>
      <c r="W1218" s="0" t="s">
        <v>105</v>
      </c>
    </row>
    <row r="1219" customFormat="false" ht="15" hidden="false" customHeight="false" outlineLevel="0" collapsed="false">
      <c r="A1219" s="0" t="s">
        <v>21</v>
      </c>
      <c r="B1219" s="0" t="s">
        <v>4184</v>
      </c>
      <c r="C1219" s="0" t="s">
        <v>771</v>
      </c>
      <c r="D1219" s="0" t="s">
        <v>4185</v>
      </c>
      <c r="E1219" s="0" t="s">
        <v>4186</v>
      </c>
      <c r="F1219" s="0" t="s">
        <v>4186</v>
      </c>
      <c r="M1219" s="0" t="s">
        <v>208</v>
      </c>
      <c r="N1219" s="0" t="s">
        <v>124</v>
      </c>
      <c r="P1219" s="0" t="s">
        <v>26</v>
      </c>
      <c r="Q1219" s="0" t="s">
        <v>26</v>
      </c>
      <c r="R1219" s="0" t="s">
        <v>26</v>
      </c>
      <c r="S1219" s="0" t="s">
        <v>21</v>
      </c>
      <c r="T1219" s="0" t="s">
        <v>104</v>
      </c>
      <c r="W1219" s="0" t="s">
        <v>183</v>
      </c>
    </row>
    <row r="1220" customFormat="false" ht="15" hidden="false" customHeight="false" outlineLevel="0" collapsed="false">
      <c r="A1220" s="0" t="s">
        <v>21</v>
      </c>
      <c r="B1220" s="0" t="s">
        <v>4187</v>
      </c>
      <c r="C1220" s="0" t="s">
        <v>771</v>
      </c>
      <c r="D1220" s="0" t="s">
        <v>4188</v>
      </c>
      <c r="E1220" s="0" t="s">
        <v>4189</v>
      </c>
      <c r="M1220" s="0" t="s">
        <v>247</v>
      </c>
      <c r="N1220" s="0" t="s">
        <v>124</v>
      </c>
      <c r="P1220" s="0" t="s">
        <v>221</v>
      </c>
      <c r="Q1220" s="0" t="s">
        <v>221</v>
      </c>
      <c r="R1220" s="0" t="s">
        <v>221</v>
      </c>
      <c r="S1220" s="0" t="s">
        <v>21</v>
      </c>
      <c r="T1220" s="0" t="s">
        <v>104</v>
      </c>
      <c r="W1220" s="0" t="s">
        <v>183</v>
      </c>
    </row>
    <row r="1221" customFormat="false" ht="15" hidden="false" customHeight="false" outlineLevel="0" collapsed="false">
      <c r="A1221" s="0" t="s">
        <v>21</v>
      </c>
      <c r="B1221" s="0" t="s">
        <v>4187</v>
      </c>
      <c r="C1221" s="0" t="s">
        <v>771</v>
      </c>
      <c r="D1221" s="0" t="s">
        <v>4188</v>
      </c>
      <c r="E1221" s="0" t="s">
        <v>4189</v>
      </c>
      <c r="M1221" s="0" t="s">
        <v>247</v>
      </c>
      <c r="N1221" s="0" t="s">
        <v>124</v>
      </c>
      <c r="P1221" s="0" t="s">
        <v>102</v>
      </c>
      <c r="Q1221" s="0" t="s">
        <v>102</v>
      </c>
      <c r="R1221" s="0" t="s">
        <v>224</v>
      </c>
      <c r="S1221" s="0" t="s">
        <v>21</v>
      </c>
      <c r="T1221" s="0" t="s">
        <v>104</v>
      </c>
      <c r="V1221" s="0" t="s">
        <v>225</v>
      </c>
      <c r="W1221" s="0" t="s">
        <v>105</v>
      </c>
    </row>
    <row r="1222" customFormat="false" ht="15" hidden="false" customHeight="false" outlineLevel="0" collapsed="false">
      <c r="A1222" s="0" t="s">
        <v>21</v>
      </c>
      <c r="B1222" s="0" t="s">
        <v>4187</v>
      </c>
      <c r="C1222" s="0" t="s">
        <v>771</v>
      </c>
      <c r="D1222" s="0" t="s">
        <v>4188</v>
      </c>
      <c r="E1222" s="0" t="s">
        <v>4189</v>
      </c>
      <c r="M1222" s="0" t="s">
        <v>247</v>
      </c>
      <c r="N1222" s="0" t="s">
        <v>124</v>
      </c>
      <c r="P1222" s="0" t="s">
        <v>26</v>
      </c>
      <c r="Q1222" s="0" t="s">
        <v>26</v>
      </c>
      <c r="R1222" s="0" t="s">
        <v>26</v>
      </c>
      <c r="S1222" s="0" t="s">
        <v>21</v>
      </c>
      <c r="T1222" s="0" t="s">
        <v>104</v>
      </c>
      <c r="W1222" s="0" t="s">
        <v>183</v>
      </c>
    </row>
    <row r="1223" customFormat="false" ht="15" hidden="false" customHeight="false" outlineLevel="0" collapsed="false">
      <c r="A1223" s="0" t="s">
        <v>21</v>
      </c>
      <c r="B1223" s="0" t="s">
        <v>4187</v>
      </c>
      <c r="C1223" s="0" t="s">
        <v>771</v>
      </c>
      <c r="D1223" s="0" t="s">
        <v>4188</v>
      </c>
      <c r="E1223" s="0" t="s">
        <v>4189</v>
      </c>
      <c r="M1223" s="0" t="s">
        <v>247</v>
      </c>
      <c r="N1223" s="0" t="s">
        <v>124</v>
      </c>
      <c r="P1223" s="0" t="s">
        <v>130</v>
      </c>
      <c r="Q1223" s="0" t="s">
        <v>130</v>
      </c>
      <c r="R1223" s="0" t="s">
        <v>226</v>
      </c>
      <c r="S1223" s="0" t="s">
        <v>21</v>
      </c>
      <c r="T1223" s="0" t="s">
        <v>104</v>
      </c>
      <c r="U1223" s="0" t="s">
        <v>227</v>
      </c>
      <c r="W1223" s="0" t="s">
        <v>105</v>
      </c>
    </row>
    <row r="1224" customFormat="false" ht="15" hidden="false" customHeight="false" outlineLevel="0" collapsed="false">
      <c r="A1224" s="0" t="s">
        <v>21</v>
      </c>
      <c r="B1224" s="0" t="s">
        <v>4190</v>
      </c>
      <c r="C1224" s="0" t="s">
        <v>771</v>
      </c>
      <c r="D1224" s="0" t="s">
        <v>4191</v>
      </c>
      <c r="E1224" s="0" t="s">
        <v>4191</v>
      </c>
      <c r="F1224" s="0" t="s">
        <v>4191</v>
      </c>
      <c r="M1224" s="0" t="s">
        <v>208</v>
      </c>
      <c r="N1224" s="0" t="s">
        <v>124</v>
      </c>
      <c r="P1224" s="0" t="s">
        <v>26</v>
      </c>
      <c r="Q1224" s="0" t="s">
        <v>26</v>
      </c>
      <c r="R1224" s="0" t="s">
        <v>26</v>
      </c>
      <c r="S1224" s="0" t="s">
        <v>21</v>
      </c>
      <c r="T1224" s="0" t="s">
        <v>104</v>
      </c>
      <c r="W1224" s="0" t="s">
        <v>183</v>
      </c>
      <c r="AB1224" s="0" t="s">
        <v>209</v>
      </c>
    </row>
    <row r="1225" customFormat="false" ht="15" hidden="false" customHeight="false" outlineLevel="0" collapsed="false">
      <c r="A1225" s="0" t="s">
        <v>21</v>
      </c>
      <c r="B1225" s="0" t="s">
        <v>4190</v>
      </c>
      <c r="C1225" s="0" t="s">
        <v>771</v>
      </c>
      <c r="D1225" s="0" t="s">
        <v>4191</v>
      </c>
      <c r="E1225" s="0" t="s">
        <v>4191</v>
      </c>
      <c r="F1225" s="0" t="s">
        <v>4191</v>
      </c>
      <c r="M1225" s="0" t="s">
        <v>208</v>
      </c>
      <c r="N1225" s="0" t="s">
        <v>124</v>
      </c>
      <c r="P1225" s="0" t="s">
        <v>236</v>
      </c>
      <c r="Q1225" s="0" t="s">
        <v>236</v>
      </c>
      <c r="R1225" s="0" t="s">
        <v>103</v>
      </c>
      <c r="S1225" s="0" t="s">
        <v>21</v>
      </c>
      <c r="T1225" s="0" t="s">
        <v>104</v>
      </c>
      <c r="V1225" s="0" t="s">
        <v>2221</v>
      </c>
      <c r="W1225" s="0" t="s">
        <v>105</v>
      </c>
      <c r="AB1225" s="0" t="s">
        <v>209</v>
      </c>
    </row>
    <row r="1226" customFormat="false" ht="15" hidden="false" customHeight="false" outlineLevel="0" collapsed="false">
      <c r="A1226" s="0" t="s">
        <v>21</v>
      </c>
      <c r="B1226" s="0" t="s">
        <v>4192</v>
      </c>
      <c r="C1226" s="0" t="s">
        <v>771</v>
      </c>
      <c r="D1226" s="0" t="s">
        <v>4193</v>
      </c>
      <c r="E1226" s="0" t="s">
        <v>4194</v>
      </c>
      <c r="G1226" s="0" t="s">
        <v>4195</v>
      </c>
      <c r="M1226" s="0" t="s">
        <v>232</v>
      </c>
      <c r="N1226" s="0" t="s">
        <v>124</v>
      </c>
      <c r="P1226" s="0" t="s">
        <v>102</v>
      </c>
      <c r="Q1226" s="0" t="s">
        <v>102</v>
      </c>
      <c r="R1226" s="0" t="s">
        <v>131</v>
      </c>
      <c r="S1226" s="0" t="s">
        <v>21</v>
      </c>
      <c r="T1226" s="0" t="s">
        <v>104</v>
      </c>
      <c r="W1226" s="0" t="s">
        <v>105</v>
      </c>
      <c r="AB1226" s="0" t="s">
        <v>209</v>
      </c>
    </row>
    <row r="1227" customFormat="false" ht="15" hidden="false" customHeight="false" outlineLevel="0" collapsed="false">
      <c r="A1227" s="0" t="s">
        <v>21</v>
      </c>
      <c r="B1227" s="0" t="s">
        <v>4192</v>
      </c>
      <c r="C1227" s="0" t="s">
        <v>771</v>
      </c>
      <c r="D1227" s="0" t="s">
        <v>4193</v>
      </c>
      <c r="E1227" s="0" t="s">
        <v>4194</v>
      </c>
      <c r="G1227" s="0" t="s">
        <v>4195</v>
      </c>
      <c r="M1227" s="0" t="s">
        <v>232</v>
      </c>
      <c r="N1227" s="0" t="s">
        <v>124</v>
      </c>
      <c r="P1227" s="0" t="s">
        <v>26</v>
      </c>
      <c r="Q1227" s="0" t="s">
        <v>26</v>
      </c>
      <c r="R1227" s="0" t="s">
        <v>26</v>
      </c>
      <c r="S1227" s="0" t="s">
        <v>21</v>
      </c>
      <c r="T1227" s="0" t="s">
        <v>104</v>
      </c>
      <c r="W1227" s="0" t="s">
        <v>183</v>
      </c>
      <c r="AB1227" s="0" t="s">
        <v>209</v>
      </c>
    </row>
    <row r="1228" customFormat="false" ht="15" hidden="false" customHeight="false" outlineLevel="0" collapsed="false">
      <c r="A1228" s="0" t="s">
        <v>21</v>
      </c>
      <c r="B1228" s="0" t="s">
        <v>4196</v>
      </c>
      <c r="C1228" s="0" t="s">
        <v>771</v>
      </c>
      <c r="D1228" s="0" t="s">
        <v>4193</v>
      </c>
      <c r="E1228" s="0" t="s">
        <v>4194</v>
      </c>
      <c r="G1228" s="0" t="s">
        <v>4195</v>
      </c>
      <c r="M1228" s="0" t="s">
        <v>232</v>
      </c>
      <c r="N1228" s="0" t="s">
        <v>124</v>
      </c>
      <c r="P1228" s="0" t="s">
        <v>102</v>
      </c>
      <c r="Q1228" s="0" t="s">
        <v>102</v>
      </c>
      <c r="R1228" s="0" t="s">
        <v>131</v>
      </c>
      <c r="S1228" s="0" t="s">
        <v>21</v>
      </c>
      <c r="T1228" s="0" t="s">
        <v>104</v>
      </c>
      <c r="W1228" s="0" t="s">
        <v>105</v>
      </c>
      <c r="AB1228" s="0" t="s">
        <v>209</v>
      </c>
    </row>
    <row r="1229" customFormat="false" ht="15" hidden="false" customHeight="false" outlineLevel="0" collapsed="false">
      <c r="A1229" s="0" t="s">
        <v>21</v>
      </c>
      <c r="B1229" s="0" t="s">
        <v>4196</v>
      </c>
      <c r="C1229" s="0" t="s">
        <v>771</v>
      </c>
      <c r="D1229" s="0" t="s">
        <v>4193</v>
      </c>
      <c r="E1229" s="0" t="s">
        <v>4194</v>
      </c>
      <c r="G1229" s="0" t="s">
        <v>4195</v>
      </c>
      <c r="M1229" s="0" t="s">
        <v>232</v>
      </c>
      <c r="N1229" s="0" t="s">
        <v>124</v>
      </c>
      <c r="P1229" s="0" t="s">
        <v>26</v>
      </c>
      <c r="Q1229" s="0" t="s">
        <v>26</v>
      </c>
      <c r="R1229" s="0" t="s">
        <v>26</v>
      </c>
      <c r="S1229" s="0" t="s">
        <v>21</v>
      </c>
      <c r="T1229" s="0" t="s">
        <v>104</v>
      </c>
      <c r="W1229" s="0" t="s">
        <v>183</v>
      </c>
      <c r="AB1229" s="0" t="s">
        <v>209</v>
      </c>
    </row>
    <row r="1230" customFormat="false" ht="15" hidden="false" customHeight="false" outlineLevel="0" collapsed="false">
      <c r="A1230" s="0" t="s">
        <v>21</v>
      </c>
      <c r="B1230" s="0" t="s">
        <v>4197</v>
      </c>
      <c r="C1230" s="0" t="s">
        <v>771</v>
      </c>
      <c r="D1230" s="0" t="s">
        <v>4198</v>
      </c>
      <c r="E1230" s="0" t="s">
        <v>4194</v>
      </c>
      <c r="G1230" s="0" t="s">
        <v>4195</v>
      </c>
      <c r="M1230" s="0" t="s">
        <v>232</v>
      </c>
      <c r="N1230" s="0" t="s">
        <v>124</v>
      </c>
      <c r="P1230" s="0" t="s">
        <v>102</v>
      </c>
      <c r="Q1230" s="0" t="s">
        <v>102</v>
      </c>
      <c r="R1230" s="0" t="s">
        <v>131</v>
      </c>
      <c r="S1230" s="0" t="s">
        <v>21</v>
      </c>
      <c r="T1230" s="0" t="s">
        <v>104</v>
      </c>
      <c r="W1230" s="0" t="s">
        <v>105</v>
      </c>
      <c r="AB1230" s="0" t="s">
        <v>2741</v>
      </c>
    </row>
    <row r="1231" customFormat="false" ht="15" hidden="false" customHeight="false" outlineLevel="0" collapsed="false">
      <c r="A1231" s="0" t="s">
        <v>21</v>
      </c>
      <c r="B1231" s="0" t="s">
        <v>4197</v>
      </c>
      <c r="C1231" s="0" t="s">
        <v>771</v>
      </c>
      <c r="D1231" s="0" t="s">
        <v>4198</v>
      </c>
      <c r="E1231" s="0" t="s">
        <v>4194</v>
      </c>
      <c r="G1231" s="0" t="s">
        <v>4195</v>
      </c>
      <c r="M1231" s="0" t="s">
        <v>232</v>
      </c>
      <c r="N1231" s="0" t="s">
        <v>124</v>
      </c>
      <c r="P1231" s="0" t="s">
        <v>26</v>
      </c>
      <c r="Q1231" s="0" t="s">
        <v>26</v>
      </c>
      <c r="R1231" s="0" t="s">
        <v>26</v>
      </c>
      <c r="S1231" s="0" t="s">
        <v>21</v>
      </c>
      <c r="T1231" s="0" t="s">
        <v>104</v>
      </c>
      <c r="W1231" s="0" t="s">
        <v>183</v>
      </c>
      <c r="AB1231" s="0" t="s">
        <v>2741</v>
      </c>
    </row>
    <row r="1232" customFormat="false" ht="15" hidden="false" customHeight="false" outlineLevel="0" collapsed="false">
      <c r="A1232" s="0" t="s">
        <v>21</v>
      </c>
      <c r="B1232" s="0" t="s">
        <v>4199</v>
      </c>
      <c r="C1232" s="0" t="s">
        <v>771</v>
      </c>
      <c r="D1232" s="0" t="s">
        <v>4200</v>
      </c>
      <c r="E1232" s="0" t="s">
        <v>4201</v>
      </c>
      <c r="M1232" s="0" t="s">
        <v>136</v>
      </c>
      <c r="N1232" s="0" t="s">
        <v>124</v>
      </c>
      <c r="P1232" s="0" t="s">
        <v>102</v>
      </c>
      <c r="Q1232" s="0" t="s">
        <v>102</v>
      </c>
      <c r="R1232" s="0" t="s">
        <v>131</v>
      </c>
      <c r="S1232" s="0" t="s">
        <v>21</v>
      </c>
      <c r="T1232" s="0" t="s">
        <v>104</v>
      </c>
      <c r="W1232" s="0" t="s">
        <v>105</v>
      </c>
    </row>
    <row r="1233" customFormat="false" ht="15" hidden="false" customHeight="false" outlineLevel="0" collapsed="false">
      <c r="A1233" s="0" t="s">
        <v>21</v>
      </c>
      <c r="B1233" s="0" t="s">
        <v>4199</v>
      </c>
      <c r="C1233" s="0" t="s">
        <v>771</v>
      </c>
      <c r="D1233" s="0" t="s">
        <v>4200</v>
      </c>
      <c r="E1233" s="0" t="s">
        <v>4201</v>
      </c>
      <c r="M1233" s="0" t="s">
        <v>136</v>
      </c>
      <c r="N1233" s="0" t="s">
        <v>124</v>
      </c>
      <c r="P1233" s="0" t="s">
        <v>26</v>
      </c>
      <c r="Q1233" s="0" t="s">
        <v>26</v>
      </c>
      <c r="R1233" s="0" t="s">
        <v>26</v>
      </c>
      <c r="S1233" s="0" t="s">
        <v>21</v>
      </c>
      <c r="T1233" s="0" t="s">
        <v>104</v>
      </c>
      <c r="W1233" s="0" t="s">
        <v>183</v>
      </c>
    </row>
    <row r="1234" customFormat="false" ht="15" hidden="false" customHeight="false" outlineLevel="0" collapsed="false">
      <c r="A1234" s="0" t="s">
        <v>21</v>
      </c>
      <c r="B1234" s="0" t="s">
        <v>4202</v>
      </c>
      <c r="C1234" s="0" t="s">
        <v>771</v>
      </c>
      <c r="D1234" s="0" t="s">
        <v>4203</v>
      </c>
      <c r="E1234" s="0" t="s">
        <v>4203</v>
      </c>
      <c r="M1234" s="0" t="s">
        <v>156</v>
      </c>
      <c r="N1234" s="0" t="s">
        <v>124</v>
      </c>
      <c r="P1234" s="0" t="s">
        <v>102</v>
      </c>
      <c r="Q1234" s="0" t="s">
        <v>102</v>
      </c>
      <c r="R1234" s="0" t="s">
        <v>3947</v>
      </c>
      <c r="S1234" s="0" t="s">
        <v>21</v>
      </c>
      <c r="T1234" s="0" t="s">
        <v>104</v>
      </c>
      <c r="W1234" s="0" t="s">
        <v>105</v>
      </c>
      <c r="AB1234" s="0" t="s">
        <v>209</v>
      </c>
    </row>
    <row r="1235" customFormat="false" ht="15" hidden="false" customHeight="false" outlineLevel="0" collapsed="false">
      <c r="A1235" s="0" t="s">
        <v>21</v>
      </c>
      <c r="B1235" s="0" t="s">
        <v>4202</v>
      </c>
      <c r="C1235" s="0" t="s">
        <v>771</v>
      </c>
      <c r="D1235" s="0" t="s">
        <v>4203</v>
      </c>
      <c r="E1235" s="0" t="s">
        <v>4203</v>
      </c>
      <c r="M1235" s="0" t="s">
        <v>156</v>
      </c>
      <c r="N1235" s="0" t="s">
        <v>124</v>
      </c>
      <c r="P1235" s="0" t="s">
        <v>26</v>
      </c>
      <c r="Q1235" s="0" t="s">
        <v>26</v>
      </c>
      <c r="R1235" s="0" t="s">
        <v>26</v>
      </c>
      <c r="S1235" s="0" t="s">
        <v>21</v>
      </c>
      <c r="T1235" s="0" t="s">
        <v>104</v>
      </c>
      <c r="W1235" s="0" t="s">
        <v>183</v>
      </c>
      <c r="AB1235" s="0" t="s">
        <v>209</v>
      </c>
    </row>
    <row r="1236" customFormat="false" ht="15" hidden="false" customHeight="false" outlineLevel="0" collapsed="false">
      <c r="A1236" s="0" t="s">
        <v>21</v>
      </c>
      <c r="B1236" s="0" t="s">
        <v>4204</v>
      </c>
      <c r="C1236" s="0" t="s">
        <v>190</v>
      </c>
      <c r="D1236" s="0" t="s">
        <v>4205</v>
      </c>
      <c r="H1236" s="0" t="s">
        <v>4206</v>
      </c>
      <c r="I1236" s="0" t="s">
        <v>4207</v>
      </c>
      <c r="J1236" s="0" t="s">
        <v>218</v>
      </c>
      <c r="K1236" s="0" t="s">
        <v>4208</v>
      </c>
      <c r="M1236" s="0" t="s">
        <v>220</v>
      </c>
      <c r="N1236" s="0" t="s">
        <v>124</v>
      </c>
      <c r="P1236" s="0" t="s">
        <v>204</v>
      </c>
      <c r="Q1236" s="0" t="s">
        <v>204</v>
      </c>
      <c r="R1236" s="0" t="s">
        <v>657</v>
      </c>
      <c r="S1236" s="0" t="s">
        <v>21</v>
      </c>
      <c r="T1236" s="0" t="s">
        <v>104</v>
      </c>
      <c r="W1236" s="0" t="s">
        <v>105</v>
      </c>
      <c r="Z1236" s="0" t="s">
        <v>159</v>
      </c>
    </row>
    <row r="1237" customFormat="false" ht="15" hidden="false" customHeight="false" outlineLevel="0" collapsed="false">
      <c r="A1237" s="0" t="s">
        <v>21</v>
      </c>
      <c r="B1237" s="0" t="s">
        <v>4209</v>
      </c>
      <c r="C1237" s="0" t="s">
        <v>190</v>
      </c>
      <c r="H1237" s="0" t="s">
        <v>4210</v>
      </c>
      <c r="I1237" s="0" t="s">
        <v>851</v>
      </c>
      <c r="J1237" s="0" t="s">
        <v>157</v>
      </c>
      <c r="K1237" s="0" t="s">
        <v>852</v>
      </c>
      <c r="M1237" s="0" t="s">
        <v>232</v>
      </c>
      <c r="N1237" s="0" t="s">
        <v>124</v>
      </c>
      <c r="P1237" s="0" t="s">
        <v>204</v>
      </c>
      <c r="Q1237" s="0" t="s">
        <v>204</v>
      </c>
      <c r="R1237" s="0" t="s">
        <v>657</v>
      </c>
      <c r="S1237" s="0" t="s">
        <v>21</v>
      </c>
      <c r="T1237" s="0" t="s">
        <v>104</v>
      </c>
      <c r="W1237" s="0" t="s">
        <v>105</v>
      </c>
      <c r="Z1237" s="0" t="s">
        <v>159</v>
      </c>
    </row>
    <row r="1238" customFormat="false" ht="15" hidden="false" customHeight="false" outlineLevel="0" collapsed="false">
      <c r="A1238" s="0" t="s">
        <v>21</v>
      </c>
      <c r="B1238" s="0" t="s">
        <v>4211</v>
      </c>
      <c r="C1238" s="0" t="s">
        <v>190</v>
      </c>
      <c r="H1238" s="0" t="s">
        <v>4212</v>
      </c>
      <c r="I1238" s="0" t="s">
        <v>4213</v>
      </c>
      <c r="J1238" s="0" t="s">
        <v>245</v>
      </c>
      <c r="K1238" s="0" t="s">
        <v>4214</v>
      </c>
      <c r="M1238" s="0" t="s">
        <v>247</v>
      </c>
      <c r="N1238" s="0" t="s">
        <v>124</v>
      </c>
      <c r="P1238" s="0" t="s">
        <v>204</v>
      </c>
      <c r="Q1238" s="0" t="s">
        <v>204</v>
      </c>
      <c r="R1238" s="0" t="s">
        <v>657</v>
      </c>
      <c r="S1238" s="0" t="s">
        <v>21</v>
      </c>
      <c r="T1238" s="0" t="s">
        <v>104</v>
      </c>
      <c r="W1238" s="0" t="s">
        <v>105</v>
      </c>
      <c r="Z1238" s="0" t="s">
        <v>159</v>
      </c>
    </row>
    <row r="1239" customFormat="false" ht="15" hidden="false" customHeight="false" outlineLevel="0" collapsed="false">
      <c r="A1239" s="0" t="s">
        <v>21</v>
      </c>
      <c r="B1239" s="0" t="s">
        <v>4215</v>
      </c>
      <c r="C1239" s="0" t="s">
        <v>190</v>
      </c>
      <c r="H1239" s="0" t="s">
        <v>4216</v>
      </c>
      <c r="I1239" s="0" t="s">
        <v>4217</v>
      </c>
      <c r="J1239" s="0" t="s">
        <v>254</v>
      </c>
      <c r="K1239" s="0" t="s">
        <v>287</v>
      </c>
      <c r="M1239" s="0" t="s">
        <v>208</v>
      </c>
      <c r="N1239" s="0" t="s">
        <v>124</v>
      </c>
      <c r="P1239" s="0" t="s">
        <v>130</v>
      </c>
      <c r="Q1239" s="0" t="s">
        <v>130</v>
      </c>
      <c r="R1239" s="0" t="s">
        <v>144</v>
      </c>
      <c r="S1239" s="0" t="s">
        <v>21</v>
      </c>
      <c r="T1239" s="0" t="s">
        <v>104</v>
      </c>
      <c r="W1239" s="0" t="s">
        <v>105</v>
      </c>
      <c r="Z1239" s="0" t="s">
        <v>159</v>
      </c>
    </row>
    <row r="1240" customFormat="false" ht="15" hidden="false" customHeight="false" outlineLevel="0" collapsed="false">
      <c r="A1240" s="0" t="s">
        <v>21</v>
      </c>
      <c r="B1240" s="0" t="s">
        <v>4218</v>
      </c>
      <c r="C1240" s="0" t="s">
        <v>190</v>
      </c>
      <c r="H1240" s="0" t="s">
        <v>4219</v>
      </c>
      <c r="I1240" s="0" t="s">
        <v>921</v>
      </c>
      <c r="J1240" s="0" t="s">
        <v>254</v>
      </c>
      <c r="K1240" s="0" t="s">
        <v>922</v>
      </c>
      <c r="M1240" s="0" t="s">
        <v>208</v>
      </c>
      <c r="N1240" s="0" t="s">
        <v>124</v>
      </c>
      <c r="P1240" s="0" t="s">
        <v>204</v>
      </c>
      <c r="Q1240" s="0" t="s">
        <v>204</v>
      </c>
      <c r="R1240" s="0" t="s">
        <v>657</v>
      </c>
      <c r="S1240" s="0" t="s">
        <v>21</v>
      </c>
      <c r="T1240" s="0" t="s">
        <v>104</v>
      </c>
      <c r="W1240" s="0" t="s">
        <v>105</v>
      </c>
      <c r="Z1240" s="0" t="s">
        <v>159</v>
      </c>
    </row>
    <row r="1241" customFormat="false" ht="15" hidden="false" customHeight="false" outlineLevel="0" collapsed="false">
      <c r="A1241" s="0" t="s">
        <v>21</v>
      </c>
      <c r="B1241" s="0" t="s">
        <v>4220</v>
      </c>
      <c r="C1241" s="0" t="s">
        <v>190</v>
      </c>
      <c r="H1241" s="0" t="s">
        <v>4221</v>
      </c>
      <c r="I1241" s="0" t="s">
        <v>4222</v>
      </c>
      <c r="J1241" s="0" t="s">
        <v>214</v>
      </c>
      <c r="K1241" s="0" t="s">
        <v>4223</v>
      </c>
      <c r="M1241" s="0" t="s">
        <v>143</v>
      </c>
      <c r="N1241" s="0" t="s">
        <v>124</v>
      </c>
      <c r="P1241" s="0" t="s">
        <v>204</v>
      </c>
      <c r="Q1241" s="0" t="s">
        <v>204</v>
      </c>
      <c r="R1241" s="0" t="s">
        <v>657</v>
      </c>
      <c r="S1241" s="0" t="s">
        <v>21</v>
      </c>
      <c r="T1241" s="0" t="s">
        <v>104</v>
      </c>
      <c r="W1241" s="0" t="s">
        <v>105</v>
      </c>
      <c r="Z1241" s="0" t="s">
        <v>159</v>
      </c>
    </row>
    <row r="1242" customFormat="false" ht="15" hidden="false" customHeight="false" outlineLevel="0" collapsed="false">
      <c r="A1242" s="0" t="s">
        <v>21</v>
      </c>
      <c r="B1242" s="0" t="s">
        <v>4224</v>
      </c>
      <c r="C1242" s="0" t="s">
        <v>190</v>
      </c>
      <c r="H1242" s="0" t="s">
        <v>4225</v>
      </c>
      <c r="I1242" s="0" t="s">
        <v>4226</v>
      </c>
      <c r="J1242" s="0" t="s">
        <v>275</v>
      </c>
      <c r="K1242" s="0" t="s">
        <v>4227</v>
      </c>
      <c r="M1242" s="0" t="s">
        <v>178</v>
      </c>
      <c r="N1242" s="0" t="s">
        <v>124</v>
      </c>
      <c r="P1242" s="0" t="s">
        <v>204</v>
      </c>
      <c r="Q1242" s="0" t="s">
        <v>204</v>
      </c>
      <c r="R1242" s="0" t="s">
        <v>657</v>
      </c>
      <c r="S1242" s="0" t="s">
        <v>21</v>
      </c>
      <c r="T1242" s="0" t="s">
        <v>104</v>
      </c>
      <c r="W1242" s="0" t="s">
        <v>105</v>
      </c>
      <c r="Z1242" s="0" t="s">
        <v>159</v>
      </c>
    </row>
    <row r="1243" customFormat="false" ht="15" hidden="false" customHeight="false" outlineLevel="0" collapsed="false">
      <c r="A1243" s="0" t="s">
        <v>21</v>
      </c>
      <c r="B1243" s="0" t="s">
        <v>4228</v>
      </c>
      <c r="C1243" s="0" t="s">
        <v>190</v>
      </c>
      <c r="H1243" s="0" t="s">
        <v>4229</v>
      </c>
      <c r="I1243" s="0" t="s">
        <v>334</v>
      </c>
      <c r="J1243" s="0" t="s">
        <v>254</v>
      </c>
      <c r="K1243" s="0" t="s">
        <v>335</v>
      </c>
      <c r="M1243" s="0" t="s">
        <v>208</v>
      </c>
      <c r="N1243" s="0" t="s">
        <v>124</v>
      </c>
      <c r="P1243" s="0" t="s">
        <v>204</v>
      </c>
      <c r="Q1243" s="0" t="s">
        <v>204</v>
      </c>
      <c r="R1243" s="0" t="s">
        <v>657</v>
      </c>
      <c r="S1243" s="0" t="s">
        <v>21</v>
      </c>
      <c r="T1243" s="0" t="s">
        <v>104</v>
      </c>
      <c r="W1243" s="0" t="s">
        <v>105</v>
      </c>
      <c r="Z1243" s="0" t="s">
        <v>159</v>
      </c>
    </row>
    <row r="1244" customFormat="false" ht="15" hidden="false" customHeight="false" outlineLevel="0" collapsed="false">
      <c r="A1244" s="0" t="s">
        <v>21</v>
      </c>
      <c r="B1244" s="0" t="s">
        <v>4230</v>
      </c>
      <c r="C1244" s="0" t="s">
        <v>4231</v>
      </c>
      <c r="G1244" s="0" t="s">
        <v>4232</v>
      </c>
      <c r="H1244" s="0" t="s">
        <v>4233</v>
      </c>
      <c r="I1244" s="0" t="s">
        <v>4234</v>
      </c>
      <c r="J1244" s="0" t="s">
        <v>208</v>
      </c>
      <c r="K1244" s="0" t="s">
        <v>4235</v>
      </c>
      <c r="L1244" s="0" t="s">
        <v>124</v>
      </c>
      <c r="M1244" s="0" t="s">
        <v>208</v>
      </c>
      <c r="N1244" s="0" t="s">
        <v>124</v>
      </c>
      <c r="P1244" s="0" t="s">
        <v>204</v>
      </c>
      <c r="Q1244" s="0" t="s">
        <v>204</v>
      </c>
      <c r="R1244" s="0" t="s">
        <v>657</v>
      </c>
      <c r="S1244" s="0" t="s">
        <v>21</v>
      </c>
      <c r="T1244" s="0" t="s">
        <v>104</v>
      </c>
      <c r="W1244" s="0" t="s">
        <v>105</v>
      </c>
      <c r="AB1244" s="0" t="s">
        <v>4236</v>
      </c>
    </row>
    <row r="1245" customFormat="false" ht="15" hidden="false" customHeight="false" outlineLevel="0" collapsed="false">
      <c r="A1245" s="0" t="s">
        <v>21</v>
      </c>
      <c r="B1245" s="0" t="s">
        <v>4237</v>
      </c>
      <c r="C1245" s="0" t="s">
        <v>97</v>
      </c>
      <c r="E1245" s="0" t="s">
        <v>4238</v>
      </c>
      <c r="F1245" s="0" t="s">
        <v>576</v>
      </c>
      <c r="G1245" s="0" t="s">
        <v>4239</v>
      </c>
      <c r="H1245" s="0" t="s">
        <v>4240</v>
      </c>
      <c r="I1245" s="0" t="s">
        <v>4241</v>
      </c>
      <c r="J1245" s="0" t="s">
        <v>247</v>
      </c>
      <c r="K1245" s="0" t="s">
        <v>4242</v>
      </c>
      <c r="L1245" s="0" t="s">
        <v>124</v>
      </c>
      <c r="M1245" s="0" t="s">
        <v>247</v>
      </c>
      <c r="N1245" s="0" t="s">
        <v>124</v>
      </c>
      <c r="P1245" s="0" t="s">
        <v>204</v>
      </c>
      <c r="Q1245" s="0" t="s">
        <v>204</v>
      </c>
      <c r="R1245" s="0" t="s">
        <v>103</v>
      </c>
      <c r="S1245" s="0" t="s">
        <v>21</v>
      </c>
      <c r="T1245" s="0" t="s">
        <v>104</v>
      </c>
      <c r="W1245" s="0" t="s">
        <v>105</v>
      </c>
      <c r="X1245" s="0" t="s">
        <v>4243</v>
      </c>
      <c r="Y1245" s="0" t="s">
        <v>4244</v>
      </c>
      <c r="Z1245" s="0" t="s">
        <v>1047</v>
      </c>
      <c r="AB1245" s="0" t="s">
        <v>351</v>
      </c>
    </row>
    <row r="1246" customFormat="false" ht="15" hidden="false" customHeight="false" outlineLevel="0" collapsed="false">
      <c r="A1246" s="0" t="s">
        <v>21</v>
      </c>
      <c r="B1246" s="0" t="s">
        <v>4245</v>
      </c>
      <c r="C1246" s="0" t="s">
        <v>97</v>
      </c>
      <c r="E1246" s="0" t="s">
        <v>4246</v>
      </c>
      <c r="F1246" s="0" t="s">
        <v>382</v>
      </c>
      <c r="G1246" s="0" t="s">
        <v>4247</v>
      </c>
      <c r="H1246" s="0" t="s">
        <v>4248</v>
      </c>
      <c r="I1246" s="0" t="s">
        <v>4249</v>
      </c>
      <c r="J1246" s="0" t="s">
        <v>208</v>
      </c>
      <c r="K1246" s="0" t="s">
        <v>4250</v>
      </c>
      <c r="L1246" s="0" t="s">
        <v>124</v>
      </c>
      <c r="M1246" s="0" t="s">
        <v>208</v>
      </c>
      <c r="N1246" s="0" t="s">
        <v>124</v>
      </c>
      <c r="P1246" s="0" t="s">
        <v>1044</v>
      </c>
      <c r="Q1246" s="0" t="s">
        <v>1044</v>
      </c>
      <c r="R1246" s="0" t="s">
        <v>103</v>
      </c>
      <c r="S1246" s="0" t="s">
        <v>21</v>
      </c>
      <c r="T1246" s="0" t="s">
        <v>104</v>
      </c>
      <c r="W1246" s="0" t="s">
        <v>105</v>
      </c>
      <c r="X1246" s="0" t="s">
        <v>4251</v>
      </c>
      <c r="Y1246" s="0" t="s">
        <v>4252</v>
      </c>
      <c r="Z1246" s="0" t="s">
        <v>1047</v>
      </c>
      <c r="AB1246" s="0" t="s">
        <v>351</v>
      </c>
    </row>
    <row r="1247" customFormat="false" ht="15" hidden="false" customHeight="false" outlineLevel="0" collapsed="false">
      <c r="A1247" s="0" t="s">
        <v>21</v>
      </c>
      <c r="B1247" s="0" t="s">
        <v>4253</v>
      </c>
      <c r="C1247" s="0" t="s">
        <v>97</v>
      </c>
      <c r="E1247" s="0" t="s">
        <v>4254</v>
      </c>
      <c r="F1247" s="0" t="s">
        <v>4255</v>
      </c>
      <c r="G1247" s="0" t="s">
        <v>4256</v>
      </c>
      <c r="H1247" s="0" t="s">
        <v>4257</v>
      </c>
      <c r="I1247" s="0" t="s">
        <v>1043</v>
      </c>
      <c r="J1247" s="0" t="s">
        <v>247</v>
      </c>
      <c r="K1247" s="0" t="s">
        <v>579</v>
      </c>
      <c r="L1247" s="0" t="s">
        <v>124</v>
      </c>
      <c r="M1247" s="0" t="s">
        <v>247</v>
      </c>
      <c r="N1247" s="0" t="s">
        <v>124</v>
      </c>
      <c r="P1247" s="0" t="s">
        <v>204</v>
      </c>
      <c r="Q1247" s="0" t="s">
        <v>204</v>
      </c>
      <c r="R1247" s="0" t="s">
        <v>103</v>
      </c>
      <c r="S1247" s="0" t="s">
        <v>21</v>
      </c>
      <c r="T1247" s="0" t="s">
        <v>104</v>
      </c>
      <c r="W1247" s="0" t="s">
        <v>105</v>
      </c>
      <c r="X1247" s="0" t="s">
        <v>4258</v>
      </c>
      <c r="Y1247" s="0" t="s">
        <v>4259</v>
      </c>
      <c r="Z1247" s="0" t="s">
        <v>1047</v>
      </c>
      <c r="AB1247" s="0" t="s">
        <v>351</v>
      </c>
    </row>
    <row r="1248" customFormat="false" ht="15" hidden="false" customHeight="false" outlineLevel="0" collapsed="false">
      <c r="A1248" s="0" t="s">
        <v>21</v>
      </c>
      <c r="B1248" s="0" t="s">
        <v>4260</v>
      </c>
      <c r="C1248" s="0" t="s">
        <v>139</v>
      </c>
      <c r="D1248" s="0" t="s">
        <v>4261</v>
      </c>
      <c r="E1248" s="0" t="s">
        <v>4262</v>
      </c>
      <c r="M1248" s="0" t="s">
        <v>4263</v>
      </c>
      <c r="N1248" s="0" t="s">
        <v>124</v>
      </c>
      <c r="P1248" s="0" t="s">
        <v>102</v>
      </c>
      <c r="Q1248" s="0" t="s">
        <v>102</v>
      </c>
      <c r="R1248" s="0" t="s">
        <v>113</v>
      </c>
      <c r="S1248" s="0" t="s">
        <v>21</v>
      </c>
      <c r="T1248" s="0" t="s">
        <v>104</v>
      </c>
      <c r="W1248" s="0" t="s">
        <v>105</v>
      </c>
      <c r="AB1248" s="0" t="s">
        <v>760</v>
      </c>
    </row>
    <row r="1249" customFormat="false" ht="15" hidden="false" customHeight="false" outlineLevel="0" collapsed="false">
      <c r="A1249" s="0" t="s">
        <v>21</v>
      </c>
      <c r="B1249" s="0" t="s">
        <v>4264</v>
      </c>
      <c r="C1249" s="0" t="s">
        <v>110</v>
      </c>
      <c r="D1249" s="0" t="s">
        <v>4265</v>
      </c>
      <c r="E1249" s="0" t="s">
        <v>4265</v>
      </c>
      <c r="G1249" s="0" t="s">
        <v>4266</v>
      </c>
      <c r="H1249" s="0" t="s">
        <v>4267</v>
      </c>
      <c r="I1249" s="0" t="s">
        <v>4268</v>
      </c>
      <c r="J1249" s="0" t="s">
        <v>157</v>
      </c>
      <c r="K1249" s="0" t="s">
        <v>4269</v>
      </c>
      <c r="L1249" s="0" t="s">
        <v>124</v>
      </c>
      <c r="M1249" s="0" t="s">
        <v>232</v>
      </c>
      <c r="N1249" s="0" t="s">
        <v>124</v>
      </c>
      <c r="P1249" s="0" t="s">
        <v>102</v>
      </c>
      <c r="Q1249" s="0" t="s">
        <v>102</v>
      </c>
      <c r="R1249" s="0" t="s">
        <v>113</v>
      </c>
      <c r="S1249" s="0" t="s">
        <v>21</v>
      </c>
      <c r="T1249" s="0" t="s">
        <v>104</v>
      </c>
      <c r="W1249" s="0" t="s">
        <v>105</v>
      </c>
      <c r="X1249" s="0" t="s">
        <v>4270</v>
      </c>
      <c r="Y1249" s="0" t="s">
        <v>4271</v>
      </c>
      <c r="Z1249" s="0" t="s">
        <v>134</v>
      </c>
      <c r="AB1249" s="0" t="s">
        <v>235</v>
      </c>
    </row>
    <row r="1250" customFormat="false" ht="15" hidden="false" customHeight="false" outlineLevel="0" collapsed="false">
      <c r="A1250" s="0" t="s">
        <v>21</v>
      </c>
      <c r="B1250" s="0" t="s">
        <v>4264</v>
      </c>
      <c r="C1250" s="0" t="s">
        <v>110</v>
      </c>
      <c r="D1250" s="0" t="s">
        <v>4265</v>
      </c>
      <c r="E1250" s="0" t="s">
        <v>4265</v>
      </c>
      <c r="G1250" s="0" t="s">
        <v>4266</v>
      </c>
      <c r="H1250" s="0" t="s">
        <v>4267</v>
      </c>
      <c r="I1250" s="0" t="s">
        <v>4268</v>
      </c>
      <c r="J1250" s="0" t="s">
        <v>157</v>
      </c>
      <c r="K1250" s="0" t="s">
        <v>4269</v>
      </c>
      <c r="L1250" s="0" t="s">
        <v>124</v>
      </c>
      <c r="M1250" s="0" t="s">
        <v>232</v>
      </c>
      <c r="N1250" s="0" t="s">
        <v>124</v>
      </c>
      <c r="P1250" s="0" t="s">
        <v>4272</v>
      </c>
      <c r="Q1250" s="0" t="s">
        <v>4273</v>
      </c>
      <c r="R1250" s="0" t="s">
        <v>4274</v>
      </c>
      <c r="S1250" s="0" t="s">
        <v>21</v>
      </c>
      <c r="T1250" s="0" t="s">
        <v>104</v>
      </c>
      <c r="W1250" s="0" t="s">
        <v>183</v>
      </c>
      <c r="X1250" s="0" t="s">
        <v>4270</v>
      </c>
      <c r="Y1250" s="0" t="s">
        <v>4271</v>
      </c>
      <c r="Z1250" s="0" t="s">
        <v>134</v>
      </c>
      <c r="AB1250" s="0" t="s">
        <v>235</v>
      </c>
    </row>
    <row r="1251" customFormat="false" ht="15" hidden="false" customHeight="false" outlineLevel="0" collapsed="false">
      <c r="A1251" s="0" t="s">
        <v>21</v>
      </c>
      <c r="B1251" s="0" t="s">
        <v>4275</v>
      </c>
      <c r="C1251" s="0" t="s">
        <v>97</v>
      </c>
      <c r="D1251" s="0" t="s">
        <v>4276</v>
      </c>
      <c r="E1251" s="0" t="s">
        <v>4277</v>
      </c>
      <c r="G1251" s="0" t="s">
        <v>213</v>
      </c>
      <c r="H1251" s="0" t="s">
        <v>218</v>
      </c>
      <c r="I1251" s="0" t="s">
        <v>4278</v>
      </c>
      <c r="J1251" s="0" t="s">
        <v>218</v>
      </c>
      <c r="L1251" s="0" t="s">
        <v>124</v>
      </c>
      <c r="M1251" s="0" t="s">
        <v>220</v>
      </c>
      <c r="N1251" s="0" t="s">
        <v>124</v>
      </c>
      <c r="P1251" s="0" t="s">
        <v>204</v>
      </c>
      <c r="Q1251" s="0" t="s">
        <v>204</v>
      </c>
      <c r="R1251" s="0" t="s">
        <v>137</v>
      </c>
      <c r="S1251" s="0" t="s">
        <v>21</v>
      </c>
      <c r="T1251" s="0" t="s">
        <v>104</v>
      </c>
      <c r="W1251" s="0" t="s">
        <v>105</v>
      </c>
      <c r="Z1251" s="0" t="s">
        <v>215</v>
      </c>
    </row>
    <row r="1252" customFormat="false" ht="15" hidden="false" customHeight="false" outlineLevel="0" collapsed="false">
      <c r="A1252" s="0" t="s">
        <v>21</v>
      </c>
      <c r="B1252" s="0" t="s">
        <v>4279</v>
      </c>
      <c r="C1252" s="0" t="s">
        <v>4280</v>
      </c>
      <c r="D1252" s="0" t="s">
        <v>4281</v>
      </c>
      <c r="E1252" s="0" t="s">
        <v>4282</v>
      </c>
      <c r="M1252" s="0" t="s">
        <v>220</v>
      </c>
      <c r="N1252" s="0" t="s">
        <v>124</v>
      </c>
      <c r="P1252" s="0" t="s">
        <v>102</v>
      </c>
      <c r="Q1252" s="0" t="s">
        <v>102</v>
      </c>
      <c r="R1252" s="0" t="s">
        <v>131</v>
      </c>
      <c r="S1252" s="0" t="s">
        <v>21</v>
      </c>
      <c r="T1252" s="0" t="s">
        <v>104</v>
      </c>
      <c r="W1252" s="0" t="s">
        <v>105</v>
      </c>
      <c r="AB1252" s="0" t="s">
        <v>3726</v>
      </c>
    </row>
    <row r="1253" customFormat="false" ht="15" hidden="false" customHeight="false" outlineLevel="0" collapsed="false">
      <c r="A1253" s="0" t="s">
        <v>21</v>
      </c>
      <c r="B1253" s="0" t="s">
        <v>4283</v>
      </c>
      <c r="C1253" s="0" t="s">
        <v>110</v>
      </c>
      <c r="D1253" s="0" t="s">
        <v>2345</v>
      </c>
      <c r="E1253" s="0" t="s">
        <v>2345</v>
      </c>
      <c r="H1253" s="0" t="s">
        <v>4284</v>
      </c>
      <c r="I1253" s="0" t="s">
        <v>4285</v>
      </c>
      <c r="J1253" s="0" t="s">
        <v>218</v>
      </c>
      <c r="K1253" s="0" t="s">
        <v>1255</v>
      </c>
      <c r="L1253" s="0" t="s">
        <v>124</v>
      </c>
      <c r="M1253" s="0" t="s">
        <v>219</v>
      </c>
      <c r="N1253" s="0" t="s">
        <v>124</v>
      </c>
      <c r="P1253" s="0" t="s">
        <v>221</v>
      </c>
      <c r="Q1253" s="0" t="s">
        <v>221</v>
      </c>
      <c r="R1253" s="0" t="s">
        <v>221</v>
      </c>
      <c r="S1253" s="0" t="s">
        <v>21</v>
      </c>
      <c r="T1253" s="0" t="s">
        <v>104</v>
      </c>
      <c r="W1253" s="0" t="s">
        <v>183</v>
      </c>
      <c r="X1253" s="0" t="s">
        <v>4286</v>
      </c>
      <c r="Y1253" s="0" t="s">
        <v>4287</v>
      </c>
      <c r="Z1253" s="0" t="s">
        <v>134</v>
      </c>
      <c r="AB1253" s="0" t="s">
        <v>4288</v>
      </c>
    </row>
    <row r="1254" customFormat="false" ht="15" hidden="false" customHeight="false" outlineLevel="0" collapsed="false">
      <c r="A1254" s="0" t="s">
        <v>21</v>
      </c>
      <c r="B1254" s="0" t="s">
        <v>4283</v>
      </c>
      <c r="C1254" s="0" t="s">
        <v>110</v>
      </c>
      <c r="D1254" s="0" t="s">
        <v>2345</v>
      </c>
      <c r="E1254" s="0" t="s">
        <v>2345</v>
      </c>
      <c r="H1254" s="0" t="s">
        <v>4284</v>
      </c>
      <c r="I1254" s="0" t="s">
        <v>4285</v>
      </c>
      <c r="J1254" s="0" t="s">
        <v>218</v>
      </c>
      <c r="K1254" s="0" t="s">
        <v>1255</v>
      </c>
      <c r="L1254" s="0" t="s">
        <v>124</v>
      </c>
      <c r="M1254" s="0" t="s">
        <v>219</v>
      </c>
      <c r="N1254" s="0" t="s">
        <v>124</v>
      </c>
      <c r="P1254" s="0" t="s">
        <v>102</v>
      </c>
      <c r="Q1254" s="0" t="s">
        <v>102</v>
      </c>
      <c r="R1254" s="0" t="s">
        <v>224</v>
      </c>
      <c r="S1254" s="0" t="s">
        <v>21</v>
      </c>
      <c r="T1254" s="0" t="s">
        <v>104</v>
      </c>
      <c r="V1254" s="0" t="s">
        <v>225</v>
      </c>
      <c r="W1254" s="0" t="s">
        <v>105</v>
      </c>
      <c r="X1254" s="0" t="s">
        <v>4286</v>
      </c>
      <c r="Y1254" s="0" t="s">
        <v>4287</v>
      </c>
      <c r="Z1254" s="0" t="s">
        <v>134</v>
      </c>
      <c r="AB1254" s="0" t="s">
        <v>4288</v>
      </c>
    </row>
    <row r="1255" customFormat="false" ht="15" hidden="false" customHeight="false" outlineLevel="0" collapsed="false">
      <c r="A1255" s="0" t="s">
        <v>21</v>
      </c>
      <c r="B1255" s="0" t="s">
        <v>4283</v>
      </c>
      <c r="C1255" s="0" t="s">
        <v>110</v>
      </c>
      <c r="D1255" s="0" t="s">
        <v>2345</v>
      </c>
      <c r="E1255" s="0" t="s">
        <v>2345</v>
      </c>
      <c r="H1255" s="0" t="s">
        <v>4284</v>
      </c>
      <c r="I1255" s="0" t="s">
        <v>4285</v>
      </c>
      <c r="J1255" s="0" t="s">
        <v>218</v>
      </c>
      <c r="K1255" s="0" t="s">
        <v>1255</v>
      </c>
      <c r="L1255" s="0" t="s">
        <v>124</v>
      </c>
      <c r="M1255" s="0" t="s">
        <v>219</v>
      </c>
      <c r="N1255" s="0" t="s">
        <v>124</v>
      </c>
      <c r="P1255" s="0" t="s">
        <v>130</v>
      </c>
      <c r="Q1255" s="0" t="s">
        <v>130</v>
      </c>
      <c r="R1255" s="0" t="s">
        <v>226</v>
      </c>
      <c r="S1255" s="0" t="s">
        <v>21</v>
      </c>
      <c r="T1255" s="0" t="s">
        <v>104</v>
      </c>
      <c r="U1255" s="0" t="s">
        <v>227</v>
      </c>
      <c r="W1255" s="0" t="s">
        <v>105</v>
      </c>
      <c r="X1255" s="0" t="s">
        <v>4286</v>
      </c>
      <c r="Y1255" s="0" t="s">
        <v>4287</v>
      </c>
      <c r="Z1255" s="0" t="s">
        <v>134</v>
      </c>
      <c r="AB1255" s="0" t="s">
        <v>4288</v>
      </c>
    </row>
    <row r="1256" customFormat="false" ht="15" hidden="false" customHeight="false" outlineLevel="0" collapsed="false">
      <c r="A1256" s="0" t="s">
        <v>21</v>
      </c>
      <c r="B1256" s="0" t="s">
        <v>4289</v>
      </c>
      <c r="C1256" s="0" t="s">
        <v>97</v>
      </c>
      <c r="E1256" s="0" t="s">
        <v>4290</v>
      </c>
      <c r="H1256" s="0" t="s">
        <v>4291</v>
      </c>
      <c r="I1256" s="0" t="s">
        <v>4292</v>
      </c>
      <c r="J1256" s="0" t="s">
        <v>247</v>
      </c>
      <c r="K1256" s="0" t="s">
        <v>4293</v>
      </c>
      <c r="L1256" s="0" t="s">
        <v>124</v>
      </c>
      <c r="M1256" s="0" t="s">
        <v>247</v>
      </c>
      <c r="N1256" s="0" t="s">
        <v>124</v>
      </c>
      <c r="P1256" s="0" t="s">
        <v>204</v>
      </c>
      <c r="Q1256" s="0" t="s">
        <v>204</v>
      </c>
      <c r="R1256" s="0" t="s">
        <v>399</v>
      </c>
      <c r="S1256" s="0" t="s">
        <v>21</v>
      </c>
      <c r="T1256" s="0" t="s">
        <v>104</v>
      </c>
      <c r="W1256" s="0" t="s">
        <v>105</v>
      </c>
      <c r="AB1256" s="0" t="s">
        <v>351</v>
      </c>
    </row>
    <row r="1257" customFormat="false" ht="15" hidden="false" customHeight="false" outlineLevel="0" collapsed="false">
      <c r="A1257" s="0" t="s">
        <v>21</v>
      </c>
      <c r="B1257" s="0" t="s">
        <v>4294</v>
      </c>
      <c r="C1257" s="0" t="s">
        <v>4295</v>
      </c>
      <c r="E1257" s="0" t="s">
        <v>4296</v>
      </c>
      <c r="G1257" s="0" t="s">
        <v>4297</v>
      </c>
      <c r="M1257" s="0" t="s">
        <v>208</v>
      </c>
      <c r="N1257" s="0" t="s">
        <v>124</v>
      </c>
      <c r="P1257" s="0" t="s">
        <v>346</v>
      </c>
      <c r="Q1257" s="0" t="s">
        <v>346</v>
      </c>
      <c r="R1257" s="0" t="s">
        <v>347</v>
      </c>
      <c r="S1257" s="0" t="s">
        <v>21</v>
      </c>
      <c r="T1257" s="0" t="s">
        <v>104</v>
      </c>
      <c r="W1257" s="0" t="s">
        <v>105</v>
      </c>
      <c r="Z1257" s="0" t="s">
        <v>3699</v>
      </c>
    </row>
    <row r="1258" customFormat="false" ht="15" hidden="false" customHeight="false" outlineLevel="0" collapsed="false">
      <c r="A1258" s="0" t="s">
        <v>21</v>
      </c>
      <c r="B1258" s="0" t="s">
        <v>4298</v>
      </c>
      <c r="C1258" s="0" t="s">
        <v>661</v>
      </c>
      <c r="D1258" s="0" t="s">
        <v>4299</v>
      </c>
      <c r="E1258" s="0" t="s">
        <v>4300</v>
      </c>
      <c r="G1258" s="0" t="s">
        <v>4301</v>
      </c>
      <c r="M1258" s="0" t="s">
        <v>247</v>
      </c>
      <c r="N1258" s="0" t="s">
        <v>124</v>
      </c>
      <c r="P1258" s="0" t="s">
        <v>102</v>
      </c>
      <c r="Q1258" s="0" t="s">
        <v>102</v>
      </c>
      <c r="R1258" s="0" t="s">
        <v>131</v>
      </c>
      <c r="S1258" s="0" t="s">
        <v>21</v>
      </c>
      <c r="T1258" s="0" t="s">
        <v>104</v>
      </c>
      <c r="V1258" s="0" t="s">
        <v>760</v>
      </c>
      <c r="W1258" s="0" t="s">
        <v>105</v>
      </c>
    </row>
    <row r="1259" customFormat="false" ht="15" hidden="false" customHeight="false" outlineLevel="0" collapsed="false">
      <c r="A1259" s="0" t="s">
        <v>21</v>
      </c>
      <c r="B1259" s="0" t="s">
        <v>4298</v>
      </c>
      <c r="C1259" s="0" t="s">
        <v>661</v>
      </c>
      <c r="D1259" s="0" t="s">
        <v>4299</v>
      </c>
      <c r="E1259" s="0" t="s">
        <v>4300</v>
      </c>
      <c r="G1259" s="0" t="s">
        <v>4301</v>
      </c>
      <c r="M1259" s="0" t="s">
        <v>247</v>
      </c>
      <c r="N1259" s="0" t="s">
        <v>124</v>
      </c>
      <c r="P1259" s="0" t="s">
        <v>130</v>
      </c>
      <c r="Q1259" s="0" t="s">
        <v>130</v>
      </c>
      <c r="R1259" s="0" t="s">
        <v>131</v>
      </c>
      <c r="S1259" s="0" t="s">
        <v>21</v>
      </c>
      <c r="T1259" s="0" t="s">
        <v>104</v>
      </c>
      <c r="U1259" s="0" t="s">
        <v>3993</v>
      </c>
      <c r="W1259" s="0" t="s">
        <v>105</v>
      </c>
    </row>
    <row r="1260" customFormat="false" ht="15" hidden="false" customHeight="false" outlineLevel="0" collapsed="false">
      <c r="A1260" s="0" t="s">
        <v>21</v>
      </c>
      <c r="B1260" s="0" t="s">
        <v>4302</v>
      </c>
      <c r="C1260" s="0" t="s">
        <v>661</v>
      </c>
      <c r="D1260" s="0" t="s">
        <v>4303</v>
      </c>
      <c r="E1260" s="0" t="s">
        <v>4303</v>
      </c>
      <c r="F1260" s="0" t="s">
        <v>4304</v>
      </c>
      <c r="H1260" s="0" t="s">
        <v>4305</v>
      </c>
      <c r="I1260" s="0" t="s">
        <v>4306</v>
      </c>
      <c r="J1260" s="0" t="s">
        <v>254</v>
      </c>
      <c r="K1260" s="0" t="s">
        <v>4307</v>
      </c>
      <c r="M1260" s="0" t="s">
        <v>208</v>
      </c>
      <c r="N1260" s="0" t="s">
        <v>124</v>
      </c>
      <c r="P1260" s="0" t="s">
        <v>102</v>
      </c>
      <c r="Q1260" s="0" t="s">
        <v>102</v>
      </c>
      <c r="R1260" s="0" t="s">
        <v>131</v>
      </c>
      <c r="S1260" s="0" t="s">
        <v>21</v>
      </c>
      <c r="T1260" s="0" t="s">
        <v>104</v>
      </c>
      <c r="W1260" s="0" t="s">
        <v>105</v>
      </c>
      <c r="X1260" s="0" t="s">
        <v>4308</v>
      </c>
      <c r="Y1260" s="0" t="s">
        <v>4309</v>
      </c>
      <c r="Z1260" s="0" t="s">
        <v>134</v>
      </c>
      <c r="AB1260" s="0" t="s">
        <v>4310</v>
      </c>
    </row>
    <row r="1261" customFormat="false" ht="15" hidden="false" customHeight="false" outlineLevel="0" collapsed="false">
      <c r="A1261" s="0" t="s">
        <v>21</v>
      </c>
      <c r="B1261" s="0" t="s">
        <v>4311</v>
      </c>
      <c r="C1261" s="0" t="s">
        <v>174</v>
      </c>
      <c r="D1261" s="0" t="s">
        <v>1994</v>
      </c>
      <c r="E1261" s="0" t="s">
        <v>4312</v>
      </c>
      <c r="G1261" s="0" t="s">
        <v>4313</v>
      </c>
      <c r="M1261" s="0" t="s">
        <v>178</v>
      </c>
      <c r="N1261" s="0" t="s">
        <v>124</v>
      </c>
      <c r="P1261" s="0" t="s">
        <v>102</v>
      </c>
      <c r="Q1261" s="0" t="s">
        <v>102</v>
      </c>
      <c r="R1261" s="0" t="s">
        <v>131</v>
      </c>
      <c r="S1261" s="0" t="s">
        <v>21</v>
      </c>
      <c r="T1261" s="0" t="s">
        <v>104</v>
      </c>
      <c r="W1261" s="0" t="s">
        <v>105</v>
      </c>
      <c r="X1261" s="0" t="s">
        <v>4314</v>
      </c>
      <c r="Y1261" s="0" t="s">
        <v>4315</v>
      </c>
      <c r="Z1261" s="0" t="s">
        <v>134</v>
      </c>
      <c r="AB1261" s="0" t="s">
        <v>209</v>
      </c>
    </row>
    <row r="1262" customFormat="false" ht="15" hidden="false" customHeight="false" outlineLevel="0" collapsed="false">
      <c r="A1262" s="0" t="s">
        <v>21</v>
      </c>
      <c r="B1262" s="0" t="s">
        <v>4316</v>
      </c>
      <c r="C1262" s="0" t="s">
        <v>395</v>
      </c>
      <c r="E1262" s="0" t="s">
        <v>1023</v>
      </c>
      <c r="G1262" s="0" t="s">
        <v>4317</v>
      </c>
      <c r="M1262" s="0" t="s">
        <v>208</v>
      </c>
      <c r="N1262" s="0" t="s">
        <v>124</v>
      </c>
      <c r="P1262" s="0" t="s">
        <v>130</v>
      </c>
      <c r="Q1262" s="0" t="s">
        <v>130</v>
      </c>
      <c r="R1262" s="0" t="s">
        <v>467</v>
      </c>
      <c r="S1262" s="0" t="s">
        <v>21</v>
      </c>
      <c r="T1262" s="0" t="s">
        <v>104</v>
      </c>
      <c r="W1262" s="0" t="s">
        <v>105</v>
      </c>
      <c r="AB1262" s="0" t="s">
        <v>209</v>
      </c>
    </row>
    <row r="1263" customFormat="false" ht="15" hidden="false" customHeight="false" outlineLevel="0" collapsed="false">
      <c r="A1263" s="0" t="s">
        <v>21</v>
      </c>
      <c r="B1263" s="0" t="s">
        <v>4318</v>
      </c>
      <c r="C1263" s="0" t="s">
        <v>4319</v>
      </c>
      <c r="D1263" s="0" t="s">
        <v>4320</v>
      </c>
      <c r="E1263" s="0" t="s">
        <v>4321</v>
      </c>
      <c r="M1263" s="0" t="s">
        <v>232</v>
      </c>
      <c r="N1263" s="0" t="s">
        <v>124</v>
      </c>
      <c r="P1263" s="0" t="s">
        <v>102</v>
      </c>
      <c r="Q1263" s="0" t="s">
        <v>102</v>
      </c>
      <c r="R1263" s="0" t="s">
        <v>144</v>
      </c>
      <c r="S1263" s="0" t="s">
        <v>21</v>
      </c>
      <c r="T1263" s="0" t="s">
        <v>104</v>
      </c>
      <c r="W1263" s="0" t="s">
        <v>105</v>
      </c>
      <c r="Z1263" s="0" t="s">
        <v>171</v>
      </c>
    </row>
    <row r="1264" customFormat="false" ht="15" hidden="false" customHeight="false" outlineLevel="0" collapsed="false">
      <c r="A1264" s="0" t="s">
        <v>21</v>
      </c>
      <c r="B1264" s="0" t="s">
        <v>4322</v>
      </c>
      <c r="C1264" s="0" t="s">
        <v>674</v>
      </c>
      <c r="D1264" s="0" t="s">
        <v>4323</v>
      </c>
      <c r="E1264" s="0" t="s">
        <v>4324</v>
      </c>
      <c r="G1264" s="0" t="s">
        <v>4325</v>
      </c>
      <c r="H1264" s="0" t="s">
        <v>4326</v>
      </c>
      <c r="I1264" s="0" t="s">
        <v>4327</v>
      </c>
      <c r="J1264" s="0" t="s">
        <v>157</v>
      </c>
      <c r="K1264" s="0" t="s">
        <v>4328</v>
      </c>
      <c r="L1264" s="0" t="s">
        <v>124</v>
      </c>
      <c r="M1264" s="0" t="s">
        <v>390</v>
      </c>
      <c r="N1264" s="0" t="s">
        <v>124</v>
      </c>
      <c r="P1264" s="0" t="s">
        <v>102</v>
      </c>
      <c r="Q1264" s="0" t="s">
        <v>102</v>
      </c>
      <c r="R1264" s="0" t="s">
        <v>113</v>
      </c>
      <c r="S1264" s="0" t="s">
        <v>21</v>
      </c>
      <c r="T1264" s="0" t="s">
        <v>104</v>
      </c>
      <c r="W1264" s="0" t="s">
        <v>105</v>
      </c>
      <c r="X1264" s="0" t="s">
        <v>4329</v>
      </c>
      <c r="Y1264" s="0" t="s">
        <v>4330</v>
      </c>
      <c r="Z1264" s="0" t="s">
        <v>134</v>
      </c>
    </row>
    <row r="1265" customFormat="false" ht="15" hidden="false" customHeight="false" outlineLevel="0" collapsed="false">
      <c r="A1265" s="0" t="s">
        <v>21</v>
      </c>
      <c r="B1265" s="0" t="s">
        <v>4331</v>
      </c>
      <c r="C1265" s="0" t="s">
        <v>97</v>
      </c>
      <c r="D1265" s="0" t="s">
        <v>4332</v>
      </c>
      <c r="E1265" s="0" t="s">
        <v>4333</v>
      </c>
      <c r="F1265" s="0" t="s">
        <v>4334</v>
      </c>
      <c r="G1265" s="0" t="s">
        <v>4335</v>
      </c>
      <c r="H1265" s="0" t="s">
        <v>4336</v>
      </c>
      <c r="J1265" s="0" t="s">
        <v>4337</v>
      </c>
      <c r="L1265" s="0" t="s">
        <v>4337</v>
      </c>
      <c r="M1265" s="0" t="s">
        <v>4338</v>
      </c>
      <c r="N1265" s="0" t="s">
        <v>4337</v>
      </c>
      <c r="P1265" s="0" t="s">
        <v>102</v>
      </c>
      <c r="Q1265" s="0" t="s">
        <v>102</v>
      </c>
      <c r="R1265" s="0" t="s">
        <v>137</v>
      </c>
      <c r="S1265" s="0" t="s">
        <v>21</v>
      </c>
      <c r="T1265" s="0" t="s">
        <v>104</v>
      </c>
      <c r="W1265" s="0" t="s">
        <v>105</v>
      </c>
      <c r="X1265" s="0" t="s">
        <v>4339</v>
      </c>
      <c r="Y1265" s="0" t="s">
        <v>4340</v>
      </c>
      <c r="Z1265" s="0" t="s">
        <v>134</v>
      </c>
    </row>
    <row r="1266" customFormat="false" ht="15" hidden="false" customHeight="false" outlineLevel="0" collapsed="false">
      <c r="A1266" s="0" t="s">
        <v>21</v>
      </c>
      <c r="B1266" s="0" t="s">
        <v>4341</v>
      </c>
      <c r="C1266" s="0" t="s">
        <v>97</v>
      </c>
      <c r="D1266" s="0" t="s">
        <v>4342</v>
      </c>
      <c r="E1266" s="0" t="s">
        <v>4343</v>
      </c>
      <c r="F1266" s="0" t="s">
        <v>4344</v>
      </c>
      <c r="G1266" s="0" t="s">
        <v>4345</v>
      </c>
      <c r="H1266" s="0" t="s">
        <v>4346</v>
      </c>
      <c r="J1266" s="0" t="s">
        <v>3473</v>
      </c>
      <c r="K1266" s="0" t="s">
        <v>4347</v>
      </c>
      <c r="L1266" s="0" t="s">
        <v>3473</v>
      </c>
      <c r="M1266" s="0" t="s">
        <v>4348</v>
      </c>
      <c r="N1266" s="0" t="s">
        <v>3473</v>
      </c>
      <c r="P1266" s="0" t="s">
        <v>204</v>
      </c>
      <c r="Q1266" s="0" t="s">
        <v>204</v>
      </c>
      <c r="R1266" s="0" t="s">
        <v>103</v>
      </c>
      <c r="S1266" s="0" t="s">
        <v>21</v>
      </c>
      <c r="T1266" s="0" t="s">
        <v>104</v>
      </c>
      <c r="W1266" s="0" t="s">
        <v>105</v>
      </c>
      <c r="X1266" s="0" t="s">
        <v>4349</v>
      </c>
      <c r="Y1266" s="0" t="s">
        <v>4350</v>
      </c>
      <c r="Z1266" s="0" t="s">
        <v>195</v>
      </c>
      <c r="AB1266" s="0" t="s">
        <v>351</v>
      </c>
    </row>
    <row r="1267" customFormat="false" ht="15" hidden="false" customHeight="false" outlineLevel="0" collapsed="false">
      <c r="A1267" s="0" t="s">
        <v>21</v>
      </c>
      <c r="B1267" s="0" t="s">
        <v>4351</v>
      </c>
      <c r="C1267" s="0" t="s">
        <v>97</v>
      </c>
      <c r="D1267" s="0" t="s">
        <v>4352</v>
      </c>
      <c r="E1267" s="0" t="s">
        <v>4353</v>
      </c>
      <c r="F1267" s="0" t="s">
        <v>4354</v>
      </c>
      <c r="G1267" s="0" t="s">
        <v>4355</v>
      </c>
      <c r="H1267" s="0" t="s">
        <v>885</v>
      </c>
      <c r="I1267" s="0" t="s">
        <v>886</v>
      </c>
      <c r="J1267" s="0" t="s">
        <v>208</v>
      </c>
      <c r="K1267" s="0" t="s">
        <v>887</v>
      </c>
      <c r="L1267" s="0" t="s">
        <v>124</v>
      </c>
      <c r="M1267" s="0" t="s">
        <v>208</v>
      </c>
      <c r="N1267" s="0" t="s">
        <v>124</v>
      </c>
      <c r="P1267" s="0" t="s">
        <v>204</v>
      </c>
      <c r="Q1267" s="0" t="s">
        <v>204</v>
      </c>
      <c r="R1267" s="0" t="s">
        <v>103</v>
      </c>
      <c r="S1267" s="0" t="s">
        <v>21</v>
      </c>
      <c r="T1267" s="0" t="s">
        <v>104</v>
      </c>
      <c r="W1267" s="0" t="s">
        <v>105</v>
      </c>
      <c r="X1267" s="0" t="s">
        <v>4356</v>
      </c>
      <c r="Y1267" s="0" t="s">
        <v>4357</v>
      </c>
      <c r="Z1267" s="0" t="s">
        <v>195</v>
      </c>
      <c r="AB1267" s="0" t="s">
        <v>351</v>
      </c>
    </row>
    <row r="1268" customFormat="false" ht="28.35" hidden="false" customHeight="false" outlineLevel="0" collapsed="false">
      <c r="A1268" s="0" t="s">
        <v>21</v>
      </c>
      <c r="B1268" s="0" t="s">
        <v>4358</v>
      </c>
      <c r="C1268" s="0" t="s">
        <v>97</v>
      </c>
      <c r="D1268" s="0" t="s">
        <v>4359</v>
      </c>
      <c r="E1268" s="0" t="s">
        <v>4360</v>
      </c>
      <c r="F1268" s="0" t="s">
        <v>4361</v>
      </c>
      <c r="G1268" s="9" t="s">
        <v>4362</v>
      </c>
      <c r="H1268" s="0" t="s">
        <v>4363</v>
      </c>
      <c r="J1268" s="0" t="s">
        <v>3520</v>
      </c>
      <c r="K1268" s="0" t="s">
        <v>4364</v>
      </c>
      <c r="L1268" s="0" t="s">
        <v>3520</v>
      </c>
      <c r="M1268" s="0" t="s">
        <v>4365</v>
      </c>
      <c r="N1268" s="0" t="s">
        <v>3520</v>
      </c>
      <c r="P1268" s="0" t="s">
        <v>1044</v>
      </c>
      <c r="Q1268" s="0" t="s">
        <v>1044</v>
      </c>
      <c r="R1268" s="0" t="s">
        <v>103</v>
      </c>
      <c r="S1268" s="0" t="s">
        <v>21</v>
      </c>
      <c r="T1268" s="0" t="s">
        <v>104</v>
      </c>
      <c r="W1268" s="0" t="s">
        <v>105</v>
      </c>
      <c r="X1268" s="0" t="s">
        <v>4366</v>
      </c>
      <c r="Y1268" s="0" t="s">
        <v>4367</v>
      </c>
      <c r="Z1268" s="0" t="s">
        <v>195</v>
      </c>
    </row>
    <row r="1269" customFormat="false" ht="15" hidden="false" customHeight="false" outlineLevel="0" collapsed="false">
      <c r="A1269" s="0" t="s">
        <v>21</v>
      </c>
      <c r="B1269" s="0" t="s">
        <v>4368</v>
      </c>
      <c r="C1269" s="0" t="s">
        <v>97</v>
      </c>
      <c r="D1269" s="0" t="s">
        <v>4369</v>
      </c>
      <c r="E1269" s="0" t="s">
        <v>4370</v>
      </c>
      <c r="F1269" s="0" t="s">
        <v>4371</v>
      </c>
      <c r="G1269" s="0" t="s">
        <v>4372</v>
      </c>
      <c r="H1269" s="0" t="s">
        <v>4373</v>
      </c>
      <c r="J1269" s="0" t="s">
        <v>4374</v>
      </c>
      <c r="K1269" s="0" t="s">
        <v>4375</v>
      </c>
      <c r="L1269" s="0" t="s">
        <v>4374</v>
      </c>
      <c r="M1269" s="0" t="s">
        <v>4376</v>
      </c>
      <c r="N1269" s="0" t="s">
        <v>4374</v>
      </c>
      <c r="P1269" s="0" t="s">
        <v>204</v>
      </c>
      <c r="Q1269" s="0" t="s">
        <v>204</v>
      </c>
      <c r="R1269" s="0" t="s">
        <v>103</v>
      </c>
      <c r="S1269" s="0" t="s">
        <v>21</v>
      </c>
      <c r="T1269" s="0" t="s">
        <v>104</v>
      </c>
      <c r="W1269" s="0" t="s">
        <v>105</v>
      </c>
      <c r="X1269" s="0" t="s">
        <v>4377</v>
      </c>
      <c r="Y1269" s="0" t="s">
        <v>4378</v>
      </c>
      <c r="Z1269" s="0" t="s">
        <v>195</v>
      </c>
      <c r="AB1269" s="0" t="s">
        <v>351</v>
      </c>
    </row>
    <row r="1270" customFormat="false" ht="15" hidden="false" customHeight="false" outlineLevel="0" collapsed="false">
      <c r="A1270" s="0" t="s">
        <v>21</v>
      </c>
      <c r="B1270" s="0" t="s">
        <v>4379</v>
      </c>
      <c r="C1270" s="0" t="s">
        <v>97</v>
      </c>
      <c r="D1270" s="0" t="s">
        <v>4380</v>
      </c>
      <c r="E1270" s="0" t="s">
        <v>4381</v>
      </c>
      <c r="F1270" s="0" t="s">
        <v>4382</v>
      </c>
      <c r="G1270" s="0" t="s">
        <v>4383</v>
      </c>
      <c r="H1270" s="0" t="s">
        <v>4384</v>
      </c>
      <c r="I1270" s="0" t="s">
        <v>1661</v>
      </c>
      <c r="J1270" s="0" t="s">
        <v>247</v>
      </c>
      <c r="K1270" s="0" t="s">
        <v>1662</v>
      </c>
      <c r="L1270" s="0" t="s">
        <v>124</v>
      </c>
      <c r="M1270" s="0" t="s">
        <v>247</v>
      </c>
      <c r="N1270" s="0" t="s">
        <v>124</v>
      </c>
      <c r="P1270" s="0" t="s">
        <v>204</v>
      </c>
      <c r="Q1270" s="0" t="s">
        <v>204</v>
      </c>
      <c r="R1270" s="0" t="s">
        <v>103</v>
      </c>
      <c r="S1270" s="0" t="s">
        <v>21</v>
      </c>
      <c r="T1270" s="0" t="s">
        <v>104</v>
      </c>
      <c r="W1270" s="0" t="s">
        <v>105</v>
      </c>
      <c r="X1270" s="0" t="s">
        <v>4385</v>
      </c>
      <c r="Y1270" s="0" t="s">
        <v>4386</v>
      </c>
      <c r="Z1270" s="0" t="s">
        <v>195</v>
      </c>
      <c r="AB1270" s="0" t="s">
        <v>351</v>
      </c>
    </row>
    <row r="1271" customFormat="false" ht="15" hidden="false" customHeight="false" outlineLevel="0" collapsed="false">
      <c r="A1271" s="0" t="s">
        <v>21</v>
      </c>
      <c r="B1271" s="0" t="s">
        <v>4387</v>
      </c>
      <c r="C1271" s="0" t="s">
        <v>97</v>
      </c>
      <c r="D1271" s="0" t="s">
        <v>4388</v>
      </c>
      <c r="E1271" s="0" t="s">
        <v>4389</v>
      </c>
      <c r="F1271" s="0" t="s">
        <v>4390</v>
      </c>
      <c r="G1271" s="0" t="s">
        <v>4391</v>
      </c>
      <c r="H1271" s="0" t="s">
        <v>4392</v>
      </c>
      <c r="J1271" s="0" t="s">
        <v>4393</v>
      </c>
      <c r="K1271" s="0" t="s">
        <v>4394</v>
      </c>
      <c r="L1271" s="0" t="s">
        <v>4393</v>
      </c>
      <c r="M1271" s="0" t="s">
        <v>4395</v>
      </c>
      <c r="N1271" s="0" t="s">
        <v>4393</v>
      </c>
      <c r="P1271" s="0" t="s">
        <v>204</v>
      </c>
      <c r="Q1271" s="0" t="s">
        <v>204</v>
      </c>
      <c r="R1271" s="0" t="s">
        <v>103</v>
      </c>
      <c r="S1271" s="0" t="s">
        <v>21</v>
      </c>
      <c r="T1271" s="0" t="s">
        <v>104</v>
      </c>
      <c r="W1271" s="0" t="s">
        <v>105</v>
      </c>
      <c r="X1271" s="0" t="s">
        <v>4396</v>
      </c>
      <c r="Y1271" s="0" t="s">
        <v>4397</v>
      </c>
      <c r="Z1271" s="0" t="s">
        <v>195</v>
      </c>
      <c r="AB1271" s="0" t="s">
        <v>351</v>
      </c>
    </row>
    <row r="1272" customFormat="false" ht="15" hidden="false" customHeight="false" outlineLevel="0" collapsed="false">
      <c r="A1272" s="0" t="s">
        <v>21</v>
      </c>
      <c r="B1272" s="0" t="s">
        <v>4398</v>
      </c>
      <c r="C1272" s="0" t="s">
        <v>97</v>
      </c>
      <c r="E1272" s="0" t="s">
        <v>4399</v>
      </c>
      <c r="I1272" s="0" t="s">
        <v>4400</v>
      </c>
      <c r="J1272" s="0" t="s">
        <v>218</v>
      </c>
      <c r="K1272" s="0" t="s">
        <v>4401</v>
      </c>
      <c r="L1272" s="0" t="s">
        <v>124</v>
      </c>
      <c r="M1272" s="0" t="s">
        <v>220</v>
      </c>
      <c r="N1272" s="0" t="s">
        <v>124</v>
      </c>
      <c r="P1272" s="0" t="s">
        <v>204</v>
      </c>
      <c r="Q1272" s="0" t="s">
        <v>204</v>
      </c>
      <c r="R1272" s="0" t="s">
        <v>131</v>
      </c>
      <c r="S1272" s="0" t="s">
        <v>21</v>
      </c>
      <c r="T1272" s="0" t="s">
        <v>104</v>
      </c>
      <c r="W1272" s="0" t="s">
        <v>105</v>
      </c>
      <c r="X1272" s="0" t="s">
        <v>4402</v>
      </c>
      <c r="Y1272" s="0" t="s">
        <v>4403</v>
      </c>
      <c r="AA1272" s="0" t="s">
        <v>4404</v>
      </c>
      <c r="AB1272" s="0" t="s">
        <v>539</v>
      </c>
    </row>
    <row r="1273" customFormat="false" ht="15" hidden="false" customHeight="false" outlineLevel="0" collapsed="false">
      <c r="A1273" s="0" t="s">
        <v>21</v>
      </c>
      <c r="B1273" s="0" t="s">
        <v>4398</v>
      </c>
      <c r="C1273" s="0" t="s">
        <v>97</v>
      </c>
      <c r="E1273" s="0" t="s">
        <v>4399</v>
      </c>
      <c r="I1273" s="0" t="s">
        <v>4400</v>
      </c>
      <c r="J1273" s="0" t="s">
        <v>218</v>
      </c>
      <c r="K1273" s="0" t="s">
        <v>4401</v>
      </c>
      <c r="L1273" s="0" t="s">
        <v>124</v>
      </c>
      <c r="M1273" s="0" t="s">
        <v>220</v>
      </c>
      <c r="N1273" s="0" t="s">
        <v>124</v>
      </c>
      <c r="P1273" s="0" t="s">
        <v>554</v>
      </c>
      <c r="Q1273" s="0" t="s">
        <v>554</v>
      </c>
      <c r="R1273" s="0" t="s">
        <v>554</v>
      </c>
      <c r="S1273" s="0" t="s">
        <v>21</v>
      </c>
      <c r="T1273" s="0" t="s">
        <v>104</v>
      </c>
      <c r="W1273" s="0" t="s">
        <v>183</v>
      </c>
      <c r="X1273" s="0" t="s">
        <v>4402</v>
      </c>
      <c r="Y1273" s="0" t="s">
        <v>4403</v>
      </c>
      <c r="AA1273" s="0" t="s">
        <v>4404</v>
      </c>
      <c r="AB1273" s="0" t="s">
        <v>539</v>
      </c>
    </row>
    <row r="1274" customFormat="false" ht="15" hidden="false" customHeight="false" outlineLevel="0" collapsed="false">
      <c r="A1274" s="0" t="s">
        <v>21</v>
      </c>
      <c r="B1274" s="0" t="s">
        <v>4405</v>
      </c>
      <c r="C1274" s="0" t="s">
        <v>97</v>
      </c>
      <c r="E1274" s="0" t="s">
        <v>4406</v>
      </c>
      <c r="M1274" s="0" t="s">
        <v>247</v>
      </c>
      <c r="N1274" s="0" t="s">
        <v>124</v>
      </c>
      <c r="P1274" s="0" t="s">
        <v>204</v>
      </c>
      <c r="Q1274" s="0" t="s">
        <v>204</v>
      </c>
      <c r="R1274" s="0" t="s">
        <v>131</v>
      </c>
      <c r="S1274" s="0" t="s">
        <v>21</v>
      </c>
      <c r="T1274" s="0" t="s">
        <v>104</v>
      </c>
      <c r="W1274" s="0" t="s">
        <v>105</v>
      </c>
      <c r="AB1274" s="0" t="s">
        <v>539</v>
      </c>
    </row>
    <row r="1275" customFormat="false" ht="15" hidden="false" customHeight="false" outlineLevel="0" collapsed="false">
      <c r="A1275" s="0" t="s">
        <v>21</v>
      </c>
      <c r="B1275" s="0" t="s">
        <v>4405</v>
      </c>
      <c r="C1275" s="0" t="s">
        <v>97</v>
      </c>
      <c r="E1275" s="0" t="s">
        <v>4406</v>
      </c>
      <c r="M1275" s="0" t="s">
        <v>247</v>
      </c>
      <c r="N1275" s="0" t="s">
        <v>124</v>
      </c>
      <c r="P1275" s="0" t="s">
        <v>554</v>
      </c>
      <c r="Q1275" s="0" t="s">
        <v>554</v>
      </c>
      <c r="R1275" s="0" t="s">
        <v>554</v>
      </c>
      <c r="S1275" s="0" t="s">
        <v>21</v>
      </c>
      <c r="T1275" s="0" t="s">
        <v>104</v>
      </c>
      <c r="W1275" s="0" t="s">
        <v>183</v>
      </c>
      <c r="AB1275" s="0" t="s">
        <v>539</v>
      </c>
    </row>
    <row r="1276" customFormat="false" ht="15" hidden="false" customHeight="false" outlineLevel="0" collapsed="false">
      <c r="A1276" s="0" t="s">
        <v>21</v>
      </c>
      <c r="B1276" s="0" t="s">
        <v>4407</v>
      </c>
      <c r="C1276" s="0" t="s">
        <v>97</v>
      </c>
      <c r="E1276" s="0" t="s">
        <v>1975</v>
      </c>
      <c r="H1276" s="0" t="s">
        <v>4408</v>
      </c>
      <c r="I1276" s="0" t="s">
        <v>4409</v>
      </c>
      <c r="J1276" s="0" t="s">
        <v>157</v>
      </c>
      <c r="K1276" s="0" t="s">
        <v>4410</v>
      </c>
      <c r="L1276" s="0" t="s">
        <v>124</v>
      </c>
      <c r="M1276" s="0" t="s">
        <v>232</v>
      </c>
      <c r="N1276" s="0" t="s">
        <v>124</v>
      </c>
      <c r="P1276" s="0" t="s">
        <v>204</v>
      </c>
      <c r="Q1276" s="0" t="s">
        <v>204</v>
      </c>
      <c r="R1276" s="0" t="s">
        <v>131</v>
      </c>
      <c r="S1276" s="0" t="s">
        <v>21</v>
      </c>
      <c r="T1276" s="0" t="s">
        <v>104</v>
      </c>
      <c r="W1276" s="0" t="s">
        <v>105</v>
      </c>
      <c r="X1276" s="0" t="s">
        <v>4411</v>
      </c>
      <c r="Y1276" s="0" t="s">
        <v>4412</v>
      </c>
      <c r="AB1276" s="0" t="s">
        <v>539</v>
      </c>
    </row>
    <row r="1277" customFormat="false" ht="15" hidden="false" customHeight="false" outlineLevel="0" collapsed="false">
      <c r="A1277" s="0" t="s">
        <v>21</v>
      </c>
      <c r="B1277" s="0" t="s">
        <v>4407</v>
      </c>
      <c r="C1277" s="0" t="s">
        <v>97</v>
      </c>
      <c r="E1277" s="0" t="s">
        <v>1975</v>
      </c>
      <c r="H1277" s="0" t="s">
        <v>4408</v>
      </c>
      <c r="I1277" s="0" t="s">
        <v>4409</v>
      </c>
      <c r="J1277" s="0" t="s">
        <v>157</v>
      </c>
      <c r="K1277" s="0" t="s">
        <v>4410</v>
      </c>
      <c r="L1277" s="0" t="s">
        <v>124</v>
      </c>
      <c r="M1277" s="0" t="s">
        <v>232</v>
      </c>
      <c r="N1277" s="0" t="s">
        <v>124</v>
      </c>
      <c r="P1277" s="0" t="s">
        <v>554</v>
      </c>
      <c r="Q1277" s="0" t="s">
        <v>554</v>
      </c>
      <c r="R1277" s="0" t="s">
        <v>554</v>
      </c>
      <c r="S1277" s="0" t="s">
        <v>21</v>
      </c>
      <c r="T1277" s="0" t="s">
        <v>104</v>
      </c>
      <c r="W1277" s="0" t="s">
        <v>183</v>
      </c>
      <c r="X1277" s="0" t="s">
        <v>4411</v>
      </c>
      <c r="Y1277" s="0" t="s">
        <v>4412</v>
      </c>
      <c r="AB1277" s="0" t="s">
        <v>539</v>
      </c>
    </row>
    <row r="1278" customFormat="false" ht="15" hidden="false" customHeight="false" outlineLevel="0" collapsed="false">
      <c r="A1278" s="0" t="s">
        <v>21</v>
      </c>
      <c r="B1278" s="0" t="s">
        <v>4413</v>
      </c>
      <c r="C1278" s="0" t="s">
        <v>97</v>
      </c>
      <c r="E1278" s="0" t="s">
        <v>4414</v>
      </c>
      <c r="H1278" s="0" t="s">
        <v>4415</v>
      </c>
      <c r="I1278" s="0" t="s">
        <v>4416</v>
      </c>
      <c r="J1278" s="0" t="s">
        <v>157</v>
      </c>
      <c r="K1278" s="0" t="s">
        <v>4417</v>
      </c>
      <c r="L1278" s="0" t="s">
        <v>124</v>
      </c>
      <c r="M1278" s="0" t="s">
        <v>232</v>
      </c>
      <c r="N1278" s="0" t="s">
        <v>124</v>
      </c>
      <c r="P1278" s="0" t="s">
        <v>204</v>
      </c>
      <c r="Q1278" s="0" t="s">
        <v>204</v>
      </c>
      <c r="R1278" s="0" t="s">
        <v>131</v>
      </c>
      <c r="S1278" s="0" t="s">
        <v>21</v>
      </c>
      <c r="T1278" s="0" t="s">
        <v>104</v>
      </c>
      <c r="W1278" s="0" t="s">
        <v>105</v>
      </c>
      <c r="X1278" s="0" t="s">
        <v>4418</v>
      </c>
      <c r="Y1278" s="0" t="s">
        <v>4419</v>
      </c>
      <c r="AB1278" s="0" t="s">
        <v>539</v>
      </c>
    </row>
    <row r="1279" customFormat="false" ht="15" hidden="false" customHeight="false" outlineLevel="0" collapsed="false">
      <c r="A1279" s="0" t="s">
        <v>21</v>
      </c>
      <c r="B1279" s="0" t="s">
        <v>4413</v>
      </c>
      <c r="C1279" s="0" t="s">
        <v>97</v>
      </c>
      <c r="E1279" s="0" t="s">
        <v>4414</v>
      </c>
      <c r="H1279" s="0" t="s">
        <v>4415</v>
      </c>
      <c r="I1279" s="0" t="s">
        <v>4416</v>
      </c>
      <c r="J1279" s="0" t="s">
        <v>157</v>
      </c>
      <c r="K1279" s="0" t="s">
        <v>4417</v>
      </c>
      <c r="L1279" s="0" t="s">
        <v>124</v>
      </c>
      <c r="M1279" s="0" t="s">
        <v>232</v>
      </c>
      <c r="N1279" s="0" t="s">
        <v>124</v>
      </c>
      <c r="P1279" s="0" t="s">
        <v>554</v>
      </c>
      <c r="Q1279" s="0" t="s">
        <v>554</v>
      </c>
      <c r="R1279" s="0" t="s">
        <v>554</v>
      </c>
      <c r="S1279" s="0" t="s">
        <v>21</v>
      </c>
      <c r="T1279" s="0" t="s">
        <v>104</v>
      </c>
      <c r="W1279" s="0" t="s">
        <v>183</v>
      </c>
      <c r="X1279" s="0" t="s">
        <v>4418</v>
      </c>
      <c r="Y1279" s="0" t="s">
        <v>4419</v>
      </c>
      <c r="AB1279" s="0" t="s">
        <v>539</v>
      </c>
    </row>
    <row r="1280" customFormat="false" ht="15" hidden="false" customHeight="false" outlineLevel="0" collapsed="false">
      <c r="A1280" s="0" t="s">
        <v>21</v>
      </c>
      <c r="B1280" s="0" t="s">
        <v>4420</v>
      </c>
      <c r="C1280" s="0" t="s">
        <v>97</v>
      </c>
      <c r="D1280" s="0" t="s">
        <v>4421</v>
      </c>
      <c r="E1280" s="0" t="s">
        <v>4422</v>
      </c>
      <c r="H1280" s="0" t="s">
        <v>4423</v>
      </c>
      <c r="I1280" s="0" t="s">
        <v>4424</v>
      </c>
      <c r="J1280" s="0" t="s">
        <v>245</v>
      </c>
      <c r="K1280" s="0" t="s">
        <v>4425</v>
      </c>
      <c r="L1280" s="0" t="s">
        <v>124</v>
      </c>
      <c r="M1280" s="0" t="s">
        <v>247</v>
      </c>
      <c r="N1280" s="0" t="s">
        <v>124</v>
      </c>
      <c r="P1280" s="0" t="s">
        <v>204</v>
      </c>
      <c r="Q1280" s="0" t="s">
        <v>204</v>
      </c>
      <c r="R1280" s="0" t="s">
        <v>399</v>
      </c>
      <c r="S1280" s="0" t="s">
        <v>21</v>
      </c>
      <c r="T1280" s="0" t="s">
        <v>104</v>
      </c>
      <c r="W1280" s="0" t="s">
        <v>105</v>
      </c>
      <c r="X1280" s="0" t="s">
        <v>4426</v>
      </c>
      <c r="Y1280" s="0" t="s">
        <v>4427</v>
      </c>
      <c r="AB1280" s="0" t="s">
        <v>539</v>
      </c>
    </row>
    <row r="1281" customFormat="false" ht="15" hidden="false" customHeight="false" outlineLevel="0" collapsed="false">
      <c r="A1281" s="0" t="s">
        <v>21</v>
      </c>
      <c r="B1281" s="0" t="s">
        <v>4428</v>
      </c>
      <c r="C1281" s="0" t="s">
        <v>97</v>
      </c>
      <c r="D1281" s="0" t="s">
        <v>4429</v>
      </c>
      <c r="E1281" s="0" t="s">
        <v>4430</v>
      </c>
      <c r="H1281" s="0" t="s">
        <v>4431</v>
      </c>
      <c r="I1281" s="0" t="s">
        <v>4432</v>
      </c>
      <c r="J1281" s="0" t="s">
        <v>245</v>
      </c>
      <c r="K1281" s="0" t="s">
        <v>1090</v>
      </c>
      <c r="L1281" s="0" t="s">
        <v>124</v>
      </c>
      <c r="M1281" s="0" t="s">
        <v>247</v>
      </c>
      <c r="N1281" s="0" t="s">
        <v>124</v>
      </c>
      <c r="P1281" s="0" t="s">
        <v>1044</v>
      </c>
      <c r="Q1281" s="0" t="s">
        <v>1044</v>
      </c>
      <c r="R1281" s="0" t="s">
        <v>103</v>
      </c>
      <c r="S1281" s="0" t="s">
        <v>21</v>
      </c>
      <c r="T1281" s="0" t="s">
        <v>104</v>
      </c>
      <c r="W1281" s="0" t="s">
        <v>105</v>
      </c>
      <c r="X1281" s="0" t="s">
        <v>4433</v>
      </c>
      <c r="Y1281" s="0" t="s">
        <v>4434</v>
      </c>
      <c r="AA1281" s="0" t="s">
        <v>4435</v>
      </c>
      <c r="AB1281" s="0" t="s">
        <v>539</v>
      </c>
    </row>
    <row r="1282" customFormat="false" ht="15" hidden="false" customHeight="false" outlineLevel="0" collapsed="false">
      <c r="A1282" s="0" t="s">
        <v>21</v>
      </c>
      <c r="B1282" s="0" t="s">
        <v>4436</v>
      </c>
      <c r="C1282" s="0" t="s">
        <v>97</v>
      </c>
      <c r="E1282" s="0" t="s">
        <v>4437</v>
      </c>
      <c r="M1282" s="0" t="s">
        <v>247</v>
      </c>
      <c r="N1282" s="0" t="s">
        <v>124</v>
      </c>
      <c r="P1282" s="0" t="s">
        <v>204</v>
      </c>
      <c r="Q1282" s="0" t="s">
        <v>204</v>
      </c>
      <c r="R1282" s="0" t="s">
        <v>131</v>
      </c>
      <c r="S1282" s="0" t="s">
        <v>21</v>
      </c>
      <c r="T1282" s="0" t="s">
        <v>104</v>
      </c>
      <c r="W1282" s="0" t="s">
        <v>105</v>
      </c>
      <c r="AB1282" s="0" t="s">
        <v>539</v>
      </c>
    </row>
    <row r="1283" customFormat="false" ht="15" hidden="false" customHeight="false" outlineLevel="0" collapsed="false">
      <c r="A1283" s="0" t="s">
        <v>21</v>
      </c>
      <c r="B1283" s="0" t="s">
        <v>4436</v>
      </c>
      <c r="C1283" s="0" t="s">
        <v>97</v>
      </c>
      <c r="E1283" s="0" t="s">
        <v>4437</v>
      </c>
      <c r="M1283" s="0" t="s">
        <v>247</v>
      </c>
      <c r="N1283" s="0" t="s">
        <v>124</v>
      </c>
      <c r="P1283" s="0" t="s">
        <v>554</v>
      </c>
      <c r="Q1283" s="0" t="s">
        <v>554</v>
      </c>
      <c r="R1283" s="0" t="s">
        <v>554</v>
      </c>
      <c r="S1283" s="0" t="s">
        <v>21</v>
      </c>
      <c r="T1283" s="0" t="s">
        <v>104</v>
      </c>
      <c r="W1283" s="0" t="s">
        <v>183</v>
      </c>
      <c r="AB1283" s="0" t="s">
        <v>539</v>
      </c>
    </row>
    <row r="1284" customFormat="false" ht="15" hidden="false" customHeight="false" outlineLevel="0" collapsed="false">
      <c r="A1284" s="0" t="s">
        <v>21</v>
      </c>
      <c r="B1284" s="0" t="s">
        <v>4438</v>
      </c>
      <c r="C1284" s="0" t="s">
        <v>97</v>
      </c>
      <c r="E1284" s="0" t="s">
        <v>4439</v>
      </c>
      <c r="H1284" s="0" t="s">
        <v>4440</v>
      </c>
      <c r="I1284" s="0" t="s">
        <v>4441</v>
      </c>
      <c r="J1284" s="0" t="s">
        <v>157</v>
      </c>
      <c r="K1284" s="0" t="s">
        <v>4442</v>
      </c>
      <c r="L1284" s="0" t="s">
        <v>124</v>
      </c>
      <c r="M1284" s="0" t="s">
        <v>232</v>
      </c>
      <c r="N1284" s="0" t="s">
        <v>124</v>
      </c>
      <c r="P1284" s="0" t="s">
        <v>204</v>
      </c>
      <c r="Q1284" s="0" t="s">
        <v>204</v>
      </c>
      <c r="R1284" s="0" t="s">
        <v>131</v>
      </c>
      <c r="S1284" s="0" t="s">
        <v>21</v>
      </c>
      <c r="T1284" s="0" t="s">
        <v>104</v>
      </c>
      <c r="W1284" s="0" t="s">
        <v>105</v>
      </c>
      <c r="X1284" s="0" t="s">
        <v>4443</v>
      </c>
      <c r="Y1284" s="0" t="s">
        <v>4444</v>
      </c>
      <c r="AB1284" s="0" t="s">
        <v>539</v>
      </c>
    </row>
    <row r="1285" customFormat="false" ht="15" hidden="false" customHeight="false" outlineLevel="0" collapsed="false">
      <c r="A1285" s="0" t="s">
        <v>21</v>
      </c>
      <c r="B1285" s="0" t="s">
        <v>4438</v>
      </c>
      <c r="C1285" s="0" t="s">
        <v>97</v>
      </c>
      <c r="E1285" s="0" t="s">
        <v>4439</v>
      </c>
      <c r="H1285" s="0" t="s">
        <v>4440</v>
      </c>
      <c r="I1285" s="0" t="s">
        <v>4441</v>
      </c>
      <c r="J1285" s="0" t="s">
        <v>157</v>
      </c>
      <c r="K1285" s="0" t="s">
        <v>4442</v>
      </c>
      <c r="L1285" s="0" t="s">
        <v>124</v>
      </c>
      <c r="M1285" s="0" t="s">
        <v>232</v>
      </c>
      <c r="N1285" s="0" t="s">
        <v>124</v>
      </c>
      <c r="P1285" s="0" t="s">
        <v>554</v>
      </c>
      <c r="Q1285" s="0" t="s">
        <v>554</v>
      </c>
      <c r="R1285" s="0" t="s">
        <v>554</v>
      </c>
      <c r="S1285" s="0" t="s">
        <v>21</v>
      </c>
      <c r="T1285" s="0" t="s">
        <v>104</v>
      </c>
      <c r="W1285" s="0" t="s">
        <v>183</v>
      </c>
      <c r="X1285" s="0" t="s">
        <v>4443</v>
      </c>
      <c r="Y1285" s="0" t="s">
        <v>4444</v>
      </c>
      <c r="AB1285" s="0" t="s">
        <v>539</v>
      </c>
    </row>
    <row r="1286" customFormat="false" ht="15" hidden="false" customHeight="false" outlineLevel="0" collapsed="false">
      <c r="A1286" s="0" t="s">
        <v>21</v>
      </c>
      <c r="B1286" s="0" t="s">
        <v>4445</v>
      </c>
      <c r="C1286" s="0" t="s">
        <v>97</v>
      </c>
      <c r="E1286" s="0" t="s">
        <v>4446</v>
      </c>
      <c r="H1286" s="0" t="s">
        <v>4447</v>
      </c>
      <c r="I1286" s="0" t="s">
        <v>4448</v>
      </c>
      <c r="J1286" s="0" t="s">
        <v>214</v>
      </c>
      <c r="K1286" s="0" t="s">
        <v>4449</v>
      </c>
      <c r="L1286" s="0" t="s">
        <v>124</v>
      </c>
      <c r="M1286" s="0" t="s">
        <v>143</v>
      </c>
      <c r="N1286" s="0" t="s">
        <v>124</v>
      </c>
      <c r="P1286" s="0" t="s">
        <v>204</v>
      </c>
      <c r="Q1286" s="0" t="s">
        <v>204</v>
      </c>
      <c r="R1286" s="0" t="s">
        <v>131</v>
      </c>
      <c r="S1286" s="0" t="s">
        <v>21</v>
      </c>
      <c r="T1286" s="0" t="s">
        <v>104</v>
      </c>
      <c r="W1286" s="0" t="s">
        <v>105</v>
      </c>
      <c r="X1286" s="0" t="s">
        <v>4450</v>
      </c>
      <c r="Y1286" s="0" t="s">
        <v>4451</v>
      </c>
      <c r="AB1286" s="0" t="s">
        <v>539</v>
      </c>
    </row>
    <row r="1287" customFormat="false" ht="15" hidden="false" customHeight="false" outlineLevel="0" collapsed="false">
      <c r="A1287" s="0" t="s">
        <v>21</v>
      </c>
      <c r="B1287" s="0" t="s">
        <v>4445</v>
      </c>
      <c r="C1287" s="0" t="s">
        <v>97</v>
      </c>
      <c r="E1287" s="0" t="s">
        <v>4446</v>
      </c>
      <c r="H1287" s="0" t="s">
        <v>4447</v>
      </c>
      <c r="I1287" s="0" t="s">
        <v>4448</v>
      </c>
      <c r="J1287" s="0" t="s">
        <v>214</v>
      </c>
      <c r="K1287" s="0" t="s">
        <v>4449</v>
      </c>
      <c r="L1287" s="0" t="s">
        <v>124</v>
      </c>
      <c r="M1287" s="0" t="s">
        <v>143</v>
      </c>
      <c r="N1287" s="0" t="s">
        <v>124</v>
      </c>
      <c r="P1287" s="0" t="s">
        <v>554</v>
      </c>
      <c r="Q1287" s="0" t="s">
        <v>554</v>
      </c>
      <c r="R1287" s="0" t="s">
        <v>554</v>
      </c>
      <c r="S1287" s="0" t="s">
        <v>21</v>
      </c>
      <c r="T1287" s="0" t="s">
        <v>104</v>
      </c>
      <c r="W1287" s="0" t="s">
        <v>183</v>
      </c>
      <c r="X1287" s="0" t="s">
        <v>4450</v>
      </c>
      <c r="Y1287" s="0" t="s">
        <v>4451</v>
      </c>
      <c r="AB1287" s="0" t="s">
        <v>539</v>
      </c>
    </row>
    <row r="1288" customFormat="false" ht="15" hidden="false" customHeight="false" outlineLevel="0" collapsed="false">
      <c r="A1288" s="0" t="s">
        <v>21</v>
      </c>
      <c r="B1288" s="0" t="s">
        <v>4452</v>
      </c>
      <c r="C1288" s="0" t="s">
        <v>97</v>
      </c>
      <c r="E1288" s="0" t="s">
        <v>4453</v>
      </c>
      <c r="H1288" s="0" t="s">
        <v>4454</v>
      </c>
      <c r="I1288" s="0" t="s">
        <v>4455</v>
      </c>
      <c r="J1288" s="0" t="s">
        <v>245</v>
      </c>
      <c r="K1288" s="0" t="s">
        <v>4456</v>
      </c>
      <c r="L1288" s="0" t="s">
        <v>124</v>
      </c>
      <c r="M1288" s="0" t="s">
        <v>247</v>
      </c>
      <c r="N1288" s="0" t="s">
        <v>124</v>
      </c>
      <c r="P1288" s="0" t="s">
        <v>204</v>
      </c>
      <c r="Q1288" s="0" t="s">
        <v>204</v>
      </c>
      <c r="R1288" s="0" t="s">
        <v>131</v>
      </c>
      <c r="S1288" s="0" t="s">
        <v>21</v>
      </c>
      <c r="T1288" s="0" t="s">
        <v>104</v>
      </c>
      <c r="W1288" s="0" t="s">
        <v>105</v>
      </c>
      <c r="X1288" s="0" t="s">
        <v>4457</v>
      </c>
      <c r="Y1288" s="0" t="s">
        <v>4458</v>
      </c>
      <c r="AA1288" s="0" t="s">
        <v>4459</v>
      </c>
      <c r="AB1288" s="0" t="s">
        <v>539</v>
      </c>
    </row>
    <row r="1289" customFormat="false" ht="15" hidden="false" customHeight="false" outlineLevel="0" collapsed="false">
      <c r="A1289" s="0" t="s">
        <v>21</v>
      </c>
      <c r="B1289" s="0" t="s">
        <v>4452</v>
      </c>
      <c r="C1289" s="0" t="s">
        <v>97</v>
      </c>
      <c r="E1289" s="0" t="s">
        <v>4453</v>
      </c>
      <c r="H1289" s="0" t="s">
        <v>4454</v>
      </c>
      <c r="I1289" s="0" t="s">
        <v>4455</v>
      </c>
      <c r="J1289" s="0" t="s">
        <v>245</v>
      </c>
      <c r="K1289" s="0" t="s">
        <v>4456</v>
      </c>
      <c r="L1289" s="0" t="s">
        <v>124</v>
      </c>
      <c r="M1289" s="0" t="s">
        <v>247</v>
      </c>
      <c r="N1289" s="0" t="s">
        <v>124</v>
      </c>
      <c r="P1289" s="0" t="s">
        <v>554</v>
      </c>
      <c r="Q1289" s="0" t="s">
        <v>554</v>
      </c>
      <c r="R1289" s="0" t="s">
        <v>554</v>
      </c>
      <c r="S1289" s="0" t="s">
        <v>21</v>
      </c>
      <c r="T1289" s="0" t="s">
        <v>104</v>
      </c>
      <c r="W1289" s="0" t="s">
        <v>183</v>
      </c>
      <c r="X1289" s="0" t="s">
        <v>4457</v>
      </c>
      <c r="Y1289" s="0" t="s">
        <v>4458</v>
      </c>
      <c r="AA1289" s="0" t="s">
        <v>4459</v>
      </c>
      <c r="AB1289" s="0" t="s">
        <v>539</v>
      </c>
    </row>
    <row r="1290" customFormat="false" ht="15" hidden="false" customHeight="false" outlineLevel="0" collapsed="false">
      <c r="A1290" s="0" t="s">
        <v>21</v>
      </c>
      <c r="B1290" s="0" t="s">
        <v>4460</v>
      </c>
      <c r="C1290" s="0" t="s">
        <v>97</v>
      </c>
      <c r="E1290" s="0" t="s">
        <v>4461</v>
      </c>
      <c r="H1290" s="0" t="s">
        <v>4462</v>
      </c>
      <c r="I1290" s="0" t="s">
        <v>837</v>
      </c>
      <c r="J1290" s="0" t="s">
        <v>254</v>
      </c>
      <c r="K1290" s="0" t="s">
        <v>4463</v>
      </c>
      <c r="M1290" s="0" t="s">
        <v>208</v>
      </c>
      <c r="N1290" s="0" t="s">
        <v>124</v>
      </c>
      <c r="P1290" s="0" t="s">
        <v>130</v>
      </c>
      <c r="Q1290" s="0" t="s">
        <v>130</v>
      </c>
      <c r="R1290" s="0" t="s">
        <v>131</v>
      </c>
      <c r="S1290" s="0" t="s">
        <v>21</v>
      </c>
      <c r="T1290" s="0" t="s">
        <v>104</v>
      </c>
      <c r="W1290" s="0" t="s">
        <v>105</v>
      </c>
      <c r="X1290" s="0" t="s">
        <v>4464</v>
      </c>
      <c r="Y1290" s="0" t="s">
        <v>4465</v>
      </c>
      <c r="AB1290" s="0" t="s">
        <v>539</v>
      </c>
    </row>
    <row r="1291" customFormat="false" ht="15" hidden="false" customHeight="false" outlineLevel="0" collapsed="false">
      <c r="A1291" s="0" t="s">
        <v>21</v>
      </c>
      <c r="B1291" s="0" t="s">
        <v>4466</v>
      </c>
      <c r="C1291" s="0" t="s">
        <v>97</v>
      </c>
      <c r="E1291" s="0" t="s">
        <v>4467</v>
      </c>
      <c r="H1291" s="0" t="s">
        <v>4468</v>
      </c>
      <c r="I1291" s="0" t="s">
        <v>4469</v>
      </c>
      <c r="J1291" s="0" t="s">
        <v>275</v>
      </c>
      <c r="K1291" s="0" t="s">
        <v>751</v>
      </c>
      <c r="L1291" s="0" t="s">
        <v>124</v>
      </c>
      <c r="M1291" s="0" t="s">
        <v>178</v>
      </c>
      <c r="N1291" s="0" t="s">
        <v>124</v>
      </c>
      <c r="P1291" s="0" t="s">
        <v>204</v>
      </c>
      <c r="Q1291" s="0" t="s">
        <v>204</v>
      </c>
      <c r="R1291" s="0" t="s">
        <v>131</v>
      </c>
      <c r="S1291" s="0" t="s">
        <v>21</v>
      </c>
      <c r="T1291" s="0" t="s">
        <v>104</v>
      </c>
      <c r="W1291" s="0" t="s">
        <v>105</v>
      </c>
      <c r="X1291" s="0" t="s">
        <v>4470</v>
      </c>
      <c r="Y1291" s="0" t="s">
        <v>4471</v>
      </c>
      <c r="AB1291" s="0" t="s">
        <v>539</v>
      </c>
    </row>
    <row r="1292" customFormat="false" ht="15" hidden="false" customHeight="false" outlineLevel="0" collapsed="false">
      <c r="A1292" s="0" t="s">
        <v>21</v>
      </c>
      <c r="B1292" s="0" t="s">
        <v>4466</v>
      </c>
      <c r="C1292" s="0" t="s">
        <v>97</v>
      </c>
      <c r="E1292" s="0" t="s">
        <v>4467</v>
      </c>
      <c r="H1292" s="0" t="s">
        <v>4468</v>
      </c>
      <c r="I1292" s="0" t="s">
        <v>4469</v>
      </c>
      <c r="J1292" s="0" t="s">
        <v>275</v>
      </c>
      <c r="K1292" s="0" t="s">
        <v>751</v>
      </c>
      <c r="L1292" s="0" t="s">
        <v>124</v>
      </c>
      <c r="M1292" s="0" t="s">
        <v>178</v>
      </c>
      <c r="N1292" s="0" t="s">
        <v>124</v>
      </c>
      <c r="P1292" s="0" t="s">
        <v>554</v>
      </c>
      <c r="Q1292" s="0" t="s">
        <v>554</v>
      </c>
      <c r="R1292" s="0" t="s">
        <v>554</v>
      </c>
      <c r="S1292" s="0" t="s">
        <v>21</v>
      </c>
      <c r="T1292" s="0" t="s">
        <v>104</v>
      </c>
      <c r="W1292" s="0" t="s">
        <v>183</v>
      </c>
      <c r="X1292" s="0" t="s">
        <v>4470</v>
      </c>
      <c r="Y1292" s="0" t="s">
        <v>4471</v>
      </c>
      <c r="AB1292" s="0" t="s">
        <v>539</v>
      </c>
    </row>
    <row r="1293" customFormat="false" ht="15" hidden="false" customHeight="false" outlineLevel="0" collapsed="false">
      <c r="A1293" s="0" t="s">
        <v>21</v>
      </c>
      <c r="B1293" s="0" t="s">
        <v>4472</v>
      </c>
      <c r="C1293" s="0" t="s">
        <v>97</v>
      </c>
      <c r="E1293" s="0" t="s">
        <v>4473</v>
      </c>
      <c r="H1293" s="0" t="s">
        <v>4474</v>
      </c>
      <c r="I1293" s="0" t="s">
        <v>4475</v>
      </c>
      <c r="J1293" s="0" t="s">
        <v>157</v>
      </c>
      <c r="K1293" s="0" t="s">
        <v>4476</v>
      </c>
      <c r="L1293" s="0" t="s">
        <v>124</v>
      </c>
      <c r="M1293" s="0" t="s">
        <v>232</v>
      </c>
      <c r="N1293" s="0" t="s">
        <v>124</v>
      </c>
      <c r="P1293" s="0" t="s">
        <v>204</v>
      </c>
      <c r="Q1293" s="0" t="s">
        <v>204</v>
      </c>
      <c r="R1293" s="0" t="s">
        <v>131</v>
      </c>
      <c r="S1293" s="0" t="s">
        <v>21</v>
      </c>
      <c r="T1293" s="0" t="s">
        <v>104</v>
      </c>
      <c r="W1293" s="0" t="s">
        <v>105</v>
      </c>
      <c r="X1293" s="0" t="s">
        <v>4477</v>
      </c>
      <c r="Y1293" s="0" t="s">
        <v>4478</v>
      </c>
      <c r="AB1293" s="0" t="s">
        <v>539</v>
      </c>
    </row>
    <row r="1294" customFormat="false" ht="15" hidden="false" customHeight="false" outlineLevel="0" collapsed="false">
      <c r="A1294" s="0" t="s">
        <v>21</v>
      </c>
      <c r="B1294" s="0" t="s">
        <v>4472</v>
      </c>
      <c r="C1294" s="0" t="s">
        <v>97</v>
      </c>
      <c r="E1294" s="0" t="s">
        <v>4473</v>
      </c>
      <c r="H1294" s="0" t="s">
        <v>4474</v>
      </c>
      <c r="I1294" s="0" t="s">
        <v>4475</v>
      </c>
      <c r="J1294" s="0" t="s">
        <v>157</v>
      </c>
      <c r="K1294" s="0" t="s">
        <v>4476</v>
      </c>
      <c r="L1294" s="0" t="s">
        <v>124</v>
      </c>
      <c r="M1294" s="0" t="s">
        <v>232</v>
      </c>
      <c r="N1294" s="0" t="s">
        <v>124</v>
      </c>
      <c r="P1294" s="0" t="s">
        <v>554</v>
      </c>
      <c r="Q1294" s="0" t="s">
        <v>554</v>
      </c>
      <c r="R1294" s="0" t="s">
        <v>554</v>
      </c>
      <c r="S1294" s="0" t="s">
        <v>21</v>
      </c>
      <c r="T1294" s="0" t="s">
        <v>104</v>
      </c>
      <c r="W1294" s="0" t="s">
        <v>183</v>
      </c>
      <c r="X1294" s="0" t="s">
        <v>4477</v>
      </c>
      <c r="Y1294" s="0" t="s">
        <v>4478</v>
      </c>
      <c r="AB1294" s="0" t="s">
        <v>539</v>
      </c>
    </row>
    <row r="1295" customFormat="false" ht="15" hidden="false" customHeight="false" outlineLevel="0" collapsed="false">
      <c r="A1295" s="0" t="s">
        <v>21</v>
      </c>
      <c r="B1295" s="0" t="s">
        <v>4479</v>
      </c>
      <c r="C1295" s="0" t="s">
        <v>97</v>
      </c>
      <c r="E1295" s="0" t="s">
        <v>4480</v>
      </c>
      <c r="H1295" s="0" t="s">
        <v>4481</v>
      </c>
      <c r="I1295" s="0" t="s">
        <v>4482</v>
      </c>
      <c r="J1295" s="0" t="s">
        <v>254</v>
      </c>
      <c r="K1295" s="0" t="s">
        <v>4483</v>
      </c>
      <c r="L1295" s="0" t="s">
        <v>124</v>
      </c>
      <c r="M1295" s="0" t="s">
        <v>208</v>
      </c>
      <c r="N1295" s="0" t="s">
        <v>124</v>
      </c>
      <c r="P1295" s="0" t="s">
        <v>130</v>
      </c>
      <c r="Q1295" s="0" t="s">
        <v>130</v>
      </c>
      <c r="R1295" s="0" t="s">
        <v>131</v>
      </c>
      <c r="S1295" s="0" t="s">
        <v>21</v>
      </c>
      <c r="T1295" s="0" t="s">
        <v>104</v>
      </c>
      <c r="W1295" s="0" t="s">
        <v>105</v>
      </c>
      <c r="X1295" s="0" t="s">
        <v>4484</v>
      </c>
      <c r="Y1295" s="0" t="s">
        <v>4485</v>
      </c>
      <c r="AB1295" s="0" t="s">
        <v>539</v>
      </c>
    </row>
    <row r="1296" customFormat="false" ht="15" hidden="false" customHeight="false" outlineLevel="0" collapsed="false">
      <c r="A1296" s="0" t="s">
        <v>21</v>
      </c>
      <c r="B1296" s="0" t="s">
        <v>4486</v>
      </c>
      <c r="C1296" s="0" t="s">
        <v>97</v>
      </c>
      <c r="E1296" s="0" t="s">
        <v>4487</v>
      </c>
      <c r="H1296" s="0" t="s">
        <v>4488</v>
      </c>
      <c r="I1296" s="0" t="s">
        <v>4489</v>
      </c>
      <c r="J1296" s="0" t="s">
        <v>4490</v>
      </c>
      <c r="M1296" s="0" t="s">
        <v>208</v>
      </c>
      <c r="N1296" s="0" t="s">
        <v>124</v>
      </c>
      <c r="P1296" s="0" t="s">
        <v>204</v>
      </c>
      <c r="Q1296" s="0" t="s">
        <v>204</v>
      </c>
      <c r="R1296" s="0" t="s">
        <v>399</v>
      </c>
      <c r="S1296" s="0" t="s">
        <v>21</v>
      </c>
      <c r="T1296" s="0" t="s">
        <v>104</v>
      </c>
      <c r="W1296" s="0" t="s">
        <v>105</v>
      </c>
      <c r="X1296" s="0" t="s">
        <v>4491</v>
      </c>
      <c r="Y1296" s="0" t="s">
        <v>4492</v>
      </c>
      <c r="AB1296" s="0" t="s">
        <v>539</v>
      </c>
    </row>
    <row r="1297" customFormat="false" ht="15" hidden="false" customHeight="false" outlineLevel="0" collapsed="false">
      <c r="A1297" s="0" t="s">
        <v>21</v>
      </c>
      <c r="B1297" s="0" t="s">
        <v>4493</v>
      </c>
      <c r="C1297" s="0" t="s">
        <v>97</v>
      </c>
      <c r="E1297" s="0" t="s">
        <v>1040</v>
      </c>
      <c r="J1297" s="0" t="s">
        <v>157</v>
      </c>
      <c r="L1297" s="0" t="s">
        <v>124</v>
      </c>
      <c r="M1297" s="0" t="s">
        <v>232</v>
      </c>
      <c r="N1297" s="0" t="s">
        <v>124</v>
      </c>
      <c r="P1297" s="0" t="s">
        <v>204</v>
      </c>
      <c r="Q1297" s="0" t="s">
        <v>204</v>
      </c>
      <c r="R1297" s="0" t="s">
        <v>131</v>
      </c>
      <c r="S1297" s="0" t="s">
        <v>21</v>
      </c>
      <c r="T1297" s="0" t="s">
        <v>104</v>
      </c>
      <c r="W1297" s="0" t="s">
        <v>105</v>
      </c>
      <c r="AB1297" s="0" t="s">
        <v>539</v>
      </c>
    </row>
    <row r="1298" customFormat="false" ht="15" hidden="false" customHeight="false" outlineLevel="0" collapsed="false">
      <c r="A1298" s="0" t="s">
        <v>21</v>
      </c>
      <c r="B1298" s="0" t="s">
        <v>4493</v>
      </c>
      <c r="C1298" s="0" t="s">
        <v>97</v>
      </c>
      <c r="E1298" s="0" t="s">
        <v>1040</v>
      </c>
      <c r="J1298" s="0" t="s">
        <v>157</v>
      </c>
      <c r="L1298" s="0" t="s">
        <v>124</v>
      </c>
      <c r="M1298" s="0" t="s">
        <v>232</v>
      </c>
      <c r="N1298" s="0" t="s">
        <v>124</v>
      </c>
      <c r="P1298" s="0" t="s">
        <v>554</v>
      </c>
      <c r="Q1298" s="0" t="s">
        <v>554</v>
      </c>
      <c r="R1298" s="0" t="s">
        <v>554</v>
      </c>
      <c r="S1298" s="0" t="s">
        <v>21</v>
      </c>
      <c r="T1298" s="0" t="s">
        <v>104</v>
      </c>
      <c r="W1298" s="0" t="s">
        <v>183</v>
      </c>
      <c r="AB1298" s="0" t="s">
        <v>539</v>
      </c>
    </row>
    <row r="1299" customFormat="false" ht="15" hidden="false" customHeight="false" outlineLevel="0" collapsed="false">
      <c r="A1299" s="0" t="s">
        <v>21</v>
      </c>
      <c r="B1299" s="0" t="s">
        <v>4494</v>
      </c>
      <c r="C1299" s="0" t="s">
        <v>97</v>
      </c>
      <c r="E1299" s="0" t="s">
        <v>3484</v>
      </c>
      <c r="J1299" s="0" t="s">
        <v>254</v>
      </c>
      <c r="L1299" s="0" t="s">
        <v>124</v>
      </c>
      <c r="M1299" s="0" t="s">
        <v>208</v>
      </c>
      <c r="N1299" s="0" t="s">
        <v>124</v>
      </c>
      <c r="P1299" s="0" t="s">
        <v>204</v>
      </c>
      <c r="Q1299" s="0" t="s">
        <v>204</v>
      </c>
      <c r="R1299" s="0" t="s">
        <v>131</v>
      </c>
      <c r="S1299" s="0" t="s">
        <v>21</v>
      </c>
      <c r="T1299" s="0" t="s">
        <v>104</v>
      </c>
      <c r="W1299" s="0" t="s">
        <v>105</v>
      </c>
      <c r="AB1299" s="0" t="s">
        <v>539</v>
      </c>
    </row>
    <row r="1300" customFormat="false" ht="15" hidden="false" customHeight="false" outlineLevel="0" collapsed="false">
      <c r="A1300" s="0" t="s">
        <v>21</v>
      </c>
      <c r="B1300" s="0" t="s">
        <v>4494</v>
      </c>
      <c r="C1300" s="0" t="s">
        <v>97</v>
      </c>
      <c r="E1300" s="0" t="s">
        <v>3484</v>
      </c>
      <c r="J1300" s="0" t="s">
        <v>254</v>
      </c>
      <c r="L1300" s="0" t="s">
        <v>124</v>
      </c>
      <c r="M1300" s="0" t="s">
        <v>208</v>
      </c>
      <c r="N1300" s="0" t="s">
        <v>124</v>
      </c>
      <c r="P1300" s="0" t="s">
        <v>554</v>
      </c>
      <c r="Q1300" s="0" t="s">
        <v>554</v>
      </c>
      <c r="R1300" s="0" t="s">
        <v>554</v>
      </c>
      <c r="S1300" s="0" t="s">
        <v>21</v>
      </c>
      <c r="T1300" s="0" t="s">
        <v>104</v>
      </c>
      <c r="W1300" s="0" t="s">
        <v>183</v>
      </c>
      <c r="AB1300" s="0" t="s">
        <v>539</v>
      </c>
    </row>
    <row r="1301" customFormat="false" ht="15" hidden="false" customHeight="false" outlineLevel="0" collapsed="false">
      <c r="A1301" s="0" t="s">
        <v>21</v>
      </c>
      <c r="B1301" s="0" t="s">
        <v>4495</v>
      </c>
      <c r="C1301" s="0" t="s">
        <v>97</v>
      </c>
      <c r="E1301" s="0" t="s">
        <v>4496</v>
      </c>
      <c r="H1301" s="0" t="s">
        <v>4497</v>
      </c>
      <c r="I1301" s="0" t="s">
        <v>4292</v>
      </c>
      <c r="J1301" s="0" t="s">
        <v>245</v>
      </c>
      <c r="K1301" s="0" t="s">
        <v>4293</v>
      </c>
      <c r="L1301" s="0" t="s">
        <v>124</v>
      </c>
      <c r="M1301" s="0" t="s">
        <v>247</v>
      </c>
      <c r="N1301" s="0" t="s">
        <v>124</v>
      </c>
      <c r="P1301" s="0" t="s">
        <v>204</v>
      </c>
      <c r="Q1301" s="0" t="s">
        <v>204</v>
      </c>
      <c r="R1301" s="0" t="s">
        <v>131</v>
      </c>
      <c r="S1301" s="0" t="s">
        <v>21</v>
      </c>
      <c r="T1301" s="0" t="s">
        <v>104</v>
      </c>
      <c r="W1301" s="0" t="s">
        <v>105</v>
      </c>
      <c r="X1301" s="0" t="s">
        <v>4498</v>
      </c>
      <c r="Y1301" s="0" t="s">
        <v>4499</v>
      </c>
      <c r="AB1301" s="0" t="s">
        <v>539</v>
      </c>
    </row>
    <row r="1302" customFormat="false" ht="15" hidden="false" customHeight="false" outlineLevel="0" collapsed="false">
      <c r="A1302" s="0" t="s">
        <v>21</v>
      </c>
      <c r="B1302" s="0" t="s">
        <v>4495</v>
      </c>
      <c r="C1302" s="0" t="s">
        <v>97</v>
      </c>
      <c r="E1302" s="0" t="s">
        <v>4496</v>
      </c>
      <c r="H1302" s="0" t="s">
        <v>4497</v>
      </c>
      <c r="I1302" s="0" t="s">
        <v>4292</v>
      </c>
      <c r="J1302" s="0" t="s">
        <v>245</v>
      </c>
      <c r="K1302" s="0" t="s">
        <v>4293</v>
      </c>
      <c r="L1302" s="0" t="s">
        <v>124</v>
      </c>
      <c r="M1302" s="0" t="s">
        <v>247</v>
      </c>
      <c r="N1302" s="0" t="s">
        <v>124</v>
      </c>
      <c r="P1302" s="0" t="s">
        <v>554</v>
      </c>
      <c r="Q1302" s="0" t="s">
        <v>554</v>
      </c>
      <c r="R1302" s="0" t="s">
        <v>554</v>
      </c>
      <c r="S1302" s="0" t="s">
        <v>21</v>
      </c>
      <c r="T1302" s="0" t="s">
        <v>104</v>
      </c>
      <c r="W1302" s="0" t="s">
        <v>183</v>
      </c>
      <c r="X1302" s="0" t="s">
        <v>4498</v>
      </c>
      <c r="Y1302" s="0" t="s">
        <v>4499</v>
      </c>
      <c r="AB1302" s="0" t="s">
        <v>539</v>
      </c>
    </row>
    <row r="1303" customFormat="false" ht="15" hidden="false" customHeight="false" outlineLevel="0" collapsed="false">
      <c r="A1303" s="0" t="s">
        <v>21</v>
      </c>
      <c r="B1303" s="0" t="s">
        <v>4500</v>
      </c>
      <c r="C1303" s="0" t="s">
        <v>97</v>
      </c>
      <c r="E1303" s="0" t="s">
        <v>4361</v>
      </c>
      <c r="H1303" s="0" t="s">
        <v>4501</v>
      </c>
      <c r="I1303" s="0" t="s">
        <v>4502</v>
      </c>
      <c r="J1303" s="0" t="s">
        <v>218</v>
      </c>
      <c r="K1303" s="0" t="s">
        <v>4503</v>
      </c>
      <c r="L1303" s="0" t="s">
        <v>124</v>
      </c>
      <c r="M1303" s="0" t="s">
        <v>220</v>
      </c>
      <c r="N1303" s="0" t="s">
        <v>124</v>
      </c>
      <c r="P1303" s="0" t="s">
        <v>204</v>
      </c>
      <c r="Q1303" s="0" t="s">
        <v>204</v>
      </c>
      <c r="R1303" s="0" t="s">
        <v>131</v>
      </c>
      <c r="S1303" s="0" t="s">
        <v>21</v>
      </c>
      <c r="T1303" s="0" t="s">
        <v>104</v>
      </c>
      <c r="W1303" s="0" t="s">
        <v>105</v>
      </c>
      <c r="AB1303" s="0" t="s">
        <v>539</v>
      </c>
    </row>
    <row r="1304" customFormat="false" ht="15" hidden="false" customHeight="false" outlineLevel="0" collapsed="false">
      <c r="A1304" s="0" t="s">
        <v>21</v>
      </c>
      <c r="B1304" s="0" t="s">
        <v>4500</v>
      </c>
      <c r="C1304" s="0" t="s">
        <v>97</v>
      </c>
      <c r="E1304" s="0" t="s">
        <v>4361</v>
      </c>
      <c r="H1304" s="0" t="s">
        <v>4501</v>
      </c>
      <c r="I1304" s="0" t="s">
        <v>4502</v>
      </c>
      <c r="J1304" s="0" t="s">
        <v>218</v>
      </c>
      <c r="K1304" s="0" t="s">
        <v>4503</v>
      </c>
      <c r="L1304" s="0" t="s">
        <v>124</v>
      </c>
      <c r="M1304" s="0" t="s">
        <v>220</v>
      </c>
      <c r="N1304" s="0" t="s">
        <v>124</v>
      </c>
      <c r="P1304" s="0" t="s">
        <v>554</v>
      </c>
      <c r="Q1304" s="0" t="s">
        <v>554</v>
      </c>
      <c r="R1304" s="0" t="s">
        <v>554</v>
      </c>
      <c r="S1304" s="0" t="s">
        <v>21</v>
      </c>
      <c r="T1304" s="0" t="s">
        <v>104</v>
      </c>
      <c r="W1304" s="0" t="s">
        <v>183</v>
      </c>
      <c r="AB1304" s="0" t="s">
        <v>539</v>
      </c>
    </row>
    <row r="1305" customFormat="false" ht="15" hidden="false" customHeight="false" outlineLevel="0" collapsed="false">
      <c r="A1305" s="0" t="s">
        <v>21</v>
      </c>
      <c r="B1305" s="0" t="s">
        <v>4504</v>
      </c>
      <c r="C1305" s="0" t="s">
        <v>97</v>
      </c>
      <c r="E1305" s="0" t="s">
        <v>4505</v>
      </c>
      <c r="J1305" s="0" t="s">
        <v>275</v>
      </c>
      <c r="L1305" s="0" t="s">
        <v>124</v>
      </c>
      <c r="M1305" s="0" t="s">
        <v>178</v>
      </c>
      <c r="N1305" s="0" t="s">
        <v>124</v>
      </c>
      <c r="P1305" s="0" t="s">
        <v>204</v>
      </c>
      <c r="Q1305" s="0" t="s">
        <v>204</v>
      </c>
      <c r="R1305" s="0" t="s">
        <v>131</v>
      </c>
      <c r="S1305" s="0" t="s">
        <v>21</v>
      </c>
      <c r="T1305" s="0" t="s">
        <v>104</v>
      </c>
      <c r="W1305" s="0" t="s">
        <v>105</v>
      </c>
      <c r="X1305" s="0" t="s">
        <v>4506</v>
      </c>
      <c r="Y1305" s="0" t="s">
        <v>4507</v>
      </c>
      <c r="AB1305" s="0" t="s">
        <v>539</v>
      </c>
    </row>
    <row r="1306" customFormat="false" ht="15" hidden="false" customHeight="false" outlineLevel="0" collapsed="false">
      <c r="A1306" s="0" t="s">
        <v>21</v>
      </c>
      <c r="B1306" s="0" t="s">
        <v>4504</v>
      </c>
      <c r="C1306" s="0" t="s">
        <v>97</v>
      </c>
      <c r="E1306" s="0" t="s">
        <v>4505</v>
      </c>
      <c r="J1306" s="0" t="s">
        <v>275</v>
      </c>
      <c r="L1306" s="0" t="s">
        <v>124</v>
      </c>
      <c r="M1306" s="0" t="s">
        <v>178</v>
      </c>
      <c r="N1306" s="0" t="s">
        <v>124</v>
      </c>
      <c r="P1306" s="0" t="s">
        <v>554</v>
      </c>
      <c r="Q1306" s="0" t="s">
        <v>554</v>
      </c>
      <c r="R1306" s="0" t="s">
        <v>554</v>
      </c>
      <c r="S1306" s="0" t="s">
        <v>21</v>
      </c>
      <c r="T1306" s="0" t="s">
        <v>104</v>
      </c>
      <c r="W1306" s="0" t="s">
        <v>183</v>
      </c>
      <c r="X1306" s="0" t="s">
        <v>4506</v>
      </c>
      <c r="Y1306" s="0" t="s">
        <v>4507</v>
      </c>
      <c r="AB1306" s="0" t="s">
        <v>539</v>
      </c>
    </row>
    <row r="1307" customFormat="false" ht="15" hidden="false" customHeight="false" outlineLevel="0" collapsed="false">
      <c r="A1307" s="0" t="s">
        <v>21</v>
      </c>
      <c r="B1307" s="0" t="s">
        <v>4508</v>
      </c>
      <c r="C1307" s="0" t="s">
        <v>97</v>
      </c>
      <c r="E1307" s="0" t="s">
        <v>543</v>
      </c>
      <c r="H1307" s="0" t="s">
        <v>4509</v>
      </c>
      <c r="I1307" s="0" t="s">
        <v>4510</v>
      </c>
      <c r="J1307" s="0" t="s">
        <v>1766</v>
      </c>
      <c r="K1307" s="0" t="s">
        <v>4511</v>
      </c>
      <c r="M1307" s="0" t="s">
        <v>178</v>
      </c>
      <c r="N1307" s="0" t="s">
        <v>124</v>
      </c>
      <c r="P1307" s="0" t="s">
        <v>204</v>
      </c>
      <c r="Q1307" s="0" t="s">
        <v>204</v>
      </c>
      <c r="R1307" s="0" t="s">
        <v>131</v>
      </c>
      <c r="S1307" s="0" t="s">
        <v>21</v>
      </c>
      <c r="T1307" s="0" t="s">
        <v>104</v>
      </c>
      <c r="W1307" s="0" t="s">
        <v>105</v>
      </c>
      <c r="AB1307" s="0" t="s">
        <v>539</v>
      </c>
    </row>
    <row r="1308" customFormat="false" ht="15" hidden="false" customHeight="false" outlineLevel="0" collapsed="false">
      <c r="A1308" s="0" t="s">
        <v>21</v>
      </c>
      <c r="B1308" s="0" t="s">
        <v>4508</v>
      </c>
      <c r="C1308" s="0" t="s">
        <v>97</v>
      </c>
      <c r="E1308" s="0" t="s">
        <v>543</v>
      </c>
      <c r="H1308" s="0" t="s">
        <v>4509</v>
      </c>
      <c r="I1308" s="0" t="s">
        <v>4510</v>
      </c>
      <c r="J1308" s="0" t="s">
        <v>1766</v>
      </c>
      <c r="K1308" s="0" t="s">
        <v>4511</v>
      </c>
      <c r="M1308" s="0" t="s">
        <v>178</v>
      </c>
      <c r="N1308" s="0" t="s">
        <v>124</v>
      </c>
      <c r="P1308" s="0" t="s">
        <v>554</v>
      </c>
      <c r="Q1308" s="0" t="s">
        <v>554</v>
      </c>
      <c r="R1308" s="0" t="s">
        <v>554</v>
      </c>
      <c r="S1308" s="0" t="s">
        <v>21</v>
      </c>
      <c r="T1308" s="0" t="s">
        <v>104</v>
      </c>
      <c r="W1308" s="0" t="s">
        <v>183</v>
      </c>
      <c r="AB1308" s="0" t="s">
        <v>539</v>
      </c>
    </row>
    <row r="1309" customFormat="false" ht="15" hidden="false" customHeight="false" outlineLevel="0" collapsed="false">
      <c r="A1309" s="0" t="s">
        <v>21</v>
      </c>
      <c r="B1309" s="0" t="s">
        <v>4512</v>
      </c>
      <c r="C1309" s="0" t="s">
        <v>97</v>
      </c>
      <c r="E1309" s="0" t="s">
        <v>4513</v>
      </c>
      <c r="M1309" s="0" t="s">
        <v>208</v>
      </c>
      <c r="N1309" s="0" t="s">
        <v>124</v>
      </c>
      <c r="P1309" s="0" t="s">
        <v>204</v>
      </c>
      <c r="Q1309" s="0" t="s">
        <v>204</v>
      </c>
      <c r="R1309" s="0" t="s">
        <v>131</v>
      </c>
      <c r="S1309" s="0" t="s">
        <v>21</v>
      </c>
      <c r="T1309" s="0" t="s">
        <v>104</v>
      </c>
      <c r="W1309" s="0" t="s">
        <v>105</v>
      </c>
      <c r="AB1309" s="0" t="s">
        <v>539</v>
      </c>
    </row>
    <row r="1310" customFormat="false" ht="15" hidden="false" customHeight="false" outlineLevel="0" collapsed="false">
      <c r="A1310" s="0" t="s">
        <v>21</v>
      </c>
      <c r="B1310" s="0" t="s">
        <v>4512</v>
      </c>
      <c r="C1310" s="0" t="s">
        <v>97</v>
      </c>
      <c r="E1310" s="0" t="s">
        <v>4513</v>
      </c>
      <c r="M1310" s="0" t="s">
        <v>208</v>
      </c>
      <c r="N1310" s="0" t="s">
        <v>124</v>
      </c>
      <c r="P1310" s="0" t="s">
        <v>554</v>
      </c>
      <c r="Q1310" s="0" t="s">
        <v>554</v>
      </c>
      <c r="R1310" s="0" t="s">
        <v>554</v>
      </c>
      <c r="S1310" s="0" t="s">
        <v>21</v>
      </c>
      <c r="T1310" s="0" t="s">
        <v>104</v>
      </c>
      <c r="W1310" s="0" t="s">
        <v>183</v>
      </c>
      <c r="AB1310" s="0" t="s">
        <v>539</v>
      </c>
    </row>
    <row r="1311" customFormat="false" ht="15" hidden="false" customHeight="false" outlineLevel="0" collapsed="false">
      <c r="A1311" s="0" t="s">
        <v>21</v>
      </c>
      <c r="B1311" s="0" t="s">
        <v>4514</v>
      </c>
      <c r="C1311" s="0" t="s">
        <v>97</v>
      </c>
      <c r="E1311" s="0" t="s">
        <v>4515</v>
      </c>
      <c r="H1311" s="0" t="s">
        <v>4516</v>
      </c>
      <c r="I1311" s="0" t="s">
        <v>4517</v>
      </c>
      <c r="J1311" s="0" t="s">
        <v>275</v>
      </c>
      <c r="K1311" s="0" t="s">
        <v>4518</v>
      </c>
      <c r="L1311" s="0" t="s">
        <v>124</v>
      </c>
      <c r="M1311" s="0" t="s">
        <v>178</v>
      </c>
      <c r="N1311" s="0" t="s">
        <v>124</v>
      </c>
      <c r="P1311" s="0" t="s">
        <v>204</v>
      </c>
      <c r="Q1311" s="0" t="s">
        <v>204</v>
      </c>
      <c r="R1311" s="0" t="s">
        <v>131</v>
      </c>
      <c r="S1311" s="0" t="s">
        <v>21</v>
      </c>
      <c r="T1311" s="0" t="s">
        <v>104</v>
      </c>
      <c r="W1311" s="0" t="s">
        <v>105</v>
      </c>
      <c r="AB1311" s="0" t="s">
        <v>539</v>
      </c>
    </row>
    <row r="1312" customFormat="false" ht="15" hidden="false" customHeight="false" outlineLevel="0" collapsed="false">
      <c r="A1312" s="0" t="s">
        <v>21</v>
      </c>
      <c r="B1312" s="0" t="s">
        <v>4514</v>
      </c>
      <c r="C1312" s="0" t="s">
        <v>97</v>
      </c>
      <c r="E1312" s="0" t="s">
        <v>4515</v>
      </c>
      <c r="H1312" s="0" t="s">
        <v>4516</v>
      </c>
      <c r="I1312" s="0" t="s">
        <v>4517</v>
      </c>
      <c r="J1312" s="0" t="s">
        <v>275</v>
      </c>
      <c r="K1312" s="0" t="s">
        <v>4518</v>
      </c>
      <c r="L1312" s="0" t="s">
        <v>124</v>
      </c>
      <c r="M1312" s="0" t="s">
        <v>178</v>
      </c>
      <c r="N1312" s="0" t="s">
        <v>124</v>
      </c>
      <c r="P1312" s="0" t="s">
        <v>554</v>
      </c>
      <c r="Q1312" s="0" t="s">
        <v>554</v>
      </c>
      <c r="R1312" s="0" t="s">
        <v>554</v>
      </c>
      <c r="S1312" s="0" t="s">
        <v>21</v>
      </c>
      <c r="T1312" s="0" t="s">
        <v>104</v>
      </c>
      <c r="W1312" s="0" t="s">
        <v>183</v>
      </c>
      <c r="AB1312" s="0" t="s">
        <v>539</v>
      </c>
    </row>
    <row r="1313" customFormat="false" ht="15" hidden="false" customHeight="false" outlineLevel="0" collapsed="false">
      <c r="A1313" s="0" t="s">
        <v>21</v>
      </c>
      <c r="B1313" s="0" t="s">
        <v>4519</v>
      </c>
      <c r="C1313" s="0" t="s">
        <v>97</v>
      </c>
      <c r="E1313" s="0" t="s">
        <v>4520</v>
      </c>
      <c r="H1313" s="0" t="s">
        <v>4521</v>
      </c>
      <c r="I1313" s="0" t="s">
        <v>4416</v>
      </c>
      <c r="J1313" s="0" t="s">
        <v>157</v>
      </c>
      <c r="K1313" s="0" t="s">
        <v>4417</v>
      </c>
      <c r="L1313" s="0" t="s">
        <v>124</v>
      </c>
      <c r="M1313" s="0" t="s">
        <v>232</v>
      </c>
      <c r="N1313" s="0" t="s">
        <v>124</v>
      </c>
      <c r="P1313" s="0" t="s">
        <v>204</v>
      </c>
      <c r="Q1313" s="0" t="s">
        <v>204</v>
      </c>
      <c r="R1313" s="0" t="s">
        <v>131</v>
      </c>
      <c r="S1313" s="0" t="s">
        <v>21</v>
      </c>
      <c r="T1313" s="0" t="s">
        <v>104</v>
      </c>
      <c r="W1313" s="0" t="s">
        <v>105</v>
      </c>
      <c r="X1313" s="0" t="s">
        <v>4522</v>
      </c>
      <c r="Y1313" s="0" t="s">
        <v>4523</v>
      </c>
      <c r="AB1313" s="0" t="s">
        <v>539</v>
      </c>
    </row>
    <row r="1314" customFormat="false" ht="15" hidden="false" customHeight="false" outlineLevel="0" collapsed="false">
      <c r="A1314" s="0" t="s">
        <v>21</v>
      </c>
      <c r="B1314" s="0" t="s">
        <v>4519</v>
      </c>
      <c r="C1314" s="0" t="s">
        <v>97</v>
      </c>
      <c r="E1314" s="0" t="s">
        <v>4520</v>
      </c>
      <c r="H1314" s="0" t="s">
        <v>4521</v>
      </c>
      <c r="I1314" s="0" t="s">
        <v>4416</v>
      </c>
      <c r="J1314" s="0" t="s">
        <v>157</v>
      </c>
      <c r="K1314" s="0" t="s">
        <v>4417</v>
      </c>
      <c r="L1314" s="0" t="s">
        <v>124</v>
      </c>
      <c r="M1314" s="0" t="s">
        <v>232</v>
      </c>
      <c r="N1314" s="0" t="s">
        <v>124</v>
      </c>
      <c r="P1314" s="0" t="s">
        <v>554</v>
      </c>
      <c r="Q1314" s="0" t="s">
        <v>554</v>
      </c>
      <c r="R1314" s="0" t="s">
        <v>554</v>
      </c>
      <c r="S1314" s="0" t="s">
        <v>21</v>
      </c>
      <c r="T1314" s="0" t="s">
        <v>104</v>
      </c>
      <c r="W1314" s="0" t="s">
        <v>183</v>
      </c>
      <c r="X1314" s="0" t="s">
        <v>4522</v>
      </c>
      <c r="Y1314" s="0" t="s">
        <v>4523</v>
      </c>
      <c r="AB1314" s="0" t="s">
        <v>539</v>
      </c>
    </row>
    <row r="1315" customFormat="false" ht="15" hidden="false" customHeight="false" outlineLevel="0" collapsed="false">
      <c r="A1315" s="0" t="s">
        <v>21</v>
      </c>
      <c r="B1315" s="0" t="s">
        <v>4524</v>
      </c>
      <c r="C1315" s="0" t="s">
        <v>97</v>
      </c>
      <c r="E1315" s="0" t="s">
        <v>4513</v>
      </c>
      <c r="G1315" s="0" t="s">
        <v>4525</v>
      </c>
      <c r="M1315" s="0" t="s">
        <v>442</v>
      </c>
      <c r="N1315" s="0" t="s">
        <v>101</v>
      </c>
      <c r="P1315" s="0" t="s">
        <v>204</v>
      </c>
      <c r="Q1315" s="0" t="s">
        <v>204</v>
      </c>
      <c r="R1315" s="0" t="s">
        <v>131</v>
      </c>
      <c r="S1315" s="0" t="s">
        <v>21</v>
      </c>
      <c r="T1315" s="0" t="s">
        <v>104</v>
      </c>
      <c r="W1315" s="0" t="s">
        <v>105</v>
      </c>
      <c r="AB1315" s="0" t="s">
        <v>539</v>
      </c>
    </row>
    <row r="1316" customFormat="false" ht="15" hidden="false" customHeight="false" outlineLevel="0" collapsed="false">
      <c r="A1316" s="0" t="s">
        <v>21</v>
      </c>
      <c r="B1316" s="0" t="s">
        <v>4524</v>
      </c>
      <c r="C1316" s="0" t="s">
        <v>97</v>
      </c>
      <c r="E1316" s="0" t="s">
        <v>4513</v>
      </c>
      <c r="G1316" s="0" t="s">
        <v>4525</v>
      </c>
      <c r="M1316" s="0" t="s">
        <v>442</v>
      </c>
      <c r="N1316" s="0" t="s">
        <v>101</v>
      </c>
      <c r="P1316" s="0" t="s">
        <v>554</v>
      </c>
      <c r="Q1316" s="0" t="s">
        <v>554</v>
      </c>
      <c r="R1316" s="0" t="s">
        <v>554</v>
      </c>
      <c r="S1316" s="0" t="s">
        <v>21</v>
      </c>
      <c r="T1316" s="0" t="s">
        <v>104</v>
      </c>
      <c r="W1316" s="0" t="s">
        <v>183</v>
      </c>
      <c r="AB1316" s="0" t="s">
        <v>539</v>
      </c>
    </row>
    <row r="1317" customFormat="false" ht="15" hidden="false" customHeight="false" outlineLevel="0" collapsed="false">
      <c r="A1317" s="0" t="s">
        <v>21</v>
      </c>
      <c r="B1317" s="0" t="s">
        <v>4526</v>
      </c>
      <c r="C1317" s="0" t="s">
        <v>97</v>
      </c>
      <c r="E1317" s="0" t="s">
        <v>4527</v>
      </c>
      <c r="H1317" s="0" t="s">
        <v>4528</v>
      </c>
      <c r="I1317" s="0" t="s">
        <v>4529</v>
      </c>
      <c r="J1317" s="0" t="s">
        <v>254</v>
      </c>
      <c r="K1317" s="0" t="s">
        <v>4530</v>
      </c>
      <c r="L1317" s="0" t="s">
        <v>124</v>
      </c>
      <c r="M1317" s="0" t="s">
        <v>208</v>
      </c>
      <c r="N1317" s="0" t="s">
        <v>124</v>
      </c>
      <c r="P1317" s="0" t="s">
        <v>204</v>
      </c>
      <c r="Q1317" s="0" t="s">
        <v>204</v>
      </c>
      <c r="R1317" s="0" t="s">
        <v>131</v>
      </c>
      <c r="S1317" s="0" t="s">
        <v>21</v>
      </c>
      <c r="T1317" s="0" t="s">
        <v>104</v>
      </c>
      <c r="W1317" s="0" t="s">
        <v>105</v>
      </c>
      <c r="AB1317" s="0" t="s">
        <v>539</v>
      </c>
    </row>
    <row r="1318" customFormat="false" ht="15" hidden="false" customHeight="false" outlineLevel="0" collapsed="false">
      <c r="A1318" s="0" t="s">
        <v>21</v>
      </c>
      <c r="B1318" s="0" t="s">
        <v>4526</v>
      </c>
      <c r="C1318" s="0" t="s">
        <v>97</v>
      </c>
      <c r="E1318" s="0" t="s">
        <v>4527</v>
      </c>
      <c r="H1318" s="0" t="s">
        <v>4528</v>
      </c>
      <c r="I1318" s="0" t="s">
        <v>4529</v>
      </c>
      <c r="J1318" s="0" t="s">
        <v>254</v>
      </c>
      <c r="K1318" s="0" t="s">
        <v>4530</v>
      </c>
      <c r="L1318" s="0" t="s">
        <v>124</v>
      </c>
      <c r="M1318" s="0" t="s">
        <v>208</v>
      </c>
      <c r="N1318" s="0" t="s">
        <v>124</v>
      </c>
      <c r="P1318" s="0" t="s">
        <v>554</v>
      </c>
      <c r="Q1318" s="0" t="s">
        <v>554</v>
      </c>
      <c r="R1318" s="0" t="s">
        <v>554</v>
      </c>
      <c r="S1318" s="0" t="s">
        <v>21</v>
      </c>
      <c r="T1318" s="0" t="s">
        <v>104</v>
      </c>
      <c r="W1318" s="0" t="s">
        <v>183</v>
      </c>
      <c r="AB1318" s="0" t="s">
        <v>539</v>
      </c>
    </row>
    <row r="1319" customFormat="false" ht="15" hidden="false" customHeight="false" outlineLevel="0" collapsed="false">
      <c r="A1319" s="0" t="s">
        <v>21</v>
      </c>
      <c r="B1319" s="0" t="s">
        <v>4531</v>
      </c>
      <c r="C1319" s="0" t="s">
        <v>97</v>
      </c>
      <c r="E1319" s="0" t="s">
        <v>4532</v>
      </c>
      <c r="H1319" s="0" t="s">
        <v>4533</v>
      </c>
      <c r="I1319" s="0" t="s">
        <v>4534</v>
      </c>
      <c r="J1319" s="0" t="s">
        <v>157</v>
      </c>
      <c r="K1319" s="0" t="s">
        <v>4535</v>
      </c>
      <c r="L1319" s="0" t="s">
        <v>124</v>
      </c>
      <c r="M1319" s="0" t="s">
        <v>232</v>
      </c>
      <c r="N1319" s="0" t="s">
        <v>124</v>
      </c>
      <c r="P1319" s="0" t="s">
        <v>204</v>
      </c>
      <c r="Q1319" s="0" t="s">
        <v>204</v>
      </c>
      <c r="R1319" s="0" t="s">
        <v>131</v>
      </c>
      <c r="S1319" s="0" t="s">
        <v>21</v>
      </c>
      <c r="T1319" s="0" t="s">
        <v>104</v>
      </c>
      <c r="W1319" s="0" t="s">
        <v>105</v>
      </c>
      <c r="X1319" s="0" t="s">
        <v>4536</v>
      </c>
      <c r="Y1319" s="0" t="s">
        <v>4537</v>
      </c>
      <c r="AB1319" s="0" t="s">
        <v>539</v>
      </c>
    </row>
    <row r="1320" customFormat="false" ht="15" hidden="false" customHeight="false" outlineLevel="0" collapsed="false">
      <c r="A1320" s="0" t="s">
        <v>21</v>
      </c>
      <c r="B1320" s="0" t="s">
        <v>4531</v>
      </c>
      <c r="C1320" s="0" t="s">
        <v>97</v>
      </c>
      <c r="E1320" s="0" t="s">
        <v>4532</v>
      </c>
      <c r="H1320" s="0" t="s">
        <v>4533</v>
      </c>
      <c r="I1320" s="0" t="s">
        <v>4534</v>
      </c>
      <c r="J1320" s="0" t="s">
        <v>157</v>
      </c>
      <c r="K1320" s="0" t="s">
        <v>4535</v>
      </c>
      <c r="L1320" s="0" t="s">
        <v>124</v>
      </c>
      <c r="M1320" s="0" t="s">
        <v>232</v>
      </c>
      <c r="N1320" s="0" t="s">
        <v>124</v>
      </c>
      <c r="P1320" s="0" t="s">
        <v>554</v>
      </c>
      <c r="Q1320" s="0" t="s">
        <v>554</v>
      </c>
      <c r="R1320" s="0" t="s">
        <v>554</v>
      </c>
      <c r="S1320" s="0" t="s">
        <v>21</v>
      </c>
      <c r="T1320" s="0" t="s">
        <v>104</v>
      </c>
      <c r="W1320" s="0" t="s">
        <v>183</v>
      </c>
      <c r="X1320" s="0" t="s">
        <v>4536</v>
      </c>
      <c r="Y1320" s="0" t="s">
        <v>4537</v>
      </c>
      <c r="AB1320" s="0" t="s">
        <v>539</v>
      </c>
    </row>
    <row r="1321" customFormat="false" ht="15" hidden="false" customHeight="false" outlineLevel="0" collapsed="false">
      <c r="A1321" s="0" t="s">
        <v>21</v>
      </c>
      <c r="B1321" s="0" t="s">
        <v>4538</v>
      </c>
      <c r="C1321" s="0" t="s">
        <v>97</v>
      </c>
      <c r="E1321" s="0" t="s">
        <v>4539</v>
      </c>
      <c r="G1321" s="0" t="s">
        <v>4540</v>
      </c>
      <c r="M1321" s="0" t="s">
        <v>208</v>
      </c>
      <c r="N1321" s="0" t="s">
        <v>124</v>
      </c>
      <c r="O1321" s="0" t="s">
        <v>208</v>
      </c>
      <c r="P1321" s="0" t="s">
        <v>204</v>
      </c>
      <c r="Q1321" s="0" t="s">
        <v>204</v>
      </c>
      <c r="R1321" s="0" t="s">
        <v>131</v>
      </c>
      <c r="S1321" s="0" t="s">
        <v>21</v>
      </c>
      <c r="T1321" s="0" t="s">
        <v>104</v>
      </c>
      <c r="W1321" s="0" t="s">
        <v>105</v>
      </c>
      <c r="AB1321" s="0" t="s">
        <v>539</v>
      </c>
    </row>
    <row r="1322" customFormat="false" ht="15" hidden="false" customHeight="false" outlineLevel="0" collapsed="false">
      <c r="A1322" s="0" t="s">
        <v>21</v>
      </c>
      <c r="B1322" s="0" t="s">
        <v>4538</v>
      </c>
      <c r="C1322" s="0" t="s">
        <v>97</v>
      </c>
      <c r="E1322" s="0" t="s">
        <v>4539</v>
      </c>
      <c r="G1322" s="0" t="s">
        <v>4540</v>
      </c>
      <c r="M1322" s="0" t="s">
        <v>208</v>
      </c>
      <c r="N1322" s="0" t="s">
        <v>124</v>
      </c>
      <c r="O1322" s="0" t="s">
        <v>208</v>
      </c>
      <c r="P1322" s="0" t="s">
        <v>554</v>
      </c>
      <c r="Q1322" s="0" t="s">
        <v>554</v>
      </c>
      <c r="R1322" s="0" t="s">
        <v>554</v>
      </c>
      <c r="S1322" s="0" t="s">
        <v>21</v>
      </c>
      <c r="T1322" s="0" t="s">
        <v>104</v>
      </c>
      <c r="W1322" s="0" t="s">
        <v>183</v>
      </c>
      <c r="AB1322" s="0" t="s">
        <v>539</v>
      </c>
    </row>
    <row r="1323" customFormat="false" ht="15" hidden="false" customHeight="false" outlineLevel="0" collapsed="false">
      <c r="A1323" s="0" t="s">
        <v>21</v>
      </c>
      <c r="B1323" s="0" t="s">
        <v>4541</v>
      </c>
      <c r="C1323" s="0" t="s">
        <v>97</v>
      </c>
      <c r="E1323" s="0" t="s">
        <v>4542</v>
      </c>
      <c r="J1323" s="0" t="s">
        <v>157</v>
      </c>
      <c r="L1323" s="0" t="s">
        <v>124</v>
      </c>
      <c r="M1323" s="0" t="s">
        <v>232</v>
      </c>
      <c r="N1323" s="0" t="s">
        <v>124</v>
      </c>
      <c r="P1323" s="0" t="s">
        <v>130</v>
      </c>
      <c r="Q1323" s="0" t="s">
        <v>130</v>
      </c>
      <c r="R1323" s="0" t="s">
        <v>131</v>
      </c>
      <c r="S1323" s="0" t="s">
        <v>21</v>
      </c>
      <c r="T1323" s="0" t="s">
        <v>104</v>
      </c>
      <c r="W1323" s="0" t="s">
        <v>105</v>
      </c>
      <c r="AB1323" s="0" t="s">
        <v>539</v>
      </c>
    </row>
    <row r="1324" customFormat="false" ht="15" hidden="false" customHeight="false" outlineLevel="0" collapsed="false">
      <c r="A1324" s="0" t="s">
        <v>21</v>
      </c>
      <c r="B1324" s="0" t="s">
        <v>4543</v>
      </c>
      <c r="C1324" s="0" t="s">
        <v>97</v>
      </c>
      <c r="E1324" s="0" t="s">
        <v>4544</v>
      </c>
      <c r="G1324" s="0" t="s">
        <v>4545</v>
      </c>
      <c r="M1324" s="0" t="s">
        <v>247</v>
      </c>
      <c r="N1324" s="0" t="s">
        <v>124</v>
      </c>
      <c r="P1324" s="0" t="s">
        <v>204</v>
      </c>
      <c r="Q1324" s="0" t="s">
        <v>204</v>
      </c>
      <c r="R1324" s="0" t="s">
        <v>131</v>
      </c>
      <c r="S1324" s="0" t="s">
        <v>21</v>
      </c>
      <c r="T1324" s="0" t="s">
        <v>104</v>
      </c>
      <c r="W1324" s="0" t="s">
        <v>105</v>
      </c>
      <c r="AB1324" s="0" t="s">
        <v>539</v>
      </c>
    </row>
    <row r="1325" customFormat="false" ht="15" hidden="false" customHeight="false" outlineLevel="0" collapsed="false">
      <c r="A1325" s="0" t="s">
        <v>21</v>
      </c>
      <c r="B1325" s="0" t="s">
        <v>4543</v>
      </c>
      <c r="C1325" s="0" t="s">
        <v>97</v>
      </c>
      <c r="E1325" s="0" t="s">
        <v>4544</v>
      </c>
      <c r="G1325" s="0" t="s">
        <v>4545</v>
      </c>
      <c r="M1325" s="0" t="s">
        <v>247</v>
      </c>
      <c r="N1325" s="0" t="s">
        <v>124</v>
      </c>
      <c r="P1325" s="0" t="s">
        <v>554</v>
      </c>
      <c r="Q1325" s="0" t="s">
        <v>554</v>
      </c>
      <c r="R1325" s="0" t="s">
        <v>554</v>
      </c>
      <c r="S1325" s="0" t="s">
        <v>21</v>
      </c>
      <c r="T1325" s="0" t="s">
        <v>104</v>
      </c>
      <c r="W1325" s="0" t="s">
        <v>183</v>
      </c>
      <c r="AB1325" s="0" t="s">
        <v>539</v>
      </c>
    </row>
    <row r="1326" customFormat="false" ht="15" hidden="false" customHeight="false" outlineLevel="0" collapsed="false">
      <c r="A1326" s="0" t="s">
        <v>21</v>
      </c>
      <c r="B1326" s="0" t="s">
        <v>4546</v>
      </c>
      <c r="C1326" s="0" t="s">
        <v>190</v>
      </c>
      <c r="E1326" s="0" t="s">
        <v>4547</v>
      </c>
      <c r="H1326" s="0" t="s">
        <v>4548</v>
      </c>
      <c r="I1326" s="0" t="s">
        <v>4549</v>
      </c>
      <c r="J1326" s="0" t="s">
        <v>245</v>
      </c>
      <c r="K1326" s="0" t="s">
        <v>4550</v>
      </c>
      <c r="M1326" s="0" t="s">
        <v>247</v>
      </c>
      <c r="N1326" s="0" t="s">
        <v>124</v>
      </c>
      <c r="P1326" s="0" t="s">
        <v>204</v>
      </c>
      <c r="Q1326" s="0" t="s">
        <v>204</v>
      </c>
      <c r="R1326" s="0" t="s">
        <v>131</v>
      </c>
      <c r="S1326" s="0" t="s">
        <v>21</v>
      </c>
      <c r="T1326" s="0" t="s">
        <v>104</v>
      </c>
      <c r="W1326" s="0" t="s">
        <v>105</v>
      </c>
      <c r="AB1326" s="0" t="s">
        <v>539</v>
      </c>
    </row>
    <row r="1327" customFormat="false" ht="15" hidden="false" customHeight="false" outlineLevel="0" collapsed="false">
      <c r="A1327" s="0" t="s">
        <v>21</v>
      </c>
      <c r="B1327" s="0" t="s">
        <v>4546</v>
      </c>
      <c r="C1327" s="0" t="s">
        <v>190</v>
      </c>
      <c r="E1327" s="0" t="s">
        <v>4547</v>
      </c>
      <c r="H1327" s="0" t="s">
        <v>4548</v>
      </c>
      <c r="I1327" s="0" t="s">
        <v>4549</v>
      </c>
      <c r="J1327" s="0" t="s">
        <v>245</v>
      </c>
      <c r="K1327" s="0" t="s">
        <v>4550</v>
      </c>
      <c r="M1327" s="0" t="s">
        <v>247</v>
      </c>
      <c r="N1327" s="0" t="s">
        <v>124</v>
      </c>
      <c r="P1327" s="0" t="s">
        <v>554</v>
      </c>
      <c r="Q1327" s="0" t="s">
        <v>554</v>
      </c>
      <c r="R1327" s="0" t="s">
        <v>554</v>
      </c>
      <c r="S1327" s="0" t="s">
        <v>21</v>
      </c>
      <c r="T1327" s="0" t="s">
        <v>104</v>
      </c>
      <c r="W1327" s="0" t="s">
        <v>183</v>
      </c>
      <c r="AB1327" s="0" t="s">
        <v>539</v>
      </c>
    </row>
    <row r="1328" customFormat="false" ht="15" hidden="false" customHeight="false" outlineLevel="0" collapsed="false">
      <c r="A1328" s="0" t="s">
        <v>21</v>
      </c>
      <c r="B1328" s="0" t="s">
        <v>4551</v>
      </c>
      <c r="C1328" s="0" t="s">
        <v>97</v>
      </c>
      <c r="E1328" s="0" t="s">
        <v>4552</v>
      </c>
      <c r="H1328" s="0" t="s">
        <v>4553</v>
      </c>
      <c r="I1328" s="0" t="s">
        <v>4554</v>
      </c>
      <c r="J1328" s="0" t="s">
        <v>275</v>
      </c>
      <c r="K1328" s="0" t="s">
        <v>4555</v>
      </c>
      <c r="L1328" s="0" t="s">
        <v>124</v>
      </c>
      <c r="M1328" s="0" t="s">
        <v>178</v>
      </c>
      <c r="N1328" s="0" t="s">
        <v>124</v>
      </c>
      <c r="P1328" s="0" t="s">
        <v>204</v>
      </c>
      <c r="Q1328" s="0" t="s">
        <v>204</v>
      </c>
      <c r="R1328" s="0" t="s">
        <v>131</v>
      </c>
      <c r="S1328" s="0" t="s">
        <v>21</v>
      </c>
      <c r="T1328" s="0" t="s">
        <v>104</v>
      </c>
      <c r="W1328" s="0" t="s">
        <v>105</v>
      </c>
      <c r="X1328" s="0" t="s">
        <v>4556</v>
      </c>
      <c r="Y1328" s="0" t="s">
        <v>4557</v>
      </c>
      <c r="AB1328" s="0" t="s">
        <v>539</v>
      </c>
    </row>
    <row r="1329" customFormat="false" ht="15" hidden="false" customHeight="false" outlineLevel="0" collapsed="false">
      <c r="A1329" s="0" t="s">
        <v>21</v>
      </c>
      <c r="B1329" s="0" t="s">
        <v>4551</v>
      </c>
      <c r="C1329" s="0" t="s">
        <v>97</v>
      </c>
      <c r="E1329" s="0" t="s">
        <v>4552</v>
      </c>
      <c r="H1329" s="0" t="s">
        <v>4553</v>
      </c>
      <c r="I1329" s="0" t="s">
        <v>4554</v>
      </c>
      <c r="J1329" s="0" t="s">
        <v>275</v>
      </c>
      <c r="K1329" s="0" t="s">
        <v>4555</v>
      </c>
      <c r="L1329" s="0" t="s">
        <v>124</v>
      </c>
      <c r="M1329" s="0" t="s">
        <v>178</v>
      </c>
      <c r="N1329" s="0" t="s">
        <v>124</v>
      </c>
      <c r="P1329" s="0" t="s">
        <v>554</v>
      </c>
      <c r="Q1329" s="0" t="s">
        <v>554</v>
      </c>
      <c r="R1329" s="0" t="s">
        <v>554</v>
      </c>
      <c r="S1329" s="0" t="s">
        <v>21</v>
      </c>
      <c r="T1329" s="0" t="s">
        <v>104</v>
      </c>
      <c r="W1329" s="0" t="s">
        <v>183</v>
      </c>
      <c r="X1329" s="0" t="s">
        <v>4556</v>
      </c>
      <c r="Y1329" s="0" t="s">
        <v>4557</v>
      </c>
      <c r="AB1329" s="0" t="s">
        <v>539</v>
      </c>
    </row>
    <row r="1330" customFormat="false" ht="15" hidden="false" customHeight="false" outlineLevel="0" collapsed="false">
      <c r="A1330" s="0" t="s">
        <v>21</v>
      </c>
      <c r="B1330" s="0" t="s">
        <v>4558</v>
      </c>
      <c r="C1330" s="0" t="s">
        <v>97</v>
      </c>
      <c r="E1330" s="0" t="s">
        <v>4559</v>
      </c>
      <c r="G1330" s="0" t="s">
        <v>4560</v>
      </c>
      <c r="H1330" s="0" t="s">
        <v>4561</v>
      </c>
      <c r="I1330" s="0" t="s">
        <v>4562</v>
      </c>
      <c r="J1330" s="0" t="s">
        <v>254</v>
      </c>
      <c r="K1330" s="0" t="s">
        <v>4563</v>
      </c>
      <c r="L1330" s="0" t="s">
        <v>124</v>
      </c>
      <c r="M1330" s="0" t="s">
        <v>208</v>
      </c>
      <c r="N1330" s="0" t="s">
        <v>124</v>
      </c>
      <c r="P1330" s="0" t="s">
        <v>204</v>
      </c>
      <c r="Q1330" s="0" t="s">
        <v>204</v>
      </c>
      <c r="R1330" s="0" t="s">
        <v>131</v>
      </c>
      <c r="S1330" s="0" t="s">
        <v>21</v>
      </c>
      <c r="T1330" s="0" t="s">
        <v>104</v>
      </c>
      <c r="W1330" s="0" t="s">
        <v>105</v>
      </c>
      <c r="AB1330" s="0" t="s">
        <v>539</v>
      </c>
    </row>
    <row r="1331" customFormat="false" ht="15" hidden="false" customHeight="false" outlineLevel="0" collapsed="false">
      <c r="A1331" s="0" t="s">
        <v>21</v>
      </c>
      <c r="B1331" s="0" t="s">
        <v>4558</v>
      </c>
      <c r="C1331" s="0" t="s">
        <v>97</v>
      </c>
      <c r="E1331" s="0" t="s">
        <v>4559</v>
      </c>
      <c r="G1331" s="0" t="s">
        <v>4560</v>
      </c>
      <c r="H1331" s="0" t="s">
        <v>4561</v>
      </c>
      <c r="I1331" s="0" t="s">
        <v>4562</v>
      </c>
      <c r="J1331" s="0" t="s">
        <v>254</v>
      </c>
      <c r="K1331" s="0" t="s">
        <v>4563</v>
      </c>
      <c r="L1331" s="0" t="s">
        <v>124</v>
      </c>
      <c r="M1331" s="0" t="s">
        <v>208</v>
      </c>
      <c r="N1331" s="0" t="s">
        <v>124</v>
      </c>
      <c r="P1331" s="0" t="s">
        <v>554</v>
      </c>
      <c r="Q1331" s="0" t="s">
        <v>554</v>
      </c>
      <c r="R1331" s="0" t="s">
        <v>554</v>
      </c>
      <c r="S1331" s="0" t="s">
        <v>21</v>
      </c>
      <c r="T1331" s="0" t="s">
        <v>104</v>
      </c>
      <c r="W1331" s="0" t="s">
        <v>183</v>
      </c>
      <c r="AB1331" s="0" t="s">
        <v>539</v>
      </c>
    </row>
    <row r="1332" customFormat="false" ht="15" hidden="false" customHeight="false" outlineLevel="0" collapsed="false">
      <c r="A1332" s="0" t="s">
        <v>21</v>
      </c>
      <c r="B1332" s="0" t="s">
        <v>4564</v>
      </c>
      <c r="C1332" s="0" t="s">
        <v>97</v>
      </c>
      <c r="E1332" s="0" t="s">
        <v>4565</v>
      </c>
      <c r="J1332" s="0" t="s">
        <v>218</v>
      </c>
      <c r="L1332" s="0" t="s">
        <v>124</v>
      </c>
      <c r="M1332" s="0" t="s">
        <v>220</v>
      </c>
      <c r="N1332" s="0" t="s">
        <v>124</v>
      </c>
      <c r="P1332" s="0" t="s">
        <v>204</v>
      </c>
      <c r="Q1332" s="0" t="s">
        <v>204</v>
      </c>
      <c r="R1332" s="0" t="s">
        <v>131</v>
      </c>
      <c r="S1332" s="0" t="s">
        <v>21</v>
      </c>
      <c r="T1332" s="0" t="s">
        <v>104</v>
      </c>
      <c r="W1332" s="0" t="s">
        <v>105</v>
      </c>
      <c r="AB1332" s="0" t="s">
        <v>539</v>
      </c>
    </row>
    <row r="1333" customFormat="false" ht="15" hidden="false" customHeight="false" outlineLevel="0" collapsed="false">
      <c r="A1333" s="0" t="s">
        <v>21</v>
      </c>
      <c r="B1333" s="0" t="s">
        <v>4564</v>
      </c>
      <c r="C1333" s="0" t="s">
        <v>97</v>
      </c>
      <c r="E1333" s="0" t="s">
        <v>4565</v>
      </c>
      <c r="J1333" s="0" t="s">
        <v>218</v>
      </c>
      <c r="L1333" s="0" t="s">
        <v>124</v>
      </c>
      <c r="M1333" s="0" t="s">
        <v>220</v>
      </c>
      <c r="N1333" s="0" t="s">
        <v>124</v>
      </c>
      <c r="P1333" s="0" t="s">
        <v>554</v>
      </c>
      <c r="Q1333" s="0" t="s">
        <v>554</v>
      </c>
      <c r="R1333" s="0" t="s">
        <v>554</v>
      </c>
      <c r="S1333" s="0" t="s">
        <v>21</v>
      </c>
      <c r="T1333" s="0" t="s">
        <v>104</v>
      </c>
      <c r="W1333" s="0" t="s">
        <v>183</v>
      </c>
      <c r="AB1333" s="0" t="s">
        <v>539</v>
      </c>
    </row>
    <row r="1334" customFormat="false" ht="15" hidden="false" customHeight="false" outlineLevel="0" collapsed="false">
      <c r="A1334" s="0" t="s">
        <v>21</v>
      </c>
      <c r="B1334" s="0" t="s">
        <v>4566</v>
      </c>
      <c r="C1334" s="0" t="s">
        <v>97</v>
      </c>
      <c r="E1334" s="0" t="s">
        <v>4567</v>
      </c>
      <c r="G1334" s="0" t="s">
        <v>4568</v>
      </c>
      <c r="M1334" s="0" t="s">
        <v>178</v>
      </c>
      <c r="N1334" s="0" t="s">
        <v>124</v>
      </c>
      <c r="O1334" s="0" t="s">
        <v>178</v>
      </c>
      <c r="P1334" s="0" t="s">
        <v>204</v>
      </c>
      <c r="Q1334" s="0" t="s">
        <v>204</v>
      </c>
      <c r="R1334" s="0" t="s">
        <v>399</v>
      </c>
      <c r="S1334" s="0" t="s">
        <v>21</v>
      </c>
      <c r="T1334" s="0" t="s">
        <v>104</v>
      </c>
      <c r="W1334" s="0" t="s">
        <v>105</v>
      </c>
      <c r="AB1334" s="0" t="s">
        <v>539</v>
      </c>
    </row>
    <row r="1335" customFormat="false" ht="15" hidden="false" customHeight="false" outlineLevel="0" collapsed="false">
      <c r="A1335" s="0" t="s">
        <v>21</v>
      </c>
      <c r="B1335" s="0" t="s">
        <v>4569</v>
      </c>
      <c r="C1335" s="0" t="s">
        <v>97</v>
      </c>
      <c r="E1335" s="0" t="s">
        <v>4570</v>
      </c>
      <c r="H1335" s="0" t="s">
        <v>4571</v>
      </c>
      <c r="I1335" s="0" t="s">
        <v>4572</v>
      </c>
      <c r="J1335" s="0" t="s">
        <v>254</v>
      </c>
      <c r="K1335" s="0" t="s">
        <v>4573</v>
      </c>
      <c r="L1335" s="0" t="s">
        <v>124</v>
      </c>
      <c r="M1335" s="0" t="s">
        <v>208</v>
      </c>
      <c r="N1335" s="0" t="s">
        <v>124</v>
      </c>
      <c r="P1335" s="0" t="s">
        <v>204</v>
      </c>
      <c r="Q1335" s="0" t="s">
        <v>204</v>
      </c>
      <c r="R1335" s="0" t="s">
        <v>131</v>
      </c>
      <c r="S1335" s="0" t="s">
        <v>21</v>
      </c>
      <c r="T1335" s="0" t="s">
        <v>104</v>
      </c>
      <c r="W1335" s="0" t="s">
        <v>105</v>
      </c>
      <c r="X1335" s="0" t="s">
        <v>4574</v>
      </c>
      <c r="Y1335" s="0" t="s">
        <v>4575</v>
      </c>
      <c r="AB1335" s="0" t="s">
        <v>539</v>
      </c>
    </row>
    <row r="1336" customFormat="false" ht="15" hidden="false" customHeight="false" outlineLevel="0" collapsed="false">
      <c r="A1336" s="0" t="s">
        <v>21</v>
      </c>
      <c r="B1336" s="0" t="s">
        <v>4569</v>
      </c>
      <c r="C1336" s="0" t="s">
        <v>97</v>
      </c>
      <c r="E1336" s="0" t="s">
        <v>4570</v>
      </c>
      <c r="H1336" s="0" t="s">
        <v>4571</v>
      </c>
      <c r="I1336" s="0" t="s">
        <v>4572</v>
      </c>
      <c r="J1336" s="0" t="s">
        <v>254</v>
      </c>
      <c r="K1336" s="0" t="s">
        <v>4573</v>
      </c>
      <c r="L1336" s="0" t="s">
        <v>124</v>
      </c>
      <c r="M1336" s="0" t="s">
        <v>208</v>
      </c>
      <c r="N1336" s="0" t="s">
        <v>124</v>
      </c>
      <c r="P1336" s="0" t="s">
        <v>554</v>
      </c>
      <c r="Q1336" s="0" t="s">
        <v>554</v>
      </c>
      <c r="R1336" s="0" t="s">
        <v>554</v>
      </c>
      <c r="S1336" s="0" t="s">
        <v>21</v>
      </c>
      <c r="T1336" s="0" t="s">
        <v>104</v>
      </c>
      <c r="W1336" s="0" t="s">
        <v>183</v>
      </c>
      <c r="X1336" s="0" t="s">
        <v>4574</v>
      </c>
      <c r="Y1336" s="0" t="s">
        <v>4575</v>
      </c>
      <c r="AB1336" s="0" t="s">
        <v>539</v>
      </c>
    </row>
    <row r="1337" customFormat="false" ht="15" hidden="false" customHeight="false" outlineLevel="0" collapsed="false">
      <c r="A1337" s="0" t="s">
        <v>21</v>
      </c>
      <c r="B1337" s="0" t="s">
        <v>4576</v>
      </c>
      <c r="C1337" s="0" t="s">
        <v>97</v>
      </c>
      <c r="E1337" s="0" t="s">
        <v>4577</v>
      </c>
      <c r="H1337" s="0" t="s">
        <v>4578</v>
      </c>
      <c r="I1337" s="0" t="s">
        <v>4510</v>
      </c>
      <c r="J1337" s="0" t="s">
        <v>275</v>
      </c>
      <c r="K1337" s="0" t="s">
        <v>4511</v>
      </c>
      <c r="L1337" s="0" t="s">
        <v>124</v>
      </c>
      <c r="M1337" s="0" t="s">
        <v>178</v>
      </c>
      <c r="N1337" s="0" t="s">
        <v>124</v>
      </c>
      <c r="P1337" s="0" t="s">
        <v>204</v>
      </c>
      <c r="Q1337" s="0" t="s">
        <v>204</v>
      </c>
      <c r="R1337" s="0" t="s">
        <v>131</v>
      </c>
      <c r="S1337" s="0" t="s">
        <v>21</v>
      </c>
      <c r="T1337" s="0" t="s">
        <v>104</v>
      </c>
      <c r="W1337" s="0" t="s">
        <v>105</v>
      </c>
      <c r="X1337" s="0" t="s">
        <v>4579</v>
      </c>
      <c r="Y1337" s="0" t="s">
        <v>4580</v>
      </c>
      <c r="AB1337" s="0" t="s">
        <v>539</v>
      </c>
    </row>
    <row r="1338" customFormat="false" ht="15" hidden="false" customHeight="false" outlineLevel="0" collapsed="false">
      <c r="A1338" s="0" t="s">
        <v>21</v>
      </c>
      <c r="B1338" s="0" t="s">
        <v>4576</v>
      </c>
      <c r="C1338" s="0" t="s">
        <v>97</v>
      </c>
      <c r="E1338" s="0" t="s">
        <v>4577</v>
      </c>
      <c r="H1338" s="0" t="s">
        <v>4578</v>
      </c>
      <c r="I1338" s="0" t="s">
        <v>4510</v>
      </c>
      <c r="J1338" s="0" t="s">
        <v>275</v>
      </c>
      <c r="K1338" s="0" t="s">
        <v>4511</v>
      </c>
      <c r="L1338" s="0" t="s">
        <v>124</v>
      </c>
      <c r="M1338" s="0" t="s">
        <v>178</v>
      </c>
      <c r="N1338" s="0" t="s">
        <v>124</v>
      </c>
      <c r="P1338" s="0" t="s">
        <v>554</v>
      </c>
      <c r="Q1338" s="0" t="s">
        <v>554</v>
      </c>
      <c r="R1338" s="0" t="s">
        <v>554</v>
      </c>
      <c r="S1338" s="0" t="s">
        <v>21</v>
      </c>
      <c r="T1338" s="0" t="s">
        <v>104</v>
      </c>
      <c r="W1338" s="0" t="s">
        <v>183</v>
      </c>
      <c r="X1338" s="0" t="s">
        <v>4579</v>
      </c>
      <c r="Y1338" s="0" t="s">
        <v>4580</v>
      </c>
      <c r="AB1338" s="0" t="s">
        <v>539</v>
      </c>
    </row>
    <row r="1339" customFormat="false" ht="15" hidden="false" customHeight="false" outlineLevel="0" collapsed="false">
      <c r="A1339" s="0" t="s">
        <v>21</v>
      </c>
      <c r="B1339" s="0" t="s">
        <v>4581</v>
      </c>
      <c r="C1339" s="0" t="s">
        <v>97</v>
      </c>
      <c r="D1339" s="0" t="s">
        <v>4582</v>
      </c>
      <c r="E1339" s="0" t="s">
        <v>4582</v>
      </c>
      <c r="F1339" s="0" t="s">
        <v>4583</v>
      </c>
      <c r="G1339" s="0" t="s">
        <v>4584</v>
      </c>
      <c r="H1339" s="0" t="s">
        <v>4585</v>
      </c>
      <c r="I1339" s="0" t="s">
        <v>4586</v>
      </c>
      <c r="J1339" s="0" t="s">
        <v>178</v>
      </c>
      <c r="K1339" s="0" t="s">
        <v>4587</v>
      </c>
      <c r="L1339" s="0" t="s">
        <v>124</v>
      </c>
      <c r="M1339" s="0" t="s">
        <v>178</v>
      </c>
      <c r="N1339" s="0" t="s">
        <v>124</v>
      </c>
      <c r="P1339" s="0" t="s">
        <v>204</v>
      </c>
      <c r="Q1339" s="0" t="s">
        <v>204</v>
      </c>
      <c r="R1339" s="0" t="s">
        <v>853</v>
      </c>
      <c r="S1339" s="0" t="s">
        <v>21</v>
      </c>
      <c r="T1339" s="0" t="s">
        <v>104</v>
      </c>
      <c r="W1339" s="0" t="s">
        <v>105</v>
      </c>
      <c r="X1339" s="0" t="s">
        <v>4588</v>
      </c>
      <c r="Y1339" s="0" t="s">
        <v>4589</v>
      </c>
      <c r="Z1339" s="0" t="s">
        <v>350</v>
      </c>
      <c r="AB1339" s="0" t="s">
        <v>351</v>
      </c>
    </row>
    <row r="1340" customFormat="false" ht="15" hidden="false" customHeight="false" outlineLevel="0" collapsed="false">
      <c r="A1340" s="0" t="s">
        <v>21</v>
      </c>
      <c r="B1340" s="0" t="s">
        <v>4590</v>
      </c>
      <c r="C1340" s="0" t="s">
        <v>97</v>
      </c>
      <c r="E1340" s="0" t="s">
        <v>4591</v>
      </c>
      <c r="G1340" s="0" t="s">
        <v>4592</v>
      </c>
      <c r="M1340" s="0" t="s">
        <v>247</v>
      </c>
      <c r="N1340" s="0" t="s">
        <v>124</v>
      </c>
      <c r="P1340" s="0" t="s">
        <v>130</v>
      </c>
      <c r="Q1340" s="0" t="s">
        <v>130</v>
      </c>
      <c r="R1340" s="0" t="s">
        <v>467</v>
      </c>
      <c r="S1340" s="0" t="s">
        <v>21</v>
      </c>
      <c r="T1340" s="0" t="s">
        <v>104</v>
      </c>
      <c r="W1340" s="0" t="s">
        <v>105</v>
      </c>
    </row>
    <row r="1341" customFormat="false" ht="15" hidden="false" customHeight="false" outlineLevel="0" collapsed="false">
      <c r="A1341" s="0" t="s">
        <v>21</v>
      </c>
      <c r="B1341" s="0" t="s">
        <v>4593</v>
      </c>
      <c r="C1341" s="0" t="s">
        <v>97</v>
      </c>
      <c r="D1341" s="0" t="s">
        <v>4594</v>
      </c>
      <c r="E1341" s="0" t="s">
        <v>4595</v>
      </c>
      <c r="G1341" s="0" t="s">
        <v>4596</v>
      </c>
      <c r="M1341" s="0" t="s">
        <v>247</v>
      </c>
      <c r="N1341" s="0" t="s">
        <v>124</v>
      </c>
      <c r="P1341" s="0" t="s">
        <v>130</v>
      </c>
      <c r="Q1341" s="0" t="s">
        <v>130</v>
      </c>
      <c r="R1341" s="0" t="s">
        <v>467</v>
      </c>
      <c r="S1341" s="0" t="s">
        <v>21</v>
      </c>
      <c r="T1341" s="0" t="s">
        <v>104</v>
      </c>
      <c r="W1341" s="0" t="s">
        <v>105</v>
      </c>
    </row>
    <row r="1342" customFormat="false" ht="15" hidden="false" customHeight="false" outlineLevel="0" collapsed="false">
      <c r="A1342" s="0" t="s">
        <v>21</v>
      </c>
      <c r="B1342" s="0" t="s">
        <v>4597</v>
      </c>
      <c r="C1342" s="0" t="s">
        <v>97</v>
      </c>
      <c r="D1342" s="0" t="s">
        <v>4598</v>
      </c>
      <c r="E1342" s="0" t="s">
        <v>4599</v>
      </c>
      <c r="M1342" s="0" t="s">
        <v>247</v>
      </c>
      <c r="N1342" s="0" t="s">
        <v>124</v>
      </c>
      <c r="P1342" s="0" t="s">
        <v>130</v>
      </c>
      <c r="Q1342" s="0" t="s">
        <v>130</v>
      </c>
      <c r="R1342" s="0" t="s">
        <v>467</v>
      </c>
      <c r="S1342" s="0" t="s">
        <v>21</v>
      </c>
      <c r="T1342" s="0" t="s">
        <v>104</v>
      </c>
      <c r="W1342" s="0" t="s">
        <v>105</v>
      </c>
    </row>
    <row r="1343" customFormat="false" ht="15" hidden="false" customHeight="false" outlineLevel="0" collapsed="false">
      <c r="A1343" s="0" t="s">
        <v>21</v>
      </c>
      <c r="B1343" s="0" t="s">
        <v>4600</v>
      </c>
      <c r="C1343" s="0" t="s">
        <v>97</v>
      </c>
      <c r="D1343" s="0" t="s">
        <v>4601</v>
      </c>
      <c r="E1343" s="0" t="s">
        <v>4602</v>
      </c>
      <c r="H1343" s="0" t="s">
        <v>654</v>
      </c>
      <c r="I1343" s="0" t="s">
        <v>655</v>
      </c>
      <c r="J1343" s="0" t="s">
        <v>100</v>
      </c>
      <c r="K1343" s="0" t="s">
        <v>168</v>
      </c>
      <c r="L1343" s="0" t="s">
        <v>101</v>
      </c>
      <c r="M1343" s="0" t="s">
        <v>656</v>
      </c>
      <c r="N1343" s="0" t="s">
        <v>101</v>
      </c>
      <c r="P1343" s="0" t="s">
        <v>204</v>
      </c>
      <c r="Q1343" s="0" t="s">
        <v>204</v>
      </c>
      <c r="R1343" s="0" t="s">
        <v>131</v>
      </c>
      <c r="S1343" s="0" t="s">
        <v>21</v>
      </c>
      <c r="T1343" s="0" t="s">
        <v>104</v>
      </c>
      <c r="W1343" s="0" t="s">
        <v>105</v>
      </c>
      <c r="X1343" s="0" t="s">
        <v>658</v>
      </c>
      <c r="Y1343" s="0" t="s">
        <v>659</v>
      </c>
    </row>
    <row r="1344" customFormat="false" ht="15" hidden="false" customHeight="false" outlineLevel="0" collapsed="false">
      <c r="A1344" s="0" t="s">
        <v>21</v>
      </c>
      <c r="B1344" s="0" t="s">
        <v>4600</v>
      </c>
      <c r="C1344" s="0" t="s">
        <v>97</v>
      </c>
      <c r="D1344" s="0" t="s">
        <v>4601</v>
      </c>
      <c r="E1344" s="0" t="s">
        <v>4602</v>
      </c>
      <c r="H1344" s="0" t="s">
        <v>654</v>
      </c>
      <c r="I1344" s="0" t="s">
        <v>655</v>
      </c>
      <c r="J1344" s="0" t="s">
        <v>100</v>
      </c>
      <c r="K1344" s="0" t="s">
        <v>168</v>
      </c>
      <c r="L1344" s="0" t="s">
        <v>101</v>
      </c>
      <c r="M1344" s="0" t="s">
        <v>656</v>
      </c>
      <c r="N1344" s="0" t="s">
        <v>101</v>
      </c>
      <c r="P1344" s="0" t="s">
        <v>554</v>
      </c>
      <c r="Q1344" s="0" t="s">
        <v>554</v>
      </c>
      <c r="R1344" s="0" t="s">
        <v>554</v>
      </c>
      <c r="S1344" s="0" t="s">
        <v>21</v>
      </c>
      <c r="T1344" s="0" t="s">
        <v>104</v>
      </c>
      <c r="W1344" s="0" t="s">
        <v>183</v>
      </c>
      <c r="X1344" s="0" t="s">
        <v>658</v>
      </c>
      <c r="Y1344" s="0" t="s">
        <v>659</v>
      </c>
    </row>
    <row r="1345" customFormat="false" ht="15" hidden="false" customHeight="false" outlineLevel="0" collapsed="false">
      <c r="A1345" s="0" t="s">
        <v>21</v>
      </c>
      <c r="B1345" s="0" t="s">
        <v>4603</v>
      </c>
      <c r="C1345" s="0" t="s">
        <v>110</v>
      </c>
      <c r="D1345" s="0" t="s">
        <v>4604</v>
      </c>
      <c r="E1345" s="0" t="s">
        <v>4605</v>
      </c>
      <c r="I1345" s="0" t="s">
        <v>2616</v>
      </c>
      <c r="J1345" s="0" t="s">
        <v>254</v>
      </c>
      <c r="K1345" s="0" t="s">
        <v>4606</v>
      </c>
      <c r="M1345" s="0" t="s">
        <v>208</v>
      </c>
      <c r="N1345" s="0" t="s">
        <v>124</v>
      </c>
      <c r="P1345" s="0" t="s">
        <v>204</v>
      </c>
      <c r="Q1345" s="0" t="s">
        <v>204</v>
      </c>
      <c r="R1345" s="0" t="s">
        <v>657</v>
      </c>
      <c r="S1345" s="0" t="s">
        <v>21</v>
      </c>
      <c r="T1345" s="0" t="s">
        <v>104</v>
      </c>
      <c r="W1345" s="0" t="s">
        <v>105</v>
      </c>
      <c r="Z1345" s="0" t="s">
        <v>1147</v>
      </c>
    </row>
    <row r="1346" customFormat="false" ht="15" hidden="false" customHeight="false" outlineLevel="0" collapsed="false">
      <c r="A1346" s="0" t="s">
        <v>21</v>
      </c>
      <c r="B1346" s="0" t="s">
        <v>4607</v>
      </c>
      <c r="C1346" s="0" t="s">
        <v>97</v>
      </c>
      <c r="I1346" s="0" t="s">
        <v>4608</v>
      </c>
      <c r="J1346" s="0" t="s">
        <v>254</v>
      </c>
      <c r="K1346" s="0" t="s">
        <v>287</v>
      </c>
      <c r="M1346" s="0" t="s">
        <v>208</v>
      </c>
      <c r="N1346" s="0" t="s">
        <v>124</v>
      </c>
      <c r="P1346" s="0" t="s">
        <v>130</v>
      </c>
      <c r="Q1346" s="0" t="s">
        <v>130</v>
      </c>
      <c r="R1346" s="0" t="s">
        <v>144</v>
      </c>
      <c r="S1346" s="0" t="s">
        <v>21</v>
      </c>
      <c r="T1346" s="0" t="s">
        <v>104</v>
      </c>
      <c r="W1346" s="0" t="s">
        <v>105</v>
      </c>
    </row>
    <row r="1347" customFormat="false" ht="15" hidden="false" customHeight="false" outlineLevel="0" collapsed="false">
      <c r="A1347" s="0" t="s">
        <v>21</v>
      </c>
      <c r="B1347" s="0" t="s">
        <v>4609</v>
      </c>
      <c r="C1347" s="0" t="s">
        <v>200</v>
      </c>
      <c r="E1347" s="0" t="s">
        <v>4610</v>
      </c>
      <c r="M1347" s="0" t="s">
        <v>208</v>
      </c>
      <c r="N1347" s="0" t="s">
        <v>124</v>
      </c>
      <c r="P1347" s="0" t="s">
        <v>130</v>
      </c>
      <c r="Q1347" s="0" t="s">
        <v>130</v>
      </c>
      <c r="R1347" s="0" t="s">
        <v>144</v>
      </c>
      <c r="S1347" s="0" t="s">
        <v>21</v>
      </c>
      <c r="T1347" s="0" t="s">
        <v>104</v>
      </c>
      <c r="W1347" s="0" t="s">
        <v>105</v>
      </c>
      <c r="Z1347" s="0" t="s">
        <v>4611</v>
      </c>
    </row>
    <row r="1348" customFormat="false" ht="15" hidden="false" customHeight="false" outlineLevel="0" collapsed="false">
      <c r="A1348" s="0" t="s">
        <v>21</v>
      </c>
      <c r="B1348" s="0" t="s">
        <v>4612</v>
      </c>
      <c r="C1348" s="0" t="s">
        <v>240</v>
      </c>
      <c r="H1348" s="0" t="s">
        <v>4613</v>
      </c>
      <c r="I1348" s="0" t="s">
        <v>2396</v>
      </c>
      <c r="J1348" s="0" t="s">
        <v>157</v>
      </c>
      <c r="K1348" s="0" t="s">
        <v>4614</v>
      </c>
      <c r="M1348" s="0" t="s">
        <v>232</v>
      </c>
      <c r="N1348" s="0" t="s">
        <v>124</v>
      </c>
      <c r="P1348" s="0" t="s">
        <v>236</v>
      </c>
      <c r="Q1348" s="0" t="s">
        <v>236</v>
      </c>
      <c r="R1348" s="0" t="s">
        <v>957</v>
      </c>
      <c r="S1348" s="0" t="s">
        <v>21</v>
      </c>
      <c r="T1348" s="0" t="s">
        <v>104</v>
      </c>
      <c r="W1348" s="0" t="s">
        <v>105</v>
      </c>
    </row>
    <row r="1349" customFormat="false" ht="15" hidden="false" customHeight="false" outlineLevel="0" collapsed="false">
      <c r="A1349" s="0" t="s">
        <v>21</v>
      </c>
      <c r="B1349" s="0" t="s">
        <v>4615</v>
      </c>
      <c r="C1349" s="0" t="s">
        <v>110</v>
      </c>
      <c r="D1349" s="0" t="s">
        <v>4616</v>
      </c>
      <c r="E1349" s="0" t="s">
        <v>4617</v>
      </c>
      <c r="H1349" s="0" t="s">
        <v>4618</v>
      </c>
      <c r="I1349" s="0" t="s">
        <v>4222</v>
      </c>
      <c r="J1349" s="0" t="s">
        <v>214</v>
      </c>
      <c r="K1349" s="0" t="s">
        <v>4223</v>
      </c>
      <c r="M1349" s="0" t="s">
        <v>143</v>
      </c>
      <c r="N1349" s="0" t="s">
        <v>124</v>
      </c>
      <c r="P1349" s="0" t="s">
        <v>236</v>
      </c>
      <c r="Q1349" s="0" t="s">
        <v>236</v>
      </c>
      <c r="R1349" s="0" t="s">
        <v>957</v>
      </c>
      <c r="S1349" s="0" t="s">
        <v>21</v>
      </c>
      <c r="T1349" s="0" t="s">
        <v>104</v>
      </c>
      <c r="V1349" s="0" t="s">
        <v>820</v>
      </c>
      <c r="W1349" s="0" t="s">
        <v>105</v>
      </c>
      <c r="X1349" s="0" t="s">
        <v>4619</v>
      </c>
      <c r="Y1349" s="0" t="s">
        <v>4620</v>
      </c>
      <c r="Z1349" s="0" t="s">
        <v>1147</v>
      </c>
    </row>
    <row r="1350" customFormat="false" ht="15" hidden="false" customHeight="false" outlineLevel="0" collapsed="false">
      <c r="A1350" s="0" t="s">
        <v>21</v>
      </c>
      <c r="B1350" s="0" t="s">
        <v>4621</v>
      </c>
      <c r="C1350" s="0" t="s">
        <v>97</v>
      </c>
      <c r="E1350" s="0" t="s">
        <v>4622</v>
      </c>
      <c r="M1350" s="0" t="s">
        <v>208</v>
      </c>
      <c r="N1350" s="0" t="s">
        <v>124</v>
      </c>
      <c r="P1350" s="0" t="s">
        <v>130</v>
      </c>
      <c r="Q1350" s="0" t="s">
        <v>130</v>
      </c>
      <c r="R1350" s="0" t="s">
        <v>144</v>
      </c>
      <c r="S1350" s="0" t="s">
        <v>21</v>
      </c>
      <c r="T1350" s="0" t="s">
        <v>104</v>
      </c>
      <c r="W1350" s="0" t="s">
        <v>105</v>
      </c>
      <c r="AB1350" s="0" t="s">
        <v>351</v>
      </c>
    </row>
    <row r="1351" customFormat="false" ht="15" hidden="false" customHeight="false" outlineLevel="0" collapsed="false">
      <c r="A1351" s="0" t="s">
        <v>21</v>
      </c>
      <c r="B1351" s="0" t="s">
        <v>4623</v>
      </c>
      <c r="C1351" s="0" t="s">
        <v>139</v>
      </c>
      <c r="D1351" s="0" t="s">
        <v>939</v>
      </c>
      <c r="E1351" s="0" t="s">
        <v>939</v>
      </c>
      <c r="M1351" s="0" t="s">
        <v>4624</v>
      </c>
      <c r="N1351" s="0" t="s">
        <v>124</v>
      </c>
      <c r="P1351" s="0" t="s">
        <v>102</v>
      </c>
      <c r="Q1351" s="0" t="s">
        <v>102</v>
      </c>
      <c r="R1351" s="0" t="s">
        <v>137</v>
      </c>
      <c r="S1351" s="0" t="s">
        <v>21</v>
      </c>
      <c r="T1351" s="0" t="s">
        <v>104</v>
      </c>
      <c r="W1351" s="0" t="s">
        <v>105</v>
      </c>
      <c r="AB1351" s="0" t="s">
        <v>4625</v>
      </c>
    </row>
    <row r="1352" customFormat="false" ht="15" hidden="false" customHeight="false" outlineLevel="0" collapsed="false">
      <c r="A1352" s="0" t="s">
        <v>21</v>
      </c>
      <c r="B1352" s="0" t="s">
        <v>4626</v>
      </c>
      <c r="C1352" s="0" t="s">
        <v>200</v>
      </c>
      <c r="E1352" s="0" t="s">
        <v>4627</v>
      </c>
      <c r="I1352" s="0" t="s">
        <v>4628</v>
      </c>
      <c r="J1352" s="0" t="s">
        <v>254</v>
      </c>
      <c r="K1352" s="0" t="s">
        <v>4629</v>
      </c>
      <c r="M1352" s="0" t="s">
        <v>208</v>
      </c>
      <c r="N1352" s="0" t="s">
        <v>124</v>
      </c>
      <c r="P1352" s="0" t="s">
        <v>130</v>
      </c>
      <c r="Q1352" s="0" t="s">
        <v>130</v>
      </c>
      <c r="R1352" s="0" t="s">
        <v>144</v>
      </c>
      <c r="S1352" s="0" t="s">
        <v>21</v>
      </c>
      <c r="T1352" s="0" t="s">
        <v>104</v>
      </c>
      <c r="W1352" s="0" t="s">
        <v>105</v>
      </c>
      <c r="Z1352" s="0" t="s">
        <v>4611</v>
      </c>
      <c r="AB1352" s="0" t="s">
        <v>3795</v>
      </c>
    </row>
    <row r="1353" customFormat="false" ht="15" hidden="false" customHeight="false" outlineLevel="0" collapsed="false">
      <c r="A1353" s="0" t="s">
        <v>21</v>
      </c>
      <c r="B1353" s="0" t="s">
        <v>4630</v>
      </c>
      <c r="C1353" s="0" t="s">
        <v>200</v>
      </c>
      <c r="E1353" s="0" t="s">
        <v>4631</v>
      </c>
      <c r="I1353" s="0" t="s">
        <v>355</v>
      </c>
      <c r="J1353" s="0" t="s">
        <v>254</v>
      </c>
      <c r="K1353" s="0" t="s">
        <v>4632</v>
      </c>
      <c r="M1353" s="0" t="s">
        <v>208</v>
      </c>
      <c r="N1353" s="0" t="s">
        <v>124</v>
      </c>
      <c r="P1353" s="0" t="s">
        <v>130</v>
      </c>
      <c r="Q1353" s="0" t="s">
        <v>130</v>
      </c>
      <c r="R1353" s="0" t="s">
        <v>144</v>
      </c>
      <c r="S1353" s="0" t="s">
        <v>21</v>
      </c>
      <c r="T1353" s="0" t="s">
        <v>104</v>
      </c>
      <c r="W1353" s="0" t="s">
        <v>105</v>
      </c>
      <c r="Z1353" s="0" t="s">
        <v>4611</v>
      </c>
    </row>
    <row r="1354" customFormat="false" ht="15" hidden="false" customHeight="false" outlineLevel="0" collapsed="false">
      <c r="A1354" s="0" t="s">
        <v>21</v>
      </c>
      <c r="B1354" s="0" t="s">
        <v>4633</v>
      </c>
      <c r="C1354" s="0" t="s">
        <v>1067</v>
      </c>
      <c r="D1354" s="0" t="s">
        <v>4634</v>
      </c>
      <c r="E1354" s="0" t="s">
        <v>4635</v>
      </c>
      <c r="G1354" s="0" t="s">
        <v>4636</v>
      </c>
      <c r="H1354" s="0" t="s">
        <v>4637</v>
      </c>
      <c r="I1354" s="0" t="s">
        <v>4638</v>
      </c>
      <c r="J1354" s="0" t="s">
        <v>254</v>
      </c>
      <c r="K1354" s="0" t="s">
        <v>335</v>
      </c>
      <c r="M1354" s="0" t="s">
        <v>208</v>
      </c>
      <c r="N1354" s="0" t="s">
        <v>124</v>
      </c>
      <c r="P1354" s="0" t="s">
        <v>102</v>
      </c>
      <c r="Q1354" s="0" t="s">
        <v>102</v>
      </c>
      <c r="R1354" s="0" t="s">
        <v>137</v>
      </c>
      <c r="S1354" s="0" t="s">
        <v>21</v>
      </c>
      <c r="T1354" s="0" t="s">
        <v>104</v>
      </c>
      <c r="W1354" s="0" t="s">
        <v>105</v>
      </c>
      <c r="X1354" s="0" t="s">
        <v>4639</v>
      </c>
      <c r="Y1354" s="0" t="s">
        <v>4640</v>
      </c>
      <c r="Z1354" s="0" t="s">
        <v>4513</v>
      </c>
    </row>
    <row r="1355" customFormat="false" ht="15" hidden="false" customHeight="false" outlineLevel="0" collapsed="false">
      <c r="A1355" s="0" t="s">
        <v>21</v>
      </c>
      <c r="B1355" s="0" t="s">
        <v>4641</v>
      </c>
      <c r="C1355" s="0" t="s">
        <v>97</v>
      </c>
      <c r="I1355" s="0" t="s">
        <v>3791</v>
      </c>
      <c r="J1355" s="0" t="s">
        <v>254</v>
      </c>
      <c r="K1355" s="0" t="s">
        <v>3792</v>
      </c>
      <c r="M1355" s="0" t="s">
        <v>208</v>
      </c>
      <c r="N1355" s="0" t="s">
        <v>124</v>
      </c>
      <c r="P1355" s="0" t="s">
        <v>346</v>
      </c>
      <c r="Q1355" s="0" t="s">
        <v>346</v>
      </c>
      <c r="R1355" s="0" t="s">
        <v>347</v>
      </c>
      <c r="S1355" s="0" t="s">
        <v>21</v>
      </c>
      <c r="T1355" s="0" t="s">
        <v>104</v>
      </c>
      <c r="W1355" s="0" t="s">
        <v>105</v>
      </c>
    </row>
    <row r="1356" customFormat="false" ht="15" hidden="false" customHeight="false" outlineLevel="0" collapsed="false">
      <c r="A1356" s="0" t="s">
        <v>21</v>
      </c>
      <c r="B1356" s="0" t="s">
        <v>4642</v>
      </c>
      <c r="C1356" s="0" t="s">
        <v>97</v>
      </c>
      <c r="E1356" s="0" t="s">
        <v>4643</v>
      </c>
      <c r="M1356" s="0" t="s">
        <v>208</v>
      </c>
      <c r="N1356" s="0" t="s">
        <v>124</v>
      </c>
      <c r="P1356" s="0" t="s">
        <v>346</v>
      </c>
      <c r="Q1356" s="0" t="s">
        <v>346</v>
      </c>
      <c r="R1356" s="0" t="s">
        <v>347</v>
      </c>
      <c r="S1356" s="0" t="s">
        <v>21</v>
      </c>
      <c r="T1356" s="0" t="s">
        <v>104</v>
      </c>
      <c r="W1356" s="0" t="s">
        <v>105</v>
      </c>
      <c r="AB1356" s="0" t="s">
        <v>351</v>
      </c>
    </row>
    <row r="1357" customFormat="false" ht="15" hidden="false" customHeight="false" outlineLevel="0" collapsed="false">
      <c r="A1357" s="0" t="s">
        <v>21</v>
      </c>
      <c r="B1357" s="0" t="s">
        <v>4644</v>
      </c>
      <c r="C1357" s="0" t="s">
        <v>1067</v>
      </c>
      <c r="D1357" s="0" t="s">
        <v>4645</v>
      </c>
      <c r="E1357" s="0" t="s">
        <v>4646</v>
      </c>
      <c r="H1357" s="0" t="s">
        <v>4647</v>
      </c>
      <c r="I1357" s="0" t="s">
        <v>4648</v>
      </c>
      <c r="J1357" s="0" t="s">
        <v>275</v>
      </c>
      <c r="K1357" s="0" t="s">
        <v>4649</v>
      </c>
      <c r="M1357" s="0" t="s">
        <v>178</v>
      </c>
      <c r="N1357" s="0" t="s">
        <v>124</v>
      </c>
      <c r="P1357" s="0" t="s">
        <v>346</v>
      </c>
      <c r="Q1357" s="0" t="s">
        <v>346</v>
      </c>
      <c r="R1357" s="0" t="s">
        <v>347</v>
      </c>
      <c r="S1357" s="0" t="s">
        <v>21</v>
      </c>
      <c r="T1357" s="0" t="s">
        <v>104</v>
      </c>
      <c r="W1357" s="0" t="s">
        <v>105</v>
      </c>
      <c r="X1357" s="0" t="s">
        <v>4650</v>
      </c>
      <c r="Y1357" s="0" t="s">
        <v>4651</v>
      </c>
      <c r="Z1357" s="0" t="s">
        <v>4513</v>
      </c>
    </row>
    <row r="1358" customFormat="false" ht="15" hidden="false" customHeight="false" outlineLevel="0" collapsed="false">
      <c r="A1358" s="0" t="s">
        <v>21</v>
      </c>
      <c r="B1358" s="0" t="s">
        <v>4652</v>
      </c>
      <c r="C1358" s="0" t="s">
        <v>97</v>
      </c>
      <c r="E1358" s="0" t="s">
        <v>4653</v>
      </c>
      <c r="M1358" s="0" t="s">
        <v>208</v>
      </c>
      <c r="N1358" s="0" t="s">
        <v>124</v>
      </c>
      <c r="P1358" s="0" t="s">
        <v>130</v>
      </c>
      <c r="Q1358" s="0" t="s">
        <v>130</v>
      </c>
      <c r="R1358" s="0" t="s">
        <v>144</v>
      </c>
      <c r="S1358" s="0" t="s">
        <v>21</v>
      </c>
      <c r="T1358" s="0" t="s">
        <v>104</v>
      </c>
      <c r="W1358" s="0" t="s">
        <v>105</v>
      </c>
      <c r="AB1358" s="0" t="s">
        <v>351</v>
      </c>
    </row>
    <row r="1359" customFormat="false" ht="15" hidden="false" customHeight="false" outlineLevel="0" collapsed="false">
      <c r="A1359" s="0" t="s">
        <v>21</v>
      </c>
      <c r="B1359" s="0" t="s">
        <v>4654</v>
      </c>
      <c r="C1359" s="0" t="s">
        <v>97</v>
      </c>
      <c r="E1359" s="0" t="s">
        <v>4655</v>
      </c>
      <c r="M1359" s="0" t="s">
        <v>208</v>
      </c>
      <c r="N1359" s="0" t="s">
        <v>124</v>
      </c>
      <c r="P1359" s="0" t="s">
        <v>346</v>
      </c>
      <c r="Q1359" s="0" t="s">
        <v>346</v>
      </c>
      <c r="R1359" s="0" t="s">
        <v>347</v>
      </c>
      <c r="S1359" s="0" t="s">
        <v>21</v>
      </c>
      <c r="T1359" s="0" t="s">
        <v>104</v>
      </c>
      <c r="W1359" s="0" t="s">
        <v>105</v>
      </c>
      <c r="AB1359" s="0" t="s">
        <v>351</v>
      </c>
    </row>
    <row r="1360" customFormat="false" ht="15" hidden="false" customHeight="false" outlineLevel="0" collapsed="false">
      <c r="A1360" s="0" t="s">
        <v>21</v>
      </c>
      <c r="B1360" s="0" t="s">
        <v>4656</v>
      </c>
      <c r="C1360" s="0" t="s">
        <v>190</v>
      </c>
      <c r="D1360" s="0" t="s">
        <v>4657</v>
      </c>
      <c r="E1360" s="0" t="s">
        <v>4658</v>
      </c>
      <c r="G1360" s="0" t="s">
        <v>4659</v>
      </c>
      <c r="H1360" s="0" t="s">
        <v>4660</v>
      </c>
      <c r="I1360" s="0" t="s">
        <v>2123</v>
      </c>
      <c r="J1360" s="0" t="s">
        <v>157</v>
      </c>
      <c r="K1360" s="0" t="s">
        <v>2124</v>
      </c>
      <c r="M1360" s="0" t="s">
        <v>232</v>
      </c>
      <c r="N1360" s="0" t="s">
        <v>124</v>
      </c>
      <c r="P1360" s="0" t="s">
        <v>102</v>
      </c>
      <c r="Q1360" s="0" t="s">
        <v>102</v>
      </c>
      <c r="R1360" s="0" t="s">
        <v>137</v>
      </c>
      <c r="S1360" s="0" t="s">
        <v>21</v>
      </c>
      <c r="T1360" s="0" t="s">
        <v>104</v>
      </c>
      <c r="W1360" s="0" t="s">
        <v>105</v>
      </c>
      <c r="X1360" s="0" t="s">
        <v>4661</v>
      </c>
      <c r="Y1360" s="0" t="s">
        <v>4662</v>
      </c>
      <c r="Z1360" s="0" t="s">
        <v>159</v>
      </c>
      <c r="AB1360" s="0" t="s">
        <v>4663</v>
      </c>
    </row>
    <row r="1361" customFormat="false" ht="15" hidden="false" customHeight="false" outlineLevel="0" collapsed="false">
      <c r="A1361" s="0" t="s">
        <v>21</v>
      </c>
      <c r="B1361" s="0" t="s">
        <v>4664</v>
      </c>
      <c r="C1361" s="0" t="s">
        <v>1067</v>
      </c>
      <c r="D1361" s="0" t="s">
        <v>4665</v>
      </c>
      <c r="E1361" s="0" t="s">
        <v>4666</v>
      </c>
      <c r="H1361" s="0" t="s">
        <v>4667</v>
      </c>
      <c r="I1361" s="0" t="s">
        <v>4668</v>
      </c>
      <c r="J1361" s="0" t="s">
        <v>157</v>
      </c>
      <c r="K1361" s="0" t="s">
        <v>4669</v>
      </c>
      <c r="M1361" s="0" t="s">
        <v>156</v>
      </c>
      <c r="N1361" s="0" t="s">
        <v>124</v>
      </c>
      <c r="P1361" s="0" t="s">
        <v>102</v>
      </c>
      <c r="Q1361" s="0" t="s">
        <v>102</v>
      </c>
      <c r="R1361" s="0" t="s">
        <v>144</v>
      </c>
      <c r="S1361" s="0" t="s">
        <v>21</v>
      </c>
      <c r="T1361" s="0" t="s">
        <v>104</v>
      </c>
      <c r="W1361" s="0" t="s">
        <v>105</v>
      </c>
      <c r="X1361" s="0" t="s">
        <v>4670</v>
      </c>
      <c r="Y1361" s="0" t="s">
        <v>4671</v>
      </c>
      <c r="Z1361" s="0" t="s">
        <v>4513</v>
      </c>
      <c r="AB1361" s="0" t="s">
        <v>235</v>
      </c>
    </row>
    <row r="1362" customFormat="false" ht="15" hidden="false" customHeight="false" outlineLevel="0" collapsed="false">
      <c r="A1362" s="0" t="s">
        <v>21</v>
      </c>
      <c r="B1362" s="0" t="s">
        <v>4672</v>
      </c>
      <c r="C1362" s="0" t="s">
        <v>110</v>
      </c>
      <c r="E1362" s="0" t="s">
        <v>4673</v>
      </c>
      <c r="G1362" s="0" t="s">
        <v>4674</v>
      </c>
      <c r="M1362" s="0" t="s">
        <v>4675</v>
      </c>
      <c r="N1362" s="0" t="s">
        <v>124</v>
      </c>
      <c r="P1362" s="0" t="s">
        <v>130</v>
      </c>
      <c r="Q1362" s="0" t="s">
        <v>130</v>
      </c>
      <c r="R1362" s="0" t="s">
        <v>113</v>
      </c>
      <c r="S1362" s="0" t="s">
        <v>21</v>
      </c>
      <c r="T1362" s="0" t="s">
        <v>104</v>
      </c>
      <c r="W1362" s="0" t="s">
        <v>105</v>
      </c>
      <c r="Z1362" s="0" t="s">
        <v>134</v>
      </c>
    </row>
    <row r="1363" customFormat="false" ht="15" hidden="false" customHeight="false" outlineLevel="0" collapsed="false">
      <c r="A1363" s="0" t="s">
        <v>21</v>
      </c>
      <c r="B1363" s="0" t="s">
        <v>4676</v>
      </c>
      <c r="C1363" s="0" t="s">
        <v>200</v>
      </c>
      <c r="E1363" s="0" t="s">
        <v>4677</v>
      </c>
      <c r="M1363" s="0" t="s">
        <v>219</v>
      </c>
      <c r="N1363" s="0" t="s">
        <v>124</v>
      </c>
      <c r="P1363" s="0" t="s">
        <v>204</v>
      </c>
      <c r="Q1363" s="0" t="s">
        <v>204</v>
      </c>
      <c r="R1363" s="0" t="s">
        <v>657</v>
      </c>
      <c r="S1363" s="0" t="s">
        <v>21</v>
      </c>
      <c r="T1363" s="0" t="s">
        <v>104</v>
      </c>
      <c r="W1363" s="0" t="s">
        <v>105</v>
      </c>
      <c r="Z1363" s="0" t="s">
        <v>2546</v>
      </c>
    </row>
    <row r="1364" customFormat="false" ht="15" hidden="false" customHeight="false" outlineLevel="0" collapsed="false">
      <c r="A1364" s="0" t="s">
        <v>21</v>
      </c>
      <c r="B1364" s="0" t="s">
        <v>4678</v>
      </c>
      <c r="C1364" s="0" t="s">
        <v>200</v>
      </c>
      <c r="E1364" s="0" t="s">
        <v>4679</v>
      </c>
      <c r="H1364" s="0" t="s">
        <v>4680</v>
      </c>
      <c r="I1364" s="0" t="s">
        <v>4681</v>
      </c>
      <c r="J1364" s="0" t="s">
        <v>275</v>
      </c>
      <c r="K1364" s="0" t="s">
        <v>4682</v>
      </c>
      <c r="M1364" s="0" t="s">
        <v>178</v>
      </c>
      <c r="N1364" s="0" t="s">
        <v>124</v>
      </c>
      <c r="P1364" s="0" t="s">
        <v>346</v>
      </c>
      <c r="Q1364" s="0" t="s">
        <v>346</v>
      </c>
      <c r="R1364" s="0" t="s">
        <v>347</v>
      </c>
      <c r="S1364" s="0" t="s">
        <v>21</v>
      </c>
      <c r="T1364" s="0" t="s">
        <v>104</v>
      </c>
      <c r="W1364" s="0" t="s">
        <v>105</v>
      </c>
      <c r="X1364" s="0" t="s">
        <v>4683</v>
      </c>
      <c r="Y1364" s="0" t="s">
        <v>4684</v>
      </c>
      <c r="Z1364" s="0" t="s">
        <v>2546</v>
      </c>
    </row>
    <row r="1365" customFormat="false" ht="15" hidden="false" customHeight="false" outlineLevel="0" collapsed="false">
      <c r="A1365" s="0" t="s">
        <v>21</v>
      </c>
      <c r="B1365" s="0" t="s">
        <v>4685</v>
      </c>
      <c r="C1365" s="0" t="s">
        <v>97</v>
      </c>
      <c r="E1365" s="0" t="s">
        <v>4686</v>
      </c>
      <c r="G1365" s="0" t="s">
        <v>4687</v>
      </c>
      <c r="H1365" s="0" t="s">
        <v>4688</v>
      </c>
      <c r="I1365" s="0" t="s">
        <v>2678</v>
      </c>
      <c r="J1365" s="0" t="s">
        <v>247</v>
      </c>
      <c r="K1365" s="0" t="s">
        <v>2679</v>
      </c>
      <c r="L1365" s="0" t="s">
        <v>124</v>
      </c>
      <c r="M1365" s="0" t="s">
        <v>247</v>
      </c>
      <c r="N1365" s="0" t="s">
        <v>124</v>
      </c>
      <c r="P1365" s="0" t="s">
        <v>130</v>
      </c>
      <c r="Q1365" s="0" t="s">
        <v>130</v>
      </c>
      <c r="R1365" s="0" t="s">
        <v>113</v>
      </c>
      <c r="S1365" s="0" t="s">
        <v>21</v>
      </c>
      <c r="T1365" s="0" t="s">
        <v>104</v>
      </c>
      <c r="W1365" s="0" t="s">
        <v>105</v>
      </c>
      <c r="X1365" s="0" t="s">
        <v>4689</v>
      </c>
      <c r="Y1365" s="0" t="s">
        <v>4690</v>
      </c>
      <c r="Z1365" s="0" t="s">
        <v>134</v>
      </c>
    </row>
    <row r="1366" customFormat="false" ht="15" hidden="false" customHeight="false" outlineLevel="0" collapsed="false">
      <c r="A1366" s="0" t="s">
        <v>21</v>
      </c>
      <c r="B1366" s="0" t="s">
        <v>4691</v>
      </c>
      <c r="C1366" s="0" t="s">
        <v>372</v>
      </c>
      <c r="D1366" s="0" t="s">
        <v>4692</v>
      </c>
      <c r="E1366" s="0" t="s">
        <v>4693</v>
      </c>
      <c r="H1366" s="0" t="s">
        <v>4694</v>
      </c>
      <c r="I1366" s="0" t="s">
        <v>4695</v>
      </c>
      <c r="J1366" s="0" t="s">
        <v>254</v>
      </c>
      <c r="K1366" s="0" t="s">
        <v>4696</v>
      </c>
      <c r="L1366" s="0" t="s">
        <v>124</v>
      </c>
      <c r="M1366" s="0" t="s">
        <v>208</v>
      </c>
      <c r="N1366" s="0" t="s">
        <v>124</v>
      </c>
      <c r="P1366" s="0" t="s">
        <v>379</v>
      </c>
      <c r="Q1366" s="0" t="s">
        <v>379</v>
      </c>
      <c r="R1366" s="0" t="s">
        <v>379</v>
      </c>
      <c r="S1366" s="0" t="s">
        <v>21</v>
      </c>
      <c r="T1366" s="0" t="s">
        <v>104</v>
      </c>
      <c r="W1366" s="0" t="s">
        <v>183</v>
      </c>
      <c r="X1366" s="0" t="s">
        <v>4697</v>
      </c>
      <c r="Y1366" s="0" t="s">
        <v>4698</v>
      </c>
      <c r="Z1366" s="0" t="s">
        <v>382</v>
      </c>
      <c r="AB1366" s="0" t="s">
        <v>760</v>
      </c>
    </row>
    <row r="1367" customFormat="false" ht="15" hidden="false" customHeight="false" outlineLevel="0" collapsed="false">
      <c r="A1367" s="0" t="s">
        <v>21</v>
      </c>
      <c r="B1367" s="0" t="s">
        <v>4691</v>
      </c>
      <c r="C1367" s="0" t="s">
        <v>372</v>
      </c>
      <c r="D1367" s="0" t="s">
        <v>4692</v>
      </c>
      <c r="E1367" s="0" t="s">
        <v>4693</v>
      </c>
      <c r="H1367" s="0" t="s">
        <v>4694</v>
      </c>
      <c r="I1367" s="0" t="s">
        <v>4695</v>
      </c>
      <c r="J1367" s="0" t="s">
        <v>254</v>
      </c>
      <c r="K1367" s="0" t="s">
        <v>4696</v>
      </c>
      <c r="L1367" s="0" t="s">
        <v>124</v>
      </c>
      <c r="M1367" s="0" t="s">
        <v>208</v>
      </c>
      <c r="N1367" s="0" t="s">
        <v>124</v>
      </c>
      <c r="P1367" s="0" t="s">
        <v>102</v>
      </c>
      <c r="Q1367" s="0" t="s">
        <v>102</v>
      </c>
      <c r="R1367" s="0" t="s">
        <v>113</v>
      </c>
      <c r="S1367" s="0" t="s">
        <v>21</v>
      </c>
      <c r="T1367" s="0" t="s">
        <v>104</v>
      </c>
      <c r="W1367" s="0" t="s">
        <v>105</v>
      </c>
      <c r="X1367" s="0" t="s">
        <v>4697</v>
      </c>
      <c r="Y1367" s="0" t="s">
        <v>4698</v>
      </c>
      <c r="Z1367" s="0" t="s">
        <v>382</v>
      </c>
      <c r="AB1367" s="0" t="s">
        <v>760</v>
      </c>
    </row>
    <row r="1368" customFormat="false" ht="15" hidden="false" customHeight="false" outlineLevel="0" collapsed="false">
      <c r="A1368" s="0" t="s">
        <v>21</v>
      </c>
      <c r="B1368" s="0" t="s">
        <v>4699</v>
      </c>
      <c r="C1368" s="0" t="s">
        <v>97</v>
      </c>
      <c r="D1368" s="0" t="s">
        <v>2807</v>
      </c>
      <c r="E1368" s="0" t="s">
        <v>4700</v>
      </c>
      <c r="F1368" s="0" t="s">
        <v>4700</v>
      </c>
      <c r="H1368" s="0" t="s">
        <v>4701</v>
      </c>
      <c r="I1368" s="0" t="s">
        <v>4701</v>
      </c>
      <c r="J1368" s="0" t="s">
        <v>157</v>
      </c>
      <c r="K1368" s="0" t="s">
        <v>4702</v>
      </c>
      <c r="M1368" s="0" t="s">
        <v>232</v>
      </c>
      <c r="N1368" s="0" t="s">
        <v>124</v>
      </c>
      <c r="P1368" s="0" t="s">
        <v>204</v>
      </c>
      <c r="Q1368" s="0" t="s">
        <v>204</v>
      </c>
      <c r="R1368" s="0" t="s">
        <v>131</v>
      </c>
      <c r="S1368" s="0" t="s">
        <v>21</v>
      </c>
      <c r="T1368" s="0" t="s">
        <v>104</v>
      </c>
      <c r="W1368" s="0" t="s">
        <v>105</v>
      </c>
      <c r="X1368" s="0" t="s">
        <v>4703</v>
      </c>
      <c r="Y1368" s="0" t="s">
        <v>4704</v>
      </c>
      <c r="Z1368" s="0" t="s">
        <v>134</v>
      </c>
    </row>
    <row r="1369" customFormat="false" ht="15" hidden="false" customHeight="false" outlineLevel="0" collapsed="false">
      <c r="A1369" s="0" t="s">
        <v>21</v>
      </c>
      <c r="B1369" s="0" t="s">
        <v>4699</v>
      </c>
      <c r="C1369" s="0" t="s">
        <v>97</v>
      </c>
      <c r="D1369" s="0" t="s">
        <v>2807</v>
      </c>
      <c r="E1369" s="0" t="s">
        <v>4700</v>
      </c>
      <c r="F1369" s="0" t="s">
        <v>4700</v>
      </c>
      <c r="H1369" s="0" t="s">
        <v>4701</v>
      </c>
      <c r="I1369" s="0" t="s">
        <v>4701</v>
      </c>
      <c r="J1369" s="0" t="s">
        <v>157</v>
      </c>
      <c r="K1369" s="0" t="s">
        <v>4702</v>
      </c>
      <c r="M1369" s="0" t="s">
        <v>232</v>
      </c>
      <c r="N1369" s="0" t="s">
        <v>124</v>
      </c>
      <c r="P1369" s="0" t="s">
        <v>554</v>
      </c>
      <c r="Q1369" s="0" t="s">
        <v>554</v>
      </c>
      <c r="R1369" s="0" t="s">
        <v>554</v>
      </c>
      <c r="S1369" s="0" t="s">
        <v>21</v>
      </c>
      <c r="T1369" s="0" t="s">
        <v>104</v>
      </c>
      <c r="W1369" s="0" t="s">
        <v>183</v>
      </c>
      <c r="X1369" s="0" t="s">
        <v>4703</v>
      </c>
      <c r="Y1369" s="0" t="s">
        <v>4704</v>
      </c>
      <c r="Z1369" s="0" t="s">
        <v>134</v>
      </c>
    </row>
    <row r="1370" customFormat="false" ht="15" hidden="false" customHeight="false" outlineLevel="0" collapsed="false">
      <c r="A1370" s="0" t="s">
        <v>21</v>
      </c>
      <c r="B1370" s="0" t="s">
        <v>4705</v>
      </c>
      <c r="C1370" s="0" t="s">
        <v>97</v>
      </c>
      <c r="D1370" s="0" t="s">
        <v>2807</v>
      </c>
      <c r="E1370" s="0" t="s">
        <v>4706</v>
      </c>
      <c r="F1370" s="0" t="s">
        <v>4706</v>
      </c>
      <c r="H1370" s="0" t="s">
        <v>4707</v>
      </c>
      <c r="I1370" s="0" t="s">
        <v>4707</v>
      </c>
      <c r="J1370" s="0" t="s">
        <v>157</v>
      </c>
      <c r="K1370" s="0" t="s">
        <v>4708</v>
      </c>
      <c r="M1370" s="0" t="s">
        <v>232</v>
      </c>
      <c r="N1370" s="0" t="s">
        <v>124</v>
      </c>
      <c r="P1370" s="0" t="s">
        <v>204</v>
      </c>
      <c r="Q1370" s="0" t="s">
        <v>204</v>
      </c>
      <c r="R1370" s="0" t="s">
        <v>131</v>
      </c>
      <c r="S1370" s="0" t="s">
        <v>21</v>
      </c>
      <c r="T1370" s="0" t="s">
        <v>104</v>
      </c>
      <c r="W1370" s="0" t="s">
        <v>105</v>
      </c>
      <c r="X1370" s="0" t="s">
        <v>4709</v>
      </c>
      <c r="Y1370" s="0" t="s">
        <v>4710</v>
      </c>
      <c r="Z1370" s="0" t="s">
        <v>134</v>
      </c>
    </row>
    <row r="1371" customFormat="false" ht="15" hidden="false" customHeight="false" outlineLevel="0" collapsed="false">
      <c r="A1371" s="0" t="s">
        <v>21</v>
      </c>
      <c r="B1371" s="0" t="s">
        <v>4705</v>
      </c>
      <c r="C1371" s="0" t="s">
        <v>97</v>
      </c>
      <c r="D1371" s="0" t="s">
        <v>2807</v>
      </c>
      <c r="E1371" s="0" t="s">
        <v>4706</v>
      </c>
      <c r="F1371" s="0" t="s">
        <v>4706</v>
      </c>
      <c r="H1371" s="0" t="s">
        <v>4707</v>
      </c>
      <c r="I1371" s="0" t="s">
        <v>4707</v>
      </c>
      <c r="J1371" s="0" t="s">
        <v>157</v>
      </c>
      <c r="K1371" s="0" t="s">
        <v>4708</v>
      </c>
      <c r="M1371" s="0" t="s">
        <v>232</v>
      </c>
      <c r="N1371" s="0" t="s">
        <v>124</v>
      </c>
      <c r="P1371" s="0" t="s">
        <v>554</v>
      </c>
      <c r="Q1371" s="0" t="s">
        <v>554</v>
      </c>
      <c r="R1371" s="0" t="s">
        <v>554</v>
      </c>
      <c r="S1371" s="0" t="s">
        <v>21</v>
      </c>
      <c r="T1371" s="0" t="s">
        <v>104</v>
      </c>
      <c r="W1371" s="0" t="s">
        <v>183</v>
      </c>
      <c r="X1371" s="0" t="s">
        <v>4709</v>
      </c>
      <c r="Y1371" s="0" t="s">
        <v>4710</v>
      </c>
      <c r="Z1371" s="0" t="s">
        <v>134</v>
      </c>
    </row>
    <row r="1372" customFormat="false" ht="28.35" hidden="false" customHeight="false" outlineLevel="0" collapsed="false">
      <c r="A1372" s="0" t="s">
        <v>21</v>
      </c>
      <c r="B1372" s="0" t="s">
        <v>4711</v>
      </c>
      <c r="C1372" s="0" t="s">
        <v>97</v>
      </c>
      <c r="D1372" s="0" t="s">
        <v>2807</v>
      </c>
      <c r="E1372" s="0" t="s">
        <v>4712</v>
      </c>
      <c r="G1372" s="9" t="s">
        <v>4713</v>
      </c>
      <c r="M1372" s="0" t="s">
        <v>232</v>
      </c>
      <c r="N1372" s="0" t="s">
        <v>124</v>
      </c>
      <c r="P1372" s="0" t="s">
        <v>204</v>
      </c>
      <c r="Q1372" s="0" t="s">
        <v>204</v>
      </c>
      <c r="R1372" s="0" t="s">
        <v>131</v>
      </c>
      <c r="S1372" s="0" t="s">
        <v>21</v>
      </c>
      <c r="T1372" s="0" t="s">
        <v>104</v>
      </c>
      <c r="W1372" s="0" t="s">
        <v>105</v>
      </c>
      <c r="X1372" s="0" t="s">
        <v>4709</v>
      </c>
      <c r="Y1372" s="0" t="s">
        <v>4710</v>
      </c>
      <c r="Z1372" s="0" t="s">
        <v>134</v>
      </c>
    </row>
    <row r="1373" customFormat="false" ht="28.35" hidden="false" customHeight="false" outlineLevel="0" collapsed="false">
      <c r="A1373" s="0" t="s">
        <v>21</v>
      </c>
      <c r="B1373" s="0" t="s">
        <v>4711</v>
      </c>
      <c r="C1373" s="0" t="s">
        <v>97</v>
      </c>
      <c r="D1373" s="0" t="s">
        <v>2807</v>
      </c>
      <c r="E1373" s="0" t="s">
        <v>4712</v>
      </c>
      <c r="G1373" s="9" t="s">
        <v>4713</v>
      </c>
      <c r="M1373" s="0" t="s">
        <v>232</v>
      </c>
      <c r="N1373" s="0" t="s">
        <v>124</v>
      </c>
      <c r="P1373" s="0" t="s">
        <v>554</v>
      </c>
      <c r="Q1373" s="0" t="s">
        <v>554</v>
      </c>
      <c r="R1373" s="0" t="s">
        <v>554</v>
      </c>
      <c r="S1373" s="0" t="s">
        <v>21</v>
      </c>
      <c r="T1373" s="0" t="s">
        <v>104</v>
      </c>
      <c r="W1373" s="0" t="s">
        <v>183</v>
      </c>
      <c r="X1373" s="0" t="s">
        <v>4709</v>
      </c>
      <c r="Y1373" s="0" t="s">
        <v>4710</v>
      </c>
      <c r="Z1373" s="0" t="s">
        <v>134</v>
      </c>
    </row>
    <row r="1374" customFormat="false" ht="15" hidden="false" customHeight="false" outlineLevel="0" collapsed="false">
      <c r="A1374" s="0" t="s">
        <v>21</v>
      </c>
      <c r="B1374" s="0" t="s">
        <v>4714</v>
      </c>
      <c r="C1374" s="0" t="s">
        <v>97</v>
      </c>
      <c r="D1374" s="0" t="s">
        <v>4715</v>
      </c>
      <c r="E1374" s="0" t="s">
        <v>4716</v>
      </c>
      <c r="F1374" s="0" t="s">
        <v>4716</v>
      </c>
      <c r="H1374" s="0" t="s">
        <v>157</v>
      </c>
      <c r="I1374" s="0" t="s">
        <v>157</v>
      </c>
      <c r="J1374" s="0" t="s">
        <v>157</v>
      </c>
      <c r="M1374" s="0" t="s">
        <v>232</v>
      </c>
      <c r="N1374" s="0" t="s">
        <v>124</v>
      </c>
      <c r="P1374" s="0" t="s">
        <v>204</v>
      </c>
      <c r="Q1374" s="0" t="s">
        <v>204</v>
      </c>
      <c r="R1374" s="0" t="s">
        <v>131</v>
      </c>
      <c r="S1374" s="0" t="s">
        <v>21</v>
      </c>
      <c r="T1374" s="0" t="s">
        <v>104</v>
      </c>
      <c r="W1374" s="0" t="s">
        <v>105</v>
      </c>
      <c r="X1374" s="0" t="s">
        <v>4717</v>
      </c>
      <c r="Y1374" s="0" t="s">
        <v>4718</v>
      </c>
      <c r="Z1374" s="0" t="s">
        <v>134</v>
      </c>
    </row>
    <row r="1375" customFormat="false" ht="15" hidden="false" customHeight="false" outlineLevel="0" collapsed="false">
      <c r="A1375" s="0" t="s">
        <v>21</v>
      </c>
      <c r="B1375" s="0" t="s">
        <v>4714</v>
      </c>
      <c r="C1375" s="0" t="s">
        <v>97</v>
      </c>
      <c r="D1375" s="0" t="s">
        <v>4715</v>
      </c>
      <c r="E1375" s="0" t="s">
        <v>4716</v>
      </c>
      <c r="F1375" s="0" t="s">
        <v>4716</v>
      </c>
      <c r="H1375" s="0" t="s">
        <v>157</v>
      </c>
      <c r="I1375" s="0" t="s">
        <v>157</v>
      </c>
      <c r="J1375" s="0" t="s">
        <v>157</v>
      </c>
      <c r="M1375" s="0" t="s">
        <v>232</v>
      </c>
      <c r="N1375" s="0" t="s">
        <v>124</v>
      </c>
      <c r="P1375" s="0" t="s">
        <v>554</v>
      </c>
      <c r="Q1375" s="0" t="s">
        <v>554</v>
      </c>
      <c r="R1375" s="0" t="s">
        <v>554</v>
      </c>
      <c r="S1375" s="0" t="s">
        <v>21</v>
      </c>
      <c r="T1375" s="0" t="s">
        <v>104</v>
      </c>
      <c r="W1375" s="0" t="s">
        <v>183</v>
      </c>
      <c r="X1375" s="0" t="s">
        <v>4717</v>
      </c>
      <c r="Y1375" s="0" t="s">
        <v>4718</v>
      </c>
      <c r="Z1375" s="0" t="s">
        <v>134</v>
      </c>
    </row>
    <row r="1376" customFormat="false" ht="82.05" hidden="false" customHeight="false" outlineLevel="0" collapsed="false">
      <c r="A1376" s="0" t="s">
        <v>21</v>
      </c>
      <c r="B1376" s="0" t="s">
        <v>4719</v>
      </c>
      <c r="C1376" s="0" t="s">
        <v>661</v>
      </c>
      <c r="D1376" s="0" t="s">
        <v>4720</v>
      </c>
      <c r="E1376" s="0" t="s">
        <v>4721</v>
      </c>
      <c r="G1376" s="9" t="s">
        <v>4722</v>
      </c>
      <c r="H1376" s="0" t="s">
        <v>254</v>
      </c>
      <c r="I1376" s="0" t="s">
        <v>254</v>
      </c>
      <c r="J1376" s="0" t="s">
        <v>254</v>
      </c>
      <c r="M1376" s="0" t="s">
        <v>208</v>
      </c>
      <c r="N1376" s="0" t="s">
        <v>124</v>
      </c>
      <c r="P1376" s="0" t="s">
        <v>102</v>
      </c>
      <c r="Q1376" s="0" t="s">
        <v>102</v>
      </c>
      <c r="R1376" s="0" t="s">
        <v>131</v>
      </c>
      <c r="S1376" s="0" t="s">
        <v>21</v>
      </c>
      <c r="T1376" s="0" t="s">
        <v>104</v>
      </c>
      <c r="W1376" s="0" t="s">
        <v>105</v>
      </c>
      <c r="X1376" s="0" t="s">
        <v>2304</v>
      </c>
      <c r="Y1376" s="0" t="s">
        <v>4723</v>
      </c>
      <c r="Z1376" s="0" t="s">
        <v>134</v>
      </c>
      <c r="AB1376" s="0" t="s">
        <v>4724</v>
      </c>
    </row>
    <row r="1377" customFormat="false" ht="15" hidden="false" customHeight="false" outlineLevel="0" collapsed="false">
      <c r="A1377" s="0" t="s">
        <v>21</v>
      </c>
      <c r="B1377" s="0" t="s">
        <v>4725</v>
      </c>
      <c r="C1377" s="0" t="s">
        <v>97</v>
      </c>
      <c r="D1377" s="0" t="s">
        <v>4726</v>
      </c>
      <c r="E1377" s="0" t="s">
        <v>4726</v>
      </c>
      <c r="M1377" s="0" t="s">
        <v>232</v>
      </c>
      <c r="N1377" s="0" t="s">
        <v>124</v>
      </c>
      <c r="P1377" s="0" t="s">
        <v>102</v>
      </c>
      <c r="Q1377" s="0" t="s">
        <v>102</v>
      </c>
      <c r="R1377" s="0" t="s">
        <v>131</v>
      </c>
      <c r="S1377" s="0" t="s">
        <v>21</v>
      </c>
      <c r="T1377" s="0" t="s">
        <v>104</v>
      </c>
      <c r="W1377" s="0" t="s">
        <v>105</v>
      </c>
      <c r="AB1377" s="0" t="s">
        <v>832</v>
      </c>
    </row>
    <row r="1378" customFormat="false" ht="15" hidden="false" customHeight="false" outlineLevel="0" collapsed="false">
      <c r="A1378" s="0" t="s">
        <v>21</v>
      </c>
      <c r="B1378" s="0" t="s">
        <v>4727</v>
      </c>
      <c r="C1378" s="0" t="s">
        <v>97</v>
      </c>
      <c r="D1378" s="0" t="s">
        <v>4728</v>
      </c>
      <c r="E1378" s="0" t="s">
        <v>4728</v>
      </c>
      <c r="F1378" s="0" t="s">
        <v>4729</v>
      </c>
      <c r="M1378" s="0" t="s">
        <v>232</v>
      </c>
      <c r="N1378" s="0" t="s">
        <v>124</v>
      </c>
      <c r="P1378" s="0" t="s">
        <v>102</v>
      </c>
      <c r="Q1378" s="0" t="s">
        <v>102</v>
      </c>
      <c r="R1378" s="0" t="s">
        <v>131</v>
      </c>
      <c r="S1378" s="0" t="s">
        <v>21</v>
      </c>
      <c r="T1378" s="0" t="s">
        <v>104</v>
      </c>
      <c r="W1378" s="0" t="s">
        <v>105</v>
      </c>
      <c r="AB1378" s="0" t="s">
        <v>832</v>
      </c>
    </row>
    <row r="1379" customFormat="false" ht="15" hidden="false" customHeight="false" outlineLevel="0" collapsed="false">
      <c r="A1379" s="0" t="s">
        <v>21</v>
      </c>
      <c r="B1379" s="0" t="s">
        <v>4730</v>
      </c>
      <c r="C1379" s="0" t="s">
        <v>97</v>
      </c>
      <c r="D1379" s="0" t="s">
        <v>4731</v>
      </c>
      <c r="E1379" s="0" t="s">
        <v>4731</v>
      </c>
      <c r="M1379" s="0" t="s">
        <v>232</v>
      </c>
      <c r="N1379" s="0" t="s">
        <v>124</v>
      </c>
      <c r="P1379" s="0" t="s">
        <v>102</v>
      </c>
      <c r="Q1379" s="0" t="s">
        <v>102</v>
      </c>
      <c r="R1379" s="0" t="s">
        <v>131</v>
      </c>
      <c r="S1379" s="0" t="s">
        <v>21</v>
      </c>
      <c r="T1379" s="0" t="s">
        <v>104</v>
      </c>
      <c r="W1379" s="0" t="s">
        <v>105</v>
      </c>
      <c r="AB1379" s="0" t="s">
        <v>832</v>
      </c>
    </row>
    <row r="1380" customFormat="false" ht="15" hidden="false" customHeight="false" outlineLevel="0" collapsed="false">
      <c r="A1380" s="0" t="s">
        <v>21</v>
      </c>
      <c r="B1380" s="0" t="s">
        <v>4732</v>
      </c>
      <c r="C1380" s="0" t="s">
        <v>97</v>
      </c>
      <c r="D1380" s="0" t="s">
        <v>4733</v>
      </c>
      <c r="E1380" s="0" t="s">
        <v>4733</v>
      </c>
      <c r="M1380" s="0" t="s">
        <v>232</v>
      </c>
      <c r="N1380" s="0" t="s">
        <v>124</v>
      </c>
      <c r="P1380" s="0" t="s">
        <v>102</v>
      </c>
      <c r="Q1380" s="0" t="s">
        <v>102</v>
      </c>
      <c r="R1380" s="0" t="s">
        <v>131</v>
      </c>
      <c r="S1380" s="0" t="s">
        <v>21</v>
      </c>
      <c r="T1380" s="0" t="s">
        <v>104</v>
      </c>
      <c r="W1380" s="0" t="s">
        <v>105</v>
      </c>
      <c r="AB1380" s="0" t="s">
        <v>832</v>
      </c>
    </row>
    <row r="1381" customFormat="false" ht="15" hidden="false" customHeight="false" outlineLevel="0" collapsed="false">
      <c r="A1381" s="0" t="s">
        <v>21</v>
      </c>
      <c r="B1381" s="0" t="s">
        <v>4734</v>
      </c>
      <c r="C1381" s="0" t="s">
        <v>97</v>
      </c>
      <c r="D1381" s="0" t="s">
        <v>4735</v>
      </c>
      <c r="E1381" s="0" t="s">
        <v>4735</v>
      </c>
      <c r="M1381" s="0" t="s">
        <v>100</v>
      </c>
      <c r="N1381" s="0" t="s">
        <v>101</v>
      </c>
      <c r="P1381" s="0" t="s">
        <v>102</v>
      </c>
      <c r="Q1381" s="0" t="s">
        <v>102</v>
      </c>
      <c r="R1381" s="0" t="s">
        <v>131</v>
      </c>
      <c r="S1381" s="0" t="s">
        <v>21</v>
      </c>
      <c r="T1381" s="0" t="s">
        <v>104</v>
      </c>
      <c r="W1381" s="0" t="s">
        <v>105</v>
      </c>
      <c r="AB1381" s="0" t="s">
        <v>832</v>
      </c>
    </row>
    <row r="1382" customFormat="false" ht="15" hidden="false" customHeight="false" outlineLevel="0" collapsed="false">
      <c r="A1382" s="0" t="s">
        <v>21</v>
      </c>
      <c r="B1382" s="0" t="s">
        <v>4736</v>
      </c>
      <c r="C1382" s="0" t="s">
        <v>97</v>
      </c>
      <c r="D1382" s="0" t="s">
        <v>4737</v>
      </c>
      <c r="E1382" s="0" t="s">
        <v>4737</v>
      </c>
      <c r="M1382" s="0" t="s">
        <v>100</v>
      </c>
      <c r="N1382" s="0" t="s">
        <v>101</v>
      </c>
      <c r="P1382" s="0" t="s">
        <v>102</v>
      </c>
      <c r="Q1382" s="0" t="s">
        <v>102</v>
      </c>
      <c r="R1382" s="0" t="s">
        <v>131</v>
      </c>
      <c r="S1382" s="0" t="s">
        <v>21</v>
      </c>
      <c r="T1382" s="0" t="s">
        <v>104</v>
      </c>
      <c r="W1382" s="0" t="s">
        <v>105</v>
      </c>
      <c r="AB1382" s="0" t="s">
        <v>832</v>
      </c>
    </row>
    <row r="1383" customFormat="false" ht="15" hidden="false" customHeight="false" outlineLevel="0" collapsed="false">
      <c r="A1383" s="0" t="s">
        <v>21</v>
      </c>
      <c r="B1383" s="0" t="s">
        <v>4738</v>
      </c>
      <c r="C1383" s="0" t="s">
        <v>97</v>
      </c>
      <c r="D1383" s="0" t="s">
        <v>4739</v>
      </c>
      <c r="E1383" s="0" t="s">
        <v>4739</v>
      </c>
      <c r="M1383" s="0" t="s">
        <v>100</v>
      </c>
      <c r="N1383" s="0" t="s">
        <v>101</v>
      </c>
      <c r="P1383" s="0" t="s">
        <v>102</v>
      </c>
      <c r="Q1383" s="0" t="s">
        <v>102</v>
      </c>
      <c r="R1383" s="0" t="s">
        <v>131</v>
      </c>
      <c r="S1383" s="0" t="s">
        <v>21</v>
      </c>
      <c r="T1383" s="0" t="s">
        <v>104</v>
      </c>
      <c r="W1383" s="0" t="s">
        <v>105</v>
      </c>
      <c r="AB1383" s="0" t="s">
        <v>832</v>
      </c>
    </row>
    <row r="1384" customFormat="false" ht="15" hidden="false" customHeight="false" outlineLevel="0" collapsed="false">
      <c r="A1384" s="0" t="s">
        <v>21</v>
      </c>
      <c r="B1384" s="0" t="s">
        <v>4740</v>
      </c>
      <c r="C1384" s="0" t="s">
        <v>110</v>
      </c>
      <c r="D1384" s="0" t="s">
        <v>4741</v>
      </c>
      <c r="E1384" s="0" t="s">
        <v>4742</v>
      </c>
      <c r="G1384" s="0" t="s">
        <v>4743</v>
      </c>
      <c r="H1384" s="0" t="s">
        <v>4744</v>
      </c>
      <c r="I1384" s="0" t="s">
        <v>4743</v>
      </c>
      <c r="J1384" s="0" t="s">
        <v>275</v>
      </c>
      <c r="K1384" s="0" t="s">
        <v>4745</v>
      </c>
      <c r="L1384" s="0" t="s">
        <v>124</v>
      </c>
      <c r="M1384" s="0" t="s">
        <v>4743</v>
      </c>
      <c r="N1384" s="0" t="s">
        <v>124</v>
      </c>
      <c r="P1384" s="0" t="s">
        <v>102</v>
      </c>
      <c r="Q1384" s="0" t="s">
        <v>102</v>
      </c>
      <c r="R1384" s="0" t="s">
        <v>131</v>
      </c>
      <c r="S1384" s="0" t="s">
        <v>21</v>
      </c>
      <c r="T1384" s="0" t="s">
        <v>104</v>
      </c>
      <c r="W1384" s="0" t="s">
        <v>105</v>
      </c>
      <c r="X1384" s="0" t="s">
        <v>4746</v>
      </c>
      <c r="Y1384" s="0" t="s">
        <v>4747</v>
      </c>
      <c r="Z1384" s="0" t="s">
        <v>4748</v>
      </c>
      <c r="AB1384" s="0" t="s">
        <v>114</v>
      </c>
    </row>
    <row r="1385" customFormat="false" ht="15" hidden="false" customHeight="false" outlineLevel="0" collapsed="false">
      <c r="A1385" s="0" t="s">
        <v>21</v>
      </c>
      <c r="B1385" s="0" t="s">
        <v>4749</v>
      </c>
      <c r="C1385" s="0" t="s">
        <v>97</v>
      </c>
      <c r="D1385" s="0" t="s">
        <v>4750</v>
      </c>
      <c r="E1385" s="0" t="s">
        <v>4751</v>
      </c>
      <c r="G1385" s="0" t="s">
        <v>3392</v>
      </c>
      <c r="H1385" s="0" t="s">
        <v>3256</v>
      </c>
      <c r="I1385" s="0" t="s">
        <v>655</v>
      </c>
      <c r="J1385" s="0" t="s">
        <v>100</v>
      </c>
      <c r="K1385" s="0" t="s">
        <v>168</v>
      </c>
      <c r="L1385" s="0" t="s">
        <v>101</v>
      </c>
      <c r="M1385" s="0" t="s">
        <v>656</v>
      </c>
      <c r="N1385" s="0" t="s">
        <v>101</v>
      </c>
      <c r="P1385" s="0" t="s">
        <v>102</v>
      </c>
      <c r="Q1385" s="0" t="s">
        <v>102</v>
      </c>
      <c r="R1385" s="0" t="s">
        <v>137</v>
      </c>
      <c r="S1385" s="0" t="s">
        <v>21</v>
      </c>
      <c r="T1385" s="0" t="s">
        <v>104</v>
      </c>
      <c r="W1385" s="0" t="s">
        <v>105</v>
      </c>
      <c r="X1385" s="0" t="s">
        <v>3258</v>
      </c>
      <c r="Y1385" s="0" t="s">
        <v>3259</v>
      </c>
      <c r="Z1385" s="0" t="s">
        <v>159</v>
      </c>
      <c r="AA1385" s="0" t="s">
        <v>172</v>
      </c>
    </row>
    <row r="1386" customFormat="false" ht="15" hidden="false" customHeight="false" outlineLevel="0" collapsed="false">
      <c r="A1386" s="0" t="s">
        <v>21</v>
      </c>
      <c r="B1386" s="0" t="s">
        <v>4752</v>
      </c>
      <c r="C1386" s="0" t="s">
        <v>97</v>
      </c>
      <c r="D1386" s="0" t="s">
        <v>4753</v>
      </c>
      <c r="E1386" s="0" t="s">
        <v>2433</v>
      </c>
      <c r="G1386" s="0" t="s">
        <v>3392</v>
      </c>
      <c r="H1386" s="0" t="s">
        <v>3256</v>
      </c>
      <c r="I1386" s="0" t="s">
        <v>655</v>
      </c>
      <c r="J1386" s="0" t="s">
        <v>100</v>
      </c>
      <c r="K1386" s="0" t="s">
        <v>1565</v>
      </c>
      <c r="L1386" s="0" t="s">
        <v>101</v>
      </c>
      <c r="M1386" s="0" t="s">
        <v>656</v>
      </c>
      <c r="N1386" s="0" t="s">
        <v>101</v>
      </c>
      <c r="P1386" s="0" t="s">
        <v>102</v>
      </c>
      <c r="Q1386" s="0" t="s">
        <v>102</v>
      </c>
      <c r="R1386" s="0" t="s">
        <v>137</v>
      </c>
      <c r="S1386" s="0" t="s">
        <v>21</v>
      </c>
      <c r="T1386" s="0" t="s">
        <v>104</v>
      </c>
      <c r="W1386" s="0" t="s">
        <v>105</v>
      </c>
      <c r="X1386" s="0" t="s">
        <v>3258</v>
      </c>
      <c r="Y1386" s="0" t="s">
        <v>3259</v>
      </c>
      <c r="Z1386" s="0" t="s">
        <v>159</v>
      </c>
      <c r="AA1386" s="0" t="s">
        <v>172</v>
      </c>
    </row>
    <row r="1387" customFormat="false" ht="15" hidden="false" customHeight="false" outlineLevel="0" collapsed="false">
      <c r="A1387" s="0" t="s">
        <v>21</v>
      </c>
      <c r="B1387" s="0" t="s">
        <v>4754</v>
      </c>
      <c r="C1387" s="0" t="s">
        <v>97</v>
      </c>
      <c r="D1387" s="0" t="s">
        <v>4755</v>
      </c>
      <c r="E1387" s="0" t="s">
        <v>4756</v>
      </c>
      <c r="G1387" s="0" t="s">
        <v>3392</v>
      </c>
      <c r="H1387" s="0" t="s">
        <v>3256</v>
      </c>
      <c r="I1387" s="0" t="s">
        <v>655</v>
      </c>
      <c r="J1387" s="0" t="s">
        <v>100</v>
      </c>
      <c r="K1387" s="0" t="s">
        <v>168</v>
      </c>
      <c r="L1387" s="0" t="s">
        <v>101</v>
      </c>
      <c r="M1387" s="0" t="s">
        <v>656</v>
      </c>
      <c r="N1387" s="0" t="s">
        <v>101</v>
      </c>
      <c r="P1387" s="0" t="s">
        <v>102</v>
      </c>
      <c r="Q1387" s="0" t="s">
        <v>102</v>
      </c>
      <c r="R1387" s="0" t="s">
        <v>137</v>
      </c>
      <c r="S1387" s="0" t="s">
        <v>21</v>
      </c>
      <c r="T1387" s="0" t="s">
        <v>104</v>
      </c>
      <c r="W1387" s="0" t="s">
        <v>105</v>
      </c>
      <c r="X1387" s="0" t="s">
        <v>3258</v>
      </c>
      <c r="Y1387" s="0" t="s">
        <v>3259</v>
      </c>
      <c r="Z1387" s="0" t="s">
        <v>159</v>
      </c>
      <c r="AA1387" s="0" t="s">
        <v>172</v>
      </c>
    </row>
    <row r="1388" customFormat="false" ht="15" hidden="false" customHeight="false" outlineLevel="0" collapsed="false">
      <c r="A1388" s="0" t="s">
        <v>21</v>
      </c>
      <c r="B1388" s="0" t="s">
        <v>4757</v>
      </c>
      <c r="C1388" s="0" t="s">
        <v>97</v>
      </c>
      <c r="D1388" s="0" t="s">
        <v>4758</v>
      </c>
      <c r="E1388" s="0" t="s">
        <v>4759</v>
      </c>
      <c r="F1388" s="0" t="s">
        <v>4759</v>
      </c>
      <c r="G1388" s="0" t="s">
        <v>3392</v>
      </c>
      <c r="H1388" s="0" t="s">
        <v>3256</v>
      </c>
      <c r="I1388" s="0" t="s">
        <v>655</v>
      </c>
      <c r="J1388" s="0" t="s">
        <v>100</v>
      </c>
      <c r="K1388" s="0" t="s">
        <v>1246</v>
      </c>
      <c r="L1388" s="0" t="s">
        <v>101</v>
      </c>
      <c r="M1388" s="0" t="s">
        <v>656</v>
      </c>
      <c r="N1388" s="0" t="s">
        <v>101</v>
      </c>
      <c r="P1388" s="0" t="s">
        <v>102</v>
      </c>
      <c r="Q1388" s="0" t="s">
        <v>102</v>
      </c>
      <c r="R1388" s="0" t="s">
        <v>137</v>
      </c>
      <c r="S1388" s="0" t="s">
        <v>21</v>
      </c>
      <c r="T1388" s="0" t="s">
        <v>104</v>
      </c>
      <c r="W1388" s="0" t="s">
        <v>105</v>
      </c>
      <c r="X1388" s="0" t="s">
        <v>3258</v>
      </c>
      <c r="Y1388" s="0" t="s">
        <v>3259</v>
      </c>
      <c r="Z1388" s="0" t="s">
        <v>159</v>
      </c>
      <c r="AA1388" s="0" t="s">
        <v>172</v>
      </c>
    </row>
    <row r="1389" customFormat="false" ht="15" hidden="false" customHeight="false" outlineLevel="0" collapsed="false">
      <c r="A1389" s="0" t="s">
        <v>21</v>
      </c>
      <c r="B1389" s="0" t="s">
        <v>4760</v>
      </c>
      <c r="C1389" s="0" t="s">
        <v>139</v>
      </c>
      <c r="D1389" s="0" t="s">
        <v>4761</v>
      </c>
      <c r="E1389" s="0" t="s">
        <v>4762</v>
      </c>
      <c r="G1389" s="0" t="s">
        <v>4763</v>
      </c>
      <c r="M1389" s="0" t="s">
        <v>442</v>
      </c>
      <c r="N1389" s="0" t="s">
        <v>101</v>
      </c>
      <c r="P1389" s="0" t="s">
        <v>102</v>
      </c>
      <c r="Q1389" s="0" t="s">
        <v>102</v>
      </c>
      <c r="R1389" s="0" t="s">
        <v>144</v>
      </c>
      <c r="S1389" s="0" t="s">
        <v>21</v>
      </c>
      <c r="T1389" s="0" t="s">
        <v>104</v>
      </c>
      <c r="W1389" s="0" t="s">
        <v>105</v>
      </c>
      <c r="Z1389" s="0" t="s">
        <v>171</v>
      </c>
    </row>
    <row r="1390" customFormat="false" ht="15" hidden="false" customHeight="false" outlineLevel="0" collapsed="false">
      <c r="A1390" s="0" t="s">
        <v>21</v>
      </c>
      <c r="B1390" s="0" t="s">
        <v>4764</v>
      </c>
      <c r="C1390" s="0" t="s">
        <v>97</v>
      </c>
      <c r="D1390" s="0" t="s">
        <v>4765</v>
      </c>
      <c r="E1390" s="0" t="s">
        <v>4766</v>
      </c>
      <c r="F1390" s="0" t="s">
        <v>4767</v>
      </c>
      <c r="G1390" s="0" t="s">
        <v>1176</v>
      </c>
      <c r="H1390" s="0" t="s">
        <v>3617</v>
      </c>
      <c r="I1390" s="0" t="s">
        <v>655</v>
      </c>
      <c r="J1390" s="0" t="s">
        <v>100</v>
      </c>
      <c r="K1390" s="0" t="s">
        <v>498</v>
      </c>
      <c r="L1390" s="0" t="s">
        <v>101</v>
      </c>
      <c r="M1390" s="0" t="s">
        <v>656</v>
      </c>
      <c r="N1390" s="0" t="s">
        <v>101</v>
      </c>
      <c r="P1390" s="0" t="s">
        <v>102</v>
      </c>
      <c r="Q1390" s="0" t="s">
        <v>102</v>
      </c>
      <c r="R1390" s="0" t="s">
        <v>113</v>
      </c>
      <c r="S1390" s="0" t="s">
        <v>21</v>
      </c>
      <c r="T1390" s="0" t="s">
        <v>104</v>
      </c>
      <c r="U1390" s="0" t="s">
        <v>368</v>
      </c>
      <c r="W1390" s="0" t="s">
        <v>105</v>
      </c>
      <c r="X1390" s="0" t="s">
        <v>3258</v>
      </c>
      <c r="Y1390" s="0" t="s">
        <v>3259</v>
      </c>
      <c r="Z1390" s="0" t="s">
        <v>159</v>
      </c>
      <c r="AA1390" s="0" t="s">
        <v>172</v>
      </c>
    </row>
    <row r="1391" customFormat="false" ht="15" hidden="false" customHeight="false" outlineLevel="0" collapsed="false">
      <c r="A1391" s="0" t="s">
        <v>21</v>
      </c>
      <c r="B1391" s="0" t="s">
        <v>4768</v>
      </c>
      <c r="C1391" s="0" t="s">
        <v>97</v>
      </c>
      <c r="D1391" s="0" t="s">
        <v>4769</v>
      </c>
      <c r="E1391" s="0" t="s">
        <v>4770</v>
      </c>
      <c r="G1391" s="0" t="s">
        <v>1176</v>
      </c>
      <c r="H1391" s="0" t="s">
        <v>532</v>
      </c>
      <c r="I1391" s="0" t="s">
        <v>398</v>
      </c>
      <c r="J1391" s="0" t="s">
        <v>112</v>
      </c>
      <c r="K1391" s="0" t="s">
        <v>404</v>
      </c>
      <c r="L1391" s="0" t="s">
        <v>101</v>
      </c>
      <c r="M1391" s="0" t="s">
        <v>398</v>
      </c>
      <c r="N1391" s="0" t="s">
        <v>101</v>
      </c>
      <c r="P1391" s="0" t="s">
        <v>499</v>
      </c>
      <c r="Q1391" s="0" t="s">
        <v>499</v>
      </c>
      <c r="R1391" s="0" t="s">
        <v>499</v>
      </c>
      <c r="S1391" s="0" t="s">
        <v>21</v>
      </c>
      <c r="T1391" s="0" t="s">
        <v>104</v>
      </c>
      <c r="W1391" s="0" t="s">
        <v>183</v>
      </c>
      <c r="X1391" s="0" t="s">
        <v>534</v>
      </c>
      <c r="Y1391" s="0" t="s">
        <v>535</v>
      </c>
      <c r="Z1391" s="0" t="s">
        <v>159</v>
      </c>
      <c r="AA1391" s="0" t="s">
        <v>172</v>
      </c>
    </row>
    <row r="1392" customFormat="false" ht="15" hidden="false" customHeight="false" outlineLevel="0" collapsed="false">
      <c r="A1392" s="0" t="s">
        <v>21</v>
      </c>
      <c r="B1392" s="0" t="s">
        <v>4768</v>
      </c>
      <c r="C1392" s="0" t="s">
        <v>97</v>
      </c>
      <c r="D1392" s="0" t="s">
        <v>4769</v>
      </c>
      <c r="E1392" s="0" t="s">
        <v>4770</v>
      </c>
      <c r="G1392" s="0" t="s">
        <v>1176</v>
      </c>
      <c r="H1392" s="0" t="s">
        <v>532</v>
      </c>
      <c r="I1392" s="0" t="s">
        <v>398</v>
      </c>
      <c r="J1392" s="0" t="s">
        <v>112</v>
      </c>
      <c r="K1392" s="0" t="s">
        <v>404</v>
      </c>
      <c r="L1392" s="0" t="s">
        <v>101</v>
      </c>
      <c r="M1392" s="0" t="s">
        <v>398</v>
      </c>
      <c r="N1392" s="0" t="s">
        <v>101</v>
      </c>
      <c r="P1392" s="0" t="s">
        <v>102</v>
      </c>
      <c r="Q1392" s="0" t="s">
        <v>102</v>
      </c>
      <c r="R1392" s="0" t="s">
        <v>113</v>
      </c>
      <c r="S1392" s="0" t="s">
        <v>21</v>
      </c>
      <c r="T1392" s="0" t="s">
        <v>104</v>
      </c>
      <c r="U1392" s="0" t="s">
        <v>368</v>
      </c>
      <c r="W1392" s="0" t="s">
        <v>105</v>
      </c>
      <c r="X1392" s="0" t="s">
        <v>534</v>
      </c>
      <c r="Y1392" s="0" t="s">
        <v>535</v>
      </c>
      <c r="Z1392" s="0" t="s">
        <v>159</v>
      </c>
      <c r="AA1392" s="0" t="s">
        <v>172</v>
      </c>
    </row>
    <row r="1393" customFormat="false" ht="15" hidden="false" customHeight="false" outlineLevel="0" collapsed="false">
      <c r="A1393" s="0" t="s">
        <v>21</v>
      </c>
      <c r="B1393" s="0" t="s">
        <v>4771</v>
      </c>
      <c r="C1393" s="0" t="s">
        <v>97</v>
      </c>
      <c r="D1393" s="0" t="s">
        <v>4772</v>
      </c>
      <c r="E1393" s="0" t="s">
        <v>4773</v>
      </c>
      <c r="G1393" s="0" t="s">
        <v>1176</v>
      </c>
      <c r="H1393" s="0" t="s">
        <v>532</v>
      </c>
      <c r="I1393" s="0" t="s">
        <v>398</v>
      </c>
      <c r="J1393" s="0" t="s">
        <v>112</v>
      </c>
      <c r="K1393" s="0" t="s">
        <v>168</v>
      </c>
      <c r="L1393" s="0" t="s">
        <v>101</v>
      </c>
      <c r="M1393" s="0" t="s">
        <v>398</v>
      </c>
      <c r="N1393" s="0" t="s">
        <v>101</v>
      </c>
      <c r="P1393" s="0" t="s">
        <v>499</v>
      </c>
      <c r="Q1393" s="0" t="s">
        <v>499</v>
      </c>
      <c r="R1393" s="0" t="s">
        <v>499</v>
      </c>
      <c r="S1393" s="0" t="s">
        <v>21</v>
      </c>
      <c r="T1393" s="0" t="s">
        <v>104</v>
      </c>
      <c r="W1393" s="0" t="s">
        <v>183</v>
      </c>
      <c r="X1393" s="0" t="s">
        <v>534</v>
      </c>
      <c r="Y1393" s="0" t="s">
        <v>535</v>
      </c>
      <c r="Z1393" s="0" t="s">
        <v>159</v>
      </c>
      <c r="AA1393" s="0" t="s">
        <v>172</v>
      </c>
    </row>
    <row r="1394" customFormat="false" ht="15" hidden="false" customHeight="false" outlineLevel="0" collapsed="false">
      <c r="A1394" s="0" t="s">
        <v>21</v>
      </c>
      <c r="B1394" s="0" t="s">
        <v>4771</v>
      </c>
      <c r="C1394" s="0" t="s">
        <v>97</v>
      </c>
      <c r="D1394" s="0" t="s">
        <v>4772</v>
      </c>
      <c r="E1394" s="0" t="s">
        <v>4773</v>
      </c>
      <c r="G1394" s="0" t="s">
        <v>1176</v>
      </c>
      <c r="H1394" s="0" t="s">
        <v>532</v>
      </c>
      <c r="I1394" s="0" t="s">
        <v>398</v>
      </c>
      <c r="J1394" s="0" t="s">
        <v>112</v>
      </c>
      <c r="K1394" s="0" t="s">
        <v>168</v>
      </c>
      <c r="L1394" s="0" t="s">
        <v>101</v>
      </c>
      <c r="M1394" s="0" t="s">
        <v>398</v>
      </c>
      <c r="N1394" s="0" t="s">
        <v>101</v>
      </c>
      <c r="P1394" s="0" t="s">
        <v>102</v>
      </c>
      <c r="Q1394" s="0" t="s">
        <v>102</v>
      </c>
      <c r="R1394" s="0" t="s">
        <v>113</v>
      </c>
      <c r="S1394" s="0" t="s">
        <v>21</v>
      </c>
      <c r="T1394" s="0" t="s">
        <v>104</v>
      </c>
      <c r="U1394" s="0" t="s">
        <v>368</v>
      </c>
      <c r="W1394" s="0" t="s">
        <v>105</v>
      </c>
      <c r="X1394" s="0" t="s">
        <v>534</v>
      </c>
      <c r="Y1394" s="0" t="s">
        <v>535</v>
      </c>
      <c r="Z1394" s="0" t="s">
        <v>159</v>
      </c>
      <c r="AA1394" s="0" t="s">
        <v>172</v>
      </c>
    </row>
    <row r="1395" customFormat="false" ht="15" hidden="false" customHeight="false" outlineLevel="0" collapsed="false">
      <c r="A1395" s="0" t="s">
        <v>21</v>
      </c>
      <c r="B1395" s="0" t="s">
        <v>4774</v>
      </c>
      <c r="C1395" s="0" t="s">
        <v>97</v>
      </c>
      <c r="D1395" s="0" t="s">
        <v>4775</v>
      </c>
      <c r="E1395" s="0" t="s">
        <v>4776</v>
      </c>
      <c r="G1395" s="0" t="s">
        <v>1176</v>
      </c>
      <c r="H1395" s="0" t="s">
        <v>419</v>
      </c>
      <c r="I1395" s="0" t="s">
        <v>420</v>
      </c>
      <c r="J1395" s="0" t="s">
        <v>421</v>
      </c>
      <c r="K1395" s="0" t="s">
        <v>1179</v>
      </c>
      <c r="L1395" s="0" t="s">
        <v>101</v>
      </c>
      <c r="M1395" s="0" t="s">
        <v>420</v>
      </c>
      <c r="N1395" s="0" t="s">
        <v>101</v>
      </c>
      <c r="P1395" s="0" t="s">
        <v>102</v>
      </c>
      <c r="Q1395" s="0" t="s">
        <v>102</v>
      </c>
      <c r="R1395" s="0" t="s">
        <v>113</v>
      </c>
      <c r="S1395" s="0" t="s">
        <v>21</v>
      </c>
      <c r="T1395" s="0" t="s">
        <v>104</v>
      </c>
      <c r="U1395" s="0" t="s">
        <v>368</v>
      </c>
      <c r="W1395" s="0" t="s">
        <v>105</v>
      </c>
      <c r="X1395" s="0" t="s">
        <v>423</v>
      </c>
      <c r="Y1395" s="0" t="s">
        <v>424</v>
      </c>
      <c r="Z1395" s="0" t="s">
        <v>159</v>
      </c>
      <c r="AA1395" s="0" t="s">
        <v>172</v>
      </c>
    </row>
    <row r="1396" customFormat="false" ht="15" hidden="false" customHeight="false" outlineLevel="0" collapsed="false">
      <c r="A1396" s="0" t="s">
        <v>21</v>
      </c>
      <c r="B1396" s="0" t="s">
        <v>4777</v>
      </c>
      <c r="C1396" s="0" t="s">
        <v>97</v>
      </c>
      <c r="D1396" s="0" t="s">
        <v>4778</v>
      </c>
      <c r="E1396" s="0" t="s">
        <v>4779</v>
      </c>
      <c r="F1396" s="0" t="s">
        <v>4780</v>
      </c>
      <c r="G1396" s="0" t="s">
        <v>1176</v>
      </c>
      <c r="H1396" s="0" t="s">
        <v>3617</v>
      </c>
      <c r="I1396" s="0" t="s">
        <v>655</v>
      </c>
      <c r="J1396" s="0" t="s">
        <v>100</v>
      </c>
      <c r="K1396" s="0" t="s">
        <v>1175</v>
      </c>
      <c r="L1396" s="0" t="s">
        <v>101</v>
      </c>
      <c r="M1396" s="0" t="s">
        <v>656</v>
      </c>
      <c r="N1396" s="0" t="s">
        <v>101</v>
      </c>
      <c r="P1396" s="0" t="s">
        <v>102</v>
      </c>
      <c r="Q1396" s="0" t="s">
        <v>102</v>
      </c>
      <c r="R1396" s="0" t="s">
        <v>113</v>
      </c>
      <c r="S1396" s="0" t="s">
        <v>21</v>
      </c>
      <c r="T1396" s="0" t="s">
        <v>104</v>
      </c>
      <c r="U1396" s="0" t="s">
        <v>368</v>
      </c>
      <c r="W1396" s="0" t="s">
        <v>105</v>
      </c>
      <c r="X1396" s="0" t="s">
        <v>3258</v>
      </c>
      <c r="Y1396" s="0" t="s">
        <v>3259</v>
      </c>
      <c r="Z1396" s="0" t="s">
        <v>159</v>
      </c>
      <c r="AA1396" s="0" t="s">
        <v>172</v>
      </c>
    </row>
    <row r="1397" customFormat="false" ht="15" hidden="false" customHeight="false" outlineLevel="0" collapsed="false">
      <c r="A1397" s="0" t="s">
        <v>21</v>
      </c>
      <c r="B1397" s="0" t="s">
        <v>4781</v>
      </c>
      <c r="C1397" s="0" t="s">
        <v>97</v>
      </c>
      <c r="D1397" s="0" t="s">
        <v>4782</v>
      </c>
      <c r="E1397" s="0" t="s">
        <v>4783</v>
      </c>
      <c r="G1397" s="0" t="s">
        <v>1176</v>
      </c>
      <c r="H1397" s="0" t="s">
        <v>1194</v>
      </c>
      <c r="I1397" s="0" t="s">
        <v>437</v>
      </c>
      <c r="J1397" s="0" t="s">
        <v>511</v>
      </c>
      <c r="K1397" s="0" t="s">
        <v>1246</v>
      </c>
      <c r="L1397" s="0" t="s">
        <v>101</v>
      </c>
      <c r="M1397" s="0" t="s">
        <v>437</v>
      </c>
      <c r="N1397" s="0" t="s">
        <v>101</v>
      </c>
      <c r="P1397" s="0" t="s">
        <v>102</v>
      </c>
      <c r="Q1397" s="0" t="s">
        <v>102</v>
      </c>
      <c r="R1397" s="0" t="s">
        <v>113</v>
      </c>
      <c r="S1397" s="0" t="s">
        <v>21</v>
      </c>
      <c r="T1397" s="0" t="s">
        <v>104</v>
      </c>
      <c r="U1397" s="0" t="s">
        <v>368</v>
      </c>
      <c r="W1397" s="0" t="s">
        <v>105</v>
      </c>
      <c r="X1397" s="0" t="s">
        <v>1195</v>
      </c>
      <c r="Y1397" s="0" t="s">
        <v>1196</v>
      </c>
      <c r="Z1397" s="0" t="s">
        <v>159</v>
      </c>
      <c r="AA1397" s="0" t="s">
        <v>172</v>
      </c>
    </row>
    <row r="1398" customFormat="false" ht="15" hidden="false" customHeight="false" outlineLevel="0" collapsed="false">
      <c r="A1398" s="0" t="s">
        <v>21</v>
      </c>
      <c r="B1398" s="0" t="s">
        <v>4784</v>
      </c>
      <c r="C1398" s="0" t="s">
        <v>97</v>
      </c>
      <c r="D1398" s="0" t="s">
        <v>4785</v>
      </c>
      <c r="E1398" s="0" t="s">
        <v>4786</v>
      </c>
      <c r="G1398" s="0" t="s">
        <v>1176</v>
      </c>
      <c r="H1398" s="0" t="s">
        <v>1563</v>
      </c>
      <c r="I1398" s="0" t="s">
        <v>1564</v>
      </c>
      <c r="J1398" s="0" t="s">
        <v>456</v>
      </c>
      <c r="K1398" s="0" t="s">
        <v>168</v>
      </c>
      <c r="L1398" s="0" t="s">
        <v>101</v>
      </c>
      <c r="M1398" s="0" t="s">
        <v>1564</v>
      </c>
      <c r="N1398" s="0" t="s">
        <v>101</v>
      </c>
      <c r="P1398" s="0" t="s">
        <v>102</v>
      </c>
      <c r="Q1398" s="0" t="s">
        <v>102</v>
      </c>
      <c r="R1398" s="0" t="s">
        <v>113</v>
      </c>
      <c r="S1398" s="0" t="s">
        <v>21</v>
      </c>
      <c r="T1398" s="0" t="s">
        <v>104</v>
      </c>
      <c r="U1398" s="0" t="s">
        <v>368</v>
      </c>
      <c r="W1398" s="0" t="s">
        <v>105</v>
      </c>
      <c r="X1398" s="0" t="s">
        <v>1566</v>
      </c>
      <c r="Y1398" s="0" t="s">
        <v>1567</v>
      </c>
      <c r="Z1398" s="0" t="s">
        <v>159</v>
      </c>
      <c r="AA1398" s="0" t="s">
        <v>172</v>
      </c>
    </row>
    <row r="1399" customFormat="false" ht="15" hidden="false" customHeight="false" outlineLevel="0" collapsed="false">
      <c r="A1399" s="0" t="s">
        <v>21</v>
      </c>
      <c r="B1399" s="0" t="s">
        <v>4787</v>
      </c>
      <c r="C1399" s="0" t="s">
        <v>97</v>
      </c>
      <c r="D1399" s="0" t="s">
        <v>2294</v>
      </c>
      <c r="E1399" s="0" t="s">
        <v>4788</v>
      </c>
      <c r="G1399" s="0" t="s">
        <v>4789</v>
      </c>
      <c r="H1399" s="0" t="s">
        <v>4790</v>
      </c>
      <c r="I1399" s="0" t="s">
        <v>100</v>
      </c>
      <c r="J1399" s="0" t="s">
        <v>100</v>
      </c>
      <c r="K1399" s="0" t="s">
        <v>1179</v>
      </c>
      <c r="L1399" s="0" t="s">
        <v>101</v>
      </c>
      <c r="M1399" s="0" t="s">
        <v>656</v>
      </c>
      <c r="N1399" s="0" t="s">
        <v>101</v>
      </c>
      <c r="P1399" s="0" t="s">
        <v>102</v>
      </c>
      <c r="Q1399" s="0" t="s">
        <v>102</v>
      </c>
      <c r="R1399" s="0" t="s">
        <v>113</v>
      </c>
      <c r="S1399" s="0" t="s">
        <v>21</v>
      </c>
      <c r="T1399" s="0" t="s">
        <v>104</v>
      </c>
      <c r="U1399" s="0" t="s">
        <v>368</v>
      </c>
      <c r="W1399" s="0" t="s">
        <v>105</v>
      </c>
      <c r="X1399" s="0" t="s">
        <v>4791</v>
      </c>
      <c r="Y1399" s="0" t="s">
        <v>4792</v>
      </c>
      <c r="Z1399" s="0" t="s">
        <v>134</v>
      </c>
      <c r="AA1399" s="0" t="s">
        <v>172</v>
      </c>
    </row>
    <row r="1400" customFormat="false" ht="15" hidden="false" customHeight="false" outlineLevel="0" collapsed="false">
      <c r="A1400" s="0" t="s">
        <v>21</v>
      </c>
      <c r="B1400" s="0" t="s">
        <v>4793</v>
      </c>
      <c r="C1400" s="0" t="s">
        <v>97</v>
      </c>
      <c r="D1400" s="0" t="s">
        <v>4794</v>
      </c>
      <c r="E1400" s="0" t="s">
        <v>4795</v>
      </c>
      <c r="G1400" s="0" t="s">
        <v>1176</v>
      </c>
      <c r="H1400" s="0" t="s">
        <v>403</v>
      </c>
      <c r="I1400" s="0" t="s">
        <v>100</v>
      </c>
      <c r="J1400" s="0" t="s">
        <v>100</v>
      </c>
      <c r="K1400" s="0" t="s">
        <v>1179</v>
      </c>
      <c r="L1400" s="0" t="s">
        <v>101</v>
      </c>
      <c r="M1400" s="0" t="s">
        <v>405</v>
      </c>
      <c r="N1400" s="0" t="s">
        <v>101</v>
      </c>
      <c r="P1400" s="0" t="s">
        <v>102</v>
      </c>
      <c r="Q1400" s="0" t="s">
        <v>102</v>
      </c>
      <c r="R1400" s="0" t="s">
        <v>113</v>
      </c>
      <c r="S1400" s="0" t="s">
        <v>21</v>
      </c>
      <c r="T1400" s="0" t="s">
        <v>104</v>
      </c>
      <c r="U1400" s="0" t="s">
        <v>368</v>
      </c>
      <c r="W1400" s="0" t="s">
        <v>105</v>
      </c>
      <c r="X1400" s="0" t="s">
        <v>406</v>
      </c>
      <c r="Y1400" s="0" t="s">
        <v>407</v>
      </c>
      <c r="Z1400" s="0" t="s">
        <v>159</v>
      </c>
      <c r="AA1400" s="0" t="s">
        <v>172</v>
      </c>
    </row>
    <row r="1401" customFormat="false" ht="15" hidden="false" customHeight="false" outlineLevel="0" collapsed="false">
      <c r="A1401" s="0" t="s">
        <v>21</v>
      </c>
      <c r="B1401" s="0" t="s">
        <v>4796</v>
      </c>
      <c r="C1401" s="0" t="s">
        <v>97</v>
      </c>
      <c r="D1401" s="0" t="s">
        <v>3438</v>
      </c>
      <c r="E1401" s="0" t="s">
        <v>3438</v>
      </c>
      <c r="G1401" s="0" t="s">
        <v>164</v>
      </c>
      <c r="H1401" s="0" t="s">
        <v>1455</v>
      </c>
      <c r="I1401" s="0" t="s">
        <v>398</v>
      </c>
      <c r="J1401" s="0" t="s">
        <v>112</v>
      </c>
      <c r="K1401" s="0" t="s">
        <v>1503</v>
      </c>
      <c r="L1401" s="0" t="s">
        <v>101</v>
      </c>
      <c r="M1401" s="0" t="s">
        <v>398</v>
      </c>
      <c r="N1401" s="0" t="s">
        <v>101</v>
      </c>
      <c r="P1401" s="0" t="s">
        <v>102</v>
      </c>
      <c r="Q1401" s="0" t="s">
        <v>102</v>
      </c>
      <c r="R1401" s="0" t="s">
        <v>113</v>
      </c>
      <c r="S1401" s="0" t="s">
        <v>21</v>
      </c>
      <c r="T1401" s="0" t="s">
        <v>104</v>
      </c>
      <c r="W1401" s="0" t="s">
        <v>105</v>
      </c>
      <c r="X1401" s="0" t="s">
        <v>1457</v>
      </c>
      <c r="Y1401" s="0" t="s">
        <v>1458</v>
      </c>
      <c r="Z1401" s="0" t="s">
        <v>171</v>
      </c>
      <c r="AA1401" s="0" t="s">
        <v>172</v>
      </c>
    </row>
    <row r="1402" customFormat="false" ht="15" hidden="false" customHeight="false" outlineLevel="0" collapsed="false">
      <c r="A1402" s="0" t="s">
        <v>21</v>
      </c>
      <c r="B1402" s="0" t="s">
        <v>4797</v>
      </c>
      <c r="C1402" s="0" t="s">
        <v>97</v>
      </c>
      <c r="D1402" s="0" t="s">
        <v>4798</v>
      </c>
      <c r="E1402" s="0" t="s">
        <v>4799</v>
      </c>
      <c r="G1402" s="0" t="s">
        <v>1176</v>
      </c>
      <c r="H1402" s="0" t="s">
        <v>3617</v>
      </c>
      <c r="I1402" s="0" t="s">
        <v>655</v>
      </c>
      <c r="J1402" s="0" t="s">
        <v>100</v>
      </c>
      <c r="K1402" s="0" t="s">
        <v>1175</v>
      </c>
      <c r="L1402" s="0" t="s">
        <v>101</v>
      </c>
      <c r="M1402" s="0" t="s">
        <v>656</v>
      </c>
      <c r="N1402" s="0" t="s">
        <v>101</v>
      </c>
      <c r="P1402" s="0" t="s">
        <v>102</v>
      </c>
      <c r="Q1402" s="0" t="s">
        <v>102</v>
      </c>
      <c r="R1402" s="0" t="s">
        <v>113</v>
      </c>
      <c r="S1402" s="0" t="s">
        <v>21</v>
      </c>
      <c r="T1402" s="0" t="s">
        <v>104</v>
      </c>
      <c r="U1402" s="0" t="s">
        <v>368</v>
      </c>
      <c r="W1402" s="0" t="s">
        <v>105</v>
      </c>
      <c r="X1402" s="0" t="s">
        <v>3258</v>
      </c>
      <c r="Y1402" s="0" t="s">
        <v>3259</v>
      </c>
      <c r="Z1402" s="0" t="s">
        <v>159</v>
      </c>
      <c r="AA1402" s="0" t="s">
        <v>172</v>
      </c>
    </row>
    <row r="1403" customFormat="false" ht="15" hidden="false" customHeight="false" outlineLevel="0" collapsed="false">
      <c r="A1403" s="0" t="s">
        <v>21</v>
      </c>
      <c r="B1403" s="0" t="s">
        <v>4800</v>
      </c>
      <c r="C1403" s="0" t="s">
        <v>97</v>
      </c>
      <c r="D1403" s="0" t="s">
        <v>4801</v>
      </c>
      <c r="E1403" s="0" t="s">
        <v>4802</v>
      </c>
      <c r="G1403" s="0" t="s">
        <v>4789</v>
      </c>
      <c r="H1403" s="0" t="s">
        <v>4803</v>
      </c>
      <c r="I1403" s="0" t="s">
        <v>437</v>
      </c>
      <c r="J1403" s="0" t="s">
        <v>511</v>
      </c>
      <c r="K1403" s="0" t="s">
        <v>1518</v>
      </c>
      <c r="L1403" s="0" t="s">
        <v>101</v>
      </c>
      <c r="M1403" s="0" t="s">
        <v>437</v>
      </c>
      <c r="N1403" s="0" t="s">
        <v>101</v>
      </c>
      <c r="P1403" s="0" t="s">
        <v>102</v>
      </c>
      <c r="Q1403" s="0" t="s">
        <v>102</v>
      </c>
      <c r="R1403" s="0" t="s">
        <v>113</v>
      </c>
      <c r="S1403" s="0" t="s">
        <v>21</v>
      </c>
      <c r="T1403" s="0" t="s">
        <v>104</v>
      </c>
      <c r="U1403" s="0" t="s">
        <v>368</v>
      </c>
      <c r="W1403" s="0" t="s">
        <v>105</v>
      </c>
      <c r="X1403" s="0" t="s">
        <v>1195</v>
      </c>
      <c r="Y1403" s="0" t="s">
        <v>1196</v>
      </c>
      <c r="Z1403" s="0" t="s">
        <v>134</v>
      </c>
      <c r="AA1403" s="0" t="s">
        <v>172</v>
      </c>
    </row>
    <row r="1404" customFormat="false" ht="15" hidden="false" customHeight="false" outlineLevel="0" collapsed="false">
      <c r="A1404" s="0" t="s">
        <v>21</v>
      </c>
      <c r="B1404" s="0" t="s">
        <v>4804</v>
      </c>
      <c r="C1404" s="0" t="s">
        <v>97</v>
      </c>
      <c r="D1404" s="0" t="s">
        <v>4805</v>
      </c>
      <c r="E1404" s="0" t="s">
        <v>4806</v>
      </c>
      <c r="G1404" s="0" t="s">
        <v>1176</v>
      </c>
      <c r="H1404" s="0" t="s">
        <v>1194</v>
      </c>
      <c r="I1404" s="0" t="s">
        <v>437</v>
      </c>
      <c r="J1404" s="0" t="s">
        <v>511</v>
      </c>
      <c r="K1404" s="0" t="s">
        <v>404</v>
      </c>
      <c r="L1404" s="0" t="s">
        <v>101</v>
      </c>
      <c r="M1404" s="0" t="s">
        <v>437</v>
      </c>
      <c r="N1404" s="0" t="s">
        <v>101</v>
      </c>
      <c r="P1404" s="0" t="s">
        <v>102</v>
      </c>
      <c r="Q1404" s="0" t="s">
        <v>102</v>
      </c>
      <c r="R1404" s="0" t="s">
        <v>113</v>
      </c>
      <c r="S1404" s="0" t="s">
        <v>21</v>
      </c>
      <c r="T1404" s="0" t="s">
        <v>104</v>
      </c>
      <c r="U1404" s="0" t="s">
        <v>368</v>
      </c>
      <c r="W1404" s="0" t="s">
        <v>105</v>
      </c>
      <c r="X1404" s="0" t="s">
        <v>1195</v>
      </c>
      <c r="Y1404" s="0" t="s">
        <v>1196</v>
      </c>
      <c r="Z1404" s="0" t="s">
        <v>159</v>
      </c>
      <c r="AA1404" s="0" t="s">
        <v>172</v>
      </c>
    </row>
    <row r="1405" customFormat="false" ht="15" hidden="false" customHeight="false" outlineLevel="0" collapsed="false">
      <c r="A1405" s="0" t="s">
        <v>21</v>
      </c>
      <c r="B1405" s="0" t="s">
        <v>4807</v>
      </c>
      <c r="C1405" s="0" t="s">
        <v>139</v>
      </c>
      <c r="D1405" s="0" t="s">
        <v>4808</v>
      </c>
      <c r="E1405" s="0" t="s">
        <v>4809</v>
      </c>
      <c r="F1405" s="0" t="s">
        <v>4809</v>
      </c>
      <c r="M1405" s="0" t="s">
        <v>430</v>
      </c>
      <c r="N1405" s="0" t="s">
        <v>101</v>
      </c>
      <c r="P1405" s="0" t="s">
        <v>102</v>
      </c>
      <c r="Q1405" s="0" t="s">
        <v>102</v>
      </c>
      <c r="R1405" s="0" t="s">
        <v>113</v>
      </c>
      <c r="S1405" s="0" t="s">
        <v>21</v>
      </c>
      <c r="T1405" s="0" t="s">
        <v>104</v>
      </c>
      <c r="U1405" s="0" t="s">
        <v>368</v>
      </c>
      <c r="W1405" s="0" t="s">
        <v>105</v>
      </c>
    </row>
    <row r="1406" customFormat="false" ht="15" hidden="false" customHeight="false" outlineLevel="0" collapsed="false">
      <c r="A1406" s="0" t="s">
        <v>21</v>
      </c>
      <c r="B1406" s="0" t="s">
        <v>4810</v>
      </c>
      <c r="C1406" s="0" t="s">
        <v>139</v>
      </c>
      <c r="D1406" s="0" t="s">
        <v>1643</v>
      </c>
      <c r="E1406" s="0" t="s">
        <v>1643</v>
      </c>
      <c r="G1406" s="0" t="s">
        <v>1637</v>
      </c>
      <c r="H1406" s="0" t="s">
        <v>3256</v>
      </c>
      <c r="I1406" s="0" t="s">
        <v>655</v>
      </c>
      <c r="J1406" s="0" t="s">
        <v>100</v>
      </c>
      <c r="K1406" s="0" t="s">
        <v>168</v>
      </c>
      <c r="L1406" s="0" t="s">
        <v>101</v>
      </c>
      <c r="M1406" s="0" t="s">
        <v>656</v>
      </c>
      <c r="N1406" s="0" t="s">
        <v>101</v>
      </c>
      <c r="P1406" s="0" t="s">
        <v>102</v>
      </c>
      <c r="Q1406" s="0" t="s">
        <v>102</v>
      </c>
      <c r="R1406" s="0" t="s">
        <v>131</v>
      </c>
      <c r="S1406" s="0" t="s">
        <v>21</v>
      </c>
      <c r="T1406" s="0" t="s">
        <v>104</v>
      </c>
      <c r="W1406" s="0" t="s">
        <v>105</v>
      </c>
      <c r="X1406" s="0" t="s">
        <v>4811</v>
      </c>
      <c r="Y1406" s="0" t="s">
        <v>4812</v>
      </c>
      <c r="Z1406" s="0" t="s">
        <v>159</v>
      </c>
      <c r="AA1406" s="0" t="s">
        <v>172</v>
      </c>
    </row>
    <row r="1407" customFormat="false" ht="15" hidden="false" customHeight="false" outlineLevel="0" collapsed="false">
      <c r="A1407" s="0" t="s">
        <v>21</v>
      </c>
      <c r="B1407" s="0" t="s">
        <v>4813</v>
      </c>
      <c r="C1407" s="0" t="s">
        <v>97</v>
      </c>
      <c r="D1407" s="0" t="s">
        <v>4814</v>
      </c>
      <c r="E1407" s="0" t="s">
        <v>4815</v>
      </c>
      <c r="G1407" s="0" t="s">
        <v>1637</v>
      </c>
      <c r="H1407" s="0" t="s">
        <v>3256</v>
      </c>
      <c r="I1407" s="0" t="s">
        <v>655</v>
      </c>
      <c r="J1407" s="0" t="s">
        <v>100</v>
      </c>
      <c r="K1407" s="0" t="s">
        <v>168</v>
      </c>
      <c r="L1407" s="0" t="s">
        <v>101</v>
      </c>
      <c r="M1407" s="0" t="s">
        <v>656</v>
      </c>
      <c r="N1407" s="0" t="s">
        <v>101</v>
      </c>
      <c r="P1407" s="0" t="s">
        <v>102</v>
      </c>
      <c r="Q1407" s="0" t="s">
        <v>102</v>
      </c>
      <c r="R1407" s="0" t="s">
        <v>131</v>
      </c>
      <c r="S1407" s="0" t="s">
        <v>21</v>
      </c>
      <c r="T1407" s="0" t="s">
        <v>104</v>
      </c>
      <c r="W1407" s="0" t="s">
        <v>105</v>
      </c>
      <c r="X1407" s="0" t="s">
        <v>4811</v>
      </c>
      <c r="Y1407" s="0" t="s">
        <v>4812</v>
      </c>
      <c r="Z1407" s="0" t="s">
        <v>159</v>
      </c>
      <c r="AA1407" s="0" t="s">
        <v>172</v>
      </c>
    </row>
    <row r="1408" customFormat="false" ht="15" hidden="false" customHeight="false" outlineLevel="0" collapsed="false">
      <c r="A1408" s="0" t="s">
        <v>21</v>
      </c>
      <c r="B1408" s="0" t="s">
        <v>4816</v>
      </c>
      <c r="C1408" s="0" t="s">
        <v>97</v>
      </c>
      <c r="D1408" s="0" t="s">
        <v>4817</v>
      </c>
      <c r="E1408" s="0" t="s">
        <v>4818</v>
      </c>
      <c r="G1408" s="0" t="s">
        <v>1637</v>
      </c>
      <c r="H1408" s="0" t="s">
        <v>3617</v>
      </c>
      <c r="I1408" s="0" t="s">
        <v>655</v>
      </c>
      <c r="J1408" s="0" t="s">
        <v>100</v>
      </c>
      <c r="K1408" s="0" t="s">
        <v>168</v>
      </c>
      <c r="L1408" s="0" t="s">
        <v>101</v>
      </c>
      <c r="M1408" s="0" t="s">
        <v>656</v>
      </c>
      <c r="N1408" s="0" t="s">
        <v>101</v>
      </c>
      <c r="P1408" s="0" t="s">
        <v>102</v>
      </c>
      <c r="Q1408" s="0" t="s">
        <v>102</v>
      </c>
      <c r="R1408" s="0" t="s">
        <v>131</v>
      </c>
      <c r="S1408" s="0" t="s">
        <v>21</v>
      </c>
      <c r="T1408" s="0" t="s">
        <v>104</v>
      </c>
      <c r="W1408" s="0" t="s">
        <v>105</v>
      </c>
      <c r="X1408" s="0" t="s">
        <v>4811</v>
      </c>
      <c r="Y1408" s="0" t="s">
        <v>4812</v>
      </c>
      <c r="Z1408" s="0" t="s">
        <v>159</v>
      </c>
      <c r="AA1408" s="0" t="s">
        <v>172</v>
      </c>
    </row>
    <row r="1409" customFormat="false" ht="15" hidden="false" customHeight="false" outlineLevel="0" collapsed="false">
      <c r="A1409" s="0" t="s">
        <v>21</v>
      </c>
      <c r="B1409" s="0" t="s">
        <v>4819</v>
      </c>
      <c r="C1409" s="0" t="s">
        <v>97</v>
      </c>
      <c r="D1409" s="0" t="s">
        <v>1643</v>
      </c>
      <c r="E1409" s="0" t="s">
        <v>1643</v>
      </c>
      <c r="G1409" s="0" t="s">
        <v>1574</v>
      </c>
      <c r="H1409" s="0" t="s">
        <v>3256</v>
      </c>
      <c r="I1409" s="0" t="s">
        <v>655</v>
      </c>
      <c r="J1409" s="0" t="s">
        <v>100</v>
      </c>
      <c r="K1409" s="0" t="s">
        <v>363</v>
      </c>
      <c r="L1409" s="0" t="s">
        <v>101</v>
      </c>
      <c r="M1409" s="0" t="s">
        <v>656</v>
      </c>
      <c r="N1409" s="0" t="s">
        <v>101</v>
      </c>
      <c r="P1409" s="0" t="s">
        <v>102</v>
      </c>
      <c r="Q1409" s="0" t="s">
        <v>102</v>
      </c>
      <c r="R1409" s="0" t="s">
        <v>131</v>
      </c>
      <c r="S1409" s="0" t="s">
        <v>21</v>
      </c>
      <c r="T1409" s="0" t="s">
        <v>104</v>
      </c>
      <c r="W1409" s="0" t="s">
        <v>105</v>
      </c>
      <c r="X1409" s="0" t="s">
        <v>4811</v>
      </c>
      <c r="Y1409" s="0" t="s">
        <v>4812</v>
      </c>
      <c r="Z1409" s="0" t="s">
        <v>134</v>
      </c>
      <c r="AA1409" s="0" t="s">
        <v>172</v>
      </c>
    </row>
    <row r="1410" customFormat="false" ht="15" hidden="false" customHeight="false" outlineLevel="0" collapsed="false">
      <c r="A1410" s="0" t="s">
        <v>21</v>
      </c>
      <c r="B1410" s="0" t="s">
        <v>4820</v>
      </c>
      <c r="C1410" s="0" t="s">
        <v>97</v>
      </c>
      <c r="D1410" s="0" t="s">
        <v>4821</v>
      </c>
      <c r="E1410" s="0" t="s">
        <v>4821</v>
      </c>
      <c r="F1410" s="0" t="s">
        <v>4821</v>
      </c>
      <c r="G1410" s="0" t="s">
        <v>1574</v>
      </c>
      <c r="H1410" s="0" t="s">
        <v>1631</v>
      </c>
      <c r="I1410" s="0" t="s">
        <v>1307</v>
      </c>
      <c r="J1410" s="0" t="s">
        <v>456</v>
      </c>
      <c r="K1410" s="0" t="s">
        <v>1609</v>
      </c>
      <c r="L1410" s="0" t="s">
        <v>101</v>
      </c>
      <c r="M1410" s="0" t="s">
        <v>1307</v>
      </c>
      <c r="N1410" s="0" t="s">
        <v>101</v>
      </c>
      <c r="P1410" s="0" t="s">
        <v>102</v>
      </c>
      <c r="Q1410" s="0" t="s">
        <v>102</v>
      </c>
      <c r="R1410" s="0" t="s">
        <v>131</v>
      </c>
      <c r="S1410" s="0" t="s">
        <v>21</v>
      </c>
      <c r="T1410" s="0" t="s">
        <v>104</v>
      </c>
      <c r="W1410" s="0" t="s">
        <v>105</v>
      </c>
      <c r="X1410" s="0" t="s">
        <v>1632</v>
      </c>
      <c r="Y1410" s="0" t="s">
        <v>1633</v>
      </c>
      <c r="Z1410" s="0" t="s">
        <v>134</v>
      </c>
      <c r="AA1410" s="0" t="s">
        <v>172</v>
      </c>
    </row>
    <row r="1411" customFormat="false" ht="15" hidden="false" customHeight="false" outlineLevel="0" collapsed="false">
      <c r="A1411" s="0" t="s">
        <v>21</v>
      </c>
      <c r="B1411" s="0" t="s">
        <v>4822</v>
      </c>
      <c r="C1411" s="0" t="s">
        <v>97</v>
      </c>
      <c r="D1411" s="0" t="s">
        <v>4823</v>
      </c>
      <c r="E1411" s="0" t="s">
        <v>4824</v>
      </c>
      <c r="G1411" s="0" t="s">
        <v>4825</v>
      </c>
      <c r="H1411" s="0" t="s">
        <v>1563</v>
      </c>
      <c r="I1411" s="0" t="s">
        <v>1564</v>
      </c>
      <c r="J1411" s="0" t="s">
        <v>456</v>
      </c>
      <c r="K1411" s="0" t="s">
        <v>404</v>
      </c>
      <c r="L1411" s="0" t="s">
        <v>101</v>
      </c>
      <c r="M1411" s="0" t="s">
        <v>1564</v>
      </c>
      <c r="N1411" s="0" t="s">
        <v>101</v>
      </c>
      <c r="P1411" s="0" t="s">
        <v>102</v>
      </c>
      <c r="Q1411" s="0" t="s">
        <v>102</v>
      </c>
      <c r="R1411" s="0" t="s">
        <v>113</v>
      </c>
      <c r="S1411" s="0" t="s">
        <v>21</v>
      </c>
      <c r="T1411" s="0" t="s">
        <v>104</v>
      </c>
      <c r="U1411" s="0" t="s">
        <v>368</v>
      </c>
      <c r="W1411" s="0" t="s">
        <v>105</v>
      </c>
      <c r="X1411" s="0" t="s">
        <v>1566</v>
      </c>
      <c r="Y1411" s="0" t="s">
        <v>1567</v>
      </c>
      <c r="Z1411" s="0" t="s">
        <v>134</v>
      </c>
      <c r="AA1411" s="0" t="s">
        <v>172</v>
      </c>
    </row>
    <row r="1412" customFormat="false" ht="15" hidden="false" customHeight="false" outlineLevel="0" collapsed="false">
      <c r="A1412" s="0" t="s">
        <v>21</v>
      </c>
      <c r="B1412" s="0" t="s">
        <v>4826</v>
      </c>
      <c r="C1412" s="0" t="s">
        <v>97</v>
      </c>
      <c r="D1412" s="0" t="s">
        <v>4827</v>
      </c>
      <c r="E1412" s="0" t="s">
        <v>4828</v>
      </c>
      <c r="G1412" s="0" t="s">
        <v>4825</v>
      </c>
      <c r="H1412" s="0" t="s">
        <v>419</v>
      </c>
      <c r="I1412" s="0" t="s">
        <v>420</v>
      </c>
      <c r="J1412" s="0" t="s">
        <v>421</v>
      </c>
      <c r="K1412" s="0" t="s">
        <v>1246</v>
      </c>
      <c r="L1412" s="0" t="s">
        <v>101</v>
      </c>
      <c r="M1412" s="0" t="s">
        <v>420</v>
      </c>
      <c r="N1412" s="0" t="s">
        <v>101</v>
      </c>
      <c r="P1412" s="0" t="s">
        <v>102</v>
      </c>
      <c r="Q1412" s="0" t="s">
        <v>102</v>
      </c>
      <c r="R1412" s="0" t="s">
        <v>113</v>
      </c>
      <c r="S1412" s="0" t="s">
        <v>21</v>
      </c>
      <c r="T1412" s="0" t="s">
        <v>104</v>
      </c>
      <c r="U1412" s="0" t="s">
        <v>368</v>
      </c>
      <c r="W1412" s="0" t="s">
        <v>105</v>
      </c>
      <c r="X1412" s="0" t="s">
        <v>423</v>
      </c>
      <c r="Y1412" s="0" t="s">
        <v>424</v>
      </c>
      <c r="Z1412" s="0" t="s">
        <v>134</v>
      </c>
      <c r="AA1412" s="0" t="s">
        <v>172</v>
      </c>
    </row>
    <row r="1413" customFormat="false" ht="15" hidden="false" customHeight="false" outlineLevel="0" collapsed="false">
      <c r="A1413" s="0" t="s">
        <v>21</v>
      </c>
      <c r="B1413" s="0" t="s">
        <v>4829</v>
      </c>
      <c r="C1413" s="0" t="s">
        <v>97</v>
      </c>
      <c r="D1413" s="0" t="s">
        <v>4830</v>
      </c>
      <c r="E1413" s="0" t="s">
        <v>4831</v>
      </c>
      <c r="G1413" s="0" t="s">
        <v>4825</v>
      </c>
      <c r="H1413" s="0" t="s">
        <v>419</v>
      </c>
      <c r="I1413" s="0" t="s">
        <v>420</v>
      </c>
      <c r="J1413" s="0" t="s">
        <v>421</v>
      </c>
      <c r="K1413" s="0" t="s">
        <v>1246</v>
      </c>
      <c r="L1413" s="0" t="s">
        <v>101</v>
      </c>
      <c r="M1413" s="0" t="s">
        <v>420</v>
      </c>
      <c r="N1413" s="0" t="s">
        <v>101</v>
      </c>
      <c r="P1413" s="0" t="s">
        <v>102</v>
      </c>
      <c r="Q1413" s="0" t="s">
        <v>102</v>
      </c>
      <c r="R1413" s="0" t="s">
        <v>113</v>
      </c>
      <c r="S1413" s="0" t="s">
        <v>21</v>
      </c>
      <c r="T1413" s="0" t="s">
        <v>104</v>
      </c>
      <c r="U1413" s="0" t="s">
        <v>368</v>
      </c>
      <c r="W1413" s="0" t="s">
        <v>105</v>
      </c>
      <c r="X1413" s="0" t="s">
        <v>423</v>
      </c>
      <c r="Y1413" s="0" t="s">
        <v>424</v>
      </c>
      <c r="Z1413" s="0" t="s">
        <v>134</v>
      </c>
      <c r="AA1413" s="0" t="s">
        <v>172</v>
      </c>
    </row>
    <row r="1414" customFormat="false" ht="15" hidden="false" customHeight="false" outlineLevel="0" collapsed="false">
      <c r="A1414" s="0" t="s">
        <v>21</v>
      </c>
      <c r="B1414" s="0" t="s">
        <v>4832</v>
      </c>
      <c r="C1414" s="0" t="s">
        <v>97</v>
      </c>
      <c r="D1414" s="0" t="s">
        <v>4833</v>
      </c>
      <c r="E1414" s="0" t="s">
        <v>4834</v>
      </c>
      <c r="G1414" s="0" t="s">
        <v>4825</v>
      </c>
      <c r="H1414" s="0" t="s">
        <v>403</v>
      </c>
      <c r="I1414" s="0" t="s">
        <v>100</v>
      </c>
      <c r="J1414" s="0" t="s">
        <v>100</v>
      </c>
      <c r="K1414" s="0" t="s">
        <v>1179</v>
      </c>
      <c r="L1414" s="0" t="s">
        <v>101</v>
      </c>
      <c r="M1414" s="0" t="s">
        <v>405</v>
      </c>
      <c r="N1414" s="0" t="s">
        <v>101</v>
      </c>
      <c r="P1414" s="0" t="s">
        <v>102</v>
      </c>
      <c r="Q1414" s="0" t="s">
        <v>102</v>
      </c>
      <c r="R1414" s="0" t="s">
        <v>113</v>
      </c>
      <c r="S1414" s="0" t="s">
        <v>21</v>
      </c>
      <c r="T1414" s="0" t="s">
        <v>104</v>
      </c>
      <c r="U1414" s="0" t="s">
        <v>368</v>
      </c>
      <c r="W1414" s="0" t="s">
        <v>105</v>
      </c>
      <c r="X1414" s="0" t="s">
        <v>406</v>
      </c>
      <c r="Y1414" s="0" t="s">
        <v>407</v>
      </c>
      <c r="Z1414" s="0" t="s">
        <v>134</v>
      </c>
      <c r="AA1414" s="0" t="s">
        <v>172</v>
      </c>
    </row>
    <row r="1415" customFormat="false" ht="15" hidden="false" customHeight="false" outlineLevel="0" collapsed="false">
      <c r="A1415" s="0" t="s">
        <v>21</v>
      </c>
      <c r="B1415" s="0" t="s">
        <v>4835</v>
      </c>
      <c r="C1415" s="0" t="s">
        <v>97</v>
      </c>
      <c r="D1415" s="0" t="s">
        <v>4836</v>
      </c>
      <c r="E1415" s="0" t="s">
        <v>4837</v>
      </c>
      <c r="G1415" s="0" t="s">
        <v>4825</v>
      </c>
      <c r="H1415" s="0" t="s">
        <v>403</v>
      </c>
      <c r="I1415" s="0" t="s">
        <v>100</v>
      </c>
      <c r="J1415" s="0" t="s">
        <v>100</v>
      </c>
      <c r="K1415" s="0" t="s">
        <v>1179</v>
      </c>
      <c r="L1415" s="0" t="s">
        <v>101</v>
      </c>
      <c r="M1415" s="0" t="s">
        <v>405</v>
      </c>
      <c r="N1415" s="0" t="s">
        <v>101</v>
      </c>
      <c r="P1415" s="0" t="s">
        <v>102</v>
      </c>
      <c r="Q1415" s="0" t="s">
        <v>102</v>
      </c>
      <c r="R1415" s="0" t="s">
        <v>113</v>
      </c>
      <c r="S1415" s="0" t="s">
        <v>21</v>
      </c>
      <c r="T1415" s="0" t="s">
        <v>104</v>
      </c>
      <c r="U1415" s="0" t="s">
        <v>368</v>
      </c>
      <c r="W1415" s="0" t="s">
        <v>105</v>
      </c>
      <c r="X1415" s="0" t="s">
        <v>406</v>
      </c>
      <c r="Y1415" s="0" t="s">
        <v>407</v>
      </c>
      <c r="Z1415" s="0" t="s">
        <v>134</v>
      </c>
      <c r="AA1415" s="0" t="s">
        <v>172</v>
      </c>
    </row>
    <row r="1416" customFormat="false" ht="15" hidden="false" customHeight="false" outlineLevel="0" collapsed="false">
      <c r="A1416" s="0" t="s">
        <v>21</v>
      </c>
      <c r="B1416" s="0" t="s">
        <v>4838</v>
      </c>
      <c r="C1416" s="0" t="s">
        <v>97</v>
      </c>
      <c r="D1416" s="0" t="s">
        <v>4839</v>
      </c>
      <c r="E1416" s="0" t="s">
        <v>4840</v>
      </c>
      <c r="G1416" s="0" t="s">
        <v>4825</v>
      </c>
      <c r="H1416" s="0" t="s">
        <v>1194</v>
      </c>
      <c r="I1416" s="0" t="s">
        <v>437</v>
      </c>
      <c r="J1416" s="0" t="s">
        <v>511</v>
      </c>
      <c r="K1416" s="0" t="s">
        <v>1246</v>
      </c>
      <c r="L1416" s="0" t="s">
        <v>101</v>
      </c>
      <c r="M1416" s="0" t="s">
        <v>437</v>
      </c>
      <c r="N1416" s="0" t="s">
        <v>101</v>
      </c>
      <c r="P1416" s="0" t="s">
        <v>102</v>
      </c>
      <c r="Q1416" s="0" t="s">
        <v>102</v>
      </c>
      <c r="R1416" s="0" t="s">
        <v>113</v>
      </c>
      <c r="S1416" s="0" t="s">
        <v>21</v>
      </c>
      <c r="T1416" s="0" t="s">
        <v>104</v>
      </c>
      <c r="U1416" s="0" t="s">
        <v>368</v>
      </c>
      <c r="W1416" s="0" t="s">
        <v>105</v>
      </c>
      <c r="X1416" s="0" t="s">
        <v>1195</v>
      </c>
      <c r="Y1416" s="0" t="s">
        <v>1196</v>
      </c>
      <c r="Z1416" s="0" t="s">
        <v>134</v>
      </c>
      <c r="AA1416" s="0" t="s">
        <v>172</v>
      </c>
    </row>
    <row r="1417" customFormat="false" ht="15" hidden="false" customHeight="false" outlineLevel="0" collapsed="false">
      <c r="A1417" s="0" t="s">
        <v>21</v>
      </c>
      <c r="B1417" s="0" t="s">
        <v>4841</v>
      </c>
      <c r="C1417" s="0" t="s">
        <v>97</v>
      </c>
      <c r="D1417" s="0" t="s">
        <v>4842</v>
      </c>
      <c r="E1417" s="0" t="s">
        <v>4843</v>
      </c>
      <c r="G1417" s="0" t="s">
        <v>4825</v>
      </c>
      <c r="H1417" s="0" t="s">
        <v>1194</v>
      </c>
      <c r="I1417" s="0" t="s">
        <v>437</v>
      </c>
      <c r="J1417" s="0" t="s">
        <v>511</v>
      </c>
      <c r="K1417" s="0" t="s">
        <v>1442</v>
      </c>
      <c r="L1417" s="0" t="s">
        <v>101</v>
      </c>
      <c r="M1417" s="0" t="s">
        <v>437</v>
      </c>
      <c r="N1417" s="0" t="s">
        <v>101</v>
      </c>
      <c r="P1417" s="0" t="s">
        <v>102</v>
      </c>
      <c r="Q1417" s="0" t="s">
        <v>102</v>
      </c>
      <c r="R1417" s="0" t="s">
        <v>113</v>
      </c>
      <c r="S1417" s="0" t="s">
        <v>21</v>
      </c>
      <c r="T1417" s="0" t="s">
        <v>104</v>
      </c>
      <c r="U1417" s="0" t="s">
        <v>368</v>
      </c>
      <c r="W1417" s="0" t="s">
        <v>105</v>
      </c>
      <c r="X1417" s="0" t="s">
        <v>1195</v>
      </c>
      <c r="Y1417" s="0" t="s">
        <v>1196</v>
      </c>
      <c r="Z1417" s="0" t="s">
        <v>134</v>
      </c>
      <c r="AA1417" s="0" t="s">
        <v>172</v>
      </c>
    </row>
    <row r="1418" customFormat="false" ht="15" hidden="false" customHeight="false" outlineLevel="0" collapsed="false">
      <c r="A1418" s="0" t="s">
        <v>21</v>
      </c>
      <c r="B1418" s="0" t="s">
        <v>4844</v>
      </c>
      <c r="C1418" s="0" t="s">
        <v>4845</v>
      </c>
      <c r="D1418" s="0" t="s">
        <v>4846</v>
      </c>
      <c r="E1418" s="0" t="s">
        <v>4847</v>
      </c>
      <c r="G1418" s="0" t="s">
        <v>4848</v>
      </c>
      <c r="M1418" s="0" t="s">
        <v>208</v>
      </c>
      <c r="N1418" s="0" t="s">
        <v>124</v>
      </c>
      <c r="P1418" s="0" t="s">
        <v>102</v>
      </c>
      <c r="Q1418" s="0" t="s">
        <v>102</v>
      </c>
      <c r="R1418" s="0" t="s">
        <v>131</v>
      </c>
      <c r="S1418" s="0" t="s">
        <v>21</v>
      </c>
      <c r="T1418" s="0" t="s">
        <v>104</v>
      </c>
      <c r="W1418" s="0" t="s">
        <v>105</v>
      </c>
      <c r="AB1418" s="0" t="s">
        <v>4849</v>
      </c>
    </row>
    <row r="1419" customFormat="false" ht="15" hidden="false" customHeight="false" outlineLevel="0" collapsed="false">
      <c r="A1419" s="0" t="s">
        <v>21</v>
      </c>
      <c r="B1419" s="0" t="s">
        <v>4850</v>
      </c>
      <c r="C1419" s="0" t="s">
        <v>661</v>
      </c>
      <c r="D1419" s="0" t="s">
        <v>4851</v>
      </c>
      <c r="G1419" s="0" t="s">
        <v>4852</v>
      </c>
      <c r="H1419" s="0" t="s">
        <v>4853</v>
      </c>
      <c r="I1419" s="0" t="s">
        <v>4854</v>
      </c>
      <c r="J1419" s="0" t="s">
        <v>157</v>
      </c>
      <c r="K1419" s="0" t="s">
        <v>4855</v>
      </c>
      <c r="M1419" s="0" t="s">
        <v>156</v>
      </c>
      <c r="N1419" s="0" t="s">
        <v>124</v>
      </c>
      <c r="P1419" s="0" t="s">
        <v>221</v>
      </c>
      <c r="Q1419" s="0" t="s">
        <v>221</v>
      </c>
      <c r="R1419" s="0" t="s">
        <v>221</v>
      </c>
      <c r="S1419" s="0" t="s">
        <v>21</v>
      </c>
      <c r="T1419" s="0" t="s">
        <v>104</v>
      </c>
      <c r="W1419" s="0" t="s">
        <v>183</v>
      </c>
      <c r="AB1419" s="0" t="s">
        <v>4856</v>
      </c>
    </row>
    <row r="1420" customFormat="false" ht="15" hidden="false" customHeight="false" outlineLevel="0" collapsed="false">
      <c r="A1420" s="0" t="s">
        <v>21</v>
      </c>
      <c r="B1420" s="0" t="s">
        <v>4850</v>
      </c>
      <c r="C1420" s="0" t="s">
        <v>661</v>
      </c>
      <c r="D1420" s="0" t="s">
        <v>4851</v>
      </c>
      <c r="G1420" s="0" t="s">
        <v>4852</v>
      </c>
      <c r="H1420" s="0" t="s">
        <v>4853</v>
      </c>
      <c r="I1420" s="0" t="s">
        <v>4854</v>
      </c>
      <c r="J1420" s="0" t="s">
        <v>157</v>
      </c>
      <c r="K1420" s="0" t="s">
        <v>4855</v>
      </c>
      <c r="M1420" s="0" t="s">
        <v>156</v>
      </c>
      <c r="N1420" s="0" t="s">
        <v>124</v>
      </c>
      <c r="P1420" s="0" t="s">
        <v>102</v>
      </c>
      <c r="Q1420" s="0" t="s">
        <v>102</v>
      </c>
      <c r="R1420" s="0" t="s">
        <v>224</v>
      </c>
      <c r="S1420" s="0" t="s">
        <v>21</v>
      </c>
      <c r="T1420" s="0" t="s">
        <v>104</v>
      </c>
      <c r="V1420" s="0" t="s">
        <v>225</v>
      </c>
      <c r="W1420" s="0" t="s">
        <v>105</v>
      </c>
      <c r="AB1420" s="0" t="s">
        <v>4856</v>
      </c>
    </row>
    <row r="1421" customFormat="false" ht="15" hidden="false" customHeight="false" outlineLevel="0" collapsed="false">
      <c r="A1421" s="0" t="s">
        <v>21</v>
      </c>
      <c r="B1421" s="0" t="s">
        <v>4850</v>
      </c>
      <c r="C1421" s="0" t="s">
        <v>661</v>
      </c>
      <c r="D1421" s="0" t="s">
        <v>4851</v>
      </c>
      <c r="G1421" s="0" t="s">
        <v>4852</v>
      </c>
      <c r="H1421" s="0" t="s">
        <v>4853</v>
      </c>
      <c r="I1421" s="0" t="s">
        <v>4854</v>
      </c>
      <c r="J1421" s="0" t="s">
        <v>157</v>
      </c>
      <c r="K1421" s="0" t="s">
        <v>4855</v>
      </c>
      <c r="M1421" s="0" t="s">
        <v>156</v>
      </c>
      <c r="N1421" s="0" t="s">
        <v>124</v>
      </c>
      <c r="P1421" s="0" t="s">
        <v>130</v>
      </c>
      <c r="Q1421" s="0" t="s">
        <v>130</v>
      </c>
      <c r="R1421" s="0" t="s">
        <v>226</v>
      </c>
      <c r="S1421" s="0" t="s">
        <v>21</v>
      </c>
      <c r="T1421" s="0" t="s">
        <v>104</v>
      </c>
      <c r="U1421" s="0" t="s">
        <v>227</v>
      </c>
      <c r="W1421" s="0" t="s">
        <v>105</v>
      </c>
      <c r="AB1421" s="0" t="s">
        <v>4856</v>
      </c>
    </row>
    <row r="1422" customFormat="false" ht="15" hidden="false" customHeight="false" outlineLevel="0" collapsed="false">
      <c r="A1422" s="0" t="s">
        <v>21</v>
      </c>
      <c r="B1422" s="0" t="s">
        <v>4857</v>
      </c>
      <c r="C1422" s="0" t="s">
        <v>661</v>
      </c>
      <c r="D1422" s="0" t="s">
        <v>4858</v>
      </c>
      <c r="E1422" s="0" t="s">
        <v>4859</v>
      </c>
      <c r="G1422" s="0" t="s">
        <v>4860</v>
      </c>
      <c r="M1422" s="0" t="s">
        <v>232</v>
      </c>
      <c r="N1422" s="0" t="s">
        <v>124</v>
      </c>
      <c r="P1422" s="0" t="s">
        <v>221</v>
      </c>
      <c r="Q1422" s="0" t="s">
        <v>221</v>
      </c>
      <c r="R1422" s="0" t="s">
        <v>221</v>
      </c>
      <c r="S1422" s="0" t="s">
        <v>21</v>
      </c>
      <c r="T1422" s="0" t="s">
        <v>104</v>
      </c>
      <c r="W1422" s="0" t="s">
        <v>183</v>
      </c>
      <c r="AB1422" s="0" t="s">
        <v>4856</v>
      </c>
    </row>
    <row r="1423" customFormat="false" ht="15" hidden="false" customHeight="false" outlineLevel="0" collapsed="false">
      <c r="A1423" s="0" t="s">
        <v>21</v>
      </c>
      <c r="B1423" s="0" t="s">
        <v>4857</v>
      </c>
      <c r="C1423" s="0" t="s">
        <v>661</v>
      </c>
      <c r="D1423" s="0" t="s">
        <v>4858</v>
      </c>
      <c r="E1423" s="0" t="s">
        <v>4859</v>
      </c>
      <c r="G1423" s="0" t="s">
        <v>4860</v>
      </c>
      <c r="M1423" s="0" t="s">
        <v>232</v>
      </c>
      <c r="N1423" s="0" t="s">
        <v>124</v>
      </c>
      <c r="P1423" s="0" t="s">
        <v>102</v>
      </c>
      <c r="Q1423" s="0" t="s">
        <v>102</v>
      </c>
      <c r="R1423" s="0" t="s">
        <v>224</v>
      </c>
      <c r="S1423" s="0" t="s">
        <v>21</v>
      </c>
      <c r="T1423" s="0" t="s">
        <v>104</v>
      </c>
      <c r="V1423" s="0" t="s">
        <v>225</v>
      </c>
      <c r="W1423" s="0" t="s">
        <v>105</v>
      </c>
      <c r="AB1423" s="0" t="s">
        <v>4856</v>
      </c>
    </row>
    <row r="1424" customFormat="false" ht="15" hidden="false" customHeight="false" outlineLevel="0" collapsed="false">
      <c r="A1424" s="0" t="s">
        <v>21</v>
      </c>
      <c r="B1424" s="0" t="s">
        <v>4857</v>
      </c>
      <c r="C1424" s="0" t="s">
        <v>661</v>
      </c>
      <c r="D1424" s="0" t="s">
        <v>4858</v>
      </c>
      <c r="E1424" s="0" t="s">
        <v>4859</v>
      </c>
      <c r="G1424" s="0" t="s">
        <v>4860</v>
      </c>
      <c r="M1424" s="0" t="s">
        <v>232</v>
      </c>
      <c r="N1424" s="0" t="s">
        <v>124</v>
      </c>
      <c r="P1424" s="0" t="s">
        <v>130</v>
      </c>
      <c r="Q1424" s="0" t="s">
        <v>130</v>
      </c>
      <c r="R1424" s="0" t="s">
        <v>226</v>
      </c>
      <c r="S1424" s="0" t="s">
        <v>21</v>
      </c>
      <c r="T1424" s="0" t="s">
        <v>104</v>
      </c>
      <c r="U1424" s="0" t="s">
        <v>227</v>
      </c>
      <c r="W1424" s="0" t="s">
        <v>105</v>
      </c>
      <c r="AB1424" s="0" t="s">
        <v>4856</v>
      </c>
    </row>
    <row r="1425" customFormat="false" ht="15" hidden="false" customHeight="false" outlineLevel="0" collapsed="false">
      <c r="A1425" s="0" t="s">
        <v>21</v>
      </c>
      <c r="B1425" s="0" t="s">
        <v>4861</v>
      </c>
      <c r="C1425" s="0" t="s">
        <v>97</v>
      </c>
      <c r="D1425" s="0" t="s">
        <v>4862</v>
      </c>
      <c r="E1425" s="0" t="s">
        <v>4863</v>
      </c>
      <c r="G1425" s="0" t="s">
        <v>4864</v>
      </c>
      <c r="H1425" s="0" t="s">
        <v>403</v>
      </c>
      <c r="I1425" s="0" t="s">
        <v>100</v>
      </c>
      <c r="J1425" s="0" t="s">
        <v>100</v>
      </c>
      <c r="K1425" s="0" t="s">
        <v>1179</v>
      </c>
      <c r="L1425" s="0" t="s">
        <v>101</v>
      </c>
      <c r="M1425" s="0" t="s">
        <v>405</v>
      </c>
      <c r="N1425" s="0" t="s">
        <v>101</v>
      </c>
      <c r="P1425" s="0" t="s">
        <v>102</v>
      </c>
      <c r="Q1425" s="0" t="s">
        <v>102</v>
      </c>
      <c r="R1425" s="0" t="s">
        <v>113</v>
      </c>
      <c r="S1425" s="0" t="s">
        <v>21</v>
      </c>
      <c r="T1425" s="0" t="s">
        <v>104</v>
      </c>
      <c r="U1425" s="0" t="s">
        <v>368</v>
      </c>
      <c r="W1425" s="0" t="s">
        <v>105</v>
      </c>
      <c r="X1425" s="0" t="s">
        <v>406</v>
      </c>
      <c r="Y1425" s="0" t="s">
        <v>407</v>
      </c>
      <c r="Z1425" s="0" t="s">
        <v>134</v>
      </c>
      <c r="AA1425" s="0" t="s">
        <v>172</v>
      </c>
    </row>
    <row r="1426" customFormat="false" ht="15" hidden="false" customHeight="false" outlineLevel="0" collapsed="false">
      <c r="A1426" s="0" t="s">
        <v>21</v>
      </c>
      <c r="B1426" s="0" t="s">
        <v>4865</v>
      </c>
      <c r="C1426" s="0" t="s">
        <v>97</v>
      </c>
      <c r="D1426" s="0" t="s">
        <v>4866</v>
      </c>
      <c r="E1426" s="0" t="s">
        <v>4867</v>
      </c>
      <c r="G1426" s="0" t="s">
        <v>4864</v>
      </c>
      <c r="H1426" s="0" t="s">
        <v>1455</v>
      </c>
      <c r="I1426" s="0" t="s">
        <v>398</v>
      </c>
      <c r="J1426" s="0" t="s">
        <v>112</v>
      </c>
      <c r="K1426" s="0" t="s">
        <v>1419</v>
      </c>
      <c r="L1426" s="0" t="s">
        <v>101</v>
      </c>
      <c r="M1426" s="0" t="s">
        <v>398</v>
      </c>
      <c r="N1426" s="0" t="s">
        <v>101</v>
      </c>
      <c r="P1426" s="0" t="s">
        <v>102</v>
      </c>
      <c r="Q1426" s="0" t="s">
        <v>102</v>
      </c>
      <c r="R1426" s="0" t="s">
        <v>113</v>
      </c>
      <c r="S1426" s="0" t="s">
        <v>21</v>
      </c>
      <c r="T1426" s="0" t="s">
        <v>104</v>
      </c>
      <c r="U1426" s="0" t="s">
        <v>368</v>
      </c>
      <c r="W1426" s="0" t="s">
        <v>105</v>
      </c>
      <c r="X1426" s="0" t="s">
        <v>1457</v>
      </c>
      <c r="Y1426" s="0" t="s">
        <v>1458</v>
      </c>
      <c r="Z1426" s="0" t="s">
        <v>134</v>
      </c>
      <c r="AA1426" s="0" t="s">
        <v>172</v>
      </c>
    </row>
    <row r="1427" customFormat="false" ht="15" hidden="false" customHeight="false" outlineLevel="0" collapsed="false">
      <c r="A1427" s="0" t="s">
        <v>21</v>
      </c>
      <c r="B1427" s="0" t="s">
        <v>4868</v>
      </c>
      <c r="C1427" s="0" t="s">
        <v>97</v>
      </c>
      <c r="D1427" s="0" t="s">
        <v>4869</v>
      </c>
      <c r="E1427" s="0" t="s">
        <v>4870</v>
      </c>
      <c r="G1427" s="0" t="s">
        <v>4864</v>
      </c>
      <c r="H1427" s="0" t="s">
        <v>1194</v>
      </c>
      <c r="I1427" s="0" t="s">
        <v>437</v>
      </c>
      <c r="J1427" s="0" t="s">
        <v>511</v>
      </c>
      <c r="K1427" s="0" t="s">
        <v>3293</v>
      </c>
      <c r="L1427" s="0" t="s">
        <v>101</v>
      </c>
      <c r="M1427" s="0" t="s">
        <v>437</v>
      </c>
      <c r="N1427" s="0" t="s">
        <v>101</v>
      </c>
      <c r="P1427" s="0" t="s">
        <v>102</v>
      </c>
      <c r="Q1427" s="0" t="s">
        <v>102</v>
      </c>
      <c r="R1427" s="0" t="s">
        <v>113</v>
      </c>
      <c r="S1427" s="0" t="s">
        <v>21</v>
      </c>
      <c r="T1427" s="0" t="s">
        <v>104</v>
      </c>
      <c r="U1427" s="0" t="s">
        <v>368</v>
      </c>
      <c r="W1427" s="0" t="s">
        <v>105</v>
      </c>
      <c r="X1427" s="0" t="s">
        <v>1195</v>
      </c>
      <c r="Y1427" s="0" t="s">
        <v>1196</v>
      </c>
      <c r="Z1427" s="0" t="s">
        <v>134</v>
      </c>
      <c r="AA1427" s="0" t="s">
        <v>172</v>
      </c>
    </row>
    <row r="1428" customFormat="false" ht="15" hidden="false" customHeight="false" outlineLevel="0" collapsed="false">
      <c r="A1428" s="0" t="s">
        <v>21</v>
      </c>
      <c r="B1428" s="0" t="s">
        <v>4871</v>
      </c>
      <c r="C1428" s="0" t="s">
        <v>97</v>
      </c>
      <c r="D1428" s="0" t="s">
        <v>4872</v>
      </c>
      <c r="E1428" s="0" t="s">
        <v>4873</v>
      </c>
      <c r="G1428" s="0" t="s">
        <v>4864</v>
      </c>
      <c r="H1428" s="0" t="s">
        <v>1433</v>
      </c>
      <c r="I1428" s="0" t="s">
        <v>1434</v>
      </c>
      <c r="J1428" s="0" t="s">
        <v>1273</v>
      </c>
      <c r="K1428" s="0" t="s">
        <v>99</v>
      </c>
      <c r="L1428" s="0" t="s">
        <v>101</v>
      </c>
      <c r="M1428" s="0" t="s">
        <v>1434</v>
      </c>
      <c r="N1428" s="0" t="s">
        <v>101</v>
      </c>
      <c r="P1428" s="0" t="s">
        <v>102</v>
      </c>
      <c r="Q1428" s="0" t="s">
        <v>102</v>
      </c>
      <c r="R1428" s="0" t="s">
        <v>113</v>
      </c>
      <c r="S1428" s="0" t="s">
        <v>21</v>
      </c>
      <c r="T1428" s="0" t="s">
        <v>104</v>
      </c>
      <c r="U1428" s="0" t="s">
        <v>368</v>
      </c>
      <c r="W1428" s="0" t="s">
        <v>105</v>
      </c>
      <c r="X1428" s="0" t="s">
        <v>1435</v>
      </c>
      <c r="Y1428" s="0" t="s">
        <v>1436</v>
      </c>
      <c r="Z1428" s="0" t="s">
        <v>134</v>
      </c>
      <c r="AA1428" s="0" t="s">
        <v>172</v>
      </c>
    </row>
    <row r="1429" customFormat="false" ht="15" hidden="false" customHeight="false" outlineLevel="0" collapsed="false">
      <c r="A1429" s="0" t="s">
        <v>21</v>
      </c>
      <c r="B1429" s="0" t="s">
        <v>4874</v>
      </c>
      <c r="C1429" s="0" t="s">
        <v>97</v>
      </c>
      <c r="D1429" s="0" t="s">
        <v>4875</v>
      </c>
      <c r="E1429" s="0" t="s">
        <v>4876</v>
      </c>
      <c r="G1429" s="0" t="s">
        <v>4864</v>
      </c>
      <c r="H1429" s="0" t="s">
        <v>1256</v>
      </c>
      <c r="I1429" s="0" t="s">
        <v>1257</v>
      </c>
      <c r="J1429" s="0" t="s">
        <v>1258</v>
      </c>
      <c r="K1429" s="0" t="s">
        <v>1565</v>
      </c>
      <c r="L1429" s="0" t="s">
        <v>101</v>
      </c>
      <c r="M1429" s="0" t="s">
        <v>1257</v>
      </c>
      <c r="N1429" s="0" t="s">
        <v>101</v>
      </c>
      <c r="P1429" s="0" t="s">
        <v>102</v>
      </c>
      <c r="Q1429" s="0" t="s">
        <v>102</v>
      </c>
      <c r="R1429" s="0" t="s">
        <v>113</v>
      </c>
      <c r="S1429" s="0" t="s">
        <v>21</v>
      </c>
      <c r="T1429" s="0" t="s">
        <v>104</v>
      </c>
      <c r="U1429" s="0" t="s">
        <v>368</v>
      </c>
      <c r="W1429" s="0" t="s">
        <v>105</v>
      </c>
      <c r="X1429" s="0" t="s">
        <v>1260</v>
      </c>
      <c r="Y1429" s="0" t="s">
        <v>1261</v>
      </c>
      <c r="Z1429" s="0" t="s">
        <v>134</v>
      </c>
      <c r="AA1429" s="0" t="s">
        <v>172</v>
      </c>
    </row>
    <row r="1430" customFormat="false" ht="15" hidden="false" customHeight="false" outlineLevel="0" collapsed="false">
      <c r="A1430" s="0" t="s">
        <v>21</v>
      </c>
      <c r="B1430" s="0" t="s">
        <v>4877</v>
      </c>
      <c r="C1430" s="0" t="s">
        <v>97</v>
      </c>
      <c r="D1430" s="0" t="s">
        <v>4878</v>
      </c>
      <c r="E1430" s="0" t="s">
        <v>4879</v>
      </c>
      <c r="G1430" s="0" t="s">
        <v>4864</v>
      </c>
      <c r="H1430" s="0" t="s">
        <v>1556</v>
      </c>
      <c r="I1430" s="0" t="s">
        <v>1557</v>
      </c>
      <c r="J1430" s="0" t="s">
        <v>1273</v>
      </c>
      <c r="K1430" s="0" t="s">
        <v>322</v>
      </c>
      <c r="L1430" s="0" t="s">
        <v>101</v>
      </c>
      <c r="M1430" s="0" t="s">
        <v>1273</v>
      </c>
      <c r="N1430" s="0" t="s">
        <v>101</v>
      </c>
      <c r="P1430" s="0" t="s">
        <v>102</v>
      </c>
      <c r="Q1430" s="0" t="s">
        <v>102</v>
      </c>
      <c r="R1430" s="0" t="s">
        <v>113</v>
      </c>
      <c r="S1430" s="0" t="s">
        <v>21</v>
      </c>
      <c r="T1430" s="0" t="s">
        <v>104</v>
      </c>
      <c r="U1430" s="0" t="s">
        <v>368</v>
      </c>
      <c r="W1430" s="0" t="s">
        <v>105</v>
      </c>
      <c r="X1430" s="0" t="s">
        <v>1558</v>
      </c>
      <c r="Y1430" s="0" t="s">
        <v>1559</v>
      </c>
      <c r="Z1430" s="0" t="s">
        <v>134</v>
      </c>
      <c r="AA1430" s="0" t="s">
        <v>172</v>
      </c>
    </row>
    <row r="1431" customFormat="false" ht="15" hidden="false" customHeight="false" outlineLevel="0" collapsed="false">
      <c r="A1431" s="0" t="s">
        <v>21</v>
      </c>
      <c r="B1431" s="0" t="s">
        <v>4880</v>
      </c>
      <c r="C1431" s="0" t="s">
        <v>674</v>
      </c>
      <c r="D1431" s="0" t="s">
        <v>4881</v>
      </c>
      <c r="E1431" s="0" t="s">
        <v>4882</v>
      </c>
      <c r="G1431" s="0" t="s">
        <v>4883</v>
      </c>
      <c r="M1431" s="0" t="s">
        <v>442</v>
      </c>
      <c r="N1431" s="0" t="s">
        <v>101</v>
      </c>
      <c r="P1431" s="0" t="s">
        <v>102</v>
      </c>
      <c r="Q1431" s="0" t="s">
        <v>102</v>
      </c>
      <c r="R1431" s="0" t="s">
        <v>113</v>
      </c>
      <c r="S1431" s="0" t="s">
        <v>21</v>
      </c>
      <c r="T1431" s="0" t="s">
        <v>104</v>
      </c>
      <c r="U1431" s="0" t="s">
        <v>368</v>
      </c>
      <c r="W1431" s="0" t="s">
        <v>105</v>
      </c>
    </row>
    <row r="1432" customFormat="false" ht="15" hidden="false" customHeight="false" outlineLevel="0" collapsed="false">
      <c r="A1432" s="0" t="s">
        <v>21</v>
      </c>
      <c r="B1432" s="0" t="s">
        <v>4884</v>
      </c>
      <c r="C1432" s="0" t="s">
        <v>97</v>
      </c>
      <c r="D1432" s="0" t="s">
        <v>4778</v>
      </c>
      <c r="E1432" s="0" t="s">
        <v>2536</v>
      </c>
      <c r="G1432" s="0" t="s">
        <v>4885</v>
      </c>
      <c r="M1432" s="0" t="s">
        <v>100</v>
      </c>
      <c r="N1432" s="0" t="s">
        <v>101</v>
      </c>
      <c r="P1432" s="0" t="s">
        <v>102</v>
      </c>
      <c r="Q1432" s="0" t="s">
        <v>102</v>
      </c>
      <c r="R1432" s="0" t="s">
        <v>113</v>
      </c>
      <c r="S1432" s="0" t="s">
        <v>21</v>
      </c>
      <c r="T1432" s="0" t="s">
        <v>104</v>
      </c>
      <c r="U1432" s="0" t="s">
        <v>368</v>
      </c>
      <c r="W1432" s="0" t="s">
        <v>105</v>
      </c>
    </row>
    <row r="1433" customFormat="false" ht="15" hidden="false" customHeight="false" outlineLevel="0" collapsed="false">
      <c r="A1433" s="0" t="s">
        <v>21</v>
      </c>
      <c r="B1433" s="0" t="s">
        <v>4886</v>
      </c>
      <c r="C1433" s="0" t="s">
        <v>661</v>
      </c>
      <c r="D1433" s="0" t="s">
        <v>4887</v>
      </c>
      <c r="E1433" s="0" t="s">
        <v>4887</v>
      </c>
      <c r="M1433" s="0" t="s">
        <v>1273</v>
      </c>
      <c r="N1433" s="0" t="s">
        <v>101</v>
      </c>
      <c r="P1433" s="0" t="s">
        <v>102</v>
      </c>
      <c r="Q1433" s="0" t="s">
        <v>102</v>
      </c>
      <c r="R1433" s="0" t="s">
        <v>113</v>
      </c>
      <c r="S1433" s="0" t="s">
        <v>21</v>
      </c>
      <c r="T1433" s="0" t="s">
        <v>104</v>
      </c>
      <c r="U1433" s="0" t="s">
        <v>368</v>
      </c>
      <c r="W1433" s="0" t="s">
        <v>105</v>
      </c>
    </row>
    <row r="1434" customFormat="false" ht="15" hidden="false" customHeight="false" outlineLevel="0" collapsed="false">
      <c r="A1434" s="0" t="s">
        <v>21</v>
      </c>
      <c r="B1434" s="0" t="s">
        <v>4888</v>
      </c>
      <c r="C1434" s="0" t="s">
        <v>661</v>
      </c>
      <c r="D1434" s="0" t="s">
        <v>4889</v>
      </c>
      <c r="E1434" s="0" t="s">
        <v>4890</v>
      </c>
      <c r="M1434" s="0" t="s">
        <v>100</v>
      </c>
      <c r="N1434" s="0" t="s">
        <v>101</v>
      </c>
      <c r="P1434" s="0" t="s">
        <v>102</v>
      </c>
      <c r="Q1434" s="0" t="s">
        <v>102</v>
      </c>
      <c r="R1434" s="0" t="s">
        <v>113</v>
      </c>
      <c r="S1434" s="0" t="s">
        <v>21</v>
      </c>
      <c r="T1434" s="0" t="s">
        <v>104</v>
      </c>
      <c r="U1434" s="0" t="s">
        <v>368</v>
      </c>
      <c r="W1434" s="0" t="s">
        <v>105</v>
      </c>
    </row>
    <row r="1435" customFormat="false" ht="15" hidden="false" customHeight="false" outlineLevel="0" collapsed="false">
      <c r="A1435" s="0" t="s">
        <v>21</v>
      </c>
      <c r="B1435" s="0" t="s">
        <v>4891</v>
      </c>
      <c r="C1435" s="0" t="s">
        <v>661</v>
      </c>
      <c r="D1435" s="0" t="s">
        <v>4892</v>
      </c>
      <c r="E1435" s="0" t="s">
        <v>4893</v>
      </c>
      <c r="G1435" s="0" t="s">
        <v>2292</v>
      </c>
      <c r="M1435" s="0" t="s">
        <v>442</v>
      </c>
      <c r="N1435" s="0" t="s">
        <v>101</v>
      </c>
      <c r="P1435" s="0" t="s">
        <v>102</v>
      </c>
      <c r="Q1435" s="0" t="s">
        <v>102</v>
      </c>
      <c r="R1435" s="0" t="s">
        <v>113</v>
      </c>
      <c r="S1435" s="0" t="s">
        <v>21</v>
      </c>
      <c r="T1435" s="0" t="s">
        <v>104</v>
      </c>
      <c r="U1435" s="0" t="s">
        <v>368</v>
      </c>
      <c r="W1435" s="0" t="s">
        <v>105</v>
      </c>
      <c r="Z1435" s="0" t="s">
        <v>134</v>
      </c>
    </row>
    <row r="1436" customFormat="false" ht="15" hidden="false" customHeight="false" outlineLevel="0" collapsed="false">
      <c r="A1436" s="0" t="s">
        <v>21</v>
      </c>
      <c r="B1436" s="0" t="s">
        <v>4894</v>
      </c>
      <c r="C1436" s="0" t="s">
        <v>661</v>
      </c>
      <c r="D1436" s="0" t="s">
        <v>4895</v>
      </c>
      <c r="E1436" s="0" t="s">
        <v>4896</v>
      </c>
      <c r="M1436" s="0" t="s">
        <v>442</v>
      </c>
      <c r="N1436" s="0" t="s">
        <v>101</v>
      </c>
      <c r="P1436" s="0" t="s">
        <v>102</v>
      </c>
      <c r="Q1436" s="0" t="s">
        <v>102</v>
      </c>
      <c r="R1436" s="0" t="s">
        <v>113</v>
      </c>
      <c r="S1436" s="0" t="s">
        <v>21</v>
      </c>
      <c r="T1436" s="0" t="s">
        <v>104</v>
      </c>
      <c r="U1436" s="0" t="s">
        <v>368</v>
      </c>
      <c r="W1436" s="0" t="s">
        <v>105</v>
      </c>
    </row>
    <row r="1437" customFormat="false" ht="15" hidden="false" customHeight="false" outlineLevel="0" collapsed="false">
      <c r="A1437" s="0" t="s">
        <v>21</v>
      </c>
      <c r="B1437" s="0" t="s">
        <v>4897</v>
      </c>
      <c r="C1437" s="0" t="s">
        <v>661</v>
      </c>
      <c r="D1437" s="0" t="s">
        <v>4898</v>
      </c>
      <c r="E1437" s="0" t="s">
        <v>4899</v>
      </c>
      <c r="M1437" s="0" t="s">
        <v>100</v>
      </c>
      <c r="N1437" s="0" t="s">
        <v>101</v>
      </c>
      <c r="P1437" s="0" t="s">
        <v>102</v>
      </c>
      <c r="Q1437" s="0" t="s">
        <v>102</v>
      </c>
      <c r="R1437" s="0" t="s">
        <v>113</v>
      </c>
      <c r="S1437" s="0" t="s">
        <v>21</v>
      </c>
      <c r="T1437" s="0" t="s">
        <v>104</v>
      </c>
      <c r="U1437" s="0" t="s">
        <v>368</v>
      </c>
      <c r="W1437" s="0" t="s">
        <v>105</v>
      </c>
    </row>
    <row r="1438" customFormat="false" ht="15" hidden="false" customHeight="false" outlineLevel="0" collapsed="false">
      <c r="A1438" s="0" t="s">
        <v>21</v>
      </c>
      <c r="B1438" s="0" t="s">
        <v>4900</v>
      </c>
      <c r="C1438" s="0" t="s">
        <v>97</v>
      </c>
      <c r="D1438" s="0" t="s">
        <v>4901</v>
      </c>
      <c r="E1438" s="0" t="s">
        <v>4902</v>
      </c>
      <c r="G1438" s="0" t="s">
        <v>4903</v>
      </c>
      <c r="H1438" s="0" t="s">
        <v>4904</v>
      </c>
      <c r="I1438" s="0" t="s">
        <v>100</v>
      </c>
      <c r="J1438" s="0" t="s">
        <v>100</v>
      </c>
      <c r="K1438" s="0" t="s">
        <v>3056</v>
      </c>
      <c r="L1438" s="0" t="s">
        <v>101</v>
      </c>
      <c r="M1438" s="0" t="s">
        <v>442</v>
      </c>
      <c r="N1438" s="0" t="s">
        <v>101</v>
      </c>
      <c r="P1438" s="0" t="s">
        <v>204</v>
      </c>
      <c r="Q1438" s="0" t="s">
        <v>204</v>
      </c>
      <c r="R1438" s="0" t="s">
        <v>399</v>
      </c>
      <c r="S1438" s="0" t="s">
        <v>21</v>
      </c>
      <c r="T1438" s="0" t="s">
        <v>104</v>
      </c>
      <c r="W1438" s="0" t="s">
        <v>105</v>
      </c>
      <c r="X1438" s="0" t="s">
        <v>4905</v>
      </c>
      <c r="Y1438" s="0" t="s">
        <v>4906</v>
      </c>
      <c r="Z1438" s="0" t="s">
        <v>134</v>
      </c>
      <c r="AA1438" s="0" t="s">
        <v>172</v>
      </c>
    </row>
    <row r="1439" customFormat="false" ht="15" hidden="false" customHeight="false" outlineLevel="0" collapsed="false">
      <c r="A1439" s="0" t="s">
        <v>21</v>
      </c>
      <c r="B1439" s="0" t="s">
        <v>4907</v>
      </c>
      <c r="C1439" s="0" t="s">
        <v>97</v>
      </c>
      <c r="D1439" s="0" t="s">
        <v>4908</v>
      </c>
      <c r="E1439" s="0" t="s">
        <v>4909</v>
      </c>
      <c r="G1439" s="0" t="s">
        <v>4910</v>
      </c>
      <c r="H1439" s="0" t="s">
        <v>4911</v>
      </c>
      <c r="I1439" s="0" t="s">
        <v>4912</v>
      </c>
      <c r="J1439" s="0" t="s">
        <v>421</v>
      </c>
      <c r="K1439" s="0" t="s">
        <v>1617</v>
      </c>
      <c r="L1439" s="0" t="s">
        <v>101</v>
      </c>
      <c r="M1439" s="0" t="s">
        <v>4913</v>
      </c>
      <c r="N1439" s="0" t="s">
        <v>101</v>
      </c>
      <c r="P1439" s="0" t="s">
        <v>102</v>
      </c>
      <c r="Q1439" s="0" t="s">
        <v>102</v>
      </c>
      <c r="R1439" s="0" t="s">
        <v>113</v>
      </c>
      <c r="S1439" s="0" t="s">
        <v>21</v>
      </c>
      <c r="T1439" s="0" t="s">
        <v>104</v>
      </c>
      <c r="U1439" s="0" t="s">
        <v>368</v>
      </c>
      <c r="W1439" s="0" t="s">
        <v>105</v>
      </c>
      <c r="X1439" s="0" t="s">
        <v>4914</v>
      </c>
      <c r="Y1439" s="0" t="s">
        <v>4915</v>
      </c>
      <c r="Z1439" s="0" t="s">
        <v>134</v>
      </c>
      <c r="AA1439" s="0" t="s">
        <v>172</v>
      </c>
    </row>
    <row r="1440" customFormat="false" ht="15" hidden="false" customHeight="false" outlineLevel="0" collapsed="false">
      <c r="A1440" s="0" t="s">
        <v>21</v>
      </c>
      <c r="B1440" s="0" t="s">
        <v>4916</v>
      </c>
      <c r="C1440" s="0" t="s">
        <v>661</v>
      </c>
      <c r="D1440" s="0" t="s">
        <v>4917</v>
      </c>
      <c r="E1440" s="0" t="s">
        <v>4918</v>
      </c>
      <c r="G1440" s="0" t="s">
        <v>2292</v>
      </c>
      <c r="M1440" s="0" t="s">
        <v>456</v>
      </c>
      <c r="N1440" s="0" t="s">
        <v>101</v>
      </c>
      <c r="P1440" s="0" t="s">
        <v>102</v>
      </c>
      <c r="Q1440" s="0" t="s">
        <v>102</v>
      </c>
      <c r="R1440" s="0" t="s">
        <v>113</v>
      </c>
      <c r="S1440" s="0" t="s">
        <v>21</v>
      </c>
      <c r="T1440" s="0" t="s">
        <v>104</v>
      </c>
      <c r="U1440" s="0" t="s">
        <v>368</v>
      </c>
      <c r="W1440" s="0" t="s">
        <v>105</v>
      </c>
      <c r="Z1440" s="0" t="s">
        <v>134</v>
      </c>
    </row>
    <row r="1441" customFormat="false" ht="15" hidden="false" customHeight="false" outlineLevel="0" collapsed="false">
      <c r="A1441" s="0" t="s">
        <v>21</v>
      </c>
      <c r="B1441" s="0" t="s">
        <v>4919</v>
      </c>
      <c r="C1441" s="0" t="s">
        <v>661</v>
      </c>
      <c r="D1441" s="0" t="s">
        <v>4920</v>
      </c>
      <c r="E1441" s="0" t="s">
        <v>4921</v>
      </c>
      <c r="G1441" s="0" t="s">
        <v>4922</v>
      </c>
      <c r="M1441" s="0" t="s">
        <v>456</v>
      </c>
      <c r="N1441" s="0" t="s">
        <v>101</v>
      </c>
      <c r="P1441" s="0" t="s">
        <v>102</v>
      </c>
      <c r="Q1441" s="0" t="s">
        <v>102</v>
      </c>
      <c r="R1441" s="0" t="s">
        <v>113</v>
      </c>
      <c r="S1441" s="0" t="s">
        <v>21</v>
      </c>
      <c r="T1441" s="0" t="s">
        <v>104</v>
      </c>
      <c r="U1441" s="0" t="s">
        <v>368</v>
      </c>
      <c r="W1441" s="0" t="s">
        <v>105</v>
      </c>
    </row>
    <row r="1442" customFormat="false" ht="15" hidden="false" customHeight="false" outlineLevel="0" collapsed="false">
      <c r="A1442" s="0" t="s">
        <v>21</v>
      </c>
      <c r="B1442" s="0" t="s">
        <v>4923</v>
      </c>
      <c r="C1442" s="0" t="s">
        <v>97</v>
      </c>
      <c r="D1442" s="0" t="s">
        <v>4924</v>
      </c>
      <c r="E1442" s="0" t="s">
        <v>4925</v>
      </c>
      <c r="G1442" s="0" t="s">
        <v>4903</v>
      </c>
      <c r="H1442" s="0" t="s">
        <v>4926</v>
      </c>
      <c r="I1442" s="0" t="s">
        <v>100</v>
      </c>
      <c r="J1442" s="0" t="s">
        <v>100</v>
      </c>
      <c r="K1442" s="0" t="s">
        <v>4927</v>
      </c>
      <c r="L1442" s="0" t="s">
        <v>101</v>
      </c>
      <c r="M1442" s="0" t="s">
        <v>2183</v>
      </c>
      <c r="N1442" s="0" t="s">
        <v>101</v>
      </c>
      <c r="P1442" s="0" t="s">
        <v>204</v>
      </c>
      <c r="Q1442" s="0" t="s">
        <v>204</v>
      </c>
      <c r="R1442" s="0" t="s">
        <v>399</v>
      </c>
      <c r="S1442" s="0" t="s">
        <v>21</v>
      </c>
      <c r="T1442" s="0" t="s">
        <v>104</v>
      </c>
      <c r="W1442" s="0" t="s">
        <v>105</v>
      </c>
      <c r="X1442" s="0" t="s">
        <v>4928</v>
      </c>
      <c r="Y1442" s="0" t="s">
        <v>4929</v>
      </c>
      <c r="Z1442" s="0" t="s">
        <v>134</v>
      </c>
      <c r="AA1442" s="0" t="s">
        <v>172</v>
      </c>
    </row>
    <row r="1443" customFormat="false" ht="15" hidden="false" customHeight="false" outlineLevel="0" collapsed="false">
      <c r="A1443" s="0" t="s">
        <v>21</v>
      </c>
      <c r="B1443" s="0" t="s">
        <v>4930</v>
      </c>
      <c r="C1443" s="0" t="s">
        <v>661</v>
      </c>
      <c r="D1443" s="0" t="s">
        <v>4931</v>
      </c>
      <c r="E1443" s="0" t="s">
        <v>4932</v>
      </c>
      <c r="G1443" s="0" t="s">
        <v>4922</v>
      </c>
      <c r="M1443" s="0" t="s">
        <v>420</v>
      </c>
      <c r="N1443" s="0" t="s">
        <v>101</v>
      </c>
      <c r="P1443" s="0" t="s">
        <v>102</v>
      </c>
      <c r="Q1443" s="0" t="s">
        <v>102</v>
      </c>
      <c r="R1443" s="0" t="s">
        <v>113</v>
      </c>
      <c r="S1443" s="0" t="s">
        <v>21</v>
      </c>
      <c r="T1443" s="0" t="s">
        <v>104</v>
      </c>
      <c r="U1443" s="0" t="s">
        <v>368</v>
      </c>
      <c r="W1443" s="0" t="s">
        <v>105</v>
      </c>
    </row>
    <row r="1444" customFormat="false" ht="15" hidden="false" customHeight="false" outlineLevel="0" collapsed="false">
      <c r="A1444" s="0" t="s">
        <v>21</v>
      </c>
      <c r="B1444" s="0" t="s">
        <v>4933</v>
      </c>
      <c r="C1444" s="0" t="s">
        <v>97</v>
      </c>
      <c r="D1444" s="0" t="s">
        <v>4934</v>
      </c>
      <c r="E1444" s="0" t="s">
        <v>4935</v>
      </c>
      <c r="G1444" s="0" t="s">
        <v>4789</v>
      </c>
      <c r="H1444" s="0" t="s">
        <v>4936</v>
      </c>
      <c r="I1444" s="0" t="s">
        <v>100</v>
      </c>
      <c r="J1444" s="0" t="s">
        <v>100</v>
      </c>
      <c r="K1444" s="0" t="s">
        <v>1518</v>
      </c>
      <c r="L1444" s="0" t="s">
        <v>101</v>
      </c>
      <c r="M1444" s="0" t="s">
        <v>656</v>
      </c>
      <c r="N1444" s="0" t="s">
        <v>101</v>
      </c>
      <c r="P1444" s="0" t="s">
        <v>102</v>
      </c>
      <c r="Q1444" s="0" t="s">
        <v>102</v>
      </c>
      <c r="R1444" s="0" t="s">
        <v>113</v>
      </c>
      <c r="S1444" s="0" t="s">
        <v>21</v>
      </c>
      <c r="T1444" s="0" t="s">
        <v>104</v>
      </c>
      <c r="U1444" s="0" t="s">
        <v>368</v>
      </c>
      <c r="W1444" s="0" t="s">
        <v>105</v>
      </c>
      <c r="X1444" s="0" t="s">
        <v>4791</v>
      </c>
      <c r="Y1444" s="0" t="s">
        <v>4792</v>
      </c>
      <c r="Z1444" s="0" t="s">
        <v>134</v>
      </c>
      <c r="AA1444" s="0" t="s">
        <v>172</v>
      </c>
    </row>
    <row r="1445" customFormat="false" ht="15" hidden="false" customHeight="false" outlineLevel="0" collapsed="false">
      <c r="A1445" s="0" t="s">
        <v>21</v>
      </c>
      <c r="B1445" s="0" t="s">
        <v>4937</v>
      </c>
      <c r="C1445" s="0" t="s">
        <v>97</v>
      </c>
      <c r="D1445" s="0" t="s">
        <v>4785</v>
      </c>
      <c r="E1445" s="0" t="s">
        <v>4938</v>
      </c>
      <c r="G1445" s="0" t="s">
        <v>4789</v>
      </c>
      <c r="H1445" s="0" t="s">
        <v>4790</v>
      </c>
      <c r="I1445" s="0" t="s">
        <v>100</v>
      </c>
      <c r="J1445" s="0" t="s">
        <v>100</v>
      </c>
      <c r="K1445" s="0" t="s">
        <v>1518</v>
      </c>
      <c r="L1445" s="0" t="s">
        <v>101</v>
      </c>
      <c r="M1445" s="0" t="s">
        <v>656</v>
      </c>
      <c r="N1445" s="0" t="s">
        <v>101</v>
      </c>
      <c r="P1445" s="0" t="s">
        <v>102</v>
      </c>
      <c r="Q1445" s="0" t="s">
        <v>102</v>
      </c>
      <c r="R1445" s="0" t="s">
        <v>113</v>
      </c>
      <c r="S1445" s="0" t="s">
        <v>21</v>
      </c>
      <c r="T1445" s="0" t="s">
        <v>104</v>
      </c>
      <c r="U1445" s="0" t="s">
        <v>368</v>
      </c>
      <c r="W1445" s="0" t="s">
        <v>105</v>
      </c>
      <c r="X1445" s="0" t="s">
        <v>4791</v>
      </c>
      <c r="Y1445" s="0" t="s">
        <v>4792</v>
      </c>
      <c r="Z1445" s="0" t="s">
        <v>134</v>
      </c>
      <c r="AA1445" s="0" t="s">
        <v>172</v>
      </c>
    </row>
    <row r="1446" customFormat="false" ht="15" hidden="false" customHeight="false" outlineLevel="0" collapsed="false">
      <c r="A1446" s="0" t="s">
        <v>21</v>
      </c>
      <c r="B1446" s="0" t="s">
        <v>4939</v>
      </c>
      <c r="C1446" s="0" t="s">
        <v>97</v>
      </c>
      <c r="D1446" s="0" t="s">
        <v>4940</v>
      </c>
      <c r="E1446" s="0" t="s">
        <v>4941</v>
      </c>
      <c r="G1446" s="0" t="s">
        <v>4789</v>
      </c>
      <c r="H1446" s="0" t="s">
        <v>4936</v>
      </c>
      <c r="I1446" s="0" t="s">
        <v>100</v>
      </c>
      <c r="J1446" s="0" t="s">
        <v>100</v>
      </c>
      <c r="K1446" s="0" t="s">
        <v>4927</v>
      </c>
      <c r="L1446" s="0" t="s">
        <v>101</v>
      </c>
      <c r="M1446" s="0" t="s">
        <v>656</v>
      </c>
      <c r="N1446" s="0" t="s">
        <v>101</v>
      </c>
      <c r="P1446" s="0" t="s">
        <v>102</v>
      </c>
      <c r="Q1446" s="0" t="s">
        <v>102</v>
      </c>
      <c r="R1446" s="0" t="s">
        <v>113</v>
      </c>
      <c r="S1446" s="0" t="s">
        <v>21</v>
      </c>
      <c r="T1446" s="0" t="s">
        <v>104</v>
      </c>
      <c r="U1446" s="0" t="s">
        <v>368</v>
      </c>
      <c r="W1446" s="0" t="s">
        <v>105</v>
      </c>
      <c r="X1446" s="0" t="s">
        <v>4791</v>
      </c>
      <c r="Y1446" s="0" t="s">
        <v>4792</v>
      </c>
      <c r="Z1446" s="0" t="s">
        <v>134</v>
      </c>
      <c r="AA1446" s="0" t="s">
        <v>172</v>
      </c>
    </row>
    <row r="1447" customFormat="false" ht="15" hidden="false" customHeight="false" outlineLevel="0" collapsed="false">
      <c r="A1447" s="0" t="s">
        <v>21</v>
      </c>
      <c r="B1447" s="0" t="s">
        <v>4942</v>
      </c>
      <c r="C1447" s="0" t="s">
        <v>661</v>
      </c>
      <c r="D1447" s="0" t="s">
        <v>4943</v>
      </c>
      <c r="E1447" s="0" t="s">
        <v>4944</v>
      </c>
      <c r="M1447" s="0" t="s">
        <v>456</v>
      </c>
      <c r="N1447" s="0" t="s">
        <v>101</v>
      </c>
      <c r="P1447" s="0" t="s">
        <v>102</v>
      </c>
      <c r="Q1447" s="0" t="s">
        <v>102</v>
      </c>
      <c r="R1447" s="0" t="s">
        <v>113</v>
      </c>
      <c r="S1447" s="0" t="s">
        <v>21</v>
      </c>
      <c r="T1447" s="0" t="s">
        <v>104</v>
      </c>
      <c r="U1447" s="0" t="s">
        <v>368</v>
      </c>
      <c r="W1447" s="0" t="s">
        <v>105</v>
      </c>
    </row>
    <row r="1448" customFormat="false" ht="15" hidden="false" customHeight="false" outlineLevel="0" collapsed="false">
      <c r="A1448" s="0" t="s">
        <v>21</v>
      </c>
      <c r="B1448" s="0" t="s">
        <v>4945</v>
      </c>
      <c r="C1448" s="0" t="s">
        <v>97</v>
      </c>
      <c r="D1448" s="0" t="s">
        <v>4946</v>
      </c>
      <c r="E1448" s="0" t="s">
        <v>4947</v>
      </c>
      <c r="G1448" s="0" t="s">
        <v>4910</v>
      </c>
      <c r="H1448" s="0" t="s">
        <v>4948</v>
      </c>
      <c r="I1448" s="0" t="s">
        <v>100</v>
      </c>
      <c r="J1448" s="0" t="s">
        <v>100</v>
      </c>
      <c r="K1448" s="0" t="s">
        <v>4949</v>
      </c>
      <c r="L1448" s="0" t="s">
        <v>101</v>
      </c>
      <c r="M1448" s="0" t="s">
        <v>1519</v>
      </c>
      <c r="N1448" s="0" t="s">
        <v>101</v>
      </c>
      <c r="P1448" s="0" t="s">
        <v>102</v>
      </c>
      <c r="Q1448" s="0" t="s">
        <v>102</v>
      </c>
      <c r="R1448" s="0" t="s">
        <v>113</v>
      </c>
      <c r="S1448" s="0" t="s">
        <v>21</v>
      </c>
      <c r="T1448" s="0" t="s">
        <v>104</v>
      </c>
      <c r="U1448" s="0" t="s">
        <v>368</v>
      </c>
      <c r="W1448" s="0" t="s">
        <v>105</v>
      </c>
      <c r="X1448" s="0" t="s">
        <v>4950</v>
      </c>
      <c r="Y1448" s="0" t="s">
        <v>4951</v>
      </c>
      <c r="Z1448" s="0" t="s">
        <v>134</v>
      </c>
      <c r="AA1448" s="0" t="s">
        <v>172</v>
      </c>
    </row>
    <row r="1449" customFormat="false" ht="15" hidden="false" customHeight="false" outlineLevel="0" collapsed="false">
      <c r="A1449" s="0" t="s">
        <v>21</v>
      </c>
      <c r="B1449" s="0" t="s">
        <v>4952</v>
      </c>
      <c r="C1449" s="0" t="s">
        <v>97</v>
      </c>
      <c r="D1449" s="0" t="s">
        <v>4953</v>
      </c>
      <c r="E1449" s="0" t="s">
        <v>4954</v>
      </c>
      <c r="G1449" s="0" t="s">
        <v>4903</v>
      </c>
      <c r="H1449" s="0" t="s">
        <v>4955</v>
      </c>
      <c r="I1449" s="0" t="s">
        <v>100</v>
      </c>
      <c r="J1449" s="0" t="s">
        <v>100</v>
      </c>
      <c r="K1449" s="0" t="s">
        <v>4956</v>
      </c>
      <c r="L1449" s="0" t="s">
        <v>101</v>
      </c>
      <c r="M1449" s="0" t="s">
        <v>2183</v>
      </c>
      <c r="N1449" s="0" t="s">
        <v>101</v>
      </c>
      <c r="P1449" s="0" t="s">
        <v>204</v>
      </c>
      <c r="Q1449" s="0" t="s">
        <v>204</v>
      </c>
      <c r="R1449" s="0" t="s">
        <v>399</v>
      </c>
      <c r="S1449" s="0" t="s">
        <v>21</v>
      </c>
      <c r="T1449" s="0" t="s">
        <v>104</v>
      </c>
      <c r="W1449" s="0" t="s">
        <v>105</v>
      </c>
      <c r="X1449" s="0" t="s">
        <v>4957</v>
      </c>
      <c r="Y1449" s="0" t="s">
        <v>4958</v>
      </c>
      <c r="Z1449" s="0" t="s">
        <v>134</v>
      </c>
      <c r="AA1449" s="0" t="s">
        <v>172</v>
      </c>
    </row>
    <row r="1450" customFormat="false" ht="15" hidden="false" customHeight="false" outlineLevel="0" collapsed="false">
      <c r="A1450" s="0" t="s">
        <v>21</v>
      </c>
      <c r="B1450" s="0" t="s">
        <v>4959</v>
      </c>
      <c r="C1450" s="0" t="s">
        <v>661</v>
      </c>
      <c r="D1450" s="0" t="s">
        <v>4960</v>
      </c>
      <c r="E1450" s="0" t="s">
        <v>4961</v>
      </c>
      <c r="G1450" s="0" t="s">
        <v>4922</v>
      </c>
      <c r="M1450" s="0" t="s">
        <v>366</v>
      </c>
      <c r="N1450" s="0" t="s">
        <v>101</v>
      </c>
      <c r="P1450" s="0" t="s">
        <v>102</v>
      </c>
      <c r="Q1450" s="0" t="s">
        <v>102</v>
      </c>
      <c r="R1450" s="0" t="s">
        <v>113</v>
      </c>
      <c r="S1450" s="0" t="s">
        <v>21</v>
      </c>
      <c r="T1450" s="0" t="s">
        <v>104</v>
      </c>
      <c r="U1450" s="0" t="s">
        <v>368</v>
      </c>
      <c r="W1450" s="0" t="s">
        <v>105</v>
      </c>
    </row>
    <row r="1451" customFormat="false" ht="15" hidden="false" customHeight="false" outlineLevel="0" collapsed="false">
      <c r="A1451" s="0" t="s">
        <v>21</v>
      </c>
      <c r="B1451" s="0" t="s">
        <v>4962</v>
      </c>
      <c r="C1451" s="0" t="s">
        <v>97</v>
      </c>
      <c r="D1451" s="0" t="s">
        <v>4963</v>
      </c>
      <c r="E1451" s="0" t="s">
        <v>4964</v>
      </c>
      <c r="G1451" s="0" t="s">
        <v>4903</v>
      </c>
      <c r="H1451" s="0" t="s">
        <v>4965</v>
      </c>
      <c r="I1451" s="0" t="s">
        <v>100</v>
      </c>
      <c r="J1451" s="0" t="s">
        <v>100</v>
      </c>
      <c r="K1451" s="0" t="s">
        <v>4966</v>
      </c>
      <c r="L1451" s="0" t="s">
        <v>101</v>
      </c>
      <c r="M1451" s="0" t="s">
        <v>442</v>
      </c>
      <c r="N1451" s="0" t="s">
        <v>101</v>
      </c>
      <c r="P1451" s="0" t="s">
        <v>102</v>
      </c>
      <c r="Q1451" s="0" t="s">
        <v>102</v>
      </c>
      <c r="R1451" s="0" t="s">
        <v>113</v>
      </c>
      <c r="S1451" s="0" t="s">
        <v>21</v>
      </c>
      <c r="T1451" s="0" t="s">
        <v>104</v>
      </c>
      <c r="U1451" s="0" t="s">
        <v>368</v>
      </c>
      <c r="W1451" s="0" t="s">
        <v>105</v>
      </c>
      <c r="X1451" s="0" t="s">
        <v>4967</v>
      </c>
      <c r="Y1451" s="0" t="s">
        <v>4968</v>
      </c>
      <c r="Z1451" s="0" t="s">
        <v>134</v>
      </c>
      <c r="AA1451" s="0" t="s">
        <v>172</v>
      </c>
    </row>
    <row r="1452" customFormat="false" ht="15" hidden="false" customHeight="false" outlineLevel="0" collapsed="false">
      <c r="A1452" s="0" t="s">
        <v>21</v>
      </c>
      <c r="B1452" s="0" t="s">
        <v>4969</v>
      </c>
      <c r="C1452" s="0" t="s">
        <v>661</v>
      </c>
      <c r="D1452" s="0" t="s">
        <v>4970</v>
      </c>
      <c r="E1452" s="0" t="s">
        <v>4971</v>
      </c>
      <c r="G1452" s="0" t="s">
        <v>4922</v>
      </c>
      <c r="M1452" s="0" t="s">
        <v>442</v>
      </c>
      <c r="N1452" s="0" t="s">
        <v>101</v>
      </c>
      <c r="P1452" s="0" t="s">
        <v>102</v>
      </c>
      <c r="Q1452" s="0" t="s">
        <v>102</v>
      </c>
      <c r="R1452" s="0" t="s">
        <v>113</v>
      </c>
      <c r="S1452" s="0" t="s">
        <v>21</v>
      </c>
      <c r="T1452" s="0" t="s">
        <v>104</v>
      </c>
      <c r="U1452" s="0" t="s">
        <v>368</v>
      </c>
      <c r="W1452" s="0" t="s">
        <v>105</v>
      </c>
    </row>
    <row r="1453" customFormat="false" ht="15" hidden="false" customHeight="false" outlineLevel="0" collapsed="false">
      <c r="A1453" s="0" t="s">
        <v>21</v>
      </c>
      <c r="B1453" s="0" t="s">
        <v>4972</v>
      </c>
      <c r="C1453" s="0" t="s">
        <v>97</v>
      </c>
      <c r="D1453" s="0" t="s">
        <v>4973</v>
      </c>
      <c r="E1453" s="0" t="s">
        <v>4974</v>
      </c>
      <c r="G1453" s="0" t="s">
        <v>4864</v>
      </c>
      <c r="H1453" s="0" t="s">
        <v>1571</v>
      </c>
      <c r="I1453" s="0" t="s">
        <v>366</v>
      </c>
      <c r="J1453" s="0" t="s">
        <v>367</v>
      </c>
      <c r="K1453" s="0" t="s">
        <v>1449</v>
      </c>
      <c r="L1453" s="0" t="s">
        <v>101</v>
      </c>
      <c r="M1453" s="0" t="s">
        <v>366</v>
      </c>
      <c r="N1453" s="0" t="s">
        <v>101</v>
      </c>
      <c r="P1453" s="0" t="s">
        <v>102</v>
      </c>
      <c r="Q1453" s="0" t="s">
        <v>102</v>
      </c>
      <c r="R1453" s="0" t="s">
        <v>113</v>
      </c>
      <c r="S1453" s="0" t="s">
        <v>21</v>
      </c>
      <c r="T1453" s="0" t="s">
        <v>104</v>
      </c>
      <c r="U1453" s="0" t="s">
        <v>368</v>
      </c>
      <c r="W1453" s="0" t="s">
        <v>105</v>
      </c>
      <c r="X1453" s="0" t="s">
        <v>369</v>
      </c>
      <c r="Y1453" s="0" t="s">
        <v>370</v>
      </c>
      <c r="Z1453" s="0" t="s">
        <v>134</v>
      </c>
      <c r="AA1453" s="0" t="s">
        <v>172</v>
      </c>
    </row>
    <row r="1454" customFormat="false" ht="15" hidden="false" customHeight="false" outlineLevel="0" collapsed="false">
      <c r="A1454" s="0" t="s">
        <v>21</v>
      </c>
      <c r="B1454" s="0" t="s">
        <v>4975</v>
      </c>
      <c r="C1454" s="0" t="s">
        <v>97</v>
      </c>
      <c r="D1454" s="0" t="s">
        <v>4976</v>
      </c>
      <c r="E1454" s="0" t="s">
        <v>4977</v>
      </c>
      <c r="G1454" s="0" t="s">
        <v>4864</v>
      </c>
      <c r="H1454" s="0" t="s">
        <v>1219</v>
      </c>
      <c r="I1454" s="0" t="s">
        <v>412</v>
      </c>
      <c r="J1454" s="0" t="s">
        <v>167</v>
      </c>
      <c r="K1454" s="0" t="s">
        <v>422</v>
      </c>
      <c r="L1454" s="0" t="s">
        <v>101</v>
      </c>
      <c r="M1454" s="0" t="s">
        <v>1221</v>
      </c>
      <c r="N1454" s="0" t="s">
        <v>101</v>
      </c>
      <c r="P1454" s="0" t="s">
        <v>102</v>
      </c>
      <c r="Q1454" s="0" t="s">
        <v>102</v>
      </c>
      <c r="R1454" s="0" t="s">
        <v>113</v>
      </c>
      <c r="S1454" s="0" t="s">
        <v>21</v>
      </c>
      <c r="T1454" s="0" t="s">
        <v>104</v>
      </c>
      <c r="U1454" s="0" t="s">
        <v>368</v>
      </c>
      <c r="W1454" s="0" t="s">
        <v>105</v>
      </c>
      <c r="X1454" s="0" t="s">
        <v>1222</v>
      </c>
      <c r="Y1454" s="0" t="s">
        <v>1223</v>
      </c>
      <c r="Z1454" s="0" t="s">
        <v>134</v>
      </c>
      <c r="AA1454" s="0" t="s">
        <v>172</v>
      </c>
    </row>
    <row r="1455" customFormat="false" ht="15" hidden="false" customHeight="false" outlineLevel="0" collapsed="false">
      <c r="A1455" s="0" t="s">
        <v>21</v>
      </c>
      <c r="B1455" s="0" t="s">
        <v>4978</v>
      </c>
      <c r="C1455" s="0" t="s">
        <v>2098</v>
      </c>
      <c r="D1455" s="0" t="s">
        <v>4895</v>
      </c>
      <c r="E1455" s="0" t="s">
        <v>4979</v>
      </c>
      <c r="M1455" s="0" t="s">
        <v>100</v>
      </c>
      <c r="N1455" s="0" t="s">
        <v>101</v>
      </c>
      <c r="P1455" s="0" t="s">
        <v>102</v>
      </c>
      <c r="Q1455" s="0" t="s">
        <v>102</v>
      </c>
      <c r="R1455" s="0" t="s">
        <v>113</v>
      </c>
      <c r="S1455" s="0" t="s">
        <v>21</v>
      </c>
      <c r="T1455" s="0" t="s">
        <v>104</v>
      </c>
      <c r="U1455" s="0" t="s">
        <v>368</v>
      </c>
      <c r="W1455" s="0" t="s">
        <v>105</v>
      </c>
    </row>
    <row r="1456" customFormat="false" ht="15" hidden="false" customHeight="false" outlineLevel="0" collapsed="false">
      <c r="A1456" s="0" t="s">
        <v>21</v>
      </c>
      <c r="B1456" s="0" t="s">
        <v>4980</v>
      </c>
      <c r="C1456" s="0" t="s">
        <v>97</v>
      </c>
      <c r="D1456" s="0" t="s">
        <v>4981</v>
      </c>
      <c r="E1456" s="0" t="s">
        <v>4982</v>
      </c>
      <c r="G1456" s="0" t="s">
        <v>4983</v>
      </c>
      <c r="H1456" s="0" t="s">
        <v>4984</v>
      </c>
      <c r="I1456" s="0" t="s">
        <v>437</v>
      </c>
      <c r="J1456" s="0" t="s">
        <v>511</v>
      </c>
      <c r="K1456" s="0" t="s">
        <v>168</v>
      </c>
      <c r="L1456" s="0" t="s">
        <v>101</v>
      </c>
      <c r="M1456" s="0" t="s">
        <v>437</v>
      </c>
      <c r="N1456" s="0" t="s">
        <v>101</v>
      </c>
      <c r="P1456" s="0" t="s">
        <v>102</v>
      </c>
      <c r="Q1456" s="0" t="s">
        <v>102</v>
      </c>
      <c r="R1456" s="0" t="s">
        <v>113</v>
      </c>
      <c r="S1456" s="0" t="s">
        <v>21</v>
      </c>
      <c r="T1456" s="0" t="s">
        <v>104</v>
      </c>
      <c r="U1456" s="0" t="s">
        <v>368</v>
      </c>
      <c r="W1456" s="0" t="s">
        <v>105</v>
      </c>
      <c r="X1456" s="0" t="s">
        <v>4985</v>
      </c>
      <c r="Y1456" s="0" t="s">
        <v>4986</v>
      </c>
      <c r="Z1456" s="0" t="s">
        <v>134</v>
      </c>
      <c r="AA1456" s="0" t="s">
        <v>172</v>
      </c>
    </row>
    <row r="1457" customFormat="false" ht="15" hidden="false" customHeight="false" outlineLevel="0" collapsed="false">
      <c r="A1457" s="0" t="s">
        <v>21</v>
      </c>
      <c r="B1457" s="0" t="s">
        <v>4987</v>
      </c>
      <c r="C1457" s="0" t="s">
        <v>97</v>
      </c>
      <c r="D1457" s="0" t="s">
        <v>4988</v>
      </c>
      <c r="E1457" s="0" t="s">
        <v>4989</v>
      </c>
      <c r="G1457" s="0" t="s">
        <v>4983</v>
      </c>
      <c r="H1457" s="0" t="s">
        <v>4990</v>
      </c>
      <c r="I1457" s="0" t="s">
        <v>437</v>
      </c>
      <c r="J1457" s="0" t="s">
        <v>511</v>
      </c>
      <c r="K1457" s="0" t="s">
        <v>2802</v>
      </c>
      <c r="L1457" s="0" t="s">
        <v>101</v>
      </c>
      <c r="M1457" s="0" t="s">
        <v>437</v>
      </c>
      <c r="N1457" s="0" t="s">
        <v>101</v>
      </c>
      <c r="P1457" s="0" t="s">
        <v>102</v>
      </c>
      <c r="Q1457" s="0" t="s">
        <v>102</v>
      </c>
      <c r="R1457" s="0" t="s">
        <v>113</v>
      </c>
      <c r="S1457" s="0" t="s">
        <v>21</v>
      </c>
      <c r="T1457" s="0" t="s">
        <v>104</v>
      </c>
      <c r="U1457" s="0" t="s">
        <v>368</v>
      </c>
      <c r="W1457" s="0" t="s">
        <v>105</v>
      </c>
      <c r="X1457" s="0" t="s">
        <v>4991</v>
      </c>
      <c r="Y1457" s="0" t="s">
        <v>4992</v>
      </c>
      <c r="Z1457" s="0" t="s">
        <v>134</v>
      </c>
      <c r="AA1457" s="0" t="s">
        <v>172</v>
      </c>
    </row>
    <row r="1458" customFormat="false" ht="15" hidden="false" customHeight="false" outlineLevel="0" collapsed="false">
      <c r="A1458" s="0" t="s">
        <v>21</v>
      </c>
      <c r="B1458" s="0" t="s">
        <v>4993</v>
      </c>
      <c r="C1458" s="0" t="s">
        <v>97</v>
      </c>
      <c r="D1458" s="0" t="s">
        <v>4994</v>
      </c>
      <c r="E1458" s="0" t="s">
        <v>4995</v>
      </c>
      <c r="G1458" s="0" t="s">
        <v>4996</v>
      </c>
      <c r="H1458" s="0" t="s">
        <v>4997</v>
      </c>
      <c r="I1458" s="0" t="s">
        <v>4998</v>
      </c>
      <c r="J1458" s="0" t="s">
        <v>511</v>
      </c>
      <c r="K1458" s="0" t="s">
        <v>720</v>
      </c>
      <c r="L1458" s="0" t="s">
        <v>101</v>
      </c>
      <c r="M1458" s="0" t="s">
        <v>4998</v>
      </c>
      <c r="N1458" s="0" t="s">
        <v>101</v>
      </c>
      <c r="P1458" s="0" t="s">
        <v>102</v>
      </c>
      <c r="Q1458" s="0" t="s">
        <v>102</v>
      </c>
      <c r="R1458" s="0" t="s">
        <v>113</v>
      </c>
      <c r="S1458" s="0" t="s">
        <v>21</v>
      </c>
      <c r="T1458" s="0" t="s">
        <v>104</v>
      </c>
      <c r="U1458" s="0" t="s">
        <v>368</v>
      </c>
      <c r="W1458" s="0" t="s">
        <v>105</v>
      </c>
      <c r="X1458" s="0" t="s">
        <v>4999</v>
      </c>
      <c r="Y1458" s="0" t="s">
        <v>5000</v>
      </c>
      <c r="Z1458" s="0" t="s">
        <v>134</v>
      </c>
      <c r="AA1458" s="0" t="s">
        <v>172</v>
      </c>
    </row>
    <row r="1459" customFormat="false" ht="15" hidden="false" customHeight="false" outlineLevel="0" collapsed="false">
      <c r="A1459" s="0" t="s">
        <v>21</v>
      </c>
      <c r="B1459" s="0" t="s">
        <v>5001</v>
      </c>
      <c r="C1459" s="0" t="s">
        <v>661</v>
      </c>
      <c r="D1459" s="0" t="s">
        <v>5002</v>
      </c>
      <c r="E1459" s="0" t="s">
        <v>5003</v>
      </c>
      <c r="M1459" s="0" t="s">
        <v>430</v>
      </c>
      <c r="N1459" s="0" t="s">
        <v>101</v>
      </c>
      <c r="P1459" s="0" t="s">
        <v>102</v>
      </c>
      <c r="Q1459" s="0" t="s">
        <v>102</v>
      </c>
      <c r="R1459" s="0" t="s">
        <v>113</v>
      </c>
      <c r="S1459" s="0" t="s">
        <v>21</v>
      </c>
      <c r="T1459" s="0" t="s">
        <v>104</v>
      </c>
      <c r="U1459" s="0" t="s">
        <v>368</v>
      </c>
      <c r="W1459" s="0" t="s">
        <v>105</v>
      </c>
    </row>
    <row r="1460" customFormat="false" ht="15" hidden="false" customHeight="false" outlineLevel="0" collapsed="false">
      <c r="A1460" s="0" t="s">
        <v>21</v>
      </c>
      <c r="B1460" s="0" t="s">
        <v>5004</v>
      </c>
      <c r="C1460" s="0" t="s">
        <v>661</v>
      </c>
      <c r="D1460" s="0" t="s">
        <v>5005</v>
      </c>
      <c r="E1460" s="0" t="s">
        <v>5006</v>
      </c>
      <c r="G1460" s="0" t="s">
        <v>2292</v>
      </c>
      <c r="M1460" s="0" t="s">
        <v>437</v>
      </c>
      <c r="N1460" s="0" t="s">
        <v>101</v>
      </c>
      <c r="P1460" s="0" t="s">
        <v>102</v>
      </c>
      <c r="Q1460" s="0" t="s">
        <v>102</v>
      </c>
      <c r="R1460" s="0" t="s">
        <v>113</v>
      </c>
      <c r="S1460" s="0" t="s">
        <v>21</v>
      </c>
      <c r="T1460" s="0" t="s">
        <v>104</v>
      </c>
      <c r="U1460" s="0" t="s">
        <v>368</v>
      </c>
      <c r="W1460" s="0" t="s">
        <v>105</v>
      </c>
      <c r="Z1460" s="0" t="s">
        <v>134</v>
      </c>
    </row>
    <row r="1461" customFormat="false" ht="15" hidden="false" customHeight="false" outlineLevel="0" collapsed="false">
      <c r="A1461" s="0" t="s">
        <v>21</v>
      </c>
      <c r="B1461" s="0" t="s">
        <v>5007</v>
      </c>
      <c r="C1461" s="0" t="s">
        <v>97</v>
      </c>
      <c r="D1461" s="0" t="s">
        <v>5008</v>
      </c>
      <c r="E1461" s="0" t="s">
        <v>5009</v>
      </c>
      <c r="G1461" s="0" t="s">
        <v>5010</v>
      </c>
      <c r="H1461" s="0" t="s">
        <v>5011</v>
      </c>
      <c r="I1461" s="0" t="s">
        <v>437</v>
      </c>
      <c r="J1461" s="0" t="s">
        <v>511</v>
      </c>
      <c r="K1461" s="0" t="s">
        <v>720</v>
      </c>
      <c r="L1461" s="0" t="s">
        <v>101</v>
      </c>
      <c r="M1461" s="0" t="s">
        <v>437</v>
      </c>
      <c r="N1461" s="0" t="s">
        <v>101</v>
      </c>
      <c r="P1461" s="0" t="s">
        <v>204</v>
      </c>
      <c r="Q1461" s="0" t="s">
        <v>204</v>
      </c>
      <c r="R1461" s="0" t="s">
        <v>399</v>
      </c>
      <c r="S1461" s="0" t="s">
        <v>21</v>
      </c>
      <c r="T1461" s="0" t="s">
        <v>104</v>
      </c>
      <c r="W1461" s="0" t="s">
        <v>105</v>
      </c>
      <c r="X1461" s="0" t="s">
        <v>5012</v>
      </c>
      <c r="Y1461" s="0" t="s">
        <v>5013</v>
      </c>
      <c r="Z1461" s="0" t="s">
        <v>134</v>
      </c>
      <c r="AA1461" s="0" t="s">
        <v>172</v>
      </c>
    </row>
    <row r="1462" customFormat="false" ht="15" hidden="false" customHeight="false" outlineLevel="0" collapsed="false">
      <c r="A1462" s="0" t="s">
        <v>21</v>
      </c>
      <c r="B1462" s="0" t="s">
        <v>5014</v>
      </c>
      <c r="C1462" s="0" t="s">
        <v>661</v>
      </c>
      <c r="D1462" s="0" t="s">
        <v>5015</v>
      </c>
      <c r="E1462" s="0" t="s">
        <v>5016</v>
      </c>
      <c r="G1462" s="0" t="s">
        <v>4922</v>
      </c>
      <c r="M1462" s="0" t="s">
        <v>1186</v>
      </c>
      <c r="N1462" s="0" t="s">
        <v>101</v>
      </c>
      <c r="P1462" s="0" t="s">
        <v>102</v>
      </c>
      <c r="Q1462" s="0" t="s">
        <v>102</v>
      </c>
      <c r="R1462" s="0" t="s">
        <v>113</v>
      </c>
      <c r="S1462" s="0" t="s">
        <v>21</v>
      </c>
      <c r="T1462" s="0" t="s">
        <v>104</v>
      </c>
      <c r="U1462" s="0" t="s">
        <v>368</v>
      </c>
      <c r="W1462" s="0" t="s">
        <v>105</v>
      </c>
    </row>
    <row r="1463" customFormat="false" ht="15" hidden="false" customHeight="false" outlineLevel="0" collapsed="false">
      <c r="A1463" s="0" t="s">
        <v>21</v>
      </c>
      <c r="B1463" s="0" t="s">
        <v>5017</v>
      </c>
      <c r="C1463" s="0" t="s">
        <v>661</v>
      </c>
      <c r="D1463" s="0" t="s">
        <v>5018</v>
      </c>
      <c r="E1463" s="0" t="s">
        <v>5019</v>
      </c>
      <c r="M1463" s="0" t="s">
        <v>511</v>
      </c>
      <c r="N1463" s="0" t="s">
        <v>101</v>
      </c>
      <c r="P1463" s="0" t="s">
        <v>204</v>
      </c>
      <c r="Q1463" s="0" t="s">
        <v>204</v>
      </c>
      <c r="R1463" s="0" t="s">
        <v>399</v>
      </c>
      <c r="S1463" s="0" t="s">
        <v>21</v>
      </c>
      <c r="T1463" s="0" t="s">
        <v>104</v>
      </c>
      <c r="W1463" s="0" t="s">
        <v>105</v>
      </c>
    </row>
    <row r="1464" customFormat="false" ht="15" hidden="false" customHeight="false" outlineLevel="0" collapsed="false">
      <c r="A1464" s="0" t="s">
        <v>21</v>
      </c>
      <c r="B1464" s="0" t="s">
        <v>5020</v>
      </c>
      <c r="C1464" s="0" t="s">
        <v>97</v>
      </c>
      <c r="D1464" s="0" t="s">
        <v>5021</v>
      </c>
      <c r="E1464" s="0" t="s">
        <v>5022</v>
      </c>
      <c r="G1464" s="0" t="s">
        <v>4789</v>
      </c>
      <c r="H1464" s="0" t="s">
        <v>4803</v>
      </c>
      <c r="I1464" s="0" t="s">
        <v>437</v>
      </c>
      <c r="J1464" s="0" t="s">
        <v>511</v>
      </c>
      <c r="K1464" s="0" t="s">
        <v>1179</v>
      </c>
      <c r="L1464" s="0" t="s">
        <v>101</v>
      </c>
      <c r="M1464" s="0" t="s">
        <v>437</v>
      </c>
      <c r="N1464" s="0" t="s">
        <v>101</v>
      </c>
      <c r="P1464" s="0" t="s">
        <v>102</v>
      </c>
      <c r="Q1464" s="0" t="s">
        <v>102</v>
      </c>
      <c r="R1464" s="0" t="s">
        <v>113</v>
      </c>
      <c r="S1464" s="0" t="s">
        <v>21</v>
      </c>
      <c r="T1464" s="0" t="s">
        <v>104</v>
      </c>
      <c r="U1464" s="0" t="s">
        <v>368</v>
      </c>
      <c r="W1464" s="0" t="s">
        <v>105</v>
      </c>
      <c r="X1464" s="0" t="s">
        <v>1195</v>
      </c>
      <c r="Y1464" s="0" t="s">
        <v>1196</v>
      </c>
      <c r="Z1464" s="0" t="s">
        <v>134</v>
      </c>
      <c r="AA1464" s="0" t="s">
        <v>172</v>
      </c>
    </row>
    <row r="1465" customFormat="false" ht="15" hidden="false" customHeight="false" outlineLevel="0" collapsed="false">
      <c r="A1465" s="0" t="s">
        <v>21</v>
      </c>
      <c r="B1465" s="0" t="s">
        <v>5023</v>
      </c>
      <c r="C1465" s="0" t="s">
        <v>97</v>
      </c>
      <c r="D1465" s="0" t="s">
        <v>4805</v>
      </c>
      <c r="E1465" s="0" t="s">
        <v>5024</v>
      </c>
      <c r="G1465" s="0" t="s">
        <v>4789</v>
      </c>
      <c r="H1465" s="0" t="s">
        <v>4803</v>
      </c>
      <c r="I1465" s="0" t="s">
        <v>437</v>
      </c>
      <c r="J1465" s="0" t="s">
        <v>511</v>
      </c>
      <c r="K1465" s="0" t="s">
        <v>1179</v>
      </c>
      <c r="L1465" s="0" t="s">
        <v>101</v>
      </c>
      <c r="M1465" s="0" t="s">
        <v>437</v>
      </c>
      <c r="N1465" s="0" t="s">
        <v>101</v>
      </c>
      <c r="P1465" s="0" t="s">
        <v>102</v>
      </c>
      <c r="Q1465" s="0" t="s">
        <v>102</v>
      </c>
      <c r="R1465" s="0" t="s">
        <v>113</v>
      </c>
      <c r="S1465" s="0" t="s">
        <v>21</v>
      </c>
      <c r="T1465" s="0" t="s">
        <v>104</v>
      </c>
      <c r="U1465" s="0" t="s">
        <v>368</v>
      </c>
      <c r="W1465" s="0" t="s">
        <v>105</v>
      </c>
      <c r="X1465" s="0" t="s">
        <v>1195</v>
      </c>
      <c r="Y1465" s="0" t="s">
        <v>1196</v>
      </c>
      <c r="Z1465" s="0" t="s">
        <v>134</v>
      </c>
      <c r="AA1465" s="0" t="s">
        <v>172</v>
      </c>
    </row>
    <row r="1466" customFormat="false" ht="15" hidden="false" customHeight="false" outlineLevel="0" collapsed="false">
      <c r="A1466" s="0" t="s">
        <v>21</v>
      </c>
      <c r="B1466" s="0" t="s">
        <v>5025</v>
      </c>
      <c r="C1466" s="0" t="s">
        <v>97</v>
      </c>
      <c r="D1466" s="0" t="s">
        <v>5026</v>
      </c>
      <c r="E1466" s="0" t="s">
        <v>5027</v>
      </c>
      <c r="G1466" s="0" t="s">
        <v>4789</v>
      </c>
      <c r="H1466" s="0" t="s">
        <v>4803</v>
      </c>
      <c r="I1466" s="0" t="s">
        <v>437</v>
      </c>
      <c r="J1466" s="0" t="s">
        <v>511</v>
      </c>
      <c r="K1466" s="0" t="s">
        <v>5028</v>
      </c>
      <c r="L1466" s="0" t="s">
        <v>101</v>
      </c>
      <c r="M1466" s="0" t="s">
        <v>437</v>
      </c>
      <c r="N1466" s="0" t="s">
        <v>101</v>
      </c>
      <c r="P1466" s="0" t="s">
        <v>102</v>
      </c>
      <c r="Q1466" s="0" t="s">
        <v>102</v>
      </c>
      <c r="R1466" s="0" t="s">
        <v>113</v>
      </c>
      <c r="S1466" s="0" t="s">
        <v>21</v>
      </c>
      <c r="T1466" s="0" t="s">
        <v>104</v>
      </c>
      <c r="U1466" s="0" t="s">
        <v>368</v>
      </c>
      <c r="W1466" s="0" t="s">
        <v>105</v>
      </c>
      <c r="X1466" s="0" t="s">
        <v>1195</v>
      </c>
      <c r="Y1466" s="0" t="s">
        <v>1196</v>
      </c>
      <c r="Z1466" s="0" t="s">
        <v>134</v>
      </c>
      <c r="AA1466" s="0" t="s">
        <v>172</v>
      </c>
    </row>
    <row r="1467" customFormat="false" ht="15" hidden="false" customHeight="false" outlineLevel="0" collapsed="false">
      <c r="A1467" s="0" t="s">
        <v>21</v>
      </c>
      <c r="B1467" s="0" t="s">
        <v>5029</v>
      </c>
      <c r="C1467" s="0" t="s">
        <v>661</v>
      </c>
      <c r="E1467" s="0" t="s">
        <v>5030</v>
      </c>
      <c r="G1467" s="0" t="s">
        <v>2292</v>
      </c>
      <c r="M1467" s="0" t="s">
        <v>437</v>
      </c>
      <c r="N1467" s="0" t="s">
        <v>101</v>
      </c>
      <c r="P1467" s="0" t="s">
        <v>130</v>
      </c>
      <c r="Q1467" s="0" t="s">
        <v>130</v>
      </c>
      <c r="R1467" s="0" t="s">
        <v>113</v>
      </c>
      <c r="S1467" s="0" t="s">
        <v>21</v>
      </c>
      <c r="T1467" s="0" t="s">
        <v>104</v>
      </c>
      <c r="W1467" s="0" t="s">
        <v>105</v>
      </c>
      <c r="Z1467" s="0" t="s">
        <v>134</v>
      </c>
    </row>
    <row r="1468" customFormat="false" ht="15" hidden="false" customHeight="false" outlineLevel="0" collapsed="false">
      <c r="A1468" s="0" t="s">
        <v>21</v>
      </c>
      <c r="B1468" s="0" t="s">
        <v>5031</v>
      </c>
      <c r="C1468" s="0" t="s">
        <v>2098</v>
      </c>
      <c r="D1468" s="0" t="s">
        <v>5032</v>
      </c>
      <c r="E1468" s="0" t="s">
        <v>5033</v>
      </c>
      <c r="M1468" s="0" t="s">
        <v>430</v>
      </c>
      <c r="N1468" s="0" t="s">
        <v>101</v>
      </c>
      <c r="P1468" s="0" t="s">
        <v>102</v>
      </c>
      <c r="Q1468" s="0" t="s">
        <v>102</v>
      </c>
      <c r="R1468" s="0" t="s">
        <v>113</v>
      </c>
      <c r="S1468" s="0" t="s">
        <v>21</v>
      </c>
      <c r="T1468" s="0" t="s">
        <v>104</v>
      </c>
      <c r="U1468" s="0" t="s">
        <v>368</v>
      </c>
      <c r="W1468" s="0" t="s">
        <v>105</v>
      </c>
    </row>
    <row r="1469" customFormat="false" ht="15" hidden="false" customHeight="false" outlineLevel="0" collapsed="false">
      <c r="A1469" s="0" t="s">
        <v>21</v>
      </c>
      <c r="B1469" s="0" t="s">
        <v>5034</v>
      </c>
      <c r="C1469" s="0" t="s">
        <v>661</v>
      </c>
      <c r="D1469" s="0" t="s">
        <v>5035</v>
      </c>
      <c r="E1469" s="0" t="s">
        <v>5036</v>
      </c>
      <c r="M1469" s="0" t="s">
        <v>511</v>
      </c>
      <c r="N1469" s="0" t="s">
        <v>101</v>
      </c>
      <c r="P1469" s="0" t="s">
        <v>102</v>
      </c>
      <c r="Q1469" s="0" t="s">
        <v>102</v>
      </c>
      <c r="R1469" s="0" t="s">
        <v>113</v>
      </c>
      <c r="S1469" s="0" t="s">
        <v>21</v>
      </c>
      <c r="T1469" s="0" t="s">
        <v>104</v>
      </c>
      <c r="U1469" s="0" t="s">
        <v>368</v>
      </c>
      <c r="W1469" s="0" t="s">
        <v>105</v>
      </c>
    </row>
    <row r="1470" customFormat="false" ht="15" hidden="false" customHeight="false" outlineLevel="0" collapsed="false">
      <c r="A1470" s="0" t="s">
        <v>21</v>
      </c>
      <c r="B1470" s="0" t="s">
        <v>5037</v>
      </c>
      <c r="C1470" s="0" t="s">
        <v>2098</v>
      </c>
      <c r="D1470" s="0" t="s">
        <v>5038</v>
      </c>
      <c r="E1470" s="0" t="s">
        <v>5039</v>
      </c>
      <c r="M1470" s="0" t="s">
        <v>1392</v>
      </c>
      <c r="N1470" s="0" t="s">
        <v>101</v>
      </c>
      <c r="P1470" s="0" t="s">
        <v>102</v>
      </c>
      <c r="Q1470" s="0" t="s">
        <v>102</v>
      </c>
      <c r="R1470" s="0" t="s">
        <v>113</v>
      </c>
      <c r="S1470" s="0" t="s">
        <v>21</v>
      </c>
      <c r="T1470" s="0" t="s">
        <v>104</v>
      </c>
      <c r="U1470" s="0" t="s">
        <v>368</v>
      </c>
      <c r="W1470" s="0" t="s">
        <v>105</v>
      </c>
    </row>
    <row r="1471" customFormat="false" ht="15" hidden="false" customHeight="false" outlineLevel="0" collapsed="false">
      <c r="A1471" s="0" t="s">
        <v>21</v>
      </c>
      <c r="B1471" s="0" t="s">
        <v>5040</v>
      </c>
      <c r="C1471" s="0" t="s">
        <v>97</v>
      </c>
      <c r="D1471" s="0" t="s">
        <v>5041</v>
      </c>
      <c r="E1471" s="0" t="s">
        <v>5042</v>
      </c>
      <c r="G1471" s="0" t="s">
        <v>4864</v>
      </c>
      <c r="H1471" s="0" t="s">
        <v>1462</v>
      </c>
      <c r="I1471" s="0" t="s">
        <v>1463</v>
      </c>
      <c r="J1471" s="0" t="s">
        <v>430</v>
      </c>
      <c r="K1471" s="0" t="s">
        <v>3625</v>
      </c>
      <c r="L1471" s="0" t="s">
        <v>101</v>
      </c>
      <c r="M1471" s="0" t="s">
        <v>1463</v>
      </c>
      <c r="N1471" s="0" t="s">
        <v>101</v>
      </c>
      <c r="P1471" s="0" t="s">
        <v>102</v>
      </c>
      <c r="Q1471" s="0" t="s">
        <v>102</v>
      </c>
      <c r="R1471" s="0" t="s">
        <v>113</v>
      </c>
      <c r="S1471" s="0" t="s">
        <v>21</v>
      </c>
      <c r="T1471" s="0" t="s">
        <v>104</v>
      </c>
      <c r="U1471" s="0" t="s">
        <v>368</v>
      </c>
      <c r="W1471" s="0" t="s">
        <v>105</v>
      </c>
      <c r="X1471" s="0" t="s">
        <v>1465</v>
      </c>
      <c r="Y1471" s="0" t="s">
        <v>1466</v>
      </c>
      <c r="Z1471" s="0" t="s">
        <v>134</v>
      </c>
      <c r="AA1471" s="0" t="s">
        <v>172</v>
      </c>
    </row>
    <row r="1472" customFormat="false" ht="15" hidden="false" customHeight="false" outlineLevel="0" collapsed="false">
      <c r="A1472" s="0" t="s">
        <v>21</v>
      </c>
      <c r="B1472" s="0" t="s">
        <v>5043</v>
      </c>
      <c r="C1472" s="0" t="s">
        <v>97</v>
      </c>
      <c r="D1472" s="0" t="s">
        <v>5044</v>
      </c>
      <c r="E1472" s="0" t="s">
        <v>5045</v>
      </c>
      <c r="G1472" s="0" t="s">
        <v>4864</v>
      </c>
      <c r="H1472" s="0" t="s">
        <v>446</v>
      </c>
      <c r="I1472" s="0" t="s">
        <v>447</v>
      </c>
      <c r="J1472" s="0" t="s">
        <v>448</v>
      </c>
      <c r="K1472" s="0" t="s">
        <v>404</v>
      </c>
      <c r="L1472" s="0" t="s">
        <v>101</v>
      </c>
      <c r="M1472" s="0" t="s">
        <v>447</v>
      </c>
      <c r="N1472" s="0" t="s">
        <v>101</v>
      </c>
      <c r="P1472" s="0" t="s">
        <v>102</v>
      </c>
      <c r="Q1472" s="0" t="s">
        <v>102</v>
      </c>
      <c r="R1472" s="0" t="s">
        <v>113</v>
      </c>
      <c r="S1472" s="0" t="s">
        <v>21</v>
      </c>
      <c r="T1472" s="0" t="s">
        <v>104</v>
      </c>
      <c r="U1472" s="0" t="s">
        <v>368</v>
      </c>
      <c r="W1472" s="0" t="s">
        <v>105</v>
      </c>
      <c r="X1472" s="0" t="s">
        <v>450</v>
      </c>
      <c r="Y1472" s="0" t="s">
        <v>451</v>
      </c>
      <c r="Z1472" s="0" t="s">
        <v>134</v>
      </c>
      <c r="AA1472" s="0" t="s">
        <v>172</v>
      </c>
    </row>
    <row r="1473" customFormat="false" ht="15" hidden="false" customHeight="false" outlineLevel="0" collapsed="false">
      <c r="A1473" s="0" t="s">
        <v>21</v>
      </c>
      <c r="B1473" s="0" t="s">
        <v>5046</v>
      </c>
      <c r="C1473" s="0" t="s">
        <v>97</v>
      </c>
      <c r="D1473" s="0" t="s">
        <v>5047</v>
      </c>
      <c r="E1473" s="0" t="s">
        <v>5048</v>
      </c>
      <c r="G1473" s="0" t="s">
        <v>4864</v>
      </c>
      <c r="H1473" s="0" t="s">
        <v>3757</v>
      </c>
      <c r="I1473" s="0" t="s">
        <v>1332</v>
      </c>
      <c r="J1473" s="0" t="s">
        <v>1332</v>
      </c>
      <c r="K1473" s="0" t="s">
        <v>1175</v>
      </c>
      <c r="L1473" s="0" t="s">
        <v>101</v>
      </c>
      <c r="M1473" s="0" t="s">
        <v>1332</v>
      </c>
      <c r="N1473" s="0" t="s">
        <v>101</v>
      </c>
      <c r="P1473" s="0" t="s">
        <v>102</v>
      </c>
      <c r="Q1473" s="0" t="s">
        <v>102</v>
      </c>
      <c r="R1473" s="0" t="s">
        <v>113</v>
      </c>
      <c r="S1473" s="0" t="s">
        <v>21</v>
      </c>
      <c r="T1473" s="0" t="s">
        <v>104</v>
      </c>
      <c r="U1473" s="0" t="s">
        <v>368</v>
      </c>
      <c r="W1473" s="0" t="s">
        <v>105</v>
      </c>
      <c r="X1473" s="0" t="s">
        <v>3758</v>
      </c>
      <c r="Y1473" s="0" t="s">
        <v>3759</v>
      </c>
      <c r="Z1473" s="0" t="s">
        <v>134</v>
      </c>
      <c r="AA1473" s="0" t="s">
        <v>172</v>
      </c>
    </row>
    <row r="1474" customFormat="false" ht="15" hidden="false" customHeight="false" outlineLevel="0" collapsed="false">
      <c r="A1474" s="0" t="s">
        <v>21</v>
      </c>
      <c r="B1474" s="0" t="s">
        <v>5049</v>
      </c>
      <c r="C1474" s="0" t="s">
        <v>97</v>
      </c>
      <c r="D1474" s="0" t="s">
        <v>5050</v>
      </c>
      <c r="E1474" s="0" t="s">
        <v>5051</v>
      </c>
      <c r="F1474" s="0" t="s">
        <v>5051</v>
      </c>
      <c r="M1474" s="0" t="s">
        <v>430</v>
      </c>
      <c r="N1474" s="0" t="s">
        <v>101</v>
      </c>
      <c r="P1474" s="0" t="s">
        <v>102</v>
      </c>
      <c r="Q1474" s="0" t="s">
        <v>102</v>
      </c>
      <c r="R1474" s="0" t="s">
        <v>113</v>
      </c>
      <c r="S1474" s="0" t="s">
        <v>21</v>
      </c>
      <c r="T1474" s="0" t="s">
        <v>104</v>
      </c>
      <c r="U1474" s="0" t="s">
        <v>368</v>
      </c>
      <c r="W1474" s="0" t="s">
        <v>105</v>
      </c>
    </row>
    <row r="1475" customFormat="false" ht="15" hidden="false" customHeight="false" outlineLevel="0" collapsed="false">
      <c r="A1475" s="0" t="s">
        <v>21</v>
      </c>
      <c r="B1475" s="0" t="s">
        <v>5052</v>
      </c>
      <c r="C1475" s="0" t="s">
        <v>97</v>
      </c>
      <c r="D1475" s="0" t="s">
        <v>5053</v>
      </c>
      <c r="E1475" s="0" t="s">
        <v>5054</v>
      </c>
      <c r="F1475" s="0" t="s">
        <v>5054</v>
      </c>
      <c r="M1475" s="0" t="s">
        <v>167</v>
      </c>
      <c r="N1475" s="0" t="s">
        <v>101</v>
      </c>
      <c r="P1475" s="0" t="s">
        <v>102</v>
      </c>
      <c r="Q1475" s="0" t="s">
        <v>102</v>
      </c>
      <c r="R1475" s="0" t="s">
        <v>113</v>
      </c>
      <c r="S1475" s="0" t="s">
        <v>21</v>
      </c>
      <c r="T1475" s="0" t="s">
        <v>104</v>
      </c>
      <c r="U1475" s="0" t="s">
        <v>368</v>
      </c>
      <c r="W1475" s="0" t="s">
        <v>105</v>
      </c>
    </row>
    <row r="1476" customFormat="false" ht="15" hidden="false" customHeight="false" outlineLevel="0" collapsed="false">
      <c r="A1476" s="0" t="s">
        <v>21</v>
      </c>
      <c r="B1476" s="0" t="s">
        <v>5055</v>
      </c>
      <c r="C1476" s="0" t="s">
        <v>97</v>
      </c>
      <c r="D1476" s="0" t="s">
        <v>5056</v>
      </c>
      <c r="E1476" s="0" t="s">
        <v>5057</v>
      </c>
      <c r="G1476" s="0" t="s">
        <v>4864</v>
      </c>
      <c r="H1476" s="0" t="s">
        <v>419</v>
      </c>
      <c r="I1476" s="0" t="s">
        <v>420</v>
      </c>
      <c r="J1476" s="0" t="s">
        <v>421</v>
      </c>
      <c r="K1476" s="0" t="s">
        <v>1639</v>
      </c>
      <c r="L1476" s="0" t="s">
        <v>101</v>
      </c>
      <c r="M1476" s="0" t="s">
        <v>420</v>
      </c>
      <c r="N1476" s="0" t="s">
        <v>101</v>
      </c>
      <c r="P1476" s="0" t="s">
        <v>102</v>
      </c>
      <c r="Q1476" s="0" t="s">
        <v>102</v>
      </c>
      <c r="R1476" s="0" t="s">
        <v>113</v>
      </c>
      <c r="S1476" s="0" t="s">
        <v>21</v>
      </c>
      <c r="T1476" s="0" t="s">
        <v>104</v>
      </c>
      <c r="U1476" s="0" t="s">
        <v>368</v>
      </c>
      <c r="W1476" s="0" t="s">
        <v>105</v>
      </c>
      <c r="X1476" s="0" t="s">
        <v>423</v>
      </c>
      <c r="Y1476" s="0" t="s">
        <v>424</v>
      </c>
      <c r="Z1476" s="0" t="s">
        <v>134</v>
      </c>
      <c r="AA1476" s="0" t="s">
        <v>172</v>
      </c>
    </row>
    <row r="1477" customFormat="false" ht="15" hidden="false" customHeight="false" outlineLevel="0" collapsed="false">
      <c r="A1477" s="0" t="s">
        <v>21</v>
      </c>
      <c r="B1477" s="0" t="s">
        <v>5058</v>
      </c>
      <c r="C1477" s="0" t="s">
        <v>97</v>
      </c>
      <c r="D1477" s="0" t="s">
        <v>5059</v>
      </c>
      <c r="E1477" s="0" t="s">
        <v>5060</v>
      </c>
      <c r="G1477" s="0" t="s">
        <v>4864</v>
      </c>
      <c r="H1477" s="0" t="s">
        <v>1563</v>
      </c>
      <c r="I1477" s="0" t="s">
        <v>1564</v>
      </c>
      <c r="J1477" s="0" t="s">
        <v>456</v>
      </c>
      <c r="K1477" s="0" t="s">
        <v>1175</v>
      </c>
      <c r="L1477" s="0" t="s">
        <v>101</v>
      </c>
      <c r="M1477" s="0" t="s">
        <v>1564</v>
      </c>
      <c r="N1477" s="0" t="s">
        <v>101</v>
      </c>
      <c r="P1477" s="0" t="s">
        <v>102</v>
      </c>
      <c r="Q1477" s="0" t="s">
        <v>102</v>
      </c>
      <c r="R1477" s="0" t="s">
        <v>113</v>
      </c>
      <c r="S1477" s="0" t="s">
        <v>21</v>
      </c>
      <c r="T1477" s="0" t="s">
        <v>104</v>
      </c>
      <c r="U1477" s="0" t="s">
        <v>368</v>
      </c>
      <c r="W1477" s="0" t="s">
        <v>105</v>
      </c>
      <c r="X1477" s="0" t="s">
        <v>1566</v>
      </c>
      <c r="Y1477" s="0" t="s">
        <v>1567</v>
      </c>
      <c r="Z1477" s="0" t="s">
        <v>134</v>
      </c>
      <c r="AA1477" s="0" t="s">
        <v>172</v>
      </c>
    </row>
    <row r="1478" customFormat="false" ht="15" hidden="false" customHeight="false" outlineLevel="0" collapsed="false">
      <c r="A1478" s="0" t="s">
        <v>21</v>
      </c>
      <c r="B1478" s="0" t="s">
        <v>5061</v>
      </c>
      <c r="C1478" s="0" t="s">
        <v>97</v>
      </c>
      <c r="D1478" s="0" t="s">
        <v>5062</v>
      </c>
      <c r="E1478" s="0" t="s">
        <v>5063</v>
      </c>
      <c r="H1478" s="0" t="s">
        <v>5064</v>
      </c>
      <c r="I1478" s="0" t="s">
        <v>5065</v>
      </c>
      <c r="J1478" s="0" t="s">
        <v>218</v>
      </c>
      <c r="K1478" s="0" t="s">
        <v>3349</v>
      </c>
      <c r="M1478" s="0" t="s">
        <v>220</v>
      </c>
      <c r="N1478" s="0" t="s">
        <v>124</v>
      </c>
      <c r="P1478" s="0" t="s">
        <v>204</v>
      </c>
      <c r="Q1478" s="0" t="s">
        <v>204</v>
      </c>
      <c r="R1478" s="0" t="s">
        <v>399</v>
      </c>
      <c r="S1478" s="0" t="s">
        <v>21</v>
      </c>
      <c r="T1478" s="0" t="s">
        <v>104</v>
      </c>
      <c r="W1478" s="0" t="s">
        <v>105</v>
      </c>
      <c r="X1478" s="0" t="s">
        <v>5066</v>
      </c>
      <c r="Y1478" s="0" t="s">
        <v>5067</v>
      </c>
      <c r="Z1478" s="0" t="s">
        <v>159</v>
      </c>
    </row>
    <row r="1479" customFormat="false" ht="15" hidden="false" customHeight="false" outlineLevel="0" collapsed="false">
      <c r="A1479" s="0" t="s">
        <v>21</v>
      </c>
      <c r="B1479" s="0" t="s">
        <v>5068</v>
      </c>
      <c r="C1479" s="0" t="s">
        <v>661</v>
      </c>
      <c r="D1479" s="0" t="s">
        <v>5069</v>
      </c>
      <c r="E1479" s="0" t="s">
        <v>5070</v>
      </c>
      <c r="M1479" s="0" t="s">
        <v>232</v>
      </c>
      <c r="N1479" s="0" t="s">
        <v>124</v>
      </c>
      <c r="P1479" s="0" t="s">
        <v>221</v>
      </c>
      <c r="Q1479" s="0" t="s">
        <v>221</v>
      </c>
      <c r="R1479" s="0" t="s">
        <v>221</v>
      </c>
      <c r="S1479" s="0" t="s">
        <v>21</v>
      </c>
      <c r="T1479" s="0" t="s">
        <v>104</v>
      </c>
      <c r="W1479" s="0" t="s">
        <v>183</v>
      </c>
    </row>
    <row r="1480" customFormat="false" ht="15" hidden="false" customHeight="false" outlineLevel="0" collapsed="false">
      <c r="A1480" s="0" t="s">
        <v>21</v>
      </c>
      <c r="B1480" s="0" t="s">
        <v>5068</v>
      </c>
      <c r="C1480" s="0" t="s">
        <v>661</v>
      </c>
      <c r="D1480" s="0" t="s">
        <v>5069</v>
      </c>
      <c r="E1480" s="0" t="s">
        <v>5070</v>
      </c>
      <c r="M1480" s="0" t="s">
        <v>232</v>
      </c>
      <c r="N1480" s="0" t="s">
        <v>124</v>
      </c>
      <c r="P1480" s="0" t="s">
        <v>102</v>
      </c>
      <c r="Q1480" s="0" t="s">
        <v>102</v>
      </c>
      <c r="R1480" s="0" t="s">
        <v>224</v>
      </c>
      <c r="S1480" s="0" t="s">
        <v>21</v>
      </c>
      <c r="T1480" s="0" t="s">
        <v>104</v>
      </c>
      <c r="V1480" s="0" t="s">
        <v>225</v>
      </c>
      <c r="W1480" s="0" t="s">
        <v>105</v>
      </c>
    </row>
    <row r="1481" customFormat="false" ht="15" hidden="false" customHeight="false" outlineLevel="0" collapsed="false">
      <c r="A1481" s="0" t="s">
        <v>21</v>
      </c>
      <c r="B1481" s="0" t="s">
        <v>5068</v>
      </c>
      <c r="C1481" s="0" t="s">
        <v>661</v>
      </c>
      <c r="D1481" s="0" t="s">
        <v>5069</v>
      </c>
      <c r="E1481" s="0" t="s">
        <v>5070</v>
      </c>
      <c r="M1481" s="0" t="s">
        <v>232</v>
      </c>
      <c r="N1481" s="0" t="s">
        <v>124</v>
      </c>
      <c r="P1481" s="0" t="s">
        <v>130</v>
      </c>
      <c r="Q1481" s="0" t="s">
        <v>130</v>
      </c>
      <c r="R1481" s="0" t="s">
        <v>226</v>
      </c>
      <c r="S1481" s="0" t="s">
        <v>21</v>
      </c>
      <c r="T1481" s="0" t="s">
        <v>104</v>
      </c>
      <c r="U1481" s="0" t="s">
        <v>227</v>
      </c>
      <c r="W1481" s="0" t="s">
        <v>105</v>
      </c>
    </row>
    <row r="1482" customFormat="false" ht="108.95" hidden="false" customHeight="false" outlineLevel="0" collapsed="false">
      <c r="A1482" s="0" t="s">
        <v>21</v>
      </c>
      <c r="B1482" s="0" t="s">
        <v>5071</v>
      </c>
      <c r="C1482" s="0" t="s">
        <v>661</v>
      </c>
      <c r="D1482" s="0" t="s">
        <v>5072</v>
      </c>
      <c r="E1482" s="0" t="s">
        <v>5072</v>
      </c>
      <c r="G1482" s="9" t="s">
        <v>5073</v>
      </c>
      <c r="M1482" s="0" t="s">
        <v>232</v>
      </c>
      <c r="N1482" s="0" t="s">
        <v>124</v>
      </c>
      <c r="P1482" s="0" t="s">
        <v>221</v>
      </c>
      <c r="Q1482" s="0" t="s">
        <v>221</v>
      </c>
      <c r="R1482" s="0" t="s">
        <v>221</v>
      </c>
      <c r="S1482" s="0" t="s">
        <v>21</v>
      </c>
      <c r="T1482" s="0" t="s">
        <v>104</v>
      </c>
      <c r="W1482" s="0" t="s">
        <v>183</v>
      </c>
      <c r="AB1482" s="0" t="s">
        <v>5074</v>
      </c>
    </row>
    <row r="1483" customFormat="false" ht="108.95" hidden="false" customHeight="false" outlineLevel="0" collapsed="false">
      <c r="A1483" s="0" t="s">
        <v>21</v>
      </c>
      <c r="B1483" s="0" t="s">
        <v>5071</v>
      </c>
      <c r="C1483" s="0" t="s">
        <v>661</v>
      </c>
      <c r="D1483" s="0" t="s">
        <v>5072</v>
      </c>
      <c r="E1483" s="0" t="s">
        <v>5072</v>
      </c>
      <c r="G1483" s="9" t="s">
        <v>5073</v>
      </c>
      <c r="M1483" s="0" t="s">
        <v>232</v>
      </c>
      <c r="N1483" s="0" t="s">
        <v>124</v>
      </c>
      <c r="P1483" s="0" t="s">
        <v>102</v>
      </c>
      <c r="Q1483" s="0" t="s">
        <v>102</v>
      </c>
      <c r="R1483" s="0" t="s">
        <v>224</v>
      </c>
      <c r="S1483" s="0" t="s">
        <v>21</v>
      </c>
      <c r="T1483" s="0" t="s">
        <v>104</v>
      </c>
      <c r="V1483" s="0" t="s">
        <v>225</v>
      </c>
      <c r="W1483" s="0" t="s">
        <v>105</v>
      </c>
      <c r="AB1483" s="0" t="s">
        <v>5074</v>
      </c>
    </row>
    <row r="1484" customFormat="false" ht="108.95" hidden="false" customHeight="false" outlineLevel="0" collapsed="false">
      <c r="A1484" s="0" t="s">
        <v>21</v>
      </c>
      <c r="B1484" s="0" t="s">
        <v>5071</v>
      </c>
      <c r="C1484" s="0" t="s">
        <v>661</v>
      </c>
      <c r="D1484" s="0" t="s">
        <v>5072</v>
      </c>
      <c r="E1484" s="0" t="s">
        <v>5072</v>
      </c>
      <c r="G1484" s="9" t="s">
        <v>5073</v>
      </c>
      <c r="M1484" s="0" t="s">
        <v>232</v>
      </c>
      <c r="N1484" s="0" t="s">
        <v>124</v>
      </c>
      <c r="P1484" s="0" t="s">
        <v>130</v>
      </c>
      <c r="Q1484" s="0" t="s">
        <v>130</v>
      </c>
      <c r="R1484" s="0" t="s">
        <v>226</v>
      </c>
      <c r="S1484" s="0" t="s">
        <v>21</v>
      </c>
      <c r="T1484" s="0" t="s">
        <v>104</v>
      </c>
      <c r="U1484" s="0" t="s">
        <v>227</v>
      </c>
      <c r="W1484" s="0" t="s">
        <v>105</v>
      </c>
      <c r="AB1484" s="0" t="s">
        <v>5074</v>
      </c>
    </row>
    <row r="1485" customFormat="false" ht="15" hidden="false" customHeight="false" outlineLevel="0" collapsed="false">
      <c r="A1485" s="0" t="s">
        <v>21</v>
      </c>
      <c r="B1485" s="0" t="s">
        <v>5075</v>
      </c>
      <c r="C1485" s="0" t="s">
        <v>661</v>
      </c>
      <c r="D1485" s="0" t="s">
        <v>5076</v>
      </c>
      <c r="E1485" s="0" t="s">
        <v>5077</v>
      </c>
      <c r="M1485" s="0" t="s">
        <v>232</v>
      </c>
      <c r="N1485" s="0" t="s">
        <v>124</v>
      </c>
      <c r="P1485" s="0" t="s">
        <v>221</v>
      </c>
      <c r="Q1485" s="0" t="s">
        <v>221</v>
      </c>
      <c r="R1485" s="0" t="s">
        <v>221</v>
      </c>
      <c r="S1485" s="0" t="s">
        <v>21</v>
      </c>
      <c r="T1485" s="0" t="s">
        <v>104</v>
      </c>
      <c r="W1485" s="0" t="s">
        <v>183</v>
      </c>
      <c r="AB1485" s="0" t="s">
        <v>4856</v>
      </c>
    </row>
    <row r="1486" customFormat="false" ht="15" hidden="false" customHeight="false" outlineLevel="0" collapsed="false">
      <c r="A1486" s="0" t="s">
        <v>21</v>
      </c>
      <c r="B1486" s="0" t="s">
        <v>5075</v>
      </c>
      <c r="C1486" s="0" t="s">
        <v>661</v>
      </c>
      <c r="D1486" s="0" t="s">
        <v>5076</v>
      </c>
      <c r="E1486" s="0" t="s">
        <v>5077</v>
      </c>
      <c r="M1486" s="0" t="s">
        <v>232</v>
      </c>
      <c r="N1486" s="0" t="s">
        <v>124</v>
      </c>
      <c r="P1486" s="0" t="s">
        <v>102</v>
      </c>
      <c r="Q1486" s="0" t="s">
        <v>102</v>
      </c>
      <c r="R1486" s="0" t="s">
        <v>224</v>
      </c>
      <c r="S1486" s="0" t="s">
        <v>21</v>
      </c>
      <c r="T1486" s="0" t="s">
        <v>104</v>
      </c>
      <c r="V1486" s="0" t="s">
        <v>225</v>
      </c>
      <c r="W1486" s="0" t="s">
        <v>105</v>
      </c>
      <c r="AB1486" s="0" t="s">
        <v>4856</v>
      </c>
    </row>
    <row r="1487" customFormat="false" ht="15" hidden="false" customHeight="false" outlineLevel="0" collapsed="false">
      <c r="A1487" s="0" t="s">
        <v>21</v>
      </c>
      <c r="B1487" s="0" t="s">
        <v>5075</v>
      </c>
      <c r="C1487" s="0" t="s">
        <v>661</v>
      </c>
      <c r="D1487" s="0" t="s">
        <v>5076</v>
      </c>
      <c r="E1487" s="0" t="s">
        <v>5077</v>
      </c>
      <c r="M1487" s="0" t="s">
        <v>232</v>
      </c>
      <c r="N1487" s="0" t="s">
        <v>124</v>
      </c>
      <c r="P1487" s="0" t="s">
        <v>130</v>
      </c>
      <c r="Q1487" s="0" t="s">
        <v>130</v>
      </c>
      <c r="R1487" s="0" t="s">
        <v>226</v>
      </c>
      <c r="S1487" s="0" t="s">
        <v>21</v>
      </c>
      <c r="T1487" s="0" t="s">
        <v>104</v>
      </c>
      <c r="U1487" s="0" t="s">
        <v>227</v>
      </c>
      <c r="W1487" s="0" t="s">
        <v>105</v>
      </c>
      <c r="AB1487" s="0" t="s">
        <v>4856</v>
      </c>
    </row>
    <row r="1488" customFormat="false" ht="15" hidden="false" customHeight="false" outlineLevel="0" collapsed="false">
      <c r="A1488" s="0" t="s">
        <v>21</v>
      </c>
      <c r="B1488" s="0" t="s">
        <v>5078</v>
      </c>
      <c r="C1488" s="0" t="s">
        <v>661</v>
      </c>
      <c r="D1488" s="0" t="s">
        <v>5079</v>
      </c>
      <c r="E1488" s="0" t="s">
        <v>5080</v>
      </c>
      <c r="F1488" s="0" t="s">
        <v>5080</v>
      </c>
      <c r="M1488" s="0" t="s">
        <v>232</v>
      </c>
      <c r="N1488" s="0" t="s">
        <v>124</v>
      </c>
      <c r="P1488" s="0" t="s">
        <v>221</v>
      </c>
      <c r="Q1488" s="0" t="s">
        <v>221</v>
      </c>
      <c r="R1488" s="0" t="s">
        <v>221</v>
      </c>
      <c r="S1488" s="0" t="s">
        <v>21</v>
      </c>
      <c r="T1488" s="0" t="s">
        <v>104</v>
      </c>
      <c r="W1488" s="0" t="s">
        <v>183</v>
      </c>
      <c r="AB1488" s="0" t="s">
        <v>4856</v>
      </c>
    </row>
    <row r="1489" customFormat="false" ht="15" hidden="false" customHeight="false" outlineLevel="0" collapsed="false">
      <c r="A1489" s="0" t="s">
        <v>21</v>
      </c>
      <c r="B1489" s="0" t="s">
        <v>5078</v>
      </c>
      <c r="C1489" s="0" t="s">
        <v>661</v>
      </c>
      <c r="D1489" s="0" t="s">
        <v>5079</v>
      </c>
      <c r="E1489" s="0" t="s">
        <v>5080</v>
      </c>
      <c r="F1489" s="0" t="s">
        <v>5080</v>
      </c>
      <c r="M1489" s="0" t="s">
        <v>232</v>
      </c>
      <c r="N1489" s="0" t="s">
        <v>124</v>
      </c>
      <c r="P1489" s="0" t="s">
        <v>102</v>
      </c>
      <c r="Q1489" s="0" t="s">
        <v>102</v>
      </c>
      <c r="R1489" s="0" t="s">
        <v>224</v>
      </c>
      <c r="S1489" s="0" t="s">
        <v>21</v>
      </c>
      <c r="T1489" s="0" t="s">
        <v>104</v>
      </c>
      <c r="V1489" s="0" t="s">
        <v>225</v>
      </c>
      <c r="W1489" s="0" t="s">
        <v>105</v>
      </c>
      <c r="AB1489" s="0" t="s">
        <v>4856</v>
      </c>
    </row>
    <row r="1490" customFormat="false" ht="15" hidden="false" customHeight="false" outlineLevel="0" collapsed="false">
      <c r="A1490" s="0" t="s">
        <v>21</v>
      </c>
      <c r="B1490" s="0" t="s">
        <v>5078</v>
      </c>
      <c r="C1490" s="0" t="s">
        <v>661</v>
      </c>
      <c r="D1490" s="0" t="s">
        <v>5079</v>
      </c>
      <c r="E1490" s="0" t="s">
        <v>5080</v>
      </c>
      <c r="F1490" s="0" t="s">
        <v>5080</v>
      </c>
      <c r="M1490" s="0" t="s">
        <v>232</v>
      </c>
      <c r="N1490" s="0" t="s">
        <v>124</v>
      </c>
      <c r="P1490" s="0" t="s">
        <v>130</v>
      </c>
      <c r="Q1490" s="0" t="s">
        <v>130</v>
      </c>
      <c r="R1490" s="0" t="s">
        <v>226</v>
      </c>
      <c r="S1490" s="0" t="s">
        <v>21</v>
      </c>
      <c r="T1490" s="0" t="s">
        <v>104</v>
      </c>
      <c r="U1490" s="0" t="s">
        <v>227</v>
      </c>
      <c r="W1490" s="0" t="s">
        <v>105</v>
      </c>
      <c r="AB1490" s="0" t="s">
        <v>4856</v>
      </c>
    </row>
    <row r="1491" customFormat="false" ht="15" hidden="false" customHeight="false" outlineLevel="0" collapsed="false">
      <c r="A1491" s="0" t="s">
        <v>21</v>
      </c>
      <c r="B1491" s="0" t="s">
        <v>5081</v>
      </c>
      <c r="C1491" s="0" t="s">
        <v>97</v>
      </c>
      <c r="D1491" s="0" t="s">
        <v>5082</v>
      </c>
      <c r="E1491" s="0" t="s">
        <v>5083</v>
      </c>
      <c r="M1491" s="0" t="s">
        <v>136</v>
      </c>
      <c r="N1491" s="0" t="s">
        <v>124</v>
      </c>
      <c r="P1491" s="0" t="s">
        <v>102</v>
      </c>
      <c r="Q1491" s="0" t="s">
        <v>102</v>
      </c>
      <c r="R1491" s="0" t="s">
        <v>131</v>
      </c>
      <c r="S1491" s="0" t="s">
        <v>21</v>
      </c>
      <c r="T1491" s="0" t="s">
        <v>104</v>
      </c>
      <c r="W1491" s="0" t="s">
        <v>105</v>
      </c>
      <c r="AB1491" s="0" t="s">
        <v>5084</v>
      </c>
    </row>
    <row r="1492" customFormat="false" ht="15" hidden="false" customHeight="false" outlineLevel="0" collapsed="false">
      <c r="A1492" s="0" t="s">
        <v>21</v>
      </c>
      <c r="B1492" s="0" t="s">
        <v>5085</v>
      </c>
      <c r="C1492" s="0" t="s">
        <v>211</v>
      </c>
      <c r="D1492" s="0" t="s">
        <v>212</v>
      </c>
      <c r="E1492" s="0" t="s">
        <v>212</v>
      </c>
      <c r="G1492" s="0" t="s">
        <v>213</v>
      </c>
      <c r="M1492" s="0" t="s">
        <v>121</v>
      </c>
      <c r="N1492" s="0" t="s">
        <v>124</v>
      </c>
      <c r="P1492" s="0" t="s">
        <v>204</v>
      </c>
      <c r="Q1492" s="0" t="s">
        <v>204</v>
      </c>
      <c r="R1492" s="0" t="s">
        <v>137</v>
      </c>
      <c r="S1492" s="0" t="s">
        <v>21</v>
      </c>
      <c r="T1492" s="0" t="s">
        <v>104</v>
      </c>
      <c r="W1492" s="0" t="s">
        <v>105</v>
      </c>
      <c r="Z1492" s="0" t="s">
        <v>215</v>
      </c>
    </row>
    <row r="1493" customFormat="false" ht="15" hidden="false" customHeight="false" outlineLevel="0" collapsed="false">
      <c r="A1493" s="0" t="s">
        <v>21</v>
      </c>
      <c r="B1493" s="0" t="s">
        <v>5086</v>
      </c>
      <c r="C1493" s="0" t="s">
        <v>97</v>
      </c>
      <c r="D1493" s="0" t="s">
        <v>5087</v>
      </c>
      <c r="E1493" s="0" t="s">
        <v>5088</v>
      </c>
      <c r="G1493" s="0" t="s">
        <v>5089</v>
      </c>
      <c r="M1493" s="0" t="s">
        <v>156</v>
      </c>
      <c r="N1493" s="0" t="s">
        <v>124</v>
      </c>
      <c r="P1493" s="0" t="s">
        <v>102</v>
      </c>
      <c r="Q1493" s="0" t="s">
        <v>102</v>
      </c>
      <c r="R1493" s="0" t="s">
        <v>137</v>
      </c>
      <c r="S1493" s="0" t="s">
        <v>21</v>
      </c>
      <c r="T1493" s="0" t="s">
        <v>104</v>
      </c>
      <c r="W1493" s="0" t="s">
        <v>105</v>
      </c>
      <c r="AB1493" s="0" t="s">
        <v>5090</v>
      </c>
    </row>
    <row r="1494" customFormat="false" ht="15" hidden="false" customHeight="false" outlineLevel="0" collapsed="false">
      <c r="A1494" s="0" t="s">
        <v>21</v>
      </c>
      <c r="B1494" s="0" t="s">
        <v>5091</v>
      </c>
      <c r="C1494" s="0" t="s">
        <v>110</v>
      </c>
      <c r="D1494" s="0" t="s">
        <v>5092</v>
      </c>
      <c r="E1494" s="0" t="s">
        <v>5093</v>
      </c>
      <c r="G1494" s="0" t="s">
        <v>5094</v>
      </c>
      <c r="M1494" s="0" t="s">
        <v>178</v>
      </c>
      <c r="N1494" s="0" t="s">
        <v>124</v>
      </c>
      <c r="P1494" s="0" t="s">
        <v>102</v>
      </c>
      <c r="Q1494" s="0" t="s">
        <v>102</v>
      </c>
      <c r="R1494" s="0" t="s">
        <v>131</v>
      </c>
      <c r="S1494" s="0" t="s">
        <v>21</v>
      </c>
      <c r="T1494" s="0" t="s">
        <v>104</v>
      </c>
      <c r="W1494" s="0" t="s">
        <v>105</v>
      </c>
      <c r="AB1494" s="0" t="s">
        <v>2741</v>
      </c>
    </row>
    <row r="1495" customFormat="false" ht="15" hidden="false" customHeight="false" outlineLevel="0" collapsed="false">
      <c r="A1495" s="0" t="s">
        <v>21</v>
      </c>
      <c r="B1495" s="0" t="s">
        <v>5095</v>
      </c>
      <c r="C1495" s="0" t="s">
        <v>661</v>
      </c>
      <c r="D1495" s="0" t="s">
        <v>5096</v>
      </c>
      <c r="E1495" s="0" t="s">
        <v>5096</v>
      </c>
      <c r="F1495" s="0" t="s">
        <v>5096</v>
      </c>
      <c r="H1495" s="0" t="s">
        <v>885</v>
      </c>
      <c r="I1495" s="0" t="s">
        <v>886</v>
      </c>
      <c r="J1495" s="0" t="s">
        <v>254</v>
      </c>
      <c r="K1495" s="0" t="s">
        <v>922</v>
      </c>
      <c r="L1495" s="0" t="s">
        <v>124</v>
      </c>
      <c r="M1495" s="0" t="s">
        <v>208</v>
      </c>
      <c r="N1495" s="0" t="s">
        <v>124</v>
      </c>
      <c r="P1495" s="0" t="s">
        <v>204</v>
      </c>
      <c r="Q1495" s="0" t="s">
        <v>204</v>
      </c>
      <c r="R1495" s="0" t="s">
        <v>399</v>
      </c>
      <c r="S1495" s="0" t="s">
        <v>21</v>
      </c>
      <c r="T1495" s="0" t="s">
        <v>104</v>
      </c>
      <c r="W1495" s="0" t="s">
        <v>105</v>
      </c>
      <c r="Z1495" s="0" t="s">
        <v>134</v>
      </c>
      <c r="AA1495" s="0" t="s">
        <v>5097</v>
      </c>
      <c r="AB1495" s="0" t="s">
        <v>5098</v>
      </c>
    </row>
    <row r="1496" customFormat="false" ht="15" hidden="false" customHeight="false" outlineLevel="0" collapsed="false">
      <c r="A1496" s="0" t="s">
        <v>21</v>
      </c>
      <c r="B1496" s="0" t="s">
        <v>5099</v>
      </c>
      <c r="C1496" s="0" t="s">
        <v>661</v>
      </c>
      <c r="D1496" s="0" t="s">
        <v>5100</v>
      </c>
      <c r="E1496" s="0" t="s">
        <v>5101</v>
      </c>
      <c r="F1496" s="0" t="s">
        <v>5101</v>
      </c>
      <c r="G1496" s="0" t="s">
        <v>203</v>
      </c>
      <c r="H1496" s="0" t="s">
        <v>203</v>
      </c>
      <c r="I1496" s="0" t="s">
        <v>203</v>
      </c>
      <c r="J1496" s="0" t="s">
        <v>2281</v>
      </c>
      <c r="M1496" s="0" t="s">
        <v>881</v>
      </c>
      <c r="N1496" s="0" t="s">
        <v>124</v>
      </c>
      <c r="P1496" s="0" t="s">
        <v>204</v>
      </c>
      <c r="Q1496" s="0" t="s">
        <v>204</v>
      </c>
      <c r="R1496" s="0" t="s">
        <v>131</v>
      </c>
      <c r="S1496" s="0" t="s">
        <v>21</v>
      </c>
      <c r="T1496" s="0" t="s">
        <v>104</v>
      </c>
      <c r="W1496" s="0" t="s">
        <v>105</v>
      </c>
      <c r="X1496" s="0" t="s">
        <v>5102</v>
      </c>
      <c r="Y1496" s="0" t="s">
        <v>5103</v>
      </c>
      <c r="Z1496" s="0" t="s">
        <v>134</v>
      </c>
      <c r="AB1496" s="0" t="s">
        <v>3209</v>
      </c>
    </row>
    <row r="1497" customFormat="false" ht="15" hidden="false" customHeight="false" outlineLevel="0" collapsed="false">
      <c r="A1497" s="0" t="s">
        <v>21</v>
      </c>
      <c r="B1497" s="0" t="s">
        <v>5099</v>
      </c>
      <c r="C1497" s="0" t="s">
        <v>661</v>
      </c>
      <c r="D1497" s="0" t="s">
        <v>5100</v>
      </c>
      <c r="E1497" s="0" t="s">
        <v>5101</v>
      </c>
      <c r="F1497" s="0" t="s">
        <v>5101</v>
      </c>
      <c r="G1497" s="0" t="s">
        <v>203</v>
      </c>
      <c r="H1497" s="0" t="s">
        <v>203</v>
      </c>
      <c r="I1497" s="0" t="s">
        <v>203</v>
      </c>
      <c r="J1497" s="0" t="s">
        <v>2281</v>
      </c>
      <c r="M1497" s="0" t="s">
        <v>881</v>
      </c>
      <c r="N1497" s="0" t="s">
        <v>124</v>
      </c>
      <c r="P1497" s="0" t="s">
        <v>554</v>
      </c>
      <c r="Q1497" s="0" t="s">
        <v>554</v>
      </c>
      <c r="R1497" s="0" t="s">
        <v>554</v>
      </c>
      <c r="S1497" s="0" t="s">
        <v>21</v>
      </c>
      <c r="T1497" s="0" t="s">
        <v>104</v>
      </c>
      <c r="W1497" s="0" t="s">
        <v>183</v>
      </c>
      <c r="X1497" s="0" t="s">
        <v>5102</v>
      </c>
      <c r="Y1497" s="0" t="s">
        <v>5103</v>
      </c>
      <c r="Z1497" s="0" t="s">
        <v>134</v>
      </c>
      <c r="AB1497" s="0" t="s">
        <v>3209</v>
      </c>
    </row>
    <row r="1498" customFormat="false" ht="68.65" hidden="false" customHeight="false" outlineLevel="0" collapsed="false">
      <c r="A1498" s="0" t="s">
        <v>21</v>
      </c>
      <c r="B1498" s="0" t="s">
        <v>5104</v>
      </c>
      <c r="C1498" s="0" t="s">
        <v>97</v>
      </c>
      <c r="D1498" s="0" t="s">
        <v>5105</v>
      </c>
      <c r="E1498" s="0" t="s">
        <v>5106</v>
      </c>
      <c r="G1498" s="9" t="s">
        <v>5107</v>
      </c>
      <c r="H1498" s="0" t="s">
        <v>885</v>
      </c>
      <c r="I1498" s="0" t="s">
        <v>886</v>
      </c>
      <c r="J1498" s="0" t="s">
        <v>254</v>
      </c>
      <c r="K1498" s="0" t="s">
        <v>922</v>
      </c>
      <c r="L1498" s="0" t="s">
        <v>124</v>
      </c>
      <c r="M1498" s="0" t="s">
        <v>208</v>
      </c>
      <c r="N1498" s="0" t="s">
        <v>124</v>
      </c>
      <c r="P1498" s="0" t="s">
        <v>102</v>
      </c>
      <c r="Q1498" s="0" t="s">
        <v>102</v>
      </c>
      <c r="R1498" s="0" t="s">
        <v>131</v>
      </c>
      <c r="S1498" s="0" t="s">
        <v>21</v>
      </c>
      <c r="T1498" s="0" t="s">
        <v>104</v>
      </c>
      <c r="W1498" s="0" t="s">
        <v>105</v>
      </c>
      <c r="X1498" s="0" t="s">
        <v>2304</v>
      </c>
      <c r="Y1498" s="0" t="s">
        <v>4723</v>
      </c>
      <c r="Z1498" s="0" t="s">
        <v>134</v>
      </c>
      <c r="AA1498" s="0" t="s">
        <v>5108</v>
      </c>
    </row>
    <row r="1499" customFormat="false" ht="15" hidden="false" customHeight="false" outlineLevel="0" collapsed="false">
      <c r="A1499" s="0" t="s">
        <v>21</v>
      </c>
      <c r="B1499" s="0" t="s">
        <v>5109</v>
      </c>
      <c r="C1499" s="0" t="s">
        <v>661</v>
      </c>
      <c r="D1499" s="0" t="s">
        <v>5110</v>
      </c>
      <c r="E1499" s="0" t="s">
        <v>5110</v>
      </c>
      <c r="F1499" s="0" t="s">
        <v>5110</v>
      </c>
      <c r="M1499" s="0" t="s">
        <v>208</v>
      </c>
      <c r="N1499" s="0" t="s">
        <v>124</v>
      </c>
      <c r="P1499" s="0" t="s">
        <v>204</v>
      </c>
      <c r="Q1499" s="0" t="s">
        <v>204</v>
      </c>
      <c r="R1499" s="0" t="s">
        <v>399</v>
      </c>
      <c r="S1499" s="0" t="s">
        <v>21</v>
      </c>
      <c r="T1499" s="0" t="s">
        <v>104</v>
      </c>
      <c r="W1499" s="0" t="s">
        <v>105</v>
      </c>
      <c r="X1499" s="0" t="s">
        <v>5111</v>
      </c>
      <c r="Y1499" s="0" t="s">
        <v>5112</v>
      </c>
      <c r="Z1499" s="0" t="s">
        <v>5113</v>
      </c>
      <c r="AA1499" s="0" t="s">
        <v>150</v>
      </c>
      <c r="AB1499" s="0" t="s">
        <v>5114</v>
      </c>
    </row>
    <row r="1500" customFormat="false" ht="15" hidden="false" customHeight="false" outlineLevel="0" collapsed="false">
      <c r="A1500" s="0" t="s">
        <v>21</v>
      </c>
      <c r="B1500" s="0" t="s">
        <v>5115</v>
      </c>
      <c r="C1500" s="0" t="s">
        <v>97</v>
      </c>
      <c r="D1500" s="0" t="s">
        <v>5116</v>
      </c>
      <c r="E1500" s="0" t="s">
        <v>5117</v>
      </c>
      <c r="H1500" s="0" t="s">
        <v>885</v>
      </c>
      <c r="I1500" s="0" t="s">
        <v>886</v>
      </c>
      <c r="J1500" s="0" t="s">
        <v>254</v>
      </c>
      <c r="K1500" s="0" t="s">
        <v>922</v>
      </c>
      <c r="L1500" s="0" t="s">
        <v>124</v>
      </c>
      <c r="M1500" s="0" t="s">
        <v>208</v>
      </c>
      <c r="N1500" s="0" t="s">
        <v>124</v>
      </c>
      <c r="P1500" s="0" t="s">
        <v>102</v>
      </c>
      <c r="Q1500" s="0" t="s">
        <v>102</v>
      </c>
      <c r="R1500" s="0" t="s">
        <v>131</v>
      </c>
      <c r="S1500" s="0" t="s">
        <v>21</v>
      </c>
      <c r="T1500" s="0" t="s">
        <v>104</v>
      </c>
      <c r="W1500" s="0" t="s">
        <v>105</v>
      </c>
      <c r="X1500" s="0" t="s">
        <v>2304</v>
      </c>
      <c r="Y1500" s="0" t="s">
        <v>2305</v>
      </c>
      <c r="Z1500" s="0" t="s">
        <v>134</v>
      </c>
      <c r="AA1500" s="0" t="s">
        <v>5118</v>
      </c>
      <c r="AB1500" s="0" t="s">
        <v>3194</v>
      </c>
    </row>
    <row r="1501" customFormat="false" ht="28.35" hidden="false" customHeight="false" outlineLevel="0" collapsed="false">
      <c r="A1501" s="0" t="s">
        <v>21</v>
      </c>
      <c r="B1501" s="0" t="s">
        <v>5119</v>
      </c>
      <c r="C1501" s="0" t="s">
        <v>97</v>
      </c>
      <c r="D1501" s="0" t="s">
        <v>5120</v>
      </c>
      <c r="E1501" s="0" t="s">
        <v>5121</v>
      </c>
      <c r="G1501" s="9" t="s">
        <v>5122</v>
      </c>
      <c r="M1501" s="0" t="s">
        <v>232</v>
      </c>
      <c r="N1501" s="0" t="s">
        <v>124</v>
      </c>
      <c r="P1501" s="0" t="s">
        <v>102</v>
      </c>
      <c r="Q1501" s="0" t="s">
        <v>102</v>
      </c>
      <c r="R1501" s="0" t="s">
        <v>131</v>
      </c>
      <c r="S1501" s="0" t="s">
        <v>21</v>
      </c>
      <c r="T1501" s="0" t="s">
        <v>104</v>
      </c>
      <c r="W1501" s="0" t="s">
        <v>105</v>
      </c>
    </row>
    <row r="1502" customFormat="false" ht="15" hidden="false" customHeight="false" outlineLevel="0" collapsed="false">
      <c r="A1502" s="0" t="s">
        <v>21</v>
      </c>
      <c r="B1502" s="0" t="s">
        <v>5123</v>
      </c>
      <c r="C1502" s="0" t="s">
        <v>97</v>
      </c>
      <c r="D1502" s="0" t="s">
        <v>5120</v>
      </c>
      <c r="E1502" s="0" t="s">
        <v>5124</v>
      </c>
      <c r="H1502" s="0" t="s">
        <v>478</v>
      </c>
      <c r="I1502" s="0" t="s">
        <v>136</v>
      </c>
      <c r="J1502" s="0" t="s">
        <v>157</v>
      </c>
      <c r="K1502" s="0" t="s">
        <v>158</v>
      </c>
      <c r="L1502" s="0" t="s">
        <v>124</v>
      </c>
      <c r="M1502" s="0" t="s">
        <v>232</v>
      </c>
      <c r="N1502" s="0" t="s">
        <v>124</v>
      </c>
      <c r="P1502" s="0" t="s">
        <v>102</v>
      </c>
      <c r="Q1502" s="0" t="s">
        <v>102</v>
      </c>
      <c r="R1502" s="0" t="s">
        <v>131</v>
      </c>
      <c r="S1502" s="0" t="s">
        <v>21</v>
      </c>
      <c r="T1502" s="0" t="s">
        <v>104</v>
      </c>
      <c r="W1502" s="0" t="s">
        <v>105</v>
      </c>
      <c r="X1502" s="0" t="s">
        <v>5125</v>
      </c>
      <c r="Y1502" s="0" t="s">
        <v>5126</v>
      </c>
      <c r="Z1502" s="0" t="s">
        <v>134</v>
      </c>
    </row>
    <row r="1503" customFormat="false" ht="15" hidden="false" customHeight="false" outlineLevel="0" collapsed="false">
      <c r="A1503" s="0" t="s">
        <v>21</v>
      </c>
      <c r="B1503" s="0" t="s">
        <v>5127</v>
      </c>
      <c r="C1503" s="0" t="s">
        <v>661</v>
      </c>
      <c r="D1503" s="0" t="s">
        <v>2214</v>
      </c>
      <c r="E1503" s="0" t="s">
        <v>2214</v>
      </c>
      <c r="F1503" s="0" t="s">
        <v>5128</v>
      </c>
      <c r="M1503" s="0" t="s">
        <v>232</v>
      </c>
      <c r="N1503" s="0" t="s">
        <v>124</v>
      </c>
      <c r="P1503" s="0" t="s">
        <v>204</v>
      </c>
      <c r="Q1503" s="0" t="s">
        <v>204</v>
      </c>
      <c r="R1503" s="0" t="s">
        <v>131</v>
      </c>
      <c r="S1503" s="0" t="s">
        <v>21</v>
      </c>
      <c r="T1503" s="0" t="s">
        <v>104</v>
      </c>
      <c r="W1503" s="0" t="s">
        <v>105</v>
      </c>
      <c r="X1503" s="0" t="s">
        <v>5129</v>
      </c>
      <c r="Y1503" s="0" t="s">
        <v>5130</v>
      </c>
      <c r="Z1503" s="0" t="s">
        <v>134</v>
      </c>
      <c r="AA1503" s="0" t="s">
        <v>5131</v>
      </c>
      <c r="AB1503" s="0" t="s">
        <v>693</v>
      </c>
    </row>
    <row r="1504" customFormat="false" ht="15" hidden="false" customHeight="false" outlineLevel="0" collapsed="false">
      <c r="A1504" s="0" t="s">
        <v>21</v>
      </c>
      <c r="B1504" s="0" t="s">
        <v>5127</v>
      </c>
      <c r="C1504" s="0" t="s">
        <v>661</v>
      </c>
      <c r="D1504" s="0" t="s">
        <v>2214</v>
      </c>
      <c r="E1504" s="0" t="s">
        <v>2214</v>
      </c>
      <c r="F1504" s="0" t="s">
        <v>5128</v>
      </c>
      <c r="M1504" s="0" t="s">
        <v>232</v>
      </c>
      <c r="N1504" s="0" t="s">
        <v>124</v>
      </c>
      <c r="P1504" s="0" t="s">
        <v>554</v>
      </c>
      <c r="Q1504" s="0" t="s">
        <v>554</v>
      </c>
      <c r="R1504" s="0" t="s">
        <v>554</v>
      </c>
      <c r="S1504" s="0" t="s">
        <v>21</v>
      </c>
      <c r="T1504" s="0" t="s">
        <v>104</v>
      </c>
      <c r="W1504" s="0" t="s">
        <v>183</v>
      </c>
      <c r="X1504" s="0" t="s">
        <v>5129</v>
      </c>
      <c r="Y1504" s="0" t="s">
        <v>5130</v>
      </c>
      <c r="Z1504" s="0" t="s">
        <v>134</v>
      </c>
      <c r="AA1504" s="0" t="s">
        <v>5131</v>
      </c>
      <c r="AB1504" s="0" t="s">
        <v>693</v>
      </c>
    </row>
    <row r="1505" customFormat="false" ht="15" hidden="false" customHeight="false" outlineLevel="0" collapsed="false">
      <c r="A1505" s="0" t="s">
        <v>21</v>
      </c>
      <c r="B1505" s="0" t="s">
        <v>5132</v>
      </c>
      <c r="C1505" s="0" t="s">
        <v>97</v>
      </c>
      <c r="D1505" s="0" t="s">
        <v>5133</v>
      </c>
      <c r="E1505" s="0" t="s">
        <v>3462</v>
      </c>
      <c r="H1505" s="0" t="s">
        <v>5134</v>
      </c>
      <c r="I1505" s="0" t="s">
        <v>5135</v>
      </c>
      <c r="J1505" s="0" t="s">
        <v>254</v>
      </c>
      <c r="K1505" s="0" t="s">
        <v>5136</v>
      </c>
      <c r="L1505" s="0" t="s">
        <v>124</v>
      </c>
      <c r="M1505" s="0" t="s">
        <v>208</v>
      </c>
      <c r="N1505" s="0" t="s">
        <v>124</v>
      </c>
      <c r="P1505" s="0" t="s">
        <v>102</v>
      </c>
      <c r="Q1505" s="0" t="s">
        <v>102</v>
      </c>
      <c r="R1505" s="0" t="s">
        <v>131</v>
      </c>
      <c r="S1505" s="0" t="s">
        <v>21</v>
      </c>
      <c r="T1505" s="0" t="s">
        <v>104</v>
      </c>
      <c r="W1505" s="0" t="s">
        <v>105</v>
      </c>
      <c r="X1505" s="0" t="s">
        <v>5137</v>
      </c>
      <c r="Y1505" s="0" t="s">
        <v>5138</v>
      </c>
      <c r="Z1505" s="0" t="s">
        <v>134</v>
      </c>
      <c r="AB1505" s="0" t="s">
        <v>820</v>
      </c>
    </row>
    <row r="1506" customFormat="false" ht="15" hidden="false" customHeight="false" outlineLevel="0" collapsed="false">
      <c r="A1506" s="0" t="s">
        <v>21</v>
      </c>
      <c r="B1506" s="0" t="s">
        <v>5139</v>
      </c>
      <c r="C1506" s="0" t="s">
        <v>97</v>
      </c>
      <c r="E1506" s="0" t="s">
        <v>5140</v>
      </c>
      <c r="H1506" s="0" t="s">
        <v>5141</v>
      </c>
      <c r="I1506" s="0" t="s">
        <v>5142</v>
      </c>
      <c r="J1506" s="0" t="s">
        <v>208</v>
      </c>
      <c r="K1506" s="0" t="s">
        <v>5143</v>
      </c>
      <c r="L1506" s="0" t="s">
        <v>124</v>
      </c>
      <c r="M1506" s="0" t="s">
        <v>208</v>
      </c>
      <c r="N1506" s="0" t="s">
        <v>124</v>
      </c>
      <c r="P1506" s="0" t="s">
        <v>204</v>
      </c>
      <c r="Q1506" s="0" t="s">
        <v>204</v>
      </c>
      <c r="R1506" s="0" t="s">
        <v>2617</v>
      </c>
      <c r="S1506" s="0" t="s">
        <v>21</v>
      </c>
      <c r="T1506" s="0" t="s">
        <v>104</v>
      </c>
      <c r="W1506" s="0" t="s">
        <v>105</v>
      </c>
      <c r="X1506" s="0" t="s">
        <v>5144</v>
      </c>
      <c r="Y1506" s="0" t="s">
        <v>5145</v>
      </c>
    </row>
    <row r="1507" customFormat="false" ht="15" hidden="false" customHeight="false" outlineLevel="0" collapsed="false">
      <c r="A1507" s="0" t="s">
        <v>21</v>
      </c>
      <c r="B1507" s="0" t="s">
        <v>5146</v>
      </c>
      <c r="C1507" s="0" t="s">
        <v>4280</v>
      </c>
      <c r="D1507" s="0" t="s">
        <v>5147</v>
      </c>
      <c r="E1507" s="0" t="s">
        <v>5148</v>
      </c>
      <c r="G1507" s="0" t="s">
        <v>5149</v>
      </c>
      <c r="M1507" s="0" t="s">
        <v>232</v>
      </c>
      <c r="N1507" s="0" t="s">
        <v>124</v>
      </c>
      <c r="P1507" s="0" t="s">
        <v>130</v>
      </c>
      <c r="Q1507" s="0" t="s">
        <v>130</v>
      </c>
      <c r="R1507" s="0" t="s">
        <v>131</v>
      </c>
      <c r="S1507" s="0" t="s">
        <v>21</v>
      </c>
      <c r="T1507" s="0" t="s">
        <v>104</v>
      </c>
      <c r="W1507" s="0" t="s">
        <v>105</v>
      </c>
      <c r="AB1507" s="0" t="s">
        <v>5150</v>
      </c>
    </row>
    <row r="1508" customFormat="false" ht="15" hidden="false" customHeight="false" outlineLevel="0" collapsed="false">
      <c r="A1508" s="0" t="s">
        <v>21</v>
      </c>
      <c r="B1508" s="0" t="s">
        <v>5151</v>
      </c>
      <c r="C1508" s="0" t="s">
        <v>190</v>
      </c>
      <c r="D1508" s="0" t="s">
        <v>5152</v>
      </c>
      <c r="E1508" s="0" t="s">
        <v>1795</v>
      </c>
      <c r="H1508" s="0" t="s">
        <v>5153</v>
      </c>
      <c r="I1508" s="0" t="s">
        <v>4648</v>
      </c>
      <c r="J1508" s="0" t="s">
        <v>275</v>
      </c>
      <c r="K1508" s="0" t="s">
        <v>4649</v>
      </c>
      <c r="L1508" s="0" t="s">
        <v>124</v>
      </c>
      <c r="M1508" s="0" t="s">
        <v>178</v>
      </c>
      <c r="N1508" s="0" t="s">
        <v>124</v>
      </c>
      <c r="P1508" s="0" t="s">
        <v>102</v>
      </c>
      <c r="Q1508" s="0" t="s">
        <v>102</v>
      </c>
      <c r="R1508" s="0" t="s">
        <v>131</v>
      </c>
      <c r="S1508" s="0" t="s">
        <v>21</v>
      </c>
      <c r="T1508" s="0" t="s">
        <v>104</v>
      </c>
      <c r="W1508" s="0" t="s">
        <v>105</v>
      </c>
      <c r="X1508" s="0" t="s">
        <v>5154</v>
      </c>
      <c r="Y1508" s="0" t="s">
        <v>5155</v>
      </c>
      <c r="Z1508" s="0" t="s">
        <v>134</v>
      </c>
      <c r="AA1508" s="0" t="s">
        <v>172</v>
      </c>
    </row>
    <row r="1509" customFormat="false" ht="15" hidden="false" customHeight="false" outlineLevel="0" collapsed="false">
      <c r="A1509" s="0" t="s">
        <v>21</v>
      </c>
      <c r="B1509" s="0" t="s">
        <v>5156</v>
      </c>
      <c r="C1509" s="0" t="s">
        <v>139</v>
      </c>
      <c r="D1509" s="0" t="s">
        <v>5157</v>
      </c>
      <c r="H1509" s="0" t="s">
        <v>5158</v>
      </c>
      <c r="I1509" s="0" t="s">
        <v>5159</v>
      </c>
      <c r="J1509" s="0" t="s">
        <v>254</v>
      </c>
      <c r="K1509" s="0" t="s">
        <v>287</v>
      </c>
      <c r="M1509" s="0" t="s">
        <v>208</v>
      </c>
      <c r="N1509" s="0" t="s">
        <v>124</v>
      </c>
      <c r="P1509" s="0" t="s">
        <v>102</v>
      </c>
      <c r="Q1509" s="0" t="s">
        <v>102</v>
      </c>
      <c r="R1509" s="0" t="s">
        <v>131</v>
      </c>
      <c r="S1509" s="0" t="s">
        <v>21</v>
      </c>
      <c r="T1509" s="0" t="s">
        <v>104</v>
      </c>
      <c r="W1509" s="0" t="s">
        <v>105</v>
      </c>
      <c r="AB1509" s="0" t="s">
        <v>5160</v>
      </c>
    </row>
    <row r="1510" customFormat="false" ht="15" hidden="false" customHeight="false" outlineLevel="0" collapsed="false">
      <c r="A1510" s="0" t="s">
        <v>21</v>
      </c>
      <c r="B1510" s="0" t="s">
        <v>5161</v>
      </c>
      <c r="C1510" s="0" t="s">
        <v>97</v>
      </c>
      <c r="D1510" s="0" t="s">
        <v>5162</v>
      </c>
      <c r="E1510" s="0" t="s">
        <v>5163</v>
      </c>
      <c r="G1510" s="0" t="s">
        <v>5164</v>
      </c>
      <c r="H1510" s="0" t="s">
        <v>3256</v>
      </c>
      <c r="I1510" s="0" t="s">
        <v>655</v>
      </c>
      <c r="J1510" s="0" t="s">
        <v>100</v>
      </c>
      <c r="K1510" s="0" t="s">
        <v>168</v>
      </c>
      <c r="L1510" s="0" t="s">
        <v>101</v>
      </c>
      <c r="M1510" s="0" t="s">
        <v>656</v>
      </c>
      <c r="N1510" s="0" t="s">
        <v>101</v>
      </c>
      <c r="P1510" s="0" t="s">
        <v>102</v>
      </c>
      <c r="Q1510" s="0" t="s">
        <v>102</v>
      </c>
      <c r="R1510" s="0" t="s">
        <v>131</v>
      </c>
      <c r="S1510" s="0" t="s">
        <v>21</v>
      </c>
      <c r="T1510" s="0" t="s">
        <v>104</v>
      </c>
      <c r="W1510" s="0" t="s">
        <v>105</v>
      </c>
      <c r="X1510" s="0" t="s">
        <v>4811</v>
      </c>
      <c r="Y1510" s="0" t="s">
        <v>4812</v>
      </c>
      <c r="Z1510" s="0" t="s">
        <v>215</v>
      </c>
      <c r="AA1510" s="0" t="s">
        <v>172</v>
      </c>
    </row>
    <row r="1511" customFormat="false" ht="15" hidden="false" customHeight="false" outlineLevel="0" collapsed="false">
      <c r="A1511" s="0" t="s">
        <v>21</v>
      </c>
      <c r="B1511" s="0" t="s">
        <v>5165</v>
      </c>
      <c r="C1511" s="0" t="s">
        <v>97</v>
      </c>
      <c r="D1511" s="0" t="s">
        <v>5166</v>
      </c>
      <c r="E1511" s="0" t="s">
        <v>5167</v>
      </c>
      <c r="G1511" s="0" t="s">
        <v>5164</v>
      </c>
      <c r="H1511" s="0" t="s">
        <v>3256</v>
      </c>
      <c r="I1511" s="0" t="s">
        <v>655</v>
      </c>
      <c r="J1511" s="0" t="s">
        <v>100</v>
      </c>
      <c r="K1511" s="0" t="s">
        <v>168</v>
      </c>
      <c r="L1511" s="0" t="s">
        <v>101</v>
      </c>
      <c r="M1511" s="0" t="s">
        <v>656</v>
      </c>
      <c r="N1511" s="0" t="s">
        <v>101</v>
      </c>
      <c r="P1511" s="0" t="s">
        <v>102</v>
      </c>
      <c r="Q1511" s="0" t="s">
        <v>102</v>
      </c>
      <c r="R1511" s="0" t="s">
        <v>131</v>
      </c>
      <c r="S1511" s="0" t="s">
        <v>21</v>
      </c>
      <c r="T1511" s="0" t="s">
        <v>104</v>
      </c>
      <c r="W1511" s="0" t="s">
        <v>105</v>
      </c>
      <c r="X1511" s="0" t="s">
        <v>4811</v>
      </c>
      <c r="Y1511" s="0" t="s">
        <v>4812</v>
      </c>
      <c r="Z1511" s="0" t="s">
        <v>215</v>
      </c>
      <c r="AA1511" s="0" t="s">
        <v>172</v>
      </c>
    </row>
    <row r="1512" customFormat="false" ht="15" hidden="false" customHeight="false" outlineLevel="0" collapsed="false">
      <c r="A1512" s="0" t="s">
        <v>21</v>
      </c>
      <c r="B1512" s="0" t="s">
        <v>5168</v>
      </c>
      <c r="C1512" s="0" t="s">
        <v>97</v>
      </c>
      <c r="D1512" s="0" t="s">
        <v>5169</v>
      </c>
      <c r="E1512" s="0" t="s">
        <v>5170</v>
      </c>
      <c r="G1512" s="0" t="s">
        <v>5164</v>
      </c>
      <c r="H1512" s="0" t="s">
        <v>3256</v>
      </c>
      <c r="I1512" s="0" t="s">
        <v>655</v>
      </c>
      <c r="J1512" s="0" t="s">
        <v>100</v>
      </c>
      <c r="K1512" s="0" t="s">
        <v>168</v>
      </c>
      <c r="L1512" s="0" t="s">
        <v>101</v>
      </c>
      <c r="M1512" s="0" t="s">
        <v>656</v>
      </c>
      <c r="N1512" s="0" t="s">
        <v>101</v>
      </c>
      <c r="P1512" s="0" t="s">
        <v>102</v>
      </c>
      <c r="Q1512" s="0" t="s">
        <v>102</v>
      </c>
      <c r="R1512" s="0" t="s">
        <v>131</v>
      </c>
      <c r="S1512" s="0" t="s">
        <v>21</v>
      </c>
      <c r="T1512" s="0" t="s">
        <v>104</v>
      </c>
      <c r="W1512" s="0" t="s">
        <v>105</v>
      </c>
      <c r="X1512" s="0" t="s">
        <v>4811</v>
      </c>
      <c r="Y1512" s="0" t="s">
        <v>4812</v>
      </c>
      <c r="Z1512" s="0" t="s">
        <v>215</v>
      </c>
      <c r="AA1512" s="0" t="s">
        <v>172</v>
      </c>
    </row>
    <row r="1513" customFormat="false" ht="15" hidden="false" customHeight="false" outlineLevel="0" collapsed="false">
      <c r="A1513" s="0" t="s">
        <v>21</v>
      </c>
      <c r="B1513" s="0" t="s">
        <v>5171</v>
      </c>
      <c r="C1513" s="0" t="s">
        <v>97</v>
      </c>
      <c r="D1513" s="0" t="s">
        <v>5172</v>
      </c>
      <c r="E1513" s="0" t="s">
        <v>5173</v>
      </c>
      <c r="G1513" s="0" t="s">
        <v>5174</v>
      </c>
      <c r="H1513" s="0" t="s">
        <v>3256</v>
      </c>
      <c r="I1513" s="0" t="s">
        <v>655</v>
      </c>
      <c r="J1513" s="0" t="s">
        <v>100</v>
      </c>
      <c r="K1513" s="0" t="s">
        <v>168</v>
      </c>
      <c r="L1513" s="0" t="s">
        <v>101</v>
      </c>
      <c r="M1513" s="0" t="s">
        <v>656</v>
      </c>
      <c r="N1513" s="0" t="s">
        <v>101</v>
      </c>
      <c r="P1513" s="0" t="s">
        <v>102</v>
      </c>
      <c r="Q1513" s="0" t="s">
        <v>102</v>
      </c>
      <c r="R1513" s="0" t="s">
        <v>131</v>
      </c>
      <c r="S1513" s="0" t="s">
        <v>21</v>
      </c>
      <c r="T1513" s="0" t="s">
        <v>104</v>
      </c>
      <c r="W1513" s="0" t="s">
        <v>105</v>
      </c>
      <c r="X1513" s="0" t="s">
        <v>4811</v>
      </c>
      <c r="Y1513" s="0" t="s">
        <v>4812</v>
      </c>
      <c r="Z1513" s="0" t="s">
        <v>171</v>
      </c>
      <c r="AA1513" s="0" t="s">
        <v>172</v>
      </c>
    </row>
    <row r="1514" customFormat="false" ht="15" hidden="false" customHeight="false" outlineLevel="0" collapsed="false">
      <c r="A1514" s="0" t="s">
        <v>21</v>
      </c>
      <c r="B1514" s="0" t="s">
        <v>5175</v>
      </c>
      <c r="C1514" s="0" t="s">
        <v>97</v>
      </c>
      <c r="D1514" s="0" t="s">
        <v>3263</v>
      </c>
      <c r="E1514" s="0" t="s">
        <v>5176</v>
      </c>
      <c r="G1514" s="0" t="s">
        <v>5174</v>
      </c>
      <c r="H1514" s="0" t="s">
        <v>3256</v>
      </c>
      <c r="I1514" s="0" t="s">
        <v>655</v>
      </c>
      <c r="J1514" s="0" t="s">
        <v>100</v>
      </c>
      <c r="K1514" s="0" t="s">
        <v>168</v>
      </c>
      <c r="L1514" s="0" t="s">
        <v>101</v>
      </c>
      <c r="M1514" s="0" t="s">
        <v>656</v>
      </c>
      <c r="N1514" s="0" t="s">
        <v>101</v>
      </c>
      <c r="P1514" s="0" t="s">
        <v>102</v>
      </c>
      <c r="Q1514" s="0" t="s">
        <v>102</v>
      </c>
      <c r="R1514" s="0" t="s">
        <v>131</v>
      </c>
      <c r="S1514" s="0" t="s">
        <v>21</v>
      </c>
      <c r="T1514" s="0" t="s">
        <v>104</v>
      </c>
      <c r="W1514" s="0" t="s">
        <v>105</v>
      </c>
      <c r="X1514" s="0" t="s">
        <v>4811</v>
      </c>
      <c r="Y1514" s="0" t="s">
        <v>4812</v>
      </c>
      <c r="Z1514" s="0" t="s">
        <v>171</v>
      </c>
      <c r="AA1514" s="0" t="s">
        <v>172</v>
      </c>
    </row>
    <row r="1515" customFormat="false" ht="15" hidden="false" customHeight="false" outlineLevel="0" collapsed="false">
      <c r="A1515" s="0" t="s">
        <v>21</v>
      </c>
      <c r="B1515" s="0" t="s">
        <v>5177</v>
      </c>
      <c r="C1515" s="0" t="s">
        <v>97</v>
      </c>
      <c r="D1515" s="0" t="s">
        <v>5178</v>
      </c>
      <c r="E1515" s="0" t="s">
        <v>5179</v>
      </c>
      <c r="G1515" s="0" t="s">
        <v>5180</v>
      </c>
      <c r="H1515" s="0" t="s">
        <v>3256</v>
      </c>
      <c r="I1515" s="0" t="s">
        <v>655</v>
      </c>
      <c r="J1515" s="0" t="s">
        <v>100</v>
      </c>
      <c r="K1515" s="0" t="s">
        <v>168</v>
      </c>
      <c r="L1515" s="0" t="s">
        <v>101</v>
      </c>
      <c r="M1515" s="0" t="s">
        <v>656</v>
      </c>
      <c r="N1515" s="0" t="s">
        <v>101</v>
      </c>
      <c r="P1515" s="0" t="s">
        <v>102</v>
      </c>
      <c r="Q1515" s="0" t="s">
        <v>102</v>
      </c>
      <c r="R1515" s="0" t="s">
        <v>131</v>
      </c>
      <c r="S1515" s="0" t="s">
        <v>21</v>
      </c>
      <c r="T1515" s="0" t="s">
        <v>104</v>
      </c>
      <c r="W1515" s="0" t="s">
        <v>105</v>
      </c>
      <c r="X1515" s="0" t="s">
        <v>4811</v>
      </c>
      <c r="Y1515" s="0" t="s">
        <v>4812</v>
      </c>
      <c r="Z1515" s="0" t="s">
        <v>134</v>
      </c>
      <c r="AA1515" s="0" t="s">
        <v>172</v>
      </c>
    </row>
    <row r="1516" customFormat="false" ht="15" hidden="false" customHeight="false" outlineLevel="0" collapsed="false">
      <c r="A1516" s="0" t="s">
        <v>21</v>
      </c>
      <c r="B1516" s="0" t="s">
        <v>5181</v>
      </c>
      <c r="C1516" s="0" t="s">
        <v>97</v>
      </c>
      <c r="D1516" s="0" t="s">
        <v>5182</v>
      </c>
      <c r="E1516" s="0" t="s">
        <v>5183</v>
      </c>
      <c r="G1516" s="0" t="s">
        <v>5164</v>
      </c>
      <c r="H1516" s="0" t="s">
        <v>3256</v>
      </c>
      <c r="I1516" s="0" t="s">
        <v>655</v>
      </c>
      <c r="J1516" s="0" t="s">
        <v>100</v>
      </c>
      <c r="K1516" s="0" t="s">
        <v>168</v>
      </c>
      <c r="L1516" s="0" t="s">
        <v>101</v>
      </c>
      <c r="M1516" s="0" t="s">
        <v>656</v>
      </c>
      <c r="N1516" s="0" t="s">
        <v>101</v>
      </c>
      <c r="P1516" s="0" t="s">
        <v>102</v>
      </c>
      <c r="Q1516" s="0" t="s">
        <v>102</v>
      </c>
      <c r="R1516" s="0" t="s">
        <v>131</v>
      </c>
      <c r="S1516" s="0" t="s">
        <v>21</v>
      </c>
      <c r="T1516" s="0" t="s">
        <v>104</v>
      </c>
      <c r="W1516" s="0" t="s">
        <v>105</v>
      </c>
      <c r="X1516" s="0" t="s">
        <v>4811</v>
      </c>
      <c r="Y1516" s="0" t="s">
        <v>4812</v>
      </c>
      <c r="Z1516" s="0" t="s">
        <v>215</v>
      </c>
      <c r="AA1516" s="0" t="s">
        <v>172</v>
      </c>
    </row>
    <row r="1517" customFormat="false" ht="15" hidden="false" customHeight="false" outlineLevel="0" collapsed="false">
      <c r="A1517" s="0" t="s">
        <v>21</v>
      </c>
      <c r="B1517" s="0" t="s">
        <v>5184</v>
      </c>
      <c r="C1517" s="0" t="s">
        <v>97</v>
      </c>
      <c r="D1517" s="0" t="s">
        <v>5185</v>
      </c>
      <c r="E1517" s="0" t="s">
        <v>5186</v>
      </c>
      <c r="G1517" s="0" t="s">
        <v>5187</v>
      </c>
      <c r="H1517" s="0" t="s">
        <v>1631</v>
      </c>
      <c r="I1517" s="0" t="s">
        <v>1307</v>
      </c>
      <c r="J1517" s="0" t="s">
        <v>456</v>
      </c>
      <c r="K1517" s="0" t="s">
        <v>422</v>
      </c>
      <c r="L1517" s="0" t="s">
        <v>101</v>
      </c>
      <c r="M1517" s="0" t="s">
        <v>1307</v>
      </c>
      <c r="N1517" s="0" t="s">
        <v>101</v>
      </c>
      <c r="P1517" s="0" t="s">
        <v>102</v>
      </c>
      <c r="Q1517" s="0" t="s">
        <v>102</v>
      </c>
      <c r="R1517" s="0" t="s">
        <v>131</v>
      </c>
      <c r="S1517" s="0" t="s">
        <v>21</v>
      </c>
      <c r="T1517" s="0" t="s">
        <v>104</v>
      </c>
      <c r="W1517" s="0" t="s">
        <v>105</v>
      </c>
      <c r="X1517" s="0" t="s">
        <v>1632</v>
      </c>
      <c r="Y1517" s="0" t="s">
        <v>1633</v>
      </c>
      <c r="Z1517" s="0" t="s">
        <v>134</v>
      </c>
      <c r="AA1517" s="0" t="s">
        <v>172</v>
      </c>
    </row>
    <row r="1518" customFormat="false" ht="15" hidden="false" customHeight="false" outlineLevel="0" collapsed="false">
      <c r="A1518" s="0" t="s">
        <v>21</v>
      </c>
      <c r="B1518" s="0" t="s">
        <v>5188</v>
      </c>
      <c r="C1518" s="0" t="s">
        <v>97</v>
      </c>
      <c r="D1518" s="0" t="s">
        <v>5189</v>
      </c>
      <c r="E1518" s="0" t="s">
        <v>5190</v>
      </c>
      <c r="G1518" s="0" t="s">
        <v>5191</v>
      </c>
      <c r="H1518" s="0" t="s">
        <v>1575</v>
      </c>
      <c r="I1518" s="0" t="s">
        <v>1576</v>
      </c>
      <c r="J1518" s="0" t="s">
        <v>456</v>
      </c>
      <c r="K1518" s="0" t="s">
        <v>1591</v>
      </c>
      <c r="L1518" s="0" t="s">
        <v>101</v>
      </c>
      <c r="M1518" s="0" t="s">
        <v>1576</v>
      </c>
      <c r="N1518" s="0" t="s">
        <v>101</v>
      </c>
      <c r="P1518" s="0" t="s">
        <v>102</v>
      </c>
      <c r="Q1518" s="0" t="s">
        <v>102</v>
      </c>
      <c r="R1518" s="0" t="s">
        <v>131</v>
      </c>
      <c r="S1518" s="0" t="s">
        <v>21</v>
      </c>
      <c r="T1518" s="0" t="s">
        <v>104</v>
      </c>
      <c r="W1518" s="0" t="s">
        <v>105</v>
      </c>
      <c r="X1518" s="0" t="s">
        <v>1578</v>
      </c>
      <c r="Y1518" s="0" t="s">
        <v>1579</v>
      </c>
      <c r="Z1518" s="0" t="s">
        <v>134</v>
      </c>
      <c r="AA1518" s="0" t="s">
        <v>172</v>
      </c>
    </row>
    <row r="1519" customFormat="false" ht="15" hidden="false" customHeight="false" outlineLevel="0" collapsed="false">
      <c r="A1519" s="0" t="s">
        <v>21</v>
      </c>
      <c r="B1519" s="0" t="s">
        <v>5192</v>
      </c>
      <c r="C1519" s="0" t="s">
        <v>97</v>
      </c>
      <c r="D1519" s="0" t="s">
        <v>5193</v>
      </c>
      <c r="E1519" s="0" t="s">
        <v>5194</v>
      </c>
      <c r="G1519" s="0" t="s">
        <v>5191</v>
      </c>
      <c r="H1519" s="0" t="s">
        <v>1590</v>
      </c>
      <c r="I1519" s="0" t="s">
        <v>447</v>
      </c>
      <c r="J1519" s="0" t="s">
        <v>448</v>
      </c>
      <c r="K1519" s="0" t="s">
        <v>1639</v>
      </c>
      <c r="L1519" s="0" t="s">
        <v>101</v>
      </c>
      <c r="M1519" s="0" t="s">
        <v>447</v>
      </c>
      <c r="N1519" s="0" t="s">
        <v>101</v>
      </c>
      <c r="P1519" s="0" t="s">
        <v>102</v>
      </c>
      <c r="Q1519" s="0" t="s">
        <v>102</v>
      </c>
      <c r="R1519" s="0" t="s">
        <v>131</v>
      </c>
      <c r="S1519" s="0" t="s">
        <v>21</v>
      </c>
      <c r="T1519" s="0" t="s">
        <v>104</v>
      </c>
      <c r="W1519" s="0" t="s">
        <v>105</v>
      </c>
      <c r="X1519" s="0" t="s">
        <v>1592</v>
      </c>
      <c r="Y1519" s="0" t="s">
        <v>1593</v>
      </c>
      <c r="Z1519" s="0" t="s">
        <v>134</v>
      </c>
      <c r="AA1519" s="0" t="s">
        <v>172</v>
      </c>
    </row>
    <row r="1520" customFormat="false" ht="15" hidden="false" customHeight="false" outlineLevel="0" collapsed="false">
      <c r="A1520" s="0" t="s">
        <v>21</v>
      </c>
      <c r="B1520" s="0" t="s">
        <v>5195</v>
      </c>
      <c r="C1520" s="0" t="s">
        <v>97</v>
      </c>
      <c r="D1520" s="0" t="s">
        <v>5196</v>
      </c>
      <c r="E1520" s="0" t="s">
        <v>5197</v>
      </c>
      <c r="G1520" s="0" t="s">
        <v>5191</v>
      </c>
      <c r="H1520" s="0" t="s">
        <v>1608</v>
      </c>
      <c r="I1520" s="0" t="s">
        <v>1372</v>
      </c>
      <c r="J1520" s="0" t="s">
        <v>1273</v>
      </c>
      <c r="K1520" s="0" t="s">
        <v>498</v>
      </c>
      <c r="L1520" s="0" t="s">
        <v>101</v>
      </c>
      <c r="M1520" s="0" t="s">
        <v>1372</v>
      </c>
      <c r="N1520" s="0" t="s">
        <v>101</v>
      </c>
      <c r="P1520" s="0" t="s">
        <v>102</v>
      </c>
      <c r="Q1520" s="0" t="s">
        <v>102</v>
      </c>
      <c r="R1520" s="0" t="s">
        <v>131</v>
      </c>
      <c r="S1520" s="0" t="s">
        <v>21</v>
      </c>
      <c r="T1520" s="0" t="s">
        <v>104</v>
      </c>
      <c r="W1520" s="0" t="s">
        <v>105</v>
      </c>
      <c r="X1520" s="0" t="s">
        <v>1610</v>
      </c>
      <c r="Y1520" s="0" t="s">
        <v>1611</v>
      </c>
      <c r="Z1520" s="0" t="s">
        <v>134</v>
      </c>
      <c r="AA1520" s="0" t="s">
        <v>172</v>
      </c>
    </row>
    <row r="1521" customFormat="false" ht="15" hidden="false" customHeight="false" outlineLevel="0" collapsed="false">
      <c r="A1521" s="0" t="s">
        <v>21</v>
      </c>
      <c r="B1521" s="0" t="s">
        <v>5198</v>
      </c>
      <c r="C1521" s="0" t="s">
        <v>97</v>
      </c>
      <c r="D1521" s="0" t="s">
        <v>1573</v>
      </c>
      <c r="E1521" s="0" t="s">
        <v>1573</v>
      </c>
      <c r="G1521" s="0" t="s">
        <v>5191</v>
      </c>
      <c r="H1521" s="0" t="s">
        <v>1638</v>
      </c>
      <c r="I1521" s="0" t="s">
        <v>437</v>
      </c>
      <c r="J1521" s="0" t="s">
        <v>511</v>
      </c>
      <c r="K1521" s="0" t="s">
        <v>1340</v>
      </c>
      <c r="L1521" s="0" t="s">
        <v>101</v>
      </c>
      <c r="M1521" s="0" t="s">
        <v>437</v>
      </c>
      <c r="N1521" s="0" t="s">
        <v>101</v>
      </c>
      <c r="P1521" s="0" t="s">
        <v>102</v>
      </c>
      <c r="Q1521" s="0" t="s">
        <v>102</v>
      </c>
      <c r="R1521" s="0" t="s">
        <v>131</v>
      </c>
      <c r="S1521" s="0" t="s">
        <v>21</v>
      </c>
      <c r="T1521" s="0" t="s">
        <v>104</v>
      </c>
      <c r="W1521" s="0" t="s">
        <v>105</v>
      </c>
      <c r="X1521" s="0" t="s">
        <v>1640</v>
      </c>
      <c r="Y1521" s="0" t="s">
        <v>1641</v>
      </c>
      <c r="Z1521" s="0" t="s">
        <v>134</v>
      </c>
      <c r="AA1521" s="0" t="s">
        <v>172</v>
      </c>
    </row>
    <row r="1522" customFormat="false" ht="15" hidden="false" customHeight="false" outlineLevel="0" collapsed="false">
      <c r="A1522" s="0" t="s">
        <v>21</v>
      </c>
      <c r="B1522" s="0" t="s">
        <v>5199</v>
      </c>
      <c r="C1522" s="0" t="s">
        <v>97</v>
      </c>
      <c r="D1522" s="0" t="s">
        <v>5200</v>
      </c>
      <c r="E1522" s="0" t="s">
        <v>5201</v>
      </c>
      <c r="G1522" s="0" t="s">
        <v>5191</v>
      </c>
      <c r="H1522" s="0" t="s">
        <v>1621</v>
      </c>
      <c r="I1522" s="0" t="s">
        <v>398</v>
      </c>
      <c r="J1522" s="0" t="s">
        <v>112</v>
      </c>
      <c r="K1522" s="0" t="s">
        <v>99</v>
      </c>
      <c r="L1522" s="0" t="s">
        <v>101</v>
      </c>
      <c r="M1522" s="0" t="s">
        <v>398</v>
      </c>
      <c r="N1522" s="0" t="s">
        <v>101</v>
      </c>
      <c r="P1522" s="0" t="s">
        <v>102</v>
      </c>
      <c r="Q1522" s="0" t="s">
        <v>102</v>
      </c>
      <c r="R1522" s="0" t="s">
        <v>131</v>
      </c>
      <c r="S1522" s="0" t="s">
        <v>21</v>
      </c>
      <c r="T1522" s="0" t="s">
        <v>104</v>
      </c>
      <c r="W1522" s="0" t="s">
        <v>105</v>
      </c>
      <c r="X1522" s="0" t="s">
        <v>1623</v>
      </c>
      <c r="Y1522" s="0" t="s">
        <v>1624</v>
      </c>
      <c r="Z1522" s="0" t="s">
        <v>134</v>
      </c>
      <c r="AA1522" s="0" t="s">
        <v>172</v>
      </c>
    </row>
    <row r="1523" customFormat="false" ht="15" hidden="false" customHeight="false" outlineLevel="0" collapsed="false">
      <c r="A1523" s="0" t="s">
        <v>21</v>
      </c>
      <c r="B1523" s="0" t="s">
        <v>5202</v>
      </c>
      <c r="C1523" s="0" t="s">
        <v>97</v>
      </c>
      <c r="D1523" s="0" t="s">
        <v>5203</v>
      </c>
      <c r="E1523" s="0" t="s">
        <v>5204</v>
      </c>
      <c r="G1523" s="0" t="s">
        <v>5191</v>
      </c>
      <c r="H1523" s="0" t="s">
        <v>1595</v>
      </c>
      <c r="I1523" s="0" t="s">
        <v>1356</v>
      </c>
      <c r="J1523" s="0" t="s">
        <v>421</v>
      </c>
      <c r="K1523" s="0" t="s">
        <v>363</v>
      </c>
      <c r="L1523" s="0" t="s">
        <v>101</v>
      </c>
      <c r="M1523" s="0" t="s">
        <v>1356</v>
      </c>
      <c r="N1523" s="0" t="s">
        <v>101</v>
      </c>
      <c r="P1523" s="0" t="s">
        <v>102</v>
      </c>
      <c r="Q1523" s="0" t="s">
        <v>102</v>
      </c>
      <c r="R1523" s="0" t="s">
        <v>131</v>
      </c>
      <c r="S1523" s="0" t="s">
        <v>21</v>
      </c>
      <c r="T1523" s="0" t="s">
        <v>104</v>
      </c>
      <c r="W1523" s="0" t="s">
        <v>105</v>
      </c>
      <c r="X1523" s="0" t="s">
        <v>1597</v>
      </c>
      <c r="Y1523" s="0" t="s">
        <v>1598</v>
      </c>
      <c r="Z1523" s="0" t="s">
        <v>134</v>
      </c>
      <c r="AA1523" s="0" t="s">
        <v>172</v>
      </c>
    </row>
    <row r="1524" customFormat="false" ht="15" hidden="false" customHeight="false" outlineLevel="0" collapsed="false">
      <c r="A1524" s="0" t="s">
        <v>21</v>
      </c>
      <c r="B1524" s="0" t="s">
        <v>5205</v>
      </c>
      <c r="C1524" s="0" t="s">
        <v>97</v>
      </c>
      <c r="D1524" s="0" t="s">
        <v>5206</v>
      </c>
      <c r="E1524" s="0" t="s">
        <v>5207</v>
      </c>
      <c r="G1524" s="0" t="s">
        <v>5191</v>
      </c>
      <c r="H1524" s="0" t="s">
        <v>1626</v>
      </c>
      <c r="I1524" s="0" t="s">
        <v>1557</v>
      </c>
      <c r="J1524" s="0" t="s">
        <v>1273</v>
      </c>
      <c r="K1524" s="0" t="s">
        <v>363</v>
      </c>
      <c r="L1524" s="0" t="s">
        <v>101</v>
      </c>
      <c r="M1524" s="0" t="s">
        <v>1273</v>
      </c>
      <c r="N1524" s="0" t="s">
        <v>101</v>
      </c>
      <c r="P1524" s="0" t="s">
        <v>102</v>
      </c>
      <c r="Q1524" s="0" t="s">
        <v>102</v>
      </c>
      <c r="R1524" s="0" t="s">
        <v>131</v>
      </c>
      <c r="S1524" s="0" t="s">
        <v>21</v>
      </c>
      <c r="T1524" s="0" t="s">
        <v>104</v>
      </c>
      <c r="W1524" s="0" t="s">
        <v>105</v>
      </c>
      <c r="X1524" s="0" t="s">
        <v>1628</v>
      </c>
      <c r="Y1524" s="0" t="s">
        <v>1629</v>
      </c>
      <c r="Z1524" s="0" t="s">
        <v>134</v>
      </c>
      <c r="AA1524" s="0" t="s">
        <v>172</v>
      </c>
    </row>
    <row r="1525" customFormat="false" ht="15" hidden="false" customHeight="false" outlineLevel="0" collapsed="false">
      <c r="A1525" s="0" t="s">
        <v>21</v>
      </c>
      <c r="B1525" s="0" t="s">
        <v>5208</v>
      </c>
      <c r="C1525" s="0" t="s">
        <v>97</v>
      </c>
      <c r="D1525" s="0" t="s">
        <v>5209</v>
      </c>
      <c r="E1525" s="0" t="s">
        <v>5210</v>
      </c>
      <c r="G1525" s="0" t="s">
        <v>5191</v>
      </c>
      <c r="H1525" s="0" t="s">
        <v>1631</v>
      </c>
      <c r="I1525" s="0" t="s">
        <v>1307</v>
      </c>
      <c r="J1525" s="0" t="s">
        <v>456</v>
      </c>
      <c r="K1525" s="0" t="s">
        <v>498</v>
      </c>
      <c r="L1525" s="0" t="s">
        <v>101</v>
      </c>
      <c r="M1525" s="0" t="s">
        <v>1307</v>
      </c>
      <c r="N1525" s="0" t="s">
        <v>101</v>
      </c>
      <c r="P1525" s="0" t="s">
        <v>102</v>
      </c>
      <c r="Q1525" s="0" t="s">
        <v>102</v>
      </c>
      <c r="R1525" s="0" t="s">
        <v>131</v>
      </c>
      <c r="S1525" s="0" t="s">
        <v>21</v>
      </c>
      <c r="T1525" s="0" t="s">
        <v>104</v>
      </c>
      <c r="W1525" s="0" t="s">
        <v>105</v>
      </c>
      <c r="X1525" s="0" t="s">
        <v>1632</v>
      </c>
      <c r="Y1525" s="0" t="s">
        <v>1633</v>
      </c>
      <c r="Z1525" s="0" t="s">
        <v>134</v>
      </c>
      <c r="AA1525" s="0" t="s">
        <v>172</v>
      </c>
    </row>
    <row r="1526" customFormat="false" ht="15" hidden="false" customHeight="false" outlineLevel="0" collapsed="false">
      <c r="A1526" s="0" t="s">
        <v>21</v>
      </c>
      <c r="B1526" s="0" t="s">
        <v>5211</v>
      </c>
      <c r="C1526" s="0" t="s">
        <v>97</v>
      </c>
      <c r="D1526" s="0" t="s">
        <v>1643</v>
      </c>
      <c r="E1526" s="0" t="s">
        <v>1643</v>
      </c>
      <c r="M1526" s="0" t="s">
        <v>100</v>
      </c>
      <c r="N1526" s="0" t="s">
        <v>101</v>
      </c>
      <c r="P1526" s="0" t="s">
        <v>102</v>
      </c>
      <c r="Q1526" s="0" t="s">
        <v>102</v>
      </c>
      <c r="R1526" s="0" t="s">
        <v>131</v>
      </c>
      <c r="S1526" s="0" t="s">
        <v>21</v>
      </c>
      <c r="T1526" s="0" t="s">
        <v>104</v>
      </c>
      <c r="W1526" s="0" t="s">
        <v>105</v>
      </c>
      <c r="AB1526" s="0" t="s">
        <v>832</v>
      </c>
    </row>
    <row r="1527" customFormat="false" ht="15" hidden="false" customHeight="false" outlineLevel="0" collapsed="false">
      <c r="A1527" s="0" t="s">
        <v>21</v>
      </c>
      <c r="B1527" s="0" t="s">
        <v>5212</v>
      </c>
      <c r="C1527" s="0" t="s">
        <v>97</v>
      </c>
      <c r="D1527" s="0" t="s">
        <v>5213</v>
      </c>
      <c r="E1527" s="0" t="s">
        <v>5214</v>
      </c>
      <c r="G1527" s="0" t="s">
        <v>5164</v>
      </c>
      <c r="H1527" s="0" t="s">
        <v>3256</v>
      </c>
      <c r="I1527" s="0" t="s">
        <v>655</v>
      </c>
      <c r="J1527" s="0" t="s">
        <v>100</v>
      </c>
      <c r="K1527" s="0" t="s">
        <v>168</v>
      </c>
      <c r="L1527" s="0" t="s">
        <v>101</v>
      </c>
      <c r="M1527" s="0" t="s">
        <v>656</v>
      </c>
      <c r="N1527" s="0" t="s">
        <v>101</v>
      </c>
      <c r="P1527" s="0" t="s">
        <v>102</v>
      </c>
      <c r="Q1527" s="0" t="s">
        <v>102</v>
      </c>
      <c r="R1527" s="0" t="s">
        <v>131</v>
      </c>
      <c r="S1527" s="0" t="s">
        <v>21</v>
      </c>
      <c r="T1527" s="0" t="s">
        <v>104</v>
      </c>
      <c r="W1527" s="0" t="s">
        <v>105</v>
      </c>
      <c r="X1527" s="0" t="s">
        <v>4811</v>
      </c>
      <c r="Y1527" s="0" t="s">
        <v>4812</v>
      </c>
      <c r="Z1527" s="0" t="s">
        <v>215</v>
      </c>
      <c r="AA1527" s="0" t="s">
        <v>172</v>
      </c>
    </row>
    <row r="1528" customFormat="false" ht="15" hidden="false" customHeight="false" outlineLevel="0" collapsed="false">
      <c r="A1528" s="0" t="s">
        <v>21</v>
      </c>
      <c r="B1528" s="0" t="s">
        <v>5215</v>
      </c>
      <c r="C1528" s="0" t="s">
        <v>97</v>
      </c>
      <c r="D1528" s="0" t="s">
        <v>4737</v>
      </c>
      <c r="E1528" s="0" t="s">
        <v>5216</v>
      </c>
      <c r="G1528" s="0" t="s">
        <v>5164</v>
      </c>
      <c r="H1528" s="0" t="s">
        <v>3256</v>
      </c>
      <c r="I1528" s="0" t="s">
        <v>655</v>
      </c>
      <c r="J1528" s="0" t="s">
        <v>100</v>
      </c>
      <c r="K1528" s="0" t="s">
        <v>168</v>
      </c>
      <c r="L1528" s="0" t="s">
        <v>101</v>
      </c>
      <c r="M1528" s="0" t="s">
        <v>656</v>
      </c>
      <c r="N1528" s="0" t="s">
        <v>101</v>
      </c>
      <c r="P1528" s="0" t="s">
        <v>102</v>
      </c>
      <c r="Q1528" s="0" t="s">
        <v>102</v>
      </c>
      <c r="R1528" s="0" t="s">
        <v>131</v>
      </c>
      <c r="S1528" s="0" t="s">
        <v>21</v>
      </c>
      <c r="T1528" s="0" t="s">
        <v>104</v>
      </c>
      <c r="W1528" s="0" t="s">
        <v>105</v>
      </c>
      <c r="X1528" s="0" t="s">
        <v>4811</v>
      </c>
      <c r="Y1528" s="0" t="s">
        <v>4812</v>
      </c>
      <c r="Z1528" s="0" t="s">
        <v>215</v>
      </c>
      <c r="AA1528" s="0" t="s">
        <v>172</v>
      </c>
    </row>
    <row r="1529" customFormat="false" ht="15" hidden="false" customHeight="false" outlineLevel="0" collapsed="false">
      <c r="A1529" s="0" t="s">
        <v>21</v>
      </c>
      <c r="B1529" s="0" t="s">
        <v>5217</v>
      </c>
      <c r="C1529" s="0" t="s">
        <v>97</v>
      </c>
      <c r="D1529" s="0" t="s">
        <v>5218</v>
      </c>
      <c r="E1529" s="0" t="s">
        <v>5219</v>
      </c>
      <c r="G1529" s="0" t="s">
        <v>5220</v>
      </c>
      <c r="H1529" s="0" t="s">
        <v>3256</v>
      </c>
      <c r="I1529" s="0" t="s">
        <v>655</v>
      </c>
      <c r="J1529" s="0" t="s">
        <v>100</v>
      </c>
      <c r="K1529" s="0" t="s">
        <v>363</v>
      </c>
      <c r="L1529" s="0" t="s">
        <v>101</v>
      </c>
      <c r="M1529" s="0" t="s">
        <v>656</v>
      </c>
      <c r="N1529" s="0" t="s">
        <v>101</v>
      </c>
      <c r="P1529" s="0" t="s">
        <v>102</v>
      </c>
      <c r="Q1529" s="0" t="s">
        <v>102</v>
      </c>
      <c r="R1529" s="0" t="s">
        <v>131</v>
      </c>
      <c r="S1529" s="0" t="s">
        <v>21</v>
      </c>
      <c r="T1529" s="0" t="s">
        <v>104</v>
      </c>
      <c r="W1529" s="0" t="s">
        <v>105</v>
      </c>
      <c r="X1529" s="0" t="s">
        <v>4811</v>
      </c>
      <c r="Y1529" s="0" t="s">
        <v>4812</v>
      </c>
      <c r="Z1529" s="0" t="s">
        <v>134</v>
      </c>
      <c r="AA1529" s="0" t="s">
        <v>172</v>
      </c>
    </row>
    <row r="1530" customFormat="false" ht="15" hidden="false" customHeight="false" outlineLevel="0" collapsed="false">
      <c r="A1530" s="0" t="s">
        <v>21</v>
      </c>
      <c r="B1530" s="0" t="s">
        <v>5221</v>
      </c>
      <c r="C1530" s="0" t="s">
        <v>97</v>
      </c>
      <c r="D1530" s="0" t="s">
        <v>5222</v>
      </c>
      <c r="E1530" s="0" t="s">
        <v>5223</v>
      </c>
      <c r="G1530" s="0" t="s">
        <v>5224</v>
      </c>
      <c r="H1530" s="0" t="s">
        <v>3256</v>
      </c>
      <c r="I1530" s="0" t="s">
        <v>655</v>
      </c>
      <c r="J1530" s="0" t="s">
        <v>100</v>
      </c>
      <c r="K1530" s="0" t="s">
        <v>168</v>
      </c>
      <c r="L1530" s="0" t="s">
        <v>101</v>
      </c>
      <c r="M1530" s="0" t="s">
        <v>656</v>
      </c>
      <c r="N1530" s="0" t="s">
        <v>101</v>
      </c>
      <c r="P1530" s="0" t="s">
        <v>102</v>
      </c>
      <c r="Q1530" s="0" t="s">
        <v>102</v>
      </c>
      <c r="R1530" s="0" t="s">
        <v>131</v>
      </c>
      <c r="S1530" s="0" t="s">
        <v>21</v>
      </c>
      <c r="T1530" s="0" t="s">
        <v>104</v>
      </c>
      <c r="W1530" s="0" t="s">
        <v>105</v>
      </c>
      <c r="X1530" s="0" t="s">
        <v>4811</v>
      </c>
      <c r="Y1530" s="0" t="s">
        <v>4812</v>
      </c>
      <c r="Z1530" s="0" t="s">
        <v>159</v>
      </c>
      <c r="AA1530" s="0" t="s">
        <v>172</v>
      </c>
    </row>
    <row r="1531" customFormat="false" ht="15" hidden="false" customHeight="false" outlineLevel="0" collapsed="false">
      <c r="A1531" s="0" t="s">
        <v>21</v>
      </c>
      <c r="B1531" s="0" t="s">
        <v>5225</v>
      </c>
      <c r="C1531" s="0" t="s">
        <v>139</v>
      </c>
      <c r="M1531" s="0" t="s">
        <v>3655</v>
      </c>
      <c r="N1531" s="0" t="s">
        <v>124</v>
      </c>
      <c r="P1531" s="0" t="s">
        <v>130</v>
      </c>
      <c r="Q1531" s="0" t="s">
        <v>130</v>
      </c>
      <c r="R1531" s="0" t="s">
        <v>131</v>
      </c>
      <c r="S1531" s="0" t="s">
        <v>21</v>
      </c>
      <c r="T1531" s="0" t="s">
        <v>104</v>
      </c>
      <c r="W1531" s="0" t="s">
        <v>105</v>
      </c>
      <c r="AB1531" s="0" t="s">
        <v>5226</v>
      </c>
    </row>
    <row r="1532" customFormat="false" ht="15" hidden="false" customHeight="false" outlineLevel="0" collapsed="false">
      <c r="A1532" s="0" t="s">
        <v>21</v>
      </c>
      <c r="B1532" s="0" t="s">
        <v>5227</v>
      </c>
      <c r="C1532" s="0" t="s">
        <v>110</v>
      </c>
      <c r="D1532" s="0" t="s">
        <v>5228</v>
      </c>
      <c r="E1532" s="0" t="s">
        <v>5229</v>
      </c>
      <c r="H1532" s="0" t="s">
        <v>5230</v>
      </c>
      <c r="I1532" s="0" t="s">
        <v>5231</v>
      </c>
      <c r="J1532" s="0" t="s">
        <v>254</v>
      </c>
      <c r="K1532" s="0" t="s">
        <v>4563</v>
      </c>
      <c r="M1532" s="0" t="s">
        <v>5232</v>
      </c>
      <c r="N1532" s="0" t="s">
        <v>124</v>
      </c>
      <c r="P1532" s="0" t="s">
        <v>102</v>
      </c>
      <c r="Q1532" s="0" t="s">
        <v>102</v>
      </c>
      <c r="R1532" s="0" t="s">
        <v>131</v>
      </c>
      <c r="S1532" s="0" t="s">
        <v>21</v>
      </c>
      <c r="T1532" s="0" t="s">
        <v>104</v>
      </c>
      <c r="W1532" s="0" t="s">
        <v>105</v>
      </c>
      <c r="Z1532" s="0" t="s">
        <v>195</v>
      </c>
    </row>
    <row r="1533" customFormat="false" ht="15" hidden="false" customHeight="false" outlineLevel="0" collapsed="false">
      <c r="A1533" s="0" t="s">
        <v>21</v>
      </c>
      <c r="B1533" s="0" t="s">
        <v>5233</v>
      </c>
      <c r="C1533" s="0" t="s">
        <v>97</v>
      </c>
      <c r="H1533" s="0" t="s">
        <v>5234</v>
      </c>
      <c r="I1533" s="0" t="s">
        <v>5235</v>
      </c>
      <c r="J1533" s="0" t="s">
        <v>254</v>
      </c>
      <c r="K1533" s="0" t="s">
        <v>5236</v>
      </c>
      <c r="M1533" s="0" t="s">
        <v>208</v>
      </c>
      <c r="N1533" s="0" t="s">
        <v>124</v>
      </c>
      <c r="P1533" s="0" t="s">
        <v>204</v>
      </c>
      <c r="Q1533" s="0" t="s">
        <v>204</v>
      </c>
      <c r="R1533" s="0" t="s">
        <v>657</v>
      </c>
      <c r="S1533" s="0" t="s">
        <v>21</v>
      </c>
      <c r="T1533" s="0" t="s">
        <v>104</v>
      </c>
      <c r="W1533" s="0" t="s">
        <v>105</v>
      </c>
    </row>
    <row r="1534" customFormat="false" ht="15" hidden="false" customHeight="false" outlineLevel="0" collapsed="false">
      <c r="A1534" s="0" t="s">
        <v>21</v>
      </c>
      <c r="B1534" s="0" t="s">
        <v>5237</v>
      </c>
      <c r="C1534" s="0" t="s">
        <v>97</v>
      </c>
      <c r="D1534" s="0" t="s">
        <v>5238</v>
      </c>
      <c r="H1534" s="0" t="s">
        <v>5239</v>
      </c>
      <c r="I1534" s="0" t="s">
        <v>750</v>
      </c>
      <c r="J1534" s="0" t="s">
        <v>275</v>
      </c>
      <c r="K1534" s="0" t="s">
        <v>751</v>
      </c>
      <c r="M1534" s="0" t="s">
        <v>178</v>
      </c>
      <c r="N1534" s="0" t="s">
        <v>124</v>
      </c>
      <c r="P1534" s="0" t="s">
        <v>1044</v>
      </c>
      <c r="Q1534" s="0" t="s">
        <v>1044</v>
      </c>
      <c r="R1534" s="0" t="s">
        <v>248</v>
      </c>
      <c r="S1534" s="0" t="s">
        <v>21</v>
      </c>
      <c r="T1534" s="0" t="s">
        <v>104</v>
      </c>
      <c r="W1534" s="0" t="s">
        <v>105</v>
      </c>
      <c r="AB1534" s="0" t="s">
        <v>5240</v>
      </c>
    </row>
    <row r="1535" customFormat="false" ht="15" hidden="false" customHeight="false" outlineLevel="0" collapsed="false">
      <c r="A1535" s="0" t="s">
        <v>21</v>
      </c>
      <c r="B1535" s="0" t="s">
        <v>5241</v>
      </c>
      <c r="C1535" s="0" t="s">
        <v>97</v>
      </c>
      <c r="H1535" s="0" t="s">
        <v>5242</v>
      </c>
      <c r="I1535" s="0" t="s">
        <v>334</v>
      </c>
      <c r="J1535" s="0" t="s">
        <v>254</v>
      </c>
      <c r="K1535" s="0" t="s">
        <v>335</v>
      </c>
      <c r="M1535" s="0" t="s">
        <v>208</v>
      </c>
      <c r="N1535" s="0" t="s">
        <v>124</v>
      </c>
      <c r="P1535" s="0" t="s">
        <v>204</v>
      </c>
      <c r="Q1535" s="0" t="s">
        <v>204</v>
      </c>
      <c r="R1535" s="0" t="s">
        <v>657</v>
      </c>
      <c r="S1535" s="0" t="s">
        <v>21</v>
      </c>
      <c r="T1535" s="0" t="s">
        <v>104</v>
      </c>
      <c r="W1535" s="0" t="s">
        <v>105</v>
      </c>
    </row>
    <row r="1536" customFormat="false" ht="15" hidden="false" customHeight="false" outlineLevel="0" collapsed="false">
      <c r="A1536" s="0" t="s">
        <v>21</v>
      </c>
      <c r="B1536" s="0" t="s">
        <v>5243</v>
      </c>
      <c r="C1536" s="0" t="s">
        <v>97</v>
      </c>
      <c r="H1536" s="0" t="s">
        <v>5244</v>
      </c>
      <c r="I1536" s="0" t="s">
        <v>5245</v>
      </c>
      <c r="J1536" s="0" t="s">
        <v>214</v>
      </c>
      <c r="K1536" s="0" t="s">
        <v>5246</v>
      </c>
      <c r="M1536" s="0" t="s">
        <v>143</v>
      </c>
      <c r="N1536" s="0" t="s">
        <v>124</v>
      </c>
      <c r="P1536" s="0" t="s">
        <v>204</v>
      </c>
      <c r="Q1536" s="0" t="s">
        <v>204</v>
      </c>
      <c r="R1536" s="0" t="s">
        <v>657</v>
      </c>
      <c r="S1536" s="0" t="s">
        <v>21</v>
      </c>
      <c r="T1536" s="0" t="s">
        <v>104</v>
      </c>
      <c r="W1536" s="0" t="s">
        <v>105</v>
      </c>
    </row>
    <row r="1537" customFormat="false" ht="15" hidden="false" customHeight="false" outlineLevel="0" collapsed="false">
      <c r="A1537" s="0" t="s">
        <v>21</v>
      </c>
      <c r="B1537" s="0" t="s">
        <v>5247</v>
      </c>
      <c r="C1537" s="0" t="s">
        <v>190</v>
      </c>
      <c r="D1537" s="0" t="s">
        <v>5248</v>
      </c>
      <c r="E1537" s="0" t="s">
        <v>5249</v>
      </c>
      <c r="H1537" s="0" t="s">
        <v>5250</v>
      </c>
      <c r="I1537" s="0" t="s">
        <v>5251</v>
      </c>
      <c r="J1537" s="0" t="s">
        <v>254</v>
      </c>
      <c r="K1537" s="0" t="s">
        <v>5252</v>
      </c>
      <c r="M1537" s="0" t="s">
        <v>208</v>
      </c>
      <c r="N1537" s="0" t="s">
        <v>124</v>
      </c>
      <c r="P1537" s="0" t="s">
        <v>204</v>
      </c>
      <c r="Q1537" s="0" t="s">
        <v>204</v>
      </c>
      <c r="R1537" s="0" t="s">
        <v>131</v>
      </c>
      <c r="S1537" s="0" t="s">
        <v>21</v>
      </c>
      <c r="T1537" s="0" t="s">
        <v>104</v>
      </c>
      <c r="W1537" s="0" t="s">
        <v>105</v>
      </c>
      <c r="X1537" s="0" t="s">
        <v>5253</v>
      </c>
      <c r="Y1537" s="0" t="s">
        <v>5254</v>
      </c>
      <c r="Z1537" s="0" t="s">
        <v>306</v>
      </c>
    </row>
    <row r="1538" customFormat="false" ht="15" hidden="false" customHeight="false" outlineLevel="0" collapsed="false">
      <c r="A1538" s="0" t="s">
        <v>21</v>
      </c>
      <c r="B1538" s="0" t="s">
        <v>5247</v>
      </c>
      <c r="C1538" s="0" t="s">
        <v>190</v>
      </c>
      <c r="D1538" s="0" t="s">
        <v>5248</v>
      </c>
      <c r="E1538" s="0" t="s">
        <v>5249</v>
      </c>
      <c r="H1538" s="0" t="s">
        <v>5250</v>
      </c>
      <c r="I1538" s="0" t="s">
        <v>5251</v>
      </c>
      <c r="J1538" s="0" t="s">
        <v>254</v>
      </c>
      <c r="K1538" s="0" t="s">
        <v>5252</v>
      </c>
      <c r="M1538" s="0" t="s">
        <v>208</v>
      </c>
      <c r="N1538" s="0" t="s">
        <v>124</v>
      </c>
      <c r="P1538" s="0" t="s">
        <v>554</v>
      </c>
      <c r="Q1538" s="0" t="s">
        <v>554</v>
      </c>
      <c r="R1538" s="0" t="s">
        <v>554</v>
      </c>
      <c r="S1538" s="0" t="s">
        <v>21</v>
      </c>
      <c r="T1538" s="0" t="s">
        <v>104</v>
      </c>
      <c r="W1538" s="0" t="s">
        <v>183</v>
      </c>
      <c r="X1538" s="0" t="s">
        <v>5253</v>
      </c>
      <c r="Y1538" s="0" t="s">
        <v>5254</v>
      </c>
      <c r="Z1538" s="0" t="s">
        <v>306</v>
      </c>
    </row>
    <row r="1539" customFormat="false" ht="15" hidden="false" customHeight="false" outlineLevel="0" collapsed="false">
      <c r="A1539" s="0" t="s">
        <v>21</v>
      </c>
      <c r="B1539" s="0" t="s">
        <v>5255</v>
      </c>
      <c r="C1539" s="0" t="s">
        <v>190</v>
      </c>
      <c r="D1539" s="0" t="s">
        <v>5248</v>
      </c>
      <c r="E1539" s="0" t="s">
        <v>5248</v>
      </c>
      <c r="H1539" s="0" t="s">
        <v>5256</v>
      </c>
      <c r="I1539" s="0" t="s">
        <v>5257</v>
      </c>
      <c r="J1539" s="0" t="s">
        <v>157</v>
      </c>
      <c r="K1539" s="0" t="s">
        <v>5258</v>
      </c>
      <c r="M1539" s="0" t="s">
        <v>232</v>
      </c>
      <c r="N1539" s="0" t="s">
        <v>124</v>
      </c>
      <c r="P1539" s="0" t="s">
        <v>204</v>
      </c>
      <c r="Q1539" s="0" t="s">
        <v>204</v>
      </c>
      <c r="R1539" s="0" t="s">
        <v>131</v>
      </c>
      <c r="S1539" s="0" t="s">
        <v>21</v>
      </c>
      <c r="T1539" s="0" t="s">
        <v>104</v>
      </c>
      <c r="W1539" s="0" t="s">
        <v>105</v>
      </c>
      <c r="X1539" s="0" t="s">
        <v>5259</v>
      </c>
      <c r="Y1539" s="0" t="s">
        <v>5260</v>
      </c>
      <c r="Z1539" s="0" t="s">
        <v>306</v>
      </c>
    </row>
    <row r="1540" customFormat="false" ht="15" hidden="false" customHeight="false" outlineLevel="0" collapsed="false">
      <c r="A1540" s="0" t="s">
        <v>21</v>
      </c>
      <c r="B1540" s="0" t="s">
        <v>5255</v>
      </c>
      <c r="C1540" s="0" t="s">
        <v>190</v>
      </c>
      <c r="D1540" s="0" t="s">
        <v>5248</v>
      </c>
      <c r="E1540" s="0" t="s">
        <v>5248</v>
      </c>
      <c r="H1540" s="0" t="s">
        <v>5256</v>
      </c>
      <c r="I1540" s="0" t="s">
        <v>5257</v>
      </c>
      <c r="J1540" s="0" t="s">
        <v>157</v>
      </c>
      <c r="K1540" s="0" t="s">
        <v>5258</v>
      </c>
      <c r="M1540" s="0" t="s">
        <v>232</v>
      </c>
      <c r="N1540" s="0" t="s">
        <v>124</v>
      </c>
      <c r="P1540" s="0" t="s">
        <v>554</v>
      </c>
      <c r="Q1540" s="0" t="s">
        <v>554</v>
      </c>
      <c r="R1540" s="0" t="s">
        <v>554</v>
      </c>
      <c r="S1540" s="0" t="s">
        <v>21</v>
      </c>
      <c r="T1540" s="0" t="s">
        <v>104</v>
      </c>
      <c r="W1540" s="0" t="s">
        <v>183</v>
      </c>
      <c r="X1540" s="0" t="s">
        <v>5259</v>
      </c>
      <c r="Y1540" s="0" t="s">
        <v>5260</v>
      </c>
      <c r="Z1540" s="0" t="s">
        <v>306</v>
      </c>
    </row>
    <row r="1541" customFormat="false" ht="15" hidden="false" customHeight="false" outlineLevel="0" collapsed="false">
      <c r="A1541" s="0" t="s">
        <v>21</v>
      </c>
      <c r="B1541" s="0" t="s">
        <v>5261</v>
      </c>
      <c r="C1541" s="0" t="s">
        <v>97</v>
      </c>
      <c r="D1541" s="0" t="s">
        <v>5262</v>
      </c>
      <c r="E1541" s="0" t="s">
        <v>5263</v>
      </c>
      <c r="M1541" s="0" t="s">
        <v>656</v>
      </c>
      <c r="N1541" s="0" t="s">
        <v>101</v>
      </c>
      <c r="P1541" s="0" t="s">
        <v>204</v>
      </c>
      <c r="Q1541" s="0" t="s">
        <v>204</v>
      </c>
      <c r="R1541" s="0" t="s">
        <v>399</v>
      </c>
      <c r="S1541" s="0" t="s">
        <v>21</v>
      </c>
      <c r="T1541" s="0" t="s">
        <v>104</v>
      </c>
      <c r="W1541" s="0" t="s">
        <v>105</v>
      </c>
    </row>
    <row r="1542" customFormat="false" ht="15" hidden="false" customHeight="false" outlineLevel="0" collapsed="false">
      <c r="A1542" s="0" t="s">
        <v>21</v>
      </c>
      <c r="B1542" s="0" t="s">
        <v>5264</v>
      </c>
      <c r="C1542" s="0" t="s">
        <v>97</v>
      </c>
      <c r="E1542" s="0" t="s">
        <v>5265</v>
      </c>
      <c r="G1542" s="0" t="s">
        <v>5266</v>
      </c>
      <c r="M1542" s="0" t="s">
        <v>232</v>
      </c>
      <c r="N1542" s="0" t="s">
        <v>124</v>
      </c>
      <c r="P1542" s="0" t="s">
        <v>130</v>
      </c>
      <c r="Q1542" s="0" t="s">
        <v>130</v>
      </c>
      <c r="R1542" s="0" t="s">
        <v>137</v>
      </c>
      <c r="S1542" s="0" t="s">
        <v>21</v>
      </c>
      <c r="T1542" s="0" t="s">
        <v>104</v>
      </c>
      <c r="W1542" s="0" t="s">
        <v>105</v>
      </c>
    </row>
    <row r="1543" customFormat="false" ht="15" hidden="false" customHeight="false" outlineLevel="0" collapsed="false">
      <c r="A1543" s="0" t="s">
        <v>21</v>
      </c>
      <c r="B1543" s="0" t="s">
        <v>5267</v>
      </c>
      <c r="C1543" s="0" t="s">
        <v>97</v>
      </c>
      <c r="E1543" s="0" t="s">
        <v>5268</v>
      </c>
      <c r="H1543" s="0" t="s">
        <v>5269</v>
      </c>
      <c r="I1543" s="0" t="s">
        <v>5270</v>
      </c>
      <c r="J1543" s="0" t="s">
        <v>275</v>
      </c>
      <c r="K1543" s="0" t="s">
        <v>5271</v>
      </c>
      <c r="L1543" s="0" t="s">
        <v>124</v>
      </c>
      <c r="M1543" s="0" t="s">
        <v>178</v>
      </c>
      <c r="N1543" s="0" t="s">
        <v>124</v>
      </c>
      <c r="P1543" s="0" t="s">
        <v>130</v>
      </c>
      <c r="Q1543" s="0" t="s">
        <v>130</v>
      </c>
      <c r="R1543" s="0" t="s">
        <v>131</v>
      </c>
      <c r="S1543" s="0" t="s">
        <v>21</v>
      </c>
      <c r="T1543" s="0" t="s">
        <v>104</v>
      </c>
      <c r="W1543" s="0" t="s">
        <v>105</v>
      </c>
      <c r="X1543" s="0" t="s">
        <v>5272</v>
      </c>
      <c r="Y1543" s="0" t="s">
        <v>5273</v>
      </c>
      <c r="AB1543" s="0" t="s">
        <v>5274</v>
      </c>
    </row>
    <row r="1544" customFormat="false" ht="15" hidden="false" customHeight="false" outlineLevel="0" collapsed="false">
      <c r="A1544" s="0" t="s">
        <v>21</v>
      </c>
      <c r="B1544" s="0" t="s">
        <v>5275</v>
      </c>
      <c r="C1544" s="0" t="s">
        <v>97</v>
      </c>
      <c r="D1544" s="0" t="s">
        <v>5276</v>
      </c>
      <c r="E1544" s="0" t="s">
        <v>5277</v>
      </c>
      <c r="H1544" s="0" t="s">
        <v>654</v>
      </c>
      <c r="I1544" s="0" t="s">
        <v>655</v>
      </c>
      <c r="J1544" s="0" t="s">
        <v>100</v>
      </c>
      <c r="K1544" s="0" t="s">
        <v>168</v>
      </c>
      <c r="L1544" s="0" t="s">
        <v>101</v>
      </c>
      <c r="M1544" s="0" t="s">
        <v>656</v>
      </c>
      <c r="N1544" s="0" t="s">
        <v>101</v>
      </c>
      <c r="P1544" s="0" t="s">
        <v>204</v>
      </c>
      <c r="Q1544" s="0" t="s">
        <v>204</v>
      </c>
      <c r="R1544" s="0" t="s">
        <v>399</v>
      </c>
      <c r="S1544" s="0" t="s">
        <v>21</v>
      </c>
      <c r="T1544" s="0" t="s">
        <v>104</v>
      </c>
      <c r="W1544" s="0" t="s">
        <v>105</v>
      </c>
      <c r="X1544" s="0" t="s">
        <v>658</v>
      </c>
      <c r="Y1544" s="0" t="s">
        <v>659</v>
      </c>
    </row>
    <row r="1545" customFormat="false" ht="15" hidden="false" customHeight="false" outlineLevel="0" collapsed="false">
      <c r="A1545" s="0" t="s">
        <v>21</v>
      </c>
      <c r="B1545" s="0" t="s">
        <v>5278</v>
      </c>
      <c r="C1545" s="0" t="s">
        <v>110</v>
      </c>
      <c r="D1545" s="0" t="s">
        <v>5279</v>
      </c>
      <c r="E1545" s="0" t="s">
        <v>5280</v>
      </c>
      <c r="H1545" s="0" t="s">
        <v>5281</v>
      </c>
      <c r="I1545" s="0" t="s">
        <v>5282</v>
      </c>
      <c r="J1545" s="0" t="s">
        <v>254</v>
      </c>
      <c r="K1545" s="0" t="s">
        <v>5283</v>
      </c>
      <c r="L1545" s="0" t="s">
        <v>124</v>
      </c>
      <c r="M1545" s="0" t="s">
        <v>208</v>
      </c>
      <c r="N1545" s="0" t="s">
        <v>124</v>
      </c>
      <c r="P1545" s="0" t="s">
        <v>102</v>
      </c>
      <c r="Q1545" s="0" t="s">
        <v>102</v>
      </c>
      <c r="R1545" s="0" t="s">
        <v>131</v>
      </c>
      <c r="S1545" s="0" t="s">
        <v>21</v>
      </c>
      <c r="T1545" s="0" t="s">
        <v>104</v>
      </c>
      <c r="W1545" s="0" t="s">
        <v>105</v>
      </c>
      <c r="AB1545" s="0" t="s">
        <v>820</v>
      </c>
    </row>
    <row r="1546" customFormat="false" ht="15" hidden="false" customHeight="false" outlineLevel="0" collapsed="false">
      <c r="A1546" s="0" t="s">
        <v>21</v>
      </c>
      <c r="B1546" s="0" t="s">
        <v>5284</v>
      </c>
      <c r="C1546" s="0" t="s">
        <v>139</v>
      </c>
      <c r="D1546" s="0" t="s">
        <v>5285</v>
      </c>
      <c r="E1546" s="0" t="s">
        <v>5286</v>
      </c>
      <c r="G1546" s="0" t="s">
        <v>5287</v>
      </c>
      <c r="H1546" s="0" t="s">
        <v>5288</v>
      </c>
      <c r="I1546" s="0" t="s">
        <v>136</v>
      </c>
      <c r="J1546" s="0" t="s">
        <v>157</v>
      </c>
      <c r="K1546" s="0" t="s">
        <v>158</v>
      </c>
      <c r="L1546" s="0" t="s">
        <v>124</v>
      </c>
      <c r="M1546" s="0" t="s">
        <v>232</v>
      </c>
      <c r="N1546" s="0" t="s">
        <v>124</v>
      </c>
      <c r="P1546" s="0" t="s">
        <v>102</v>
      </c>
      <c r="Q1546" s="0" t="s">
        <v>102</v>
      </c>
      <c r="R1546" s="0" t="s">
        <v>131</v>
      </c>
      <c r="S1546" s="0" t="s">
        <v>21</v>
      </c>
      <c r="T1546" s="0" t="s">
        <v>104</v>
      </c>
      <c r="W1546" s="0" t="s">
        <v>105</v>
      </c>
      <c r="X1546" s="0" t="s">
        <v>5289</v>
      </c>
      <c r="Y1546" s="0" t="s">
        <v>5290</v>
      </c>
      <c r="Z1546" s="0" t="s">
        <v>134</v>
      </c>
      <c r="AB1546" s="0" t="s">
        <v>209</v>
      </c>
    </row>
    <row r="1547" customFormat="false" ht="15" hidden="false" customHeight="false" outlineLevel="0" collapsed="false">
      <c r="A1547" s="0" t="s">
        <v>21</v>
      </c>
      <c r="B1547" s="0" t="s">
        <v>5291</v>
      </c>
      <c r="C1547" s="0" t="s">
        <v>863</v>
      </c>
      <c r="D1547" s="0" t="s">
        <v>3974</v>
      </c>
      <c r="E1547" s="0" t="s">
        <v>5292</v>
      </c>
      <c r="G1547" s="0" t="s">
        <v>1116</v>
      </c>
      <c r="M1547" s="0" t="s">
        <v>143</v>
      </c>
      <c r="N1547" s="0" t="s">
        <v>124</v>
      </c>
      <c r="P1547" s="0" t="s">
        <v>102</v>
      </c>
      <c r="Q1547" s="0" t="s">
        <v>102</v>
      </c>
      <c r="R1547" s="0" t="s">
        <v>131</v>
      </c>
      <c r="S1547" s="0" t="s">
        <v>21</v>
      </c>
      <c r="T1547" s="0" t="s">
        <v>104</v>
      </c>
      <c r="W1547" s="0" t="s">
        <v>105</v>
      </c>
      <c r="AB1547" s="0" t="s">
        <v>235</v>
      </c>
    </row>
    <row r="1548" customFormat="false" ht="15" hidden="false" customHeight="false" outlineLevel="0" collapsed="false">
      <c r="A1548" s="0" t="s">
        <v>21</v>
      </c>
      <c r="B1548" s="0" t="s">
        <v>5293</v>
      </c>
      <c r="C1548" s="0" t="s">
        <v>863</v>
      </c>
      <c r="D1548" s="0" t="s">
        <v>5294</v>
      </c>
      <c r="E1548" s="0" t="s">
        <v>5295</v>
      </c>
      <c r="G1548" s="0" t="s">
        <v>1116</v>
      </c>
      <c r="M1548" s="0" t="s">
        <v>232</v>
      </c>
      <c r="N1548" s="0" t="s">
        <v>124</v>
      </c>
      <c r="P1548" s="0" t="s">
        <v>102</v>
      </c>
      <c r="Q1548" s="0" t="s">
        <v>102</v>
      </c>
      <c r="R1548" s="0" t="s">
        <v>131</v>
      </c>
      <c r="S1548" s="0" t="s">
        <v>21</v>
      </c>
      <c r="T1548" s="0" t="s">
        <v>104</v>
      </c>
      <c r="W1548" s="0" t="s">
        <v>105</v>
      </c>
    </row>
    <row r="1549" customFormat="false" ht="15" hidden="false" customHeight="false" outlineLevel="0" collapsed="false">
      <c r="A1549" s="0" t="s">
        <v>21</v>
      </c>
      <c r="B1549" s="0" t="s">
        <v>5296</v>
      </c>
      <c r="C1549" s="0" t="s">
        <v>863</v>
      </c>
      <c r="D1549" s="0" t="s">
        <v>5297</v>
      </c>
      <c r="E1549" s="0" t="s">
        <v>5298</v>
      </c>
      <c r="G1549" s="0" t="s">
        <v>1116</v>
      </c>
      <c r="M1549" s="0" t="s">
        <v>881</v>
      </c>
      <c r="N1549" s="0" t="s">
        <v>124</v>
      </c>
      <c r="P1549" s="0" t="s">
        <v>102</v>
      </c>
      <c r="Q1549" s="0" t="s">
        <v>102</v>
      </c>
      <c r="R1549" s="0" t="s">
        <v>131</v>
      </c>
      <c r="S1549" s="0" t="s">
        <v>21</v>
      </c>
      <c r="T1549" s="0" t="s">
        <v>104</v>
      </c>
      <c r="W1549" s="0" t="s">
        <v>105</v>
      </c>
      <c r="AB1549" s="0" t="s">
        <v>235</v>
      </c>
    </row>
    <row r="1550" customFormat="false" ht="15" hidden="false" customHeight="false" outlineLevel="0" collapsed="false">
      <c r="A1550" s="0" t="s">
        <v>21</v>
      </c>
      <c r="B1550" s="0" t="s">
        <v>5299</v>
      </c>
      <c r="C1550" s="0" t="s">
        <v>97</v>
      </c>
      <c r="D1550" s="0" t="s">
        <v>5300</v>
      </c>
      <c r="E1550" s="0" t="s">
        <v>5301</v>
      </c>
      <c r="G1550" s="0" t="s">
        <v>1116</v>
      </c>
      <c r="M1550" s="0" t="s">
        <v>208</v>
      </c>
      <c r="N1550" s="0" t="s">
        <v>124</v>
      </c>
      <c r="P1550" s="0" t="s">
        <v>102</v>
      </c>
      <c r="Q1550" s="0" t="s">
        <v>102</v>
      </c>
      <c r="R1550" s="0" t="s">
        <v>131</v>
      </c>
      <c r="S1550" s="0" t="s">
        <v>21</v>
      </c>
      <c r="T1550" s="0" t="s">
        <v>104</v>
      </c>
      <c r="W1550" s="0" t="s">
        <v>105</v>
      </c>
      <c r="AB1550" s="0" t="s">
        <v>235</v>
      </c>
    </row>
    <row r="1551" customFormat="false" ht="15" hidden="false" customHeight="false" outlineLevel="0" collapsed="false">
      <c r="A1551" s="0" t="s">
        <v>21</v>
      </c>
      <c r="B1551" s="0" t="s">
        <v>5302</v>
      </c>
      <c r="C1551" s="0" t="s">
        <v>97</v>
      </c>
      <c r="D1551" s="0" t="s">
        <v>5297</v>
      </c>
      <c r="E1551" s="0" t="s">
        <v>5303</v>
      </c>
      <c r="F1551" s="0" t="s">
        <v>5303</v>
      </c>
      <c r="G1551" s="0" t="s">
        <v>1116</v>
      </c>
      <c r="M1551" s="0" t="s">
        <v>220</v>
      </c>
      <c r="N1551" s="0" t="s">
        <v>124</v>
      </c>
      <c r="P1551" s="0" t="s">
        <v>102</v>
      </c>
      <c r="Q1551" s="0" t="s">
        <v>102</v>
      </c>
      <c r="R1551" s="0" t="s">
        <v>131</v>
      </c>
      <c r="S1551" s="0" t="s">
        <v>21</v>
      </c>
      <c r="T1551" s="0" t="s">
        <v>104</v>
      </c>
      <c r="W1551" s="0" t="s">
        <v>105</v>
      </c>
      <c r="AB1551" s="0" t="s">
        <v>235</v>
      </c>
    </row>
    <row r="1552" customFormat="false" ht="15" hidden="false" customHeight="false" outlineLevel="0" collapsed="false">
      <c r="A1552" s="0" t="s">
        <v>21</v>
      </c>
      <c r="B1552" s="0" t="s">
        <v>5304</v>
      </c>
      <c r="C1552" s="0" t="s">
        <v>863</v>
      </c>
      <c r="D1552" s="0" t="s">
        <v>5305</v>
      </c>
      <c r="E1552" s="0" t="s">
        <v>5306</v>
      </c>
      <c r="G1552" s="0" t="s">
        <v>1116</v>
      </c>
      <c r="M1552" s="0" t="s">
        <v>121</v>
      </c>
      <c r="N1552" s="0" t="s">
        <v>124</v>
      </c>
      <c r="P1552" s="0" t="s">
        <v>102</v>
      </c>
      <c r="Q1552" s="0" t="s">
        <v>102</v>
      </c>
      <c r="R1552" s="0" t="s">
        <v>131</v>
      </c>
      <c r="S1552" s="0" t="s">
        <v>21</v>
      </c>
      <c r="T1552" s="0" t="s">
        <v>104</v>
      </c>
      <c r="W1552" s="0" t="s">
        <v>105</v>
      </c>
      <c r="AB1552" s="0" t="s">
        <v>235</v>
      </c>
    </row>
    <row r="1553" customFormat="false" ht="15" hidden="false" customHeight="false" outlineLevel="0" collapsed="false">
      <c r="A1553" s="0" t="s">
        <v>21</v>
      </c>
      <c r="B1553" s="0" t="s">
        <v>5307</v>
      </c>
      <c r="C1553" s="0" t="s">
        <v>863</v>
      </c>
      <c r="D1553" s="0" t="s">
        <v>5308</v>
      </c>
      <c r="E1553" s="0" t="s">
        <v>5309</v>
      </c>
      <c r="G1553" s="0" t="s">
        <v>1116</v>
      </c>
      <c r="M1553" s="0" t="s">
        <v>178</v>
      </c>
      <c r="N1553" s="0" t="s">
        <v>124</v>
      </c>
      <c r="P1553" s="0" t="s">
        <v>102</v>
      </c>
      <c r="Q1553" s="0" t="s">
        <v>102</v>
      </c>
      <c r="R1553" s="0" t="s">
        <v>131</v>
      </c>
      <c r="S1553" s="0" t="s">
        <v>21</v>
      </c>
      <c r="T1553" s="0" t="s">
        <v>104</v>
      </c>
      <c r="W1553" s="0" t="s">
        <v>105</v>
      </c>
      <c r="AB1553" s="0" t="s">
        <v>235</v>
      </c>
    </row>
    <row r="1554" customFormat="false" ht="15" hidden="false" customHeight="false" outlineLevel="0" collapsed="false">
      <c r="A1554" s="0" t="s">
        <v>21</v>
      </c>
      <c r="B1554" s="0" t="s">
        <v>5310</v>
      </c>
      <c r="C1554" s="0" t="s">
        <v>863</v>
      </c>
      <c r="D1554" s="0" t="s">
        <v>5311</v>
      </c>
      <c r="E1554" s="0" t="s">
        <v>5312</v>
      </c>
      <c r="M1554" s="0" t="s">
        <v>247</v>
      </c>
      <c r="N1554" s="0" t="s">
        <v>124</v>
      </c>
      <c r="P1554" s="0" t="s">
        <v>102</v>
      </c>
      <c r="Q1554" s="0" t="s">
        <v>102</v>
      </c>
      <c r="R1554" s="0" t="s">
        <v>131</v>
      </c>
      <c r="S1554" s="0" t="s">
        <v>21</v>
      </c>
      <c r="T1554" s="0" t="s">
        <v>104</v>
      </c>
      <c r="W1554" s="0" t="s">
        <v>105</v>
      </c>
      <c r="AB1554" s="0" t="s">
        <v>235</v>
      </c>
    </row>
    <row r="1555" customFormat="false" ht="15" hidden="false" customHeight="false" outlineLevel="0" collapsed="false">
      <c r="A1555" s="0" t="s">
        <v>21</v>
      </c>
      <c r="B1555" s="0" t="s">
        <v>5313</v>
      </c>
      <c r="C1555" s="0" t="s">
        <v>97</v>
      </c>
      <c r="D1555" s="0" t="s">
        <v>2034</v>
      </c>
      <c r="E1555" s="0" t="s">
        <v>2034</v>
      </c>
      <c r="G1555" s="0" t="s">
        <v>5314</v>
      </c>
      <c r="H1555" s="0" t="s">
        <v>387</v>
      </c>
      <c r="I1555" s="0" t="s">
        <v>388</v>
      </c>
      <c r="J1555" s="0" t="s">
        <v>157</v>
      </c>
      <c r="K1555" s="0" t="s">
        <v>389</v>
      </c>
      <c r="L1555" s="0" t="s">
        <v>124</v>
      </c>
      <c r="M1555" s="0" t="s">
        <v>232</v>
      </c>
      <c r="N1555" s="0" t="s">
        <v>124</v>
      </c>
      <c r="P1555" s="0" t="s">
        <v>221</v>
      </c>
      <c r="Q1555" s="0" t="s">
        <v>221</v>
      </c>
      <c r="R1555" s="0" t="s">
        <v>221</v>
      </c>
      <c r="S1555" s="0" t="s">
        <v>21</v>
      </c>
      <c r="T1555" s="0" t="s">
        <v>104</v>
      </c>
      <c r="W1555" s="0" t="s">
        <v>183</v>
      </c>
      <c r="X1555" s="0" t="s">
        <v>391</v>
      </c>
      <c r="Y1555" s="0" t="s">
        <v>392</v>
      </c>
      <c r="Z1555" s="0" t="s">
        <v>134</v>
      </c>
      <c r="AB1555" s="0" t="s">
        <v>760</v>
      </c>
    </row>
    <row r="1556" customFormat="false" ht="15" hidden="false" customHeight="false" outlineLevel="0" collapsed="false">
      <c r="A1556" s="0" t="s">
        <v>21</v>
      </c>
      <c r="B1556" s="0" t="s">
        <v>5313</v>
      </c>
      <c r="C1556" s="0" t="s">
        <v>97</v>
      </c>
      <c r="D1556" s="0" t="s">
        <v>2034</v>
      </c>
      <c r="E1556" s="0" t="s">
        <v>2034</v>
      </c>
      <c r="G1556" s="0" t="s">
        <v>5314</v>
      </c>
      <c r="H1556" s="0" t="s">
        <v>387</v>
      </c>
      <c r="I1556" s="0" t="s">
        <v>388</v>
      </c>
      <c r="J1556" s="0" t="s">
        <v>157</v>
      </c>
      <c r="K1556" s="0" t="s">
        <v>389</v>
      </c>
      <c r="L1556" s="0" t="s">
        <v>124</v>
      </c>
      <c r="M1556" s="0" t="s">
        <v>232</v>
      </c>
      <c r="N1556" s="0" t="s">
        <v>124</v>
      </c>
      <c r="P1556" s="0" t="s">
        <v>102</v>
      </c>
      <c r="Q1556" s="0" t="s">
        <v>102</v>
      </c>
      <c r="R1556" s="0" t="s">
        <v>224</v>
      </c>
      <c r="S1556" s="0" t="s">
        <v>21</v>
      </c>
      <c r="T1556" s="0" t="s">
        <v>104</v>
      </c>
      <c r="V1556" s="0" t="s">
        <v>225</v>
      </c>
      <c r="W1556" s="0" t="s">
        <v>105</v>
      </c>
      <c r="X1556" s="0" t="s">
        <v>391</v>
      </c>
      <c r="Y1556" s="0" t="s">
        <v>392</v>
      </c>
      <c r="Z1556" s="0" t="s">
        <v>134</v>
      </c>
      <c r="AB1556" s="0" t="s">
        <v>760</v>
      </c>
    </row>
    <row r="1557" customFormat="false" ht="15" hidden="false" customHeight="false" outlineLevel="0" collapsed="false">
      <c r="A1557" s="0" t="s">
        <v>21</v>
      </c>
      <c r="B1557" s="0" t="s">
        <v>5313</v>
      </c>
      <c r="C1557" s="0" t="s">
        <v>97</v>
      </c>
      <c r="D1557" s="0" t="s">
        <v>2034</v>
      </c>
      <c r="E1557" s="0" t="s">
        <v>2034</v>
      </c>
      <c r="G1557" s="0" t="s">
        <v>5314</v>
      </c>
      <c r="H1557" s="0" t="s">
        <v>387</v>
      </c>
      <c r="I1557" s="0" t="s">
        <v>388</v>
      </c>
      <c r="J1557" s="0" t="s">
        <v>157</v>
      </c>
      <c r="K1557" s="0" t="s">
        <v>389</v>
      </c>
      <c r="L1557" s="0" t="s">
        <v>124</v>
      </c>
      <c r="M1557" s="0" t="s">
        <v>232</v>
      </c>
      <c r="N1557" s="0" t="s">
        <v>124</v>
      </c>
      <c r="P1557" s="0" t="s">
        <v>130</v>
      </c>
      <c r="Q1557" s="0" t="s">
        <v>130</v>
      </c>
      <c r="R1557" s="0" t="s">
        <v>226</v>
      </c>
      <c r="S1557" s="0" t="s">
        <v>21</v>
      </c>
      <c r="T1557" s="0" t="s">
        <v>104</v>
      </c>
      <c r="U1557" s="0" t="s">
        <v>227</v>
      </c>
      <c r="W1557" s="0" t="s">
        <v>105</v>
      </c>
      <c r="X1557" s="0" t="s">
        <v>391</v>
      </c>
      <c r="Y1557" s="0" t="s">
        <v>392</v>
      </c>
      <c r="Z1557" s="0" t="s">
        <v>134</v>
      </c>
      <c r="AB1557" s="0" t="s">
        <v>760</v>
      </c>
    </row>
    <row r="1558" customFormat="false" ht="15" hidden="false" customHeight="false" outlineLevel="0" collapsed="false">
      <c r="A1558" s="0" t="s">
        <v>21</v>
      </c>
      <c r="B1558" s="0" t="s">
        <v>5315</v>
      </c>
      <c r="C1558" s="0" t="s">
        <v>110</v>
      </c>
      <c r="D1558" s="0" t="s">
        <v>2034</v>
      </c>
      <c r="E1558" s="0" t="s">
        <v>2034</v>
      </c>
      <c r="G1558" s="0" t="s">
        <v>5314</v>
      </c>
      <c r="H1558" s="0" t="s">
        <v>885</v>
      </c>
      <c r="I1558" s="0" t="s">
        <v>886</v>
      </c>
      <c r="J1558" s="0" t="s">
        <v>254</v>
      </c>
      <c r="K1558" s="0" t="s">
        <v>887</v>
      </c>
      <c r="L1558" s="0" t="s">
        <v>124</v>
      </c>
      <c r="M1558" s="0" t="s">
        <v>208</v>
      </c>
      <c r="N1558" s="0" t="s">
        <v>124</v>
      </c>
      <c r="P1558" s="0" t="s">
        <v>221</v>
      </c>
      <c r="Q1558" s="0" t="s">
        <v>221</v>
      </c>
      <c r="R1558" s="0" t="s">
        <v>221</v>
      </c>
      <c r="S1558" s="0" t="s">
        <v>21</v>
      </c>
      <c r="T1558" s="0" t="s">
        <v>104</v>
      </c>
      <c r="W1558" s="0" t="s">
        <v>183</v>
      </c>
      <c r="X1558" s="0" t="s">
        <v>5316</v>
      </c>
      <c r="Y1558" s="0" t="s">
        <v>5317</v>
      </c>
      <c r="Z1558" s="0" t="s">
        <v>134</v>
      </c>
    </row>
    <row r="1559" customFormat="false" ht="15" hidden="false" customHeight="false" outlineLevel="0" collapsed="false">
      <c r="A1559" s="0" t="s">
        <v>21</v>
      </c>
      <c r="B1559" s="0" t="s">
        <v>5315</v>
      </c>
      <c r="C1559" s="0" t="s">
        <v>110</v>
      </c>
      <c r="D1559" s="0" t="s">
        <v>2034</v>
      </c>
      <c r="E1559" s="0" t="s">
        <v>2034</v>
      </c>
      <c r="G1559" s="0" t="s">
        <v>5314</v>
      </c>
      <c r="H1559" s="0" t="s">
        <v>885</v>
      </c>
      <c r="I1559" s="0" t="s">
        <v>886</v>
      </c>
      <c r="J1559" s="0" t="s">
        <v>254</v>
      </c>
      <c r="K1559" s="0" t="s">
        <v>887</v>
      </c>
      <c r="L1559" s="0" t="s">
        <v>124</v>
      </c>
      <c r="M1559" s="0" t="s">
        <v>208</v>
      </c>
      <c r="N1559" s="0" t="s">
        <v>124</v>
      </c>
      <c r="P1559" s="0" t="s">
        <v>102</v>
      </c>
      <c r="Q1559" s="0" t="s">
        <v>102</v>
      </c>
      <c r="R1559" s="0" t="s">
        <v>224</v>
      </c>
      <c r="S1559" s="0" t="s">
        <v>21</v>
      </c>
      <c r="T1559" s="0" t="s">
        <v>104</v>
      </c>
      <c r="V1559" s="0" t="s">
        <v>225</v>
      </c>
      <c r="W1559" s="0" t="s">
        <v>105</v>
      </c>
      <c r="X1559" s="0" t="s">
        <v>5316</v>
      </c>
      <c r="Y1559" s="0" t="s">
        <v>5317</v>
      </c>
      <c r="Z1559" s="0" t="s">
        <v>134</v>
      </c>
    </row>
    <row r="1560" customFormat="false" ht="15" hidden="false" customHeight="false" outlineLevel="0" collapsed="false">
      <c r="A1560" s="0" t="s">
        <v>21</v>
      </c>
      <c r="B1560" s="0" t="s">
        <v>5315</v>
      </c>
      <c r="C1560" s="0" t="s">
        <v>110</v>
      </c>
      <c r="D1560" s="0" t="s">
        <v>2034</v>
      </c>
      <c r="E1560" s="0" t="s">
        <v>2034</v>
      </c>
      <c r="G1560" s="0" t="s">
        <v>5314</v>
      </c>
      <c r="H1560" s="0" t="s">
        <v>885</v>
      </c>
      <c r="I1560" s="0" t="s">
        <v>886</v>
      </c>
      <c r="J1560" s="0" t="s">
        <v>254</v>
      </c>
      <c r="K1560" s="0" t="s">
        <v>887</v>
      </c>
      <c r="L1560" s="0" t="s">
        <v>124</v>
      </c>
      <c r="M1560" s="0" t="s">
        <v>208</v>
      </c>
      <c r="N1560" s="0" t="s">
        <v>124</v>
      </c>
      <c r="P1560" s="0" t="s">
        <v>130</v>
      </c>
      <c r="Q1560" s="0" t="s">
        <v>130</v>
      </c>
      <c r="R1560" s="0" t="s">
        <v>226</v>
      </c>
      <c r="S1560" s="0" t="s">
        <v>21</v>
      </c>
      <c r="T1560" s="0" t="s">
        <v>104</v>
      </c>
      <c r="U1560" s="0" t="s">
        <v>227</v>
      </c>
      <c r="W1560" s="0" t="s">
        <v>105</v>
      </c>
      <c r="X1560" s="0" t="s">
        <v>5316</v>
      </c>
      <c r="Y1560" s="0" t="s">
        <v>5317</v>
      </c>
      <c r="Z1560" s="0" t="s">
        <v>134</v>
      </c>
    </row>
    <row r="1561" customFormat="false" ht="15" hidden="false" customHeight="false" outlineLevel="0" collapsed="false">
      <c r="A1561" s="0" t="s">
        <v>21</v>
      </c>
      <c r="B1561" s="0" t="s">
        <v>5318</v>
      </c>
      <c r="C1561" s="0" t="s">
        <v>97</v>
      </c>
      <c r="D1561" s="0" t="s">
        <v>2034</v>
      </c>
      <c r="E1561" s="0" t="s">
        <v>2034</v>
      </c>
      <c r="G1561" s="0" t="s">
        <v>5314</v>
      </c>
      <c r="H1561" s="0" t="s">
        <v>5319</v>
      </c>
      <c r="I1561" s="0" t="s">
        <v>2403</v>
      </c>
      <c r="J1561" s="0" t="s">
        <v>275</v>
      </c>
      <c r="K1561" s="0" t="s">
        <v>3665</v>
      </c>
      <c r="L1561" s="0" t="s">
        <v>124</v>
      </c>
      <c r="M1561" s="0" t="s">
        <v>178</v>
      </c>
      <c r="N1561" s="0" t="s">
        <v>124</v>
      </c>
      <c r="P1561" s="0" t="s">
        <v>221</v>
      </c>
      <c r="Q1561" s="0" t="s">
        <v>221</v>
      </c>
      <c r="R1561" s="0" t="s">
        <v>221</v>
      </c>
      <c r="S1561" s="0" t="s">
        <v>21</v>
      </c>
      <c r="T1561" s="0" t="s">
        <v>104</v>
      </c>
      <c r="W1561" s="0" t="s">
        <v>183</v>
      </c>
      <c r="X1561" s="0" t="s">
        <v>3666</v>
      </c>
      <c r="Y1561" s="0" t="s">
        <v>3667</v>
      </c>
      <c r="Z1561" s="0" t="s">
        <v>134</v>
      </c>
    </row>
    <row r="1562" customFormat="false" ht="15" hidden="false" customHeight="false" outlineLevel="0" collapsed="false">
      <c r="A1562" s="0" t="s">
        <v>21</v>
      </c>
      <c r="B1562" s="0" t="s">
        <v>5318</v>
      </c>
      <c r="C1562" s="0" t="s">
        <v>97</v>
      </c>
      <c r="D1562" s="0" t="s">
        <v>2034</v>
      </c>
      <c r="E1562" s="0" t="s">
        <v>2034</v>
      </c>
      <c r="G1562" s="0" t="s">
        <v>5314</v>
      </c>
      <c r="H1562" s="0" t="s">
        <v>5319</v>
      </c>
      <c r="I1562" s="0" t="s">
        <v>2403</v>
      </c>
      <c r="J1562" s="0" t="s">
        <v>275</v>
      </c>
      <c r="K1562" s="0" t="s">
        <v>3665</v>
      </c>
      <c r="L1562" s="0" t="s">
        <v>124</v>
      </c>
      <c r="M1562" s="0" t="s">
        <v>178</v>
      </c>
      <c r="N1562" s="0" t="s">
        <v>124</v>
      </c>
      <c r="P1562" s="0" t="s">
        <v>102</v>
      </c>
      <c r="Q1562" s="0" t="s">
        <v>102</v>
      </c>
      <c r="R1562" s="0" t="s">
        <v>224</v>
      </c>
      <c r="S1562" s="0" t="s">
        <v>21</v>
      </c>
      <c r="T1562" s="0" t="s">
        <v>104</v>
      </c>
      <c r="V1562" s="0" t="s">
        <v>225</v>
      </c>
      <c r="W1562" s="0" t="s">
        <v>105</v>
      </c>
      <c r="X1562" s="0" t="s">
        <v>3666</v>
      </c>
      <c r="Y1562" s="0" t="s">
        <v>3667</v>
      </c>
      <c r="Z1562" s="0" t="s">
        <v>134</v>
      </c>
    </row>
    <row r="1563" customFormat="false" ht="15" hidden="false" customHeight="false" outlineLevel="0" collapsed="false">
      <c r="A1563" s="0" t="s">
        <v>21</v>
      </c>
      <c r="B1563" s="0" t="s">
        <v>5318</v>
      </c>
      <c r="C1563" s="0" t="s">
        <v>97</v>
      </c>
      <c r="D1563" s="0" t="s">
        <v>2034</v>
      </c>
      <c r="E1563" s="0" t="s">
        <v>2034</v>
      </c>
      <c r="G1563" s="0" t="s">
        <v>5314</v>
      </c>
      <c r="H1563" s="0" t="s">
        <v>5319</v>
      </c>
      <c r="I1563" s="0" t="s">
        <v>2403</v>
      </c>
      <c r="J1563" s="0" t="s">
        <v>275</v>
      </c>
      <c r="K1563" s="0" t="s">
        <v>3665</v>
      </c>
      <c r="L1563" s="0" t="s">
        <v>124</v>
      </c>
      <c r="M1563" s="0" t="s">
        <v>178</v>
      </c>
      <c r="N1563" s="0" t="s">
        <v>124</v>
      </c>
      <c r="P1563" s="0" t="s">
        <v>130</v>
      </c>
      <c r="Q1563" s="0" t="s">
        <v>130</v>
      </c>
      <c r="R1563" s="0" t="s">
        <v>226</v>
      </c>
      <c r="S1563" s="0" t="s">
        <v>21</v>
      </c>
      <c r="T1563" s="0" t="s">
        <v>104</v>
      </c>
      <c r="U1563" s="0" t="s">
        <v>227</v>
      </c>
      <c r="W1563" s="0" t="s">
        <v>105</v>
      </c>
      <c r="X1563" s="0" t="s">
        <v>3666</v>
      </c>
      <c r="Y1563" s="0" t="s">
        <v>3667</v>
      </c>
      <c r="Z1563" s="0" t="s">
        <v>134</v>
      </c>
    </row>
    <row r="1564" customFormat="false" ht="15" hidden="false" customHeight="false" outlineLevel="0" collapsed="false">
      <c r="A1564" s="0" t="s">
        <v>21</v>
      </c>
      <c r="B1564" s="0" t="s">
        <v>5320</v>
      </c>
      <c r="C1564" s="0" t="s">
        <v>97</v>
      </c>
      <c r="D1564" s="0" t="s">
        <v>5321</v>
      </c>
      <c r="E1564" s="0" t="s">
        <v>5321</v>
      </c>
      <c r="G1564" s="0" t="s">
        <v>213</v>
      </c>
      <c r="M1564" s="0" t="s">
        <v>178</v>
      </c>
      <c r="N1564" s="0" t="s">
        <v>124</v>
      </c>
      <c r="P1564" s="0" t="s">
        <v>204</v>
      </c>
      <c r="Q1564" s="0" t="s">
        <v>204</v>
      </c>
      <c r="R1564" s="0" t="s">
        <v>137</v>
      </c>
      <c r="S1564" s="0" t="s">
        <v>21</v>
      </c>
      <c r="T1564" s="0" t="s">
        <v>104</v>
      </c>
      <c r="W1564" s="0" t="s">
        <v>105</v>
      </c>
      <c r="Z1564" s="0" t="s">
        <v>215</v>
      </c>
    </row>
    <row r="1565" customFormat="false" ht="15" hidden="false" customHeight="false" outlineLevel="0" collapsed="false">
      <c r="A1565" s="0" t="s">
        <v>21</v>
      </c>
      <c r="B1565" s="0" t="s">
        <v>5322</v>
      </c>
      <c r="C1565" s="0" t="s">
        <v>110</v>
      </c>
      <c r="D1565" s="0" t="s">
        <v>5323</v>
      </c>
      <c r="E1565" s="0" t="s">
        <v>5324</v>
      </c>
      <c r="G1565" s="0" t="s">
        <v>5325</v>
      </c>
      <c r="H1565" s="0" t="s">
        <v>5326</v>
      </c>
      <c r="I1565" s="0" t="s">
        <v>5327</v>
      </c>
      <c r="J1565" s="0" t="s">
        <v>245</v>
      </c>
      <c r="K1565" s="0" t="s">
        <v>5328</v>
      </c>
      <c r="L1565" s="0" t="s">
        <v>124</v>
      </c>
      <c r="M1565" s="0" t="s">
        <v>247</v>
      </c>
      <c r="N1565" s="0" t="s">
        <v>124</v>
      </c>
      <c r="P1565" s="0" t="s">
        <v>102</v>
      </c>
      <c r="Q1565" s="0" t="s">
        <v>102</v>
      </c>
      <c r="R1565" s="0" t="s">
        <v>113</v>
      </c>
      <c r="S1565" s="0" t="s">
        <v>21</v>
      </c>
      <c r="T1565" s="0" t="s">
        <v>104</v>
      </c>
      <c r="W1565" s="0" t="s">
        <v>105</v>
      </c>
      <c r="X1565" s="0" t="s">
        <v>5329</v>
      </c>
      <c r="Y1565" s="0" t="s">
        <v>5330</v>
      </c>
      <c r="Z1565" s="0" t="s">
        <v>134</v>
      </c>
      <c r="AB1565" s="0" t="s">
        <v>760</v>
      </c>
    </row>
    <row r="1566" customFormat="false" ht="15" hidden="false" customHeight="false" outlineLevel="0" collapsed="false">
      <c r="A1566" s="0" t="s">
        <v>21</v>
      </c>
      <c r="B1566" s="0" t="s">
        <v>5331</v>
      </c>
      <c r="C1566" s="0" t="s">
        <v>174</v>
      </c>
      <c r="D1566" s="0" t="s">
        <v>5332</v>
      </c>
      <c r="E1566" s="0" t="s">
        <v>5333</v>
      </c>
      <c r="G1566" s="0" t="s">
        <v>5334</v>
      </c>
      <c r="M1566" s="0" t="s">
        <v>178</v>
      </c>
      <c r="N1566" s="0" t="s">
        <v>124</v>
      </c>
      <c r="P1566" s="0" t="s">
        <v>102</v>
      </c>
      <c r="Q1566" s="0" t="s">
        <v>102</v>
      </c>
      <c r="R1566" s="0" t="s">
        <v>131</v>
      </c>
      <c r="S1566" s="0" t="s">
        <v>21</v>
      </c>
      <c r="T1566" s="0" t="s">
        <v>104</v>
      </c>
      <c r="W1566" s="0" t="s">
        <v>105</v>
      </c>
      <c r="AB1566" s="0" t="s">
        <v>179</v>
      </c>
    </row>
    <row r="1567" customFormat="false" ht="15" hidden="false" customHeight="false" outlineLevel="0" collapsed="false">
      <c r="A1567" s="0" t="s">
        <v>21</v>
      </c>
      <c r="B1567" s="0" t="s">
        <v>5331</v>
      </c>
      <c r="C1567" s="0" t="s">
        <v>174</v>
      </c>
      <c r="D1567" s="0" t="s">
        <v>5332</v>
      </c>
      <c r="E1567" s="0" t="s">
        <v>5333</v>
      </c>
      <c r="G1567" s="0" t="s">
        <v>5334</v>
      </c>
      <c r="M1567" s="0" t="s">
        <v>178</v>
      </c>
      <c r="N1567" s="0" t="s">
        <v>124</v>
      </c>
      <c r="P1567" s="0" t="s">
        <v>180</v>
      </c>
      <c r="Q1567" s="0" t="s">
        <v>181</v>
      </c>
      <c r="R1567" s="0" t="s">
        <v>182</v>
      </c>
      <c r="S1567" s="0" t="s">
        <v>21</v>
      </c>
      <c r="T1567" s="0" t="s">
        <v>104</v>
      </c>
      <c r="W1567" s="0" t="s">
        <v>183</v>
      </c>
      <c r="AB1567" s="0" t="s">
        <v>179</v>
      </c>
    </row>
    <row r="1568" customFormat="false" ht="15" hidden="false" customHeight="false" outlineLevel="0" collapsed="false">
      <c r="A1568" s="0" t="s">
        <v>21</v>
      </c>
      <c r="B1568" s="0" t="s">
        <v>5335</v>
      </c>
      <c r="C1568" s="0" t="s">
        <v>97</v>
      </c>
      <c r="D1568" s="0" t="s">
        <v>5336</v>
      </c>
      <c r="E1568" s="0" t="s">
        <v>5336</v>
      </c>
      <c r="G1568" s="0" t="s">
        <v>213</v>
      </c>
      <c r="M1568" s="0" t="s">
        <v>247</v>
      </c>
      <c r="N1568" s="0" t="s">
        <v>124</v>
      </c>
      <c r="P1568" s="0" t="s">
        <v>204</v>
      </c>
      <c r="Q1568" s="0" t="s">
        <v>204</v>
      </c>
      <c r="R1568" s="0" t="s">
        <v>137</v>
      </c>
      <c r="S1568" s="0" t="s">
        <v>21</v>
      </c>
      <c r="T1568" s="0" t="s">
        <v>104</v>
      </c>
      <c r="W1568" s="0" t="s">
        <v>105</v>
      </c>
      <c r="Z1568" s="0" t="s">
        <v>215</v>
      </c>
    </row>
    <row r="1569" customFormat="false" ht="15" hidden="false" customHeight="false" outlineLevel="0" collapsed="false">
      <c r="A1569" s="0" t="s">
        <v>21</v>
      </c>
      <c r="B1569" s="0" t="s">
        <v>5337</v>
      </c>
      <c r="C1569" s="0" t="s">
        <v>190</v>
      </c>
      <c r="D1569" s="0" t="s">
        <v>3695</v>
      </c>
      <c r="E1569" s="0" t="s">
        <v>5338</v>
      </c>
      <c r="G1569" s="0" t="s">
        <v>5339</v>
      </c>
      <c r="H1569" s="0" t="s">
        <v>5340</v>
      </c>
      <c r="I1569" s="0" t="s">
        <v>578</v>
      </c>
      <c r="J1569" s="0" t="s">
        <v>245</v>
      </c>
      <c r="K1569" s="0" t="s">
        <v>579</v>
      </c>
      <c r="M1569" s="0" t="s">
        <v>247</v>
      </c>
      <c r="N1569" s="0" t="s">
        <v>124</v>
      </c>
      <c r="P1569" s="0" t="s">
        <v>102</v>
      </c>
      <c r="Q1569" s="0" t="s">
        <v>102</v>
      </c>
      <c r="R1569" s="0" t="s">
        <v>144</v>
      </c>
      <c r="S1569" s="0" t="s">
        <v>21</v>
      </c>
      <c r="T1569" s="0" t="s">
        <v>104</v>
      </c>
      <c r="W1569" s="0" t="s">
        <v>105</v>
      </c>
      <c r="X1569" s="0" t="s">
        <v>5341</v>
      </c>
      <c r="Y1569" s="0" t="s">
        <v>5342</v>
      </c>
      <c r="Z1569" s="0" t="s">
        <v>159</v>
      </c>
      <c r="AB1569" s="0" t="s">
        <v>5343</v>
      </c>
    </row>
    <row r="1570" customFormat="false" ht="15" hidden="false" customHeight="false" outlineLevel="0" collapsed="false">
      <c r="A1570" s="0" t="s">
        <v>21</v>
      </c>
      <c r="B1570" s="0" t="s">
        <v>5344</v>
      </c>
      <c r="C1570" s="0" t="s">
        <v>110</v>
      </c>
      <c r="D1570" s="0" t="s">
        <v>5345</v>
      </c>
      <c r="E1570" s="0" t="s">
        <v>5345</v>
      </c>
      <c r="M1570" s="0" t="s">
        <v>247</v>
      </c>
      <c r="N1570" s="0" t="s">
        <v>124</v>
      </c>
      <c r="P1570" s="0" t="s">
        <v>102</v>
      </c>
      <c r="Q1570" s="0" t="s">
        <v>102</v>
      </c>
      <c r="R1570" s="0" t="s">
        <v>113</v>
      </c>
      <c r="S1570" s="0" t="s">
        <v>21</v>
      </c>
      <c r="T1570" s="0" t="s">
        <v>104</v>
      </c>
      <c r="W1570" s="0" t="s">
        <v>105</v>
      </c>
      <c r="AB1570" s="0" t="s">
        <v>820</v>
      </c>
    </row>
    <row r="1571" customFormat="false" ht="15" hidden="false" customHeight="false" outlineLevel="0" collapsed="false">
      <c r="A1571" s="0" t="s">
        <v>21</v>
      </c>
      <c r="B1571" s="0" t="s">
        <v>5346</v>
      </c>
      <c r="C1571" s="0" t="s">
        <v>174</v>
      </c>
      <c r="D1571" s="0" t="s">
        <v>5347</v>
      </c>
      <c r="E1571" s="0" t="s">
        <v>5347</v>
      </c>
      <c r="M1571" s="0" t="s">
        <v>208</v>
      </c>
      <c r="N1571" s="0" t="s">
        <v>124</v>
      </c>
      <c r="P1571" s="0" t="s">
        <v>102</v>
      </c>
      <c r="Q1571" s="0" t="s">
        <v>102</v>
      </c>
      <c r="R1571" s="0" t="s">
        <v>131</v>
      </c>
      <c r="S1571" s="0" t="s">
        <v>21</v>
      </c>
      <c r="T1571" s="0" t="s">
        <v>104</v>
      </c>
      <c r="W1571" s="0" t="s">
        <v>105</v>
      </c>
      <c r="AB1571" s="0" t="s">
        <v>3726</v>
      </c>
    </row>
    <row r="1572" customFormat="false" ht="15" hidden="false" customHeight="false" outlineLevel="0" collapsed="false">
      <c r="A1572" s="0" t="s">
        <v>21</v>
      </c>
      <c r="B1572" s="0" t="s">
        <v>5348</v>
      </c>
      <c r="C1572" s="0" t="s">
        <v>97</v>
      </c>
      <c r="D1572" s="0" t="s">
        <v>5349</v>
      </c>
      <c r="E1572" s="0" t="s">
        <v>5350</v>
      </c>
      <c r="M1572" s="0" t="s">
        <v>136</v>
      </c>
      <c r="N1572" s="0" t="s">
        <v>124</v>
      </c>
      <c r="P1572" s="0" t="s">
        <v>102</v>
      </c>
      <c r="Q1572" s="0" t="s">
        <v>102</v>
      </c>
      <c r="R1572" s="0" t="s">
        <v>131</v>
      </c>
      <c r="S1572" s="0" t="s">
        <v>21</v>
      </c>
      <c r="T1572" s="0" t="s">
        <v>104</v>
      </c>
      <c r="W1572" s="0" t="s">
        <v>105</v>
      </c>
      <c r="AB1572" s="0" t="s">
        <v>5351</v>
      </c>
    </row>
    <row r="1573" customFormat="false" ht="15" hidden="false" customHeight="false" outlineLevel="0" collapsed="false">
      <c r="A1573" s="0" t="s">
        <v>21</v>
      </c>
      <c r="B1573" s="0" t="s">
        <v>5352</v>
      </c>
      <c r="C1573" s="0" t="s">
        <v>174</v>
      </c>
      <c r="D1573" s="0" t="s">
        <v>5349</v>
      </c>
      <c r="E1573" s="0" t="s">
        <v>5350</v>
      </c>
      <c r="M1573" s="0" t="s">
        <v>208</v>
      </c>
      <c r="N1573" s="0" t="s">
        <v>124</v>
      </c>
      <c r="P1573" s="0" t="s">
        <v>102</v>
      </c>
      <c r="Q1573" s="0" t="s">
        <v>102</v>
      </c>
      <c r="R1573" s="0" t="s">
        <v>131</v>
      </c>
      <c r="S1573" s="0" t="s">
        <v>21</v>
      </c>
      <c r="T1573" s="0" t="s">
        <v>104</v>
      </c>
      <c r="W1573" s="0" t="s">
        <v>105</v>
      </c>
      <c r="AB1573" s="0" t="s">
        <v>5351</v>
      </c>
    </row>
    <row r="1574" customFormat="false" ht="15" hidden="false" customHeight="false" outlineLevel="0" collapsed="false">
      <c r="A1574" s="0" t="s">
        <v>21</v>
      </c>
      <c r="B1574" s="0" t="s">
        <v>5353</v>
      </c>
      <c r="C1574" s="0" t="s">
        <v>190</v>
      </c>
      <c r="D1574" s="0" t="s">
        <v>5354</v>
      </c>
      <c r="E1574" s="0" t="s">
        <v>5355</v>
      </c>
      <c r="G1574" s="0" t="s">
        <v>1141</v>
      </c>
      <c r="H1574" s="0" t="s">
        <v>5356</v>
      </c>
      <c r="I1574" s="0" t="s">
        <v>5357</v>
      </c>
      <c r="J1574" s="0" t="s">
        <v>275</v>
      </c>
      <c r="K1574" s="0" t="s">
        <v>5358</v>
      </c>
      <c r="M1574" s="0" t="s">
        <v>178</v>
      </c>
      <c r="N1574" s="0" t="s">
        <v>124</v>
      </c>
      <c r="P1574" s="0" t="s">
        <v>204</v>
      </c>
      <c r="Q1574" s="0" t="s">
        <v>204</v>
      </c>
      <c r="R1574" s="0" t="s">
        <v>657</v>
      </c>
      <c r="S1574" s="0" t="s">
        <v>21</v>
      </c>
      <c r="T1574" s="0" t="s">
        <v>104</v>
      </c>
      <c r="W1574" s="0" t="s">
        <v>105</v>
      </c>
      <c r="Z1574" s="0" t="s">
        <v>195</v>
      </c>
    </row>
    <row r="1575" customFormat="false" ht="15" hidden="false" customHeight="false" outlineLevel="0" collapsed="false">
      <c r="A1575" s="0" t="s">
        <v>21</v>
      </c>
      <c r="B1575" s="0" t="s">
        <v>5359</v>
      </c>
      <c r="C1575" s="0" t="s">
        <v>661</v>
      </c>
      <c r="D1575" s="0" t="s">
        <v>5360</v>
      </c>
      <c r="E1575" s="0" t="s">
        <v>5361</v>
      </c>
      <c r="F1575" s="0" t="s">
        <v>5361</v>
      </c>
      <c r="G1575" s="0" t="s">
        <v>5362</v>
      </c>
      <c r="M1575" s="0" t="s">
        <v>178</v>
      </c>
      <c r="N1575" s="0" t="s">
        <v>124</v>
      </c>
      <c r="P1575" s="0" t="s">
        <v>221</v>
      </c>
      <c r="Q1575" s="0" t="s">
        <v>221</v>
      </c>
      <c r="R1575" s="0" t="s">
        <v>221</v>
      </c>
      <c r="S1575" s="0" t="s">
        <v>21</v>
      </c>
      <c r="T1575" s="0" t="s">
        <v>104</v>
      </c>
      <c r="W1575" s="0" t="s">
        <v>183</v>
      </c>
      <c r="Z1575" s="0" t="s">
        <v>134</v>
      </c>
      <c r="AB1575" s="0" t="s">
        <v>5363</v>
      </c>
    </row>
    <row r="1576" customFormat="false" ht="15" hidden="false" customHeight="false" outlineLevel="0" collapsed="false">
      <c r="A1576" s="0" t="s">
        <v>21</v>
      </c>
      <c r="B1576" s="0" t="s">
        <v>5359</v>
      </c>
      <c r="C1576" s="0" t="s">
        <v>661</v>
      </c>
      <c r="D1576" s="0" t="s">
        <v>5360</v>
      </c>
      <c r="E1576" s="0" t="s">
        <v>5361</v>
      </c>
      <c r="F1576" s="0" t="s">
        <v>5361</v>
      </c>
      <c r="G1576" s="0" t="s">
        <v>5362</v>
      </c>
      <c r="M1576" s="0" t="s">
        <v>178</v>
      </c>
      <c r="N1576" s="0" t="s">
        <v>124</v>
      </c>
      <c r="P1576" s="0" t="s">
        <v>102</v>
      </c>
      <c r="Q1576" s="0" t="s">
        <v>102</v>
      </c>
      <c r="R1576" s="0" t="s">
        <v>224</v>
      </c>
      <c r="S1576" s="0" t="s">
        <v>21</v>
      </c>
      <c r="T1576" s="0" t="s">
        <v>104</v>
      </c>
      <c r="V1576" s="0" t="s">
        <v>225</v>
      </c>
      <c r="W1576" s="0" t="s">
        <v>105</v>
      </c>
      <c r="Z1576" s="0" t="s">
        <v>134</v>
      </c>
      <c r="AB1576" s="0" t="s">
        <v>5363</v>
      </c>
    </row>
    <row r="1577" customFormat="false" ht="15" hidden="false" customHeight="false" outlineLevel="0" collapsed="false">
      <c r="A1577" s="0" t="s">
        <v>21</v>
      </c>
      <c r="B1577" s="0" t="s">
        <v>5359</v>
      </c>
      <c r="C1577" s="0" t="s">
        <v>661</v>
      </c>
      <c r="D1577" s="0" t="s">
        <v>5360</v>
      </c>
      <c r="E1577" s="0" t="s">
        <v>5361</v>
      </c>
      <c r="F1577" s="0" t="s">
        <v>5361</v>
      </c>
      <c r="G1577" s="0" t="s">
        <v>5362</v>
      </c>
      <c r="M1577" s="0" t="s">
        <v>178</v>
      </c>
      <c r="N1577" s="0" t="s">
        <v>124</v>
      </c>
      <c r="P1577" s="0" t="s">
        <v>130</v>
      </c>
      <c r="Q1577" s="0" t="s">
        <v>130</v>
      </c>
      <c r="R1577" s="0" t="s">
        <v>226</v>
      </c>
      <c r="S1577" s="0" t="s">
        <v>21</v>
      </c>
      <c r="T1577" s="0" t="s">
        <v>104</v>
      </c>
      <c r="U1577" s="0" t="s">
        <v>227</v>
      </c>
      <c r="W1577" s="0" t="s">
        <v>105</v>
      </c>
      <c r="Z1577" s="0" t="s">
        <v>134</v>
      </c>
      <c r="AB1577" s="0" t="s">
        <v>5363</v>
      </c>
    </row>
    <row r="1578" customFormat="false" ht="15" hidden="false" customHeight="false" outlineLevel="0" collapsed="false">
      <c r="A1578" s="0" t="s">
        <v>21</v>
      </c>
      <c r="B1578" s="0" t="s">
        <v>5364</v>
      </c>
      <c r="C1578" s="0" t="s">
        <v>110</v>
      </c>
      <c r="D1578" s="0" t="s">
        <v>5365</v>
      </c>
      <c r="E1578" s="0" t="s">
        <v>5366</v>
      </c>
      <c r="G1578" s="0" t="s">
        <v>156</v>
      </c>
      <c r="H1578" s="0" t="s">
        <v>5367</v>
      </c>
      <c r="I1578" s="0" t="s">
        <v>5368</v>
      </c>
      <c r="J1578" s="0" t="s">
        <v>157</v>
      </c>
      <c r="K1578" s="0" t="s">
        <v>5369</v>
      </c>
      <c r="L1578" s="0" t="s">
        <v>124</v>
      </c>
      <c r="M1578" s="0" t="s">
        <v>232</v>
      </c>
      <c r="N1578" s="0" t="s">
        <v>124</v>
      </c>
      <c r="P1578" s="0" t="s">
        <v>102</v>
      </c>
      <c r="Q1578" s="0" t="s">
        <v>102</v>
      </c>
      <c r="R1578" s="0" t="s">
        <v>131</v>
      </c>
      <c r="S1578" s="0" t="s">
        <v>21</v>
      </c>
      <c r="T1578" s="0" t="s">
        <v>104</v>
      </c>
      <c r="W1578" s="0" t="s">
        <v>105</v>
      </c>
      <c r="X1578" s="0" t="s">
        <v>5370</v>
      </c>
      <c r="Y1578" s="0" t="s">
        <v>5371</v>
      </c>
      <c r="Z1578" s="0" t="s">
        <v>134</v>
      </c>
      <c r="AB1578" s="0" t="s">
        <v>5074</v>
      </c>
    </row>
    <row r="1579" customFormat="false" ht="15" hidden="false" customHeight="false" outlineLevel="0" collapsed="false">
      <c r="A1579" s="0" t="s">
        <v>21</v>
      </c>
      <c r="B1579" s="0" t="s">
        <v>5372</v>
      </c>
      <c r="C1579" s="0" t="s">
        <v>110</v>
      </c>
      <c r="D1579" s="0" t="s">
        <v>5373</v>
      </c>
      <c r="E1579" s="0" t="s">
        <v>5374</v>
      </c>
      <c r="G1579" s="0" t="s">
        <v>5375</v>
      </c>
      <c r="H1579" s="0" t="s">
        <v>254</v>
      </c>
      <c r="I1579" s="0" t="s">
        <v>254</v>
      </c>
      <c r="J1579" s="0" t="s">
        <v>254</v>
      </c>
      <c r="M1579" s="0" t="s">
        <v>208</v>
      </c>
      <c r="N1579" s="0" t="s">
        <v>124</v>
      </c>
      <c r="P1579" s="0" t="s">
        <v>102</v>
      </c>
      <c r="Q1579" s="0" t="s">
        <v>102</v>
      </c>
      <c r="R1579" s="0" t="s">
        <v>131</v>
      </c>
      <c r="S1579" s="0" t="s">
        <v>21</v>
      </c>
      <c r="T1579" s="0" t="s">
        <v>104</v>
      </c>
      <c r="W1579" s="0" t="s">
        <v>105</v>
      </c>
      <c r="X1579" s="0" t="s">
        <v>5376</v>
      </c>
      <c r="Y1579" s="0" t="s">
        <v>5377</v>
      </c>
      <c r="Z1579" s="0" t="s">
        <v>4748</v>
      </c>
    </row>
    <row r="1580" customFormat="false" ht="15" hidden="false" customHeight="false" outlineLevel="0" collapsed="false">
      <c r="A1580" s="0" t="s">
        <v>21</v>
      </c>
      <c r="B1580" s="0" t="s">
        <v>5378</v>
      </c>
      <c r="C1580" s="0" t="s">
        <v>97</v>
      </c>
      <c r="D1580" s="0" t="s">
        <v>5379</v>
      </c>
      <c r="E1580" s="0" t="s">
        <v>5380</v>
      </c>
      <c r="G1580" s="0" t="s">
        <v>5381</v>
      </c>
      <c r="H1580" s="0" t="s">
        <v>5382</v>
      </c>
      <c r="I1580" s="0" t="s">
        <v>5383</v>
      </c>
      <c r="J1580" s="0" t="s">
        <v>245</v>
      </c>
      <c r="K1580" s="0" t="s">
        <v>5384</v>
      </c>
      <c r="L1580" s="0" t="s">
        <v>124</v>
      </c>
      <c r="M1580" s="0" t="s">
        <v>247</v>
      </c>
      <c r="N1580" s="0" t="s">
        <v>124</v>
      </c>
      <c r="P1580" s="0" t="s">
        <v>204</v>
      </c>
      <c r="Q1580" s="0" t="s">
        <v>204</v>
      </c>
      <c r="R1580" s="0" t="s">
        <v>131</v>
      </c>
      <c r="S1580" s="0" t="s">
        <v>21</v>
      </c>
      <c r="T1580" s="0" t="s">
        <v>104</v>
      </c>
      <c r="W1580" s="0" t="s">
        <v>105</v>
      </c>
      <c r="X1580" s="0" t="s">
        <v>5385</v>
      </c>
      <c r="Y1580" s="0" t="s">
        <v>5386</v>
      </c>
      <c r="Z1580" s="0" t="s">
        <v>134</v>
      </c>
      <c r="AB1580" s="0" t="s">
        <v>5387</v>
      </c>
    </row>
    <row r="1581" customFormat="false" ht="15" hidden="false" customHeight="false" outlineLevel="0" collapsed="false">
      <c r="A1581" s="0" t="s">
        <v>21</v>
      </c>
      <c r="B1581" s="0" t="s">
        <v>5378</v>
      </c>
      <c r="C1581" s="0" t="s">
        <v>97</v>
      </c>
      <c r="D1581" s="0" t="s">
        <v>5379</v>
      </c>
      <c r="E1581" s="0" t="s">
        <v>5380</v>
      </c>
      <c r="G1581" s="0" t="s">
        <v>5381</v>
      </c>
      <c r="H1581" s="0" t="s">
        <v>5382</v>
      </c>
      <c r="I1581" s="0" t="s">
        <v>5383</v>
      </c>
      <c r="J1581" s="0" t="s">
        <v>245</v>
      </c>
      <c r="K1581" s="0" t="s">
        <v>5384</v>
      </c>
      <c r="L1581" s="0" t="s">
        <v>124</v>
      </c>
      <c r="M1581" s="0" t="s">
        <v>247</v>
      </c>
      <c r="N1581" s="0" t="s">
        <v>124</v>
      </c>
      <c r="P1581" s="0" t="s">
        <v>554</v>
      </c>
      <c r="Q1581" s="0" t="s">
        <v>554</v>
      </c>
      <c r="R1581" s="0" t="s">
        <v>554</v>
      </c>
      <c r="S1581" s="0" t="s">
        <v>21</v>
      </c>
      <c r="T1581" s="0" t="s">
        <v>104</v>
      </c>
      <c r="W1581" s="0" t="s">
        <v>183</v>
      </c>
      <c r="X1581" s="0" t="s">
        <v>5385</v>
      </c>
      <c r="Y1581" s="0" t="s">
        <v>5386</v>
      </c>
      <c r="Z1581" s="0" t="s">
        <v>134</v>
      </c>
      <c r="AB1581" s="0" t="s">
        <v>5387</v>
      </c>
    </row>
    <row r="1582" customFormat="false" ht="15" hidden="false" customHeight="false" outlineLevel="0" collapsed="false">
      <c r="A1582" s="0" t="s">
        <v>21</v>
      </c>
      <c r="B1582" s="0" t="s">
        <v>5388</v>
      </c>
      <c r="C1582" s="0" t="s">
        <v>97</v>
      </c>
      <c r="E1582" s="0" t="s">
        <v>802</v>
      </c>
      <c r="G1582" s="0" t="s">
        <v>5389</v>
      </c>
      <c r="H1582" s="0" t="s">
        <v>3607</v>
      </c>
      <c r="I1582" s="0" t="s">
        <v>598</v>
      </c>
      <c r="J1582" s="0" t="s">
        <v>275</v>
      </c>
      <c r="K1582" s="0" t="s">
        <v>599</v>
      </c>
      <c r="L1582" s="0" t="s">
        <v>124</v>
      </c>
      <c r="M1582" s="0" t="s">
        <v>178</v>
      </c>
      <c r="N1582" s="0" t="s">
        <v>124</v>
      </c>
      <c r="P1582" s="0" t="s">
        <v>346</v>
      </c>
      <c r="Q1582" s="0" t="s">
        <v>346</v>
      </c>
      <c r="R1582" s="0" t="s">
        <v>131</v>
      </c>
      <c r="S1582" s="0" t="s">
        <v>21</v>
      </c>
      <c r="T1582" s="0" t="s">
        <v>104</v>
      </c>
      <c r="W1582" s="0" t="s">
        <v>105</v>
      </c>
      <c r="X1582" s="0" t="s">
        <v>3608</v>
      </c>
      <c r="Y1582" s="0" t="s">
        <v>3609</v>
      </c>
    </row>
    <row r="1583" customFormat="false" ht="15" hidden="false" customHeight="false" outlineLevel="0" collapsed="false">
      <c r="A1583" s="0" t="s">
        <v>21</v>
      </c>
      <c r="B1583" s="0" t="s">
        <v>5390</v>
      </c>
      <c r="C1583" s="0" t="s">
        <v>97</v>
      </c>
      <c r="E1583" s="0" t="s">
        <v>5391</v>
      </c>
      <c r="H1583" s="0" t="s">
        <v>5392</v>
      </c>
      <c r="I1583" s="0" t="s">
        <v>5393</v>
      </c>
      <c r="J1583" s="0" t="s">
        <v>254</v>
      </c>
      <c r="K1583" s="0" t="s">
        <v>5394</v>
      </c>
      <c r="L1583" s="0" t="s">
        <v>124</v>
      </c>
      <c r="M1583" s="0" t="s">
        <v>208</v>
      </c>
      <c r="N1583" s="0" t="s">
        <v>124</v>
      </c>
      <c r="P1583" s="0" t="s">
        <v>346</v>
      </c>
      <c r="Q1583" s="0" t="s">
        <v>346</v>
      </c>
      <c r="R1583" s="0" t="s">
        <v>131</v>
      </c>
      <c r="S1583" s="0" t="s">
        <v>21</v>
      </c>
      <c r="T1583" s="0" t="s">
        <v>104</v>
      </c>
      <c r="W1583" s="0" t="s">
        <v>105</v>
      </c>
      <c r="X1583" s="0" t="s">
        <v>5395</v>
      </c>
      <c r="Y1583" s="0" t="s">
        <v>5396</v>
      </c>
    </row>
    <row r="1584" customFormat="false" ht="15" hidden="false" customHeight="false" outlineLevel="0" collapsed="false">
      <c r="A1584" s="0" t="s">
        <v>21</v>
      </c>
      <c r="B1584" s="0" t="s">
        <v>5397</v>
      </c>
      <c r="C1584" s="0" t="s">
        <v>97</v>
      </c>
      <c r="D1584" s="0" t="s">
        <v>5398</v>
      </c>
      <c r="E1584" s="0" t="s">
        <v>5399</v>
      </c>
      <c r="G1584" s="0" t="s">
        <v>5400</v>
      </c>
      <c r="H1584" s="0" t="s">
        <v>5401</v>
      </c>
      <c r="I1584" s="0" t="s">
        <v>5402</v>
      </c>
      <c r="J1584" s="0" t="s">
        <v>232</v>
      </c>
      <c r="K1584" s="0" t="s">
        <v>5403</v>
      </c>
      <c r="L1584" s="0" t="s">
        <v>124</v>
      </c>
      <c r="M1584" s="0" t="s">
        <v>232</v>
      </c>
      <c r="N1584" s="0" t="s">
        <v>124</v>
      </c>
      <c r="P1584" s="0" t="s">
        <v>204</v>
      </c>
      <c r="Q1584" s="0" t="s">
        <v>204</v>
      </c>
      <c r="R1584" s="0" t="s">
        <v>131</v>
      </c>
      <c r="S1584" s="0" t="s">
        <v>21</v>
      </c>
      <c r="T1584" s="0" t="s">
        <v>104</v>
      </c>
      <c r="W1584" s="0" t="s">
        <v>105</v>
      </c>
      <c r="AB1584" s="0" t="s">
        <v>351</v>
      </c>
    </row>
    <row r="1585" customFormat="false" ht="15" hidden="false" customHeight="false" outlineLevel="0" collapsed="false">
      <c r="A1585" s="0" t="s">
        <v>21</v>
      </c>
      <c r="B1585" s="0" t="s">
        <v>5397</v>
      </c>
      <c r="C1585" s="0" t="s">
        <v>97</v>
      </c>
      <c r="D1585" s="0" t="s">
        <v>5398</v>
      </c>
      <c r="E1585" s="0" t="s">
        <v>5399</v>
      </c>
      <c r="G1585" s="0" t="s">
        <v>5400</v>
      </c>
      <c r="H1585" s="0" t="s">
        <v>5401</v>
      </c>
      <c r="I1585" s="0" t="s">
        <v>5402</v>
      </c>
      <c r="J1585" s="0" t="s">
        <v>232</v>
      </c>
      <c r="K1585" s="0" t="s">
        <v>5403</v>
      </c>
      <c r="L1585" s="0" t="s">
        <v>124</v>
      </c>
      <c r="M1585" s="0" t="s">
        <v>232</v>
      </c>
      <c r="N1585" s="0" t="s">
        <v>124</v>
      </c>
      <c r="P1585" s="0" t="s">
        <v>554</v>
      </c>
      <c r="Q1585" s="0" t="s">
        <v>554</v>
      </c>
      <c r="R1585" s="0" t="s">
        <v>554</v>
      </c>
      <c r="S1585" s="0" t="s">
        <v>21</v>
      </c>
      <c r="T1585" s="0" t="s">
        <v>104</v>
      </c>
      <c r="W1585" s="0" t="s">
        <v>183</v>
      </c>
      <c r="AB1585" s="0" t="s">
        <v>351</v>
      </c>
    </row>
    <row r="1586" customFormat="false" ht="15" hidden="false" customHeight="false" outlineLevel="0" collapsed="false">
      <c r="A1586" s="0" t="s">
        <v>21</v>
      </c>
      <c r="B1586" s="0" t="s">
        <v>5404</v>
      </c>
      <c r="C1586" s="0" t="s">
        <v>211</v>
      </c>
      <c r="D1586" s="0" t="s">
        <v>5405</v>
      </c>
      <c r="E1586" s="0" t="s">
        <v>5405</v>
      </c>
      <c r="F1586" s="0" t="s">
        <v>5405</v>
      </c>
      <c r="M1586" s="0" t="s">
        <v>232</v>
      </c>
      <c r="N1586" s="0" t="s">
        <v>124</v>
      </c>
      <c r="P1586" s="0" t="s">
        <v>102</v>
      </c>
      <c r="Q1586" s="0" t="s">
        <v>102</v>
      </c>
      <c r="R1586" s="0" t="s">
        <v>131</v>
      </c>
      <c r="S1586" s="0" t="s">
        <v>21</v>
      </c>
      <c r="T1586" s="0" t="s">
        <v>104</v>
      </c>
      <c r="W1586" s="0" t="s">
        <v>105</v>
      </c>
      <c r="AB1586" s="0" t="s">
        <v>5406</v>
      </c>
    </row>
    <row r="1587" customFormat="false" ht="15" hidden="false" customHeight="false" outlineLevel="0" collapsed="false">
      <c r="A1587" s="0" t="s">
        <v>21</v>
      </c>
      <c r="B1587" s="0" t="s">
        <v>5407</v>
      </c>
      <c r="C1587" s="0" t="s">
        <v>661</v>
      </c>
      <c r="D1587" s="0" t="s">
        <v>5408</v>
      </c>
      <c r="E1587" s="0" t="s">
        <v>5409</v>
      </c>
      <c r="H1587" s="0" t="s">
        <v>5410</v>
      </c>
      <c r="I1587" s="0" t="s">
        <v>5411</v>
      </c>
      <c r="J1587" s="0" t="s">
        <v>275</v>
      </c>
      <c r="L1587" s="0" t="s">
        <v>124</v>
      </c>
      <c r="M1587" s="0" t="s">
        <v>178</v>
      </c>
      <c r="N1587" s="0" t="s">
        <v>124</v>
      </c>
      <c r="P1587" s="0" t="s">
        <v>221</v>
      </c>
      <c r="Q1587" s="0" t="s">
        <v>221</v>
      </c>
      <c r="R1587" s="0" t="s">
        <v>221</v>
      </c>
      <c r="S1587" s="0" t="s">
        <v>21</v>
      </c>
      <c r="T1587" s="0" t="s">
        <v>104</v>
      </c>
      <c r="W1587" s="0" t="s">
        <v>183</v>
      </c>
      <c r="AB1587" s="0" t="s">
        <v>238</v>
      </c>
    </row>
    <row r="1588" customFormat="false" ht="15" hidden="false" customHeight="false" outlineLevel="0" collapsed="false">
      <c r="A1588" s="0" t="s">
        <v>21</v>
      </c>
      <c r="B1588" s="0" t="s">
        <v>5407</v>
      </c>
      <c r="C1588" s="0" t="s">
        <v>661</v>
      </c>
      <c r="D1588" s="0" t="s">
        <v>5408</v>
      </c>
      <c r="E1588" s="0" t="s">
        <v>5409</v>
      </c>
      <c r="H1588" s="0" t="s">
        <v>5410</v>
      </c>
      <c r="I1588" s="0" t="s">
        <v>5411</v>
      </c>
      <c r="J1588" s="0" t="s">
        <v>275</v>
      </c>
      <c r="L1588" s="0" t="s">
        <v>124</v>
      </c>
      <c r="M1588" s="0" t="s">
        <v>178</v>
      </c>
      <c r="N1588" s="0" t="s">
        <v>124</v>
      </c>
      <c r="P1588" s="0" t="s">
        <v>102</v>
      </c>
      <c r="Q1588" s="0" t="s">
        <v>102</v>
      </c>
      <c r="R1588" s="0" t="s">
        <v>224</v>
      </c>
      <c r="S1588" s="0" t="s">
        <v>21</v>
      </c>
      <c r="T1588" s="0" t="s">
        <v>104</v>
      </c>
      <c r="V1588" s="0" t="s">
        <v>225</v>
      </c>
      <c r="W1588" s="0" t="s">
        <v>105</v>
      </c>
      <c r="AB1588" s="0" t="s">
        <v>238</v>
      </c>
    </row>
    <row r="1589" customFormat="false" ht="15" hidden="false" customHeight="false" outlineLevel="0" collapsed="false">
      <c r="A1589" s="0" t="s">
        <v>21</v>
      </c>
      <c r="B1589" s="0" t="s">
        <v>5407</v>
      </c>
      <c r="C1589" s="0" t="s">
        <v>661</v>
      </c>
      <c r="D1589" s="0" t="s">
        <v>5408</v>
      </c>
      <c r="E1589" s="0" t="s">
        <v>5409</v>
      </c>
      <c r="H1589" s="0" t="s">
        <v>5410</v>
      </c>
      <c r="I1589" s="0" t="s">
        <v>5411</v>
      </c>
      <c r="J1589" s="0" t="s">
        <v>275</v>
      </c>
      <c r="L1589" s="0" t="s">
        <v>124</v>
      </c>
      <c r="M1589" s="0" t="s">
        <v>178</v>
      </c>
      <c r="N1589" s="0" t="s">
        <v>124</v>
      </c>
      <c r="P1589" s="0" t="s">
        <v>130</v>
      </c>
      <c r="Q1589" s="0" t="s">
        <v>130</v>
      </c>
      <c r="R1589" s="0" t="s">
        <v>226</v>
      </c>
      <c r="S1589" s="0" t="s">
        <v>21</v>
      </c>
      <c r="T1589" s="0" t="s">
        <v>104</v>
      </c>
      <c r="U1589" s="0" t="s">
        <v>227</v>
      </c>
      <c r="W1589" s="0" t="s">
        <v>105</v>
      </c>
      <c r="AB1589" s="0" t="s">
        <v>238</v>
      </c>
    </row>
    <row r="1590" customFormat="false" ht="15" hidden="false" customHeight="false" outlineLevel="0" collapsed="false">
      <c r="A1590" s="0" t="s">
        <v>21</v>
      </c>
      <c r="B1590" s="0" t="s">
        <v>5412</v>
      </c>
      <c r="C1590" s="0" t="s">
        <v>97</v>
      </c>
      <c r="D1590" s="0" t="s">
        <v>5413</v>
      </c>
      <c r="E1590" s="0" t="s">
        <v>3470</v>
      </c>
      <c r="G1590" s="0" t="s">
        <v>5414</v>
      </c>
      <c r="H1590" s="0" t="s">
        <v>5415</v>
      </c>
      <c r="I1590" s="0" t="s">
        <v>1671</v>
      </c>
      <c r="J1590" s="0" t="s">
        <v>275</v>
      </c>
      <c r="K1590" s="0" t="s">
        <v>1672</v>
      </c>
      <c r="L1590" s="0" t="s">
        <v>124</v>
      </c>
      <c r="M1590" s="0" t="s">
        <v>178</v>
      </c>
      <c r="N1590" s="0" t="s">
        <v>124</v>
      </c>
      <c r="P1590" s="0" t="s">
        <v>204</v>
      </c>
      <c r="Q1590" s="0" t="s">
        <v>204</v>
      </c>
      <c r="R1590" s="0" t="s">
        <v>131</v>
      </c>
      <c r="S1590" s="0" t="s">
        <v>21</v>
      </c>
      <c r="T1590" s="0" t="s">
        <v>104</v>
      </c>
      <c r="W1590" s="0" t="s">
        <v>105</v>
      </c>
      <c r="X1590" s="0" t="s">
        <v>5416</v>
      </c>
      <c r="Y1590" s="0" t="s">
        <v>5417</v>
      </c>
      <c r="Z1590" s="0" t="s">
        <v>134</v>
      </c>
    </row>
    <row r="1591" customFormat="false" ht="15" hidden="false" customHeight="false" outlineLevel="0" collapsed="false">
      <c r="A1591" s="0" t="s">
        <v>21</v>
      </c>
      <c r="B1591" s="0" t="s">
        <v>5412</v>
      </c>
      <c r="C1591" s="0" t="s">
        <v>97</v>
      </c>
      <c r="D1591" s="0" t="s">
        <v>5413</v>
      </c>
      <c r="E1591" s="0" t="s">
        <v>3470</v>
      </c>
      <c r="G1591" s="0" t="s">
        <v>5414</v>
      </c>
      <c r="H1591" s="0" t="s">
        <v>5415</v>
      </c>
      <c r="I1591" s="0" t="s">
        <v>1671</v>
      </c>
      <c r="J1591" s="0" t="s">
        <v>275</v>
      </c>
      <c r="K1591" s="0" t="s">
        <v>1672</v>
      </c>
      <c r="L1591" s="0" t="s">
        <v>124</v>
      </c>
      <c r="M1591" s="0" t="s">
        <v>178</v>
      </c>
      <c r="N1591" s="0" t="s">
        <v>124</v>
      </c>
      <c r="P1591" s="0" t="s">
        <v>554</v>
      </c>
      <c r="Q1591" s="0" t="s">
        <v>554</v>
      </c>
      <c r="R1591" s="0" t="s">
        <v>554</v>
      </c>
      <c r="S1591" s="0" t="s">
        <v>21</v>
      </c>
      <c r="T1591" s="0" t="s">
        <v>104</v>
      </c>
      <c r="W1591" s="0" t="s">
        <v>183</v>
      </c>
      <c r="X1591" s="0" t="s">
        <v>5416</v>
      </c>
      <c r="Y1591" s="0" t="s">
        <v>5417</v>
      </c>
      <c r="Z1591" s="0" t="s">
        <v>134</v>
      </c>
    </row>
    <row r="1592" customFormat="false" ht="15" hidden="false" customHeight="false" outlineLevel="0" collapsed="false">
      <c r="A1592" s="0" t="s">
        <v>21</v>
      </c>
      <c r="B1592" s="0" t="s">
        <v>5418</v>
      </c>
      <c r="C1592" s="0" t="s">
        <v>661</v>
      </c>
      <c r="D1592" s="0" t="s">
        <v>5419</v>
      </c>
      <c r="E1592" s="0" t="s">
        <v>5420</v>
      </c>
      <c r="F1592" s="0" t="s">
        <v>5420</v>
      </c>
      <c r="G1592" s="0" t="s">
        <v>5421</v>
      </c>
      <c r="H1592" s="0" t="s">
        <v>5422</v>
      </c>
      <c r="I1592" s="0" t="s">
        <v>5423</v>
      </c>
      <c r="J1592" s="0" t="s">
        <v>157</v>
      </c>
      <c r="K1592" s="0" t="s">
        <v>915</v>
      </c>
      <c r="L1592" s="0" t="s">
        <v>124</v>
      </c>
      <c r="M1592" s="0" t="s">
        <v>232</v>
      </c>
      <c r="N1592" s="0" t="s">
        <v>124</v>
      </c>
      <c r="P1592" s="0" t="s">
        <v>102</v>
      </c>
      <c r="Q1592" s="0" t="s">
        <v>102</v>
      </c>
      <c r="R1592" s="0" t="s">
        <v>131</v>
      </c>
      <c r="S1592" s="0" t="s">
        <v>21</v>
      </c>
      <c r="T1592" s="0" t="s">
        <v>104</v>
      </c>
      <c r="W1592" s="0" t="s">
        <v>105</v>
      </c>
      <c r="X1592" s="0" t="s">
        <v>5424</v>
      </c>
      <c r="Y1592" s="0" t="s">
        <v>5425</v>
      </c>
      <c r="Z1592" s="0" t="s">
        <v>134</v>
      </c>
    </row>
    <row r="1593" customFormat="false" ht="15" hidden="false" customHeight="false" outlineLevel="0" collapsed="false">
      <c r="A1593" s="0" t="s">
        <v>21</v>
      </c>
      <c r="B1593" s="0" t="s">
        <v>5426</v>
      </c>
      <c r="C1593" s="0" t="s">
        <v>661</v>
      </c>
      <c r="D1593" s="0" t="s">
        <v>5427</v>
      </c>
      <c r="E1593" s="0" t="s">
        <v>5428</v>
      </c>
      <c r="G1593" s="0" t="s">
        <v>5429</v>
      </c>
      <c r="H1593" s="0" t="s">
        <v>904</v>
      </c>
      <c r="I1593" s="0" t="s">
        <v>598</v>
      </c>
      <c r="J1593" s="0" t="s">
        <v>275</v>
      </c>
      <c r="K1593" s="0" t="s">
        <v>606</v>
      </c>
      <c r="L1593" s="0" t="s">
        <v>124</v>
      </c>
      <c r="M1593" s="0" t="s">
        <v>178</v>
      </c>
      <c r="N1593" s="0" t="s">
        <v>124</v>
      </c>
      <c r="P1593" s="0" t="s">
        <v>102</v>
      </c>
      <c r="Q1593" s="0" t="s">
        <v>102</v>
      </c>
      <c r="R1593" s="0" t="s">
        <v>131</v>
      </c>
      <c r="S1593" s="0" t="s">
        <v>21</v>
      </c>
      <c r="T1593" s="0" t="s">
        <v>104</v>
      </c>
      <c r="W1593" s="0" t="s">
        <v>105</v>
      </c>
      <c r="X1593" s="0" t="s">
        <v>132</v>
      </c>
      <c r="Y1593" s="0" t="s">
        <v>133</v>
      </c>
      <c r="Z1593" s="0" t="s">
        <v>134</v>
      </c>
    </row>
    <row r="1594" customFormat="false" ht="15" hidden="false" customHeight="false" outlineLevel="0" collapsed="false">
      <c r="A1594" s="0" t="s">
        <v>21</v>
      </c>
      <c r="B1594" s="0" t="s">
        <v>5430</v>
      </c>
      <c r="C1594" s="0" t="s">
        <v>97</v>
      </c>
      <c r="D1594" s="0" t="s">
        <v>5431</v>
      </c>
      <c r="E1594" s="0" t="s">
        <v>5431</v>
      </c>
      <c r="F1594" s="0" t="s">
        <v>5432</v>
      </c>
      <c r="H1594" s="0" t="s">
        <v>5433</v>
      </c>
      <c r="I1594" s="0" t="s">
        <v>5434</v>
      </c>
      <c r="J1594" s="0" t="s">
        <v>218</v>
      </c>
      <c r="K1594" s="0" t="s">
        <v>5435</v>
      </c>
      <c r="L1594" s="0" t="s">
        <v>124</v>
      </c>
      <c r="M1594" s="0" t="s">
        <v>220</v>
      </c>
      <c r="N1594" s="0" t="s">
        <v>124</v>
      </c>
      <c r="P1594" s="0" t="s">
        <v>204</v>
      </c>
      <c r="Q1594" s="0" t="s">
        <v>204</v>
      </c>
      <c r="R1594" s="0" t="s">
        <v>131</v>
      </c>
      <c r="S1594" s="0" t="s">
        <v>21</v>
      </c>
      <c r="T1594" s="0" t="s">
        <v>104</v>
      </c>
      <c r="W1594" s="0" t="s">
        <v>105</v>
      </c>
      <c r="X1594" s="0" t="s">
        <v>5436</v>
      </c>
      <c r="Y1594" s="0" t="s">
        <v>5437</v>
      </c>
      <c r="Z1594" s="0" t="s">
        <v>195</v>
      </c>
    </row>
    <row r="1595" customFormat="false" ht="15" hidden="false" customHeight="false" outlineLevel="0" collapsed="false">
      <c r="A1595" s="0" t="s">
        <v>21</v>
      </c>
      <c r="B1595" s="0" t="s">
        <v>5430</v>
      </c>
      <c r="C1595" s="0" t="s">
        <v>97</v>
      </c>
      <c r="D1595" s="0" t="s">
        <v>5431</v>
      </c>
      <c r="E1595" s="0" t="s">
        <v>5431</v>
      </c>
      <c r="F1595" s="0" t="s">
        <v>5432</v>
      </c>
      <c r="H1595" s="0" t="s">
        <v>5433</v>
      </c>
      <c r="I1595" s="0" t="s">
        <v>5434</v>
      </c>
      <c r="J1595" s="0" t="s">
        <v>218</v>
      </c>
      <c r="K1595" s="0" t="s">
        <v>5435</v>
      </c>
      <c r="L1595" s="0" t="s">
        <v>124</v>
      </c>
      <c r="M1595" s="0" t="s">
        <v>220</v>
      </c>
      <c r="N1595" s="0" t="s">
        <v>124</v>
      </c>
      <c r="P1595" s="0" t="s">
        <v>554</v>
      </c>
      <c r="Q1595" s="0" t="s">
        <v>554</v>
      </c>
      <c r="R1595" s="0" t="s">
        <v>554</v>
      </c>
      <c r="S1595" s="0" t="s">
        <v>21</v>
      </c>
      <c r="T1595" s="0" t="s">
        <v>104</v>
      </c>
      <c r="W1595" s="0" t="s">
        <v>183</v>
      </c>
      <c r="X1595" s="0" t="s">
        <v>5436</v>
      </c>
      <c r="Y1595" s="0" t="s">
        <v>5437</v>
      </c>
      <c r="Z1595" s="0" t="s">
        <v>195</v>
      </c>
    </row>
    <row r="1596" customFormat="false" ht="15" hidden="false" customHeight="false" outlineLevel="0" collapsed="false">
      <c r="A1596" s="0" t="s">
        <v>21</v>
      </c>
      <c r="B1596" s="0" t="s">
        <v>5438</v>
      </c>
      <c r="C1596" s="0" t="s">
        <v>4280</v>
      </c>
      <c r="D1596" s="0" t="s">
        <v>5439</v>
      </c>
      <c r="E1596" s="0" t="s">
        <v>5439</v>
      </c>
      <c r="H1596" s="0" t="s">
        <v>5440</v>
      </c>
      <c r="I1596" s="0" t="s">
        <v>5441</v>
      </c>
      <c r="J1596" s="0" t="s">
        <v>157</v>
      </c>
      <c r="K1596" s="0" t="s">
        <v>5442</v>
      </c>
      <c r="M1596" s="0" t="s">
        <v>232</v>
      </c>
      <c r="N1596" s="0" t="s">
        <v>124</v>
      </c>
      <c r="P1596" s="0" t="s">
        <v>130</v>
      </c>
      <c r="Q1596" s="0" t="s">
        <v>130</v>
      </c>
      <c r="R1596" s="0" t="s">
        <v>467</v>
      </c>
      <c r="S1596" s="0" t="s">
        <v>21</v>
      </c>
      <c r="T1596" s="0" t="s">
        <v>104</v>
      </c>
      <c r="W1596" s="0" t="s">
        <v>105</v>
      </c>
      <c r="AB1596" s="0" t="s">
        <v>3726</v>
      </c>
    </row>
    <row r="1597" customFormat="false" ht="15" hidden="false" customHeight="false" outlineLevel="0" collapsed="false">
      <c r="A1597" s="0" t="s">
        <v>21</v>
      </c>
      <c r="B1597" s="0" t="s">
        <v>5443</v>
      </c>
      <c r="C1597" s="0" t="s">
        <v>110</v>
      </c>
      <c r="E1597" s="0" t="s">
        <v>3056</v>
      </c>
      <c r="M1597" s="0" t="s">
        <v>232</v>
      </c>
      <c r="N1597" s="0" t="s">
        <v>124</v>
      </c>
      <c r="P1597" s="0" t="s">
        <v>130</v>
      </c>
      <c r="Q1597" s="0" t="s">
        <v>130</v>
      </c>
      <c r="R1597" s="0" t="s">
        <v>113</v>
      </c>
      <c r="S1597" s="0" t="s">
        <v>21</v>
      </c>
      <c r="T1597" s="0" t="s">
        <v>104</v>
      </c>
      <c r="W1597" s="0" t="s">
        <v>105</v>
      </c>
    </row>
    <row r="1598" customFormat="false" ht="15" hidden="false" customHeight="false" outlineLevel="0" collapsed="false">
      <c r="A1598" s="0" t="s">
        <v>21</v>
      </c>
      <c r="B1598" s="0" t="s">
        <v>5444</v>
      </c>
      <c r="C1598" s="0" t="s">
        <v>174</v>
      </c>
      <c r="D1598" s="0" t="s">
        <v>5445</v>
      </c>
      <c r="E1598" s="0" t="s">
        <v>5446</v>
      </c>
      <c r="G1598" s="0" t="s">
        <v>5447</v>
      </c>
      <c r="M1598" s="0" t="s">
        <v>232</v>
      </c>
      <c r="N1598" s="0" t="s">
        <v>124</v>
      </c>
      <c r="P1598" s="0" t="s">
        <v>130</v>
      </c>
      <c r="Q1598" s="0" t="s">
        <v>130</v>
      </c>
      <c r="R1598" s="0" t="s">
        <v>131</v>
      </c>
      <c r="S1598" s="0" t="s">
        <v>21</v>
      </c>
      <c r="T1598" s="0" t="s">
        <v>104</v>
      </c>
      <c r="W1598" s="0" t="s">
        <v>105</v>
      </c>
      <c r="AB1598" s="0" t="s">
        <v>5448</v>
      </c>
    </row>
    <row r="1599" customFormat="false" ht="15" hidden="false" customHeight="false" outlineLevel="0" collapsed="false">
      <c r="A1599" s="0" t="s">
        <v>21</v>
      </c>
      <c r="B1599" s="0" t="s">
        <v>5449</v>
      </c>
      <c r="C1599" s="0" t="s">
        <v>661</v>
      </c>
      <c r="D1599" s="0" t="s">
        <v>5450</v>
      </c>
      <c r="E1599" s="0" t="s">
        <v>5451</v>
      </c>
      <c r="M1599" s="0" t="s">
        <v>232</v>
      </c>
      <c r="N1599" s="0" t="s">
        <v>124</v>
      </c>
      <c r="P1599" s="0" t="s">
        <v>130</v>
      </c>
      <c r="Q1599" s="0" t="s">
        <v>130</v>
      </c>
      <c r="R1599" s="0" t="s">
        <v>131</v>
      </c>
      <c r="S1599" s="0" t="s">
        <v>21</v>
      </c>
      <c r="T1599" s="0" t="s">
        <v>104</v>
      </c>
      <c r="W1599" s="0" t="s">
        <v>105</v>
      </c>
      <c r="AB1599" s="0" t="s">
        <v>5452</v>
      </c>
    </row>
    <row r="1600" customFormat="false" ht="15" hidden="false" customHeight="false" outlineLevel="0" collapsed="false">
      <c r="A1600" s="0" t="s">
        <v>21</v>
      </c>
      <c r="B1600" s="0" t="s">
        <v>5453</v>
      </c>
      <c r="C1600" s="0" t="s">
        <v>97</v>
      </c>
      <c r="D1600" s="0" t="s">
        <v>5454</v>
      </c>
      <c r="E1600" s="0" t="s">
        <v>5455</v>
      </c>
      <c r="F1600" s="0" t="s">
        <v>5456</v>
      </c>
      <c r="H1600" s="0" t="s">
        <v>5457</v>
      </c>
      <c r="I1600" s="0" t="s">
        <v>5458</v>
      </c>
      <c r="J1600" s="0" t="s">
        <v>157</v>
      </c>
      <c r="K1600" s="0" t="s">
        <v>5459</v>
      </c>
      <c r="L1600" s="0" t="s">
        <v>124</v>
      </c>
      <c r="M1600" s="0" t="s">
        <v>232</v>
      </c>
      <c r="N1600" s="0" t="s">
        <v>124</v>
      </c>
      <c r="P1600" s="0" t="s">
        <v>204</v>
      </c>
      <c r="Q1600" s="0" t="s">
        <v>204</v>
      </c>
      <c r="R1600" s="0" t="s">
        <v>248</v>
      </c>
      <c r="S1600" s="0" t="s">
        <v>21</v>
      </c>
      <c r="T1600" s="0" t="s">
        <v>104</v>
      </c>
      <c r="W1600" s="0" t="s">
        <v>105</v>
      </c>
      <c r="X1600" s="0" t="s">
        <v>5460</v>
      </c>
      <c r="Y1600" s="0" t="s">
        <v>5461</v>
      </c>
      <c r="Z1600" s="0" t="s">
        <v>134</v>
      </c>
    </row>
    <row r="1601" customFormat="false" ht="15" hidden="false" customHeight="false" outlineLevel="0" collapsed="false">
      <c r="A1601" s="0" t="s">
        <v>21</v>
      </c>
      <c r="B1601" s="0" t="s">
        <v>5462</v>
      </c>
      <c r="C1601" s="0" t="s">
        <v>190</v>
      </c>
      <c r="D1601" s="0" t="s">
        <v>3896</v>
      </c>
      <c r="E1601" s="0" t="s">
        <v>5463</v>
      </c>
      <c r="H1601" s="0" t="s">
        <v>5464</v>
      </c>
      <c r="I1601" s="0" t="s">
        <v>5465</v>
      </c>
      <c r="J1601" s="0" t="s">
        <v>157</v>
      </c>
      <c r="K1601" s="0" t="s">
        <v>5466</v>
      </c>
      <c r="M1601" s="0" t="s">
        <v>232</v>
      </c>
      <c r="N1601" s="0" t="s">
        <v>124</v>
      </c>
      <c r="P1601" s="0" t="s">
        <v>102</v>
      </c>
      <c r="Q1601" s="0" t="s">
        <v>102</v>
      </c>
      <c r="R1601" s="0" t="s">
        <v>144</v>
      </c>
      <c r="S1601" s="0" t="s">
        <v>21</v>
      </c>
      <c r="T1601" s="0" t="s">
        <v>104</v>
      </c>
      <c r="W1601" s="0" t="s">
        <v>105</v>
      </c>
      <c r="X1601" s="0" t="s">
        <v>5467</v>
      </c>
      <c r="Y1601" s="0" t="s">
        <v>5468</v>
      </c>
      <c r="Z1601" s="0" t="s">
        <v>159</v>
      </c>
      <c r="AB1601" s="0" t="s">
        <v>351</v>
      </c>
    </row>
    <row r="1602" customFormat="false" ht="15" hidden="false" customHeight="false" outlineLevel="0" collapsed="false">
      <c r="A1602" s="0" t="s">
        <v>21</v>
      </c>
      <c r="B1602" s="0" t="s">
        <v>5469</v>
      </c>
      <c r="C1602" s="0" t="s">
        <v>139</v>
      </c>
      <c r="D1602" s="0" t="s">
        <v>5470</v>
      </c>
      <c r="E1602" s="0" t="s">
        <v>5471</v>
      </c>
      <c r="F1602" s="0" t="s">
        <v>5472</v>
      </c>
      <c r="G1602" s="0" t="s">
        <v>5473</v>
      </c>
      <c r="H1602" s="0" t="s">
        <v>5474</v>
      </c>
      <c r="I1602" s="0" t="s">
        <v>886</v>
      </c>
      <c r="J1602" s="0" t="s">
        <v>254</v>
      </c>
      <c r="K1602" s="0" t="s">
        <v>887</v>
      </c>
      <c r="L1602" s="0" t="s">
        <v>124</v>
      </c>
      <c r="M1602" s="0" t="s">
        <v>208</v>
      </c>
      <c r="N1602" s="0" t="s">
        <v>124</v>
      </c>
      <c r="P1602" s="0" t="s">
        <v>204</v>
      </c>
      <c r="Q1602" s="0" t="s">
        <v>204</v>
      </c>
      <c r="R1602" s="0" t="s">
        <v>248</v>
      </c>
      <c r="S1602" s="0" t="s">
        <v>21</v>
      </c>
      <c r="T1602" s="0" t="s">
        <v>104</v>
      </c>
      <c r="W1602" s="0" t="s">
        <v>105</v>
      </c>
      <c r="X1602" s="0" t="s">
        <v>5316</v>
      </c>
      <c r="Y1602" s="0" t="s">
        <v>5317</v>
      </c>
      <c r="Z1602" s="0" t="s">
        <v>195</v>
      </c>
    </row>
    <row r="1603" customFormat="false" ht="15" hidden="false" customHeight="false" outlineLevel="0" collapsed="false">
      <c r="A1603" s="0" t="s">
        <v>21</v>
      </c>
      <c r="B1603" s="0" t="s">
        <v>5475</v>
      </c>
      <c r="C1603" s="0" t="s">
        <v>190</v>
      </c>
      <c r="D1603" s="0" t="s">
        <v>5476</v>
      </c>
      <c r="E1603" s="0" t="s">
        <v>5477</v>
      </c>
      <c r="F1603" s="0" t="s">
        <v>5478</v>
      </c>
      <c r="H1603" s="0" t="s">
        <v>886</v>
      </c>
      <c r="I1603" s="0" t="s">
        <v>262</v>
      </c>
      <c r="J1603" s="0" t="s">
        <v>254</v>
      </c>
      <c r="K1603" s="0" t="s">
        <v>887</v>
      </c>
      <c r="M1603" s="0" t="s">
        <v>208</v>
      </c>
      <c r="N1603" s="0" t="s">
        <v>124</v>
      </c>
      <c r="P1603" s="0" t="s">
        <v>204</v>
      </c>
      <c r="Q1603" s="0" t="s">
        <v>204</v>
      </c>
      <c r="R1603" s="0" t="s">
        <v>399</v>
      </c>
      <c r="S1603" s="0" t="s">
        <v>21</v>
      </c>
      <c r="T1603" s="0" t="s">
        <v>104</v>
      </c>
      <c r="W1603" s="0" t="s">
        <v>105</v>
      </c>
      <c r="X1603" s="0" t="s">
        <v>5316</v>
      </c>
      <c r="Y1603" s="0" t="s">
        <v>5317</v>
      </c>
      <c r="Z1603" s="0" t="s">
        <v>195</v>
      </c>
      <c r="AB1603" s="0" t="s">
        <v>209</v>
      </c>
    </row>
    <row r="1604" customFormat="false" ht="15" hidden="false" customHeight="false" outlineLevel="0" collapsed="false">
      <c r="A1604" s="0" t="s">
        <v>21</v>
      </c>
      <c r="B1604" s="0" t="s">
        <v>5479</v>
      </c>
      <c r="C1604" s="0" t="s">
        <v>97</v>
      </c>
      <c r="D1604" s="0" t="s">
        <v>5480</v>
      </c>
      <c r="E1604" s="0" t="s">
        <v>5481</v>
      </c>
      <c r="H1604" s="0" t="s">
        <v>5482</v>
      </c>
      <c r="I1604" s="0" t="s">
        <v>447</v>
      </c>
      <c r="K1604" s="0" t="s">
        <v>5483</v>
      </c>
      <c r="L1604" s="0" t="s">
        <v>101</v>
      </c>
      <c r="M1604" s="0" t="s">
        <v>448</v>
      </c>
      <c r="N1604" s="0" t="s">
        <v>101</v>
      </c>
      <c r="P1604" s="0" t="s">
        <v>204</v>
      </c>
      <c r="Q1604" s="0" t="s">
        <v>204</v>
      </c>
      <c r="R1604" s="0" t="s">
        <v>399</v>
      </c>
      <c r="S1604" s="0" t="s">
        <v>21</v>
      </c>
      <c r="T1604" s="0" t="s">
        <v>104</v>
      </c>
      <c r="W1604" s="0" t="s">
        <v>105</v>
      </c>
      <c r="X1604" s="0" t="s">
        <v>5484</v>
      </c>
      <c r="Y1604" s="0" t="s">
        <v>5485</v>
      </c>
      <c r="AB1604" s="0" t="s">
        <v>539</v>
      </c>
    </row>
    <row r="1605" customFormat="false" ht="15" hidden="false" customHeight="false" outlineLevel="0" collapsed="false">
      <c r="A1605" s="0" t="s">
        <v>21</v>
      </c>
      <c r="B1605" s="0" t="s">
        <v>5486</v>
      </c>
      <c r="C1605" s="0" t="s">
        <v>97</v>
      </c>
      <c r="D1605" s="0" t="s">
        <v>5487</v>
      </c>
      <c r="E1605" s="0" t="s">
        <v>5488</v>
      </c>
      <c r="H1605" s="0" t="s">
        <v>5489</v>
      </c>
      <c r="I1605" s="0" t="s">
        <v>5490</v>
      </c>
      <c r="J1605" s="0" t="s">
        <v>245</v>
      </c>
      <c r="K1605" s="0" t="s">
        <v>2348</v>
      </c>
      <c r="L1605" s="0" t="s">
        <v>124</v>
      </c>
      <c r="M1605" s="0" t="s">
        <v>247</v>
      </c>
      <c r="N1605" s="0" t="s">
        <v>124</v>
      </c>
      <c r="P1605" s="0" t="s">
        <v>130</v>
      </c>
      <c r="Q1605" s="0" t="s">
        <v>130</v>
      </c>
      <c r="R1605" s="0" t="s">
        <v>131</v>
      </c>
      <c r="S1605" s="0" t="s">
        <v>21</v>
      </c>
      <c r="T1605" s="0" t="s">
        <v>104</v>
      </c>
      <c r="W1605" s="0" t="s">
        <v>105</v>
      </c>
      <c r="X1605" s="0" t="s">
        <v>5491</v>
      </c>
      <c r="Y1605" s="0" t="s">
        <v>5492</v>
      </c>
      <c r="AB1605" s="0" t="s">
        <v>539</v>
      </c>
    </row>
    <row r="1606" customFormat="false" ht="15" hidden="false" customHeight="false" outlineLevel="0" collapsed="false">
      <c r="A1606" s="0" t="s">
        <v>21</v>
      </c>
      <c r="B1606" s="0" t="s">
        <v>5493</v>
      </c>
      <c r="C1606" s="0" t="s">
        <v>97</v>
      </c>
      <c r="E1606" s="0" t="s">
        <v>5494</v>
      </c>
      <c r="H1606" s="0" t="s">
        <v>5495</v>
      </c>
      <c r="I1606" s="0" t="s">
        <v>447</v>
      </c>
      <c r="K1606" s="0" t="s">
        <v>5496</v>
      </c>
      <c r="L1606" s="0" t="s">
        <v>101</v>
      </c>
      <c r="M1606" s="0" t="s">
        <v>448</v>
      </c>
      <c r="N1606" s="0" t="s">
        <v>101</v>
      </c>
      <c r="P1606" s="0" t="s">
        <v>204</v>
      </c>
      <c r="Q1606" s="0" t="s">
        <v>204</v>
      </c>
      <c r="R1606" s="0" t="s">
        <v>399</v>
      </c>
      <c r="S1606" s="0" t="s">
        <v>21</v>
      </c>
      <c r="T1606" s="0" t="s">
        <v>104</v>
      </c>
      <c r="W1606" s="0" t="s">
        <v>105</v>
      </c>
      <c r="X1606" s="0" t="s">
        <v>5497</v>
      </c>
      <c r="Y1606" s="0" t="s">
        <v>5498</v>
      </c>
      <c r="AB1606" s="0" t="s">
        <v>539</v>
      </c>
    </row>
    <row r="1607" customFormat="false" ht="15" hidden="false" customHeight="false" outlineLevel="0" collapsed="false">
      <c r="A1607" s="0" t="s">
        <v>21</v>
      </c>
      <c r="B1607" s="0" t="s">
        <v>5499</v>
      </c>
      <c r="C1607" s="0" t="s">
        <v>661</v>
      </c>
      <c r="D1607" s="0" t="s">
        <v>5500</v>
      </c>
      <c r="E1607" s="0" t="s">
        <v>5501</v>
      </c>
      <c r="M1607" s="0" t="s">
        <v>247</v>
      </c>
      <c r="N1607" s="0" t="s">
        <v>124</v>
      </c>
      <c r="P1607" s="0" t="s">
        <v>204</v>
      </c>
      <c r="Q1607" s="0" t="s">
        <v>204</v>
      </c>
      <c r="R1607" s="0" t="s">
        <v>131</v>
      </c>
      <c r="S1607" s="0" t="s">
        <v>21</v>
      </c>
      <c r="T1607" s="0" t="s">
        <v>104</v>
      </c>
      <c r="W1607" s="0" t="s">
        <v>105</v>
      </c>
      <c r="AB1607" s="0" t="s">
        <v>539</v>
      </c>
    </row>
    <row r="1608" customFormat="false" ht="15" hidden="false" customHeight="false" outlineLevel="0" collapsed="false">
      <c r="A1608" s="0" t="s">
        <v>21</v>
      </c>
      <c r="B1608" s="0" t="s">
        <v>5499</v>
      </c>
      <c r="C1608" s="0" t="s">
        <v>661</v>
      </c>
      <c r="D1608" s="0" t="s">
        <v>5500</v>
      </c>
      <c r="E1608" s="0" t="s">
        <v>5501</v>
      </c>
      <c r="M1608" s="0" t="s">
        <v>247</v>
      </c>
      <c r="N1608" s="0" t="s">
        <v>124</v>
      </c>
      <c r="P1608" s="0" t="s">
        <v>554</v>
      </c>
      <c r="Q1608" s="0" t="s">
        <v>554</v>
      </c>
      <c r="R1608" s="0" t="s">
        <v>554</v>
      </c>
      <c r="S1608" s="0" t="s">
        <v>21</v>
      </c>
      <c r="T1608" s="0" t="s">
        <v>104</v>
      </c>
      <c r="W1608" s="0" t="s">
        <v>183</v>
      </c>
      <c r="AB1608" s="0" t="s">
        <v>539</v>
      </c>
    </row>
    <row r="1609" customFormat="false" ht="15" hidden="false" customHeight="false" outlineLevel="0" collapsed="false">
      <c r="A1609" s="0" t="s">
        <v>21</v>
      </c>
      <c r="B1609" s="0" t="s">
        <v>5502</v>
      </c>
      <c r="C1609" s="0" t="s">
        <v>5503</v>
      </c>
      <c r="D1609" s="0" t="s">
        <v>5504</v>
      </c>
      <c r="E1609" s="0" t="s">
        <v>5505</v>
      </c>
      <c r="G1609" s="0" t="s">
        <v>5506</v>
      </c>
      <c r="H1609" s="0" t="s">
        <v>5507</v>
      </c>
      <c r="I1609" s="0" t="s">
        <v>598</v>
      </c>
      <c r="J1609" s="0" t="s">
        <v>275</v>
      </c>
      <c r="K1609" s="0" t="s">
        <v>4682</v>
      </c>
      <c r="L1609" s="0" t="s">
        <v>124</v>
      </c>
      <c r="M1609" s="0" t="s">
        <v>178</v>
      </c>
      <c r="N1609" s="0" t="s">
        <v>124</v>
      </c>
      <c r="P1609" s="0" t="s">
        <v>130</v>
      </c>
      <c r="Q1609" s="0" t="s">
        <v>130</v>
      </c>
      <c r="R1609" s="0" t="s">
        <v>131</v>
      </c>
      <c r="S1609" s="0" t="s">
        <v>21</v>
      </c>
      <c r="T1609" s="0" t="s">
        <v>104</v>
      </c>
      <c r="W1609" s="0" t="s">
        <v>105</v>
      </c>
      <c r="X1609" s="0" t="s">
        <v>5508</v>
      </c>
      <c r="Y1609" s="0" t="s">
        <v>5509</v>
      </c>
      <c r="Z1609" s="0" t="s">
        <v>4513</v>
      </c>
    </row>
    <row r="1610" customFormat="false" ht="15" hidden="false" customHeight="false" outlineLevel="0" collapsed="false">
      <c r="A1610" s="0" t="s">
        <v>21</v>
      </c>
      <c r="B1610" s="0" t="s">
        <v>5510</v>
      </c>
      <c r="C1610" s="0" t="s">
        <v>97</v>
      </c>
      <c r="D1610" s="0" t="s">
        <v>5511</v>
      </c>
      <c r="E1610" s="0" t="s">
        <v>5512</v>
      </c>
      <c r="H1610" s="0" t="s">
        <v>5513</v>
      </c>
      <c r="I1610" s="0" t="s">
        <v>564</v>
      </c>
      <c r="J1610" s="0" t="s">
        <v>157</v>
      </c>
      <c r="K1610" s="0" t="s">
        <v>565</v>
      </c>
      <c r="L1610" s="0" t="s">
        <v>124</v>
      </c>
      <c r="M1610" s="0" t="s">
        <v>232</v>
      </c>
      <c r="N1610" s="0" t="s">
        <v>124</v>
      </c>
      <c r="P1610" s="0" t="s">
        <v>130</v>
      </c>
      <c r="Q1610" s="0" t="s">
        <v>130</v>
      </c>
      <c r="R1610" s="0" t="s">
        <v>131</v>
      </c>
      <c r="S1610" s="0" t="s">
        <v>21</v>
      </c>
      <c r="T1610" s="0" t="s">
        <v>104</v>
      </c>
      <c r="W1610" s="0" t="s">
        <v>105</v>
      </c>
      <c r="X1610" s="0" t="s">
        <v>5514</v>
      </c>
      <c r="Y1610" s="0" t="s">
        <v>5515</v>
      </c>
      <c r="AB1610" s="0" t="s">
        <v>539</v>
      </c>
    </row>
    <row r="1611" customFormat="false" ht="15" hidden="false" customHeight="false" outlineLevel="0" collapsed="false">
      <c r="A1611" s="0" t="s">
        <v>21</v>
      </c>
      <c r="B1611" s="0" t="s">
        <v>5516</v>
      </c>
      <c r="C1611" s="0" t="s">
        <v>97</v>
      </c>
      <c r="D1611" s="0" t="s">
        <v>5517</v>
      </c>
      <c r="E1611" s="0" t="s">
        <v>5518</v>
      </c>
      <c r="H1611" s="0" t="s">
        <v>5519</v>
      </c>
      <c r="I1611" s="0" t="s">
        <v>5520</v>
      </c>
      <c r="J1611" s="0" t="s">
        <v>157</v>
      </c>
      <c r="K1611" s="0" t="s">
        <v>5521</v>
      </c>
      <c r="L1611" s="0" t="s">
        <v>124</v>
      </c>
      <c r="M1611" s="0" t="s">
        <v>232</v>
      </c>
      <c r="N1611" s="0" t="s">
        <v>124</v>
      </c>
      <c r="P1611" s="0" t="s">
        <v>204</v>
      </c>
      <c r="Q1611" s="0" t="s">
        <v>204</v>
      </c>
      <c r="R1611" s="0" t="s">
        <v>131</v>
      </c>
      <c r="S1611" s="0" t="s">
        <v>21</v>
      </c>
      <c r="T1611" s="0" t="s">
        <v>104</v>
      </c>
      <c r="W1611" s="0" t="s">
        <v>105</v>
      </c>
      <c r="X1611" s="0" t="s">
        <v>5522</v>
      </c>
      <c r="Y1611" s="0" t="s">
        <v>5523</v>
      </c>
      <c r="AB1611" s="0" t="s">
        <v>539</v>
      </c>
    </row>
    <row r="1612" customFormat="false" ht="15" hidden="false" customHeight="false" outlineLevel="0" collapsed="false">
      <c r="A1612" s="0" t="s">
        <v>21</v>
      </c>
      <c r="B1612" s="0" t="s">
        <v>5516</v>
      </c>
      <c r="C1612" s="0" t="s">
        <v>97</v>
      </c>
      <c r="D1612" s="0" t="s">
        <v>5517</v>
      </c>
      <c r="E1612" s="0" t="s">
        <v>5518</v>
      </c>
      <c r="H1612" s="0" t="s">
        <v>5519</v>
      </c>
      <c r="I1612" s="0" t="s">
        <v>5520</v>
      </c>
      <c r="J1612" s="0" t="s">
        <v>157</v>
      </c>
      <c r="K1612" s="0" t="s">
        <v>5521</v>
      </c>
      <c r="L1612" s="0" t="s">
        <v>124</v>
      </c>
      <c r="M1612" s="0" t="s">
        <v>232</v>
      </c>
      <c r="N1612" s="0" t="s">
        <v>124</v>
      </c>
      <c r="P1612" s="0" t="s">
        <v>554</v>
      </c>
      <c r="Q1612" s="0" t="s">
        <v>554</v>
      </c>
      <c r="R1612" s="0" t="s">
        <v>554</v>
      </c>
      <c r="S1612" s="0" t="s">
        <v>21</v>
      </c>
      <c r="T1612" s="0" t="s">
        <v>104</v>
      </c>
      <c r="W1612" s="0" t="s">
        <v>183</v>
      </c>
      <c r="X1612" s="0" t="s">
        <v>5522</v>
      </c>
      <c r="Y1612" s="0" t="s">
        <v>5523</v>
      </c>
      <c r="AB1612" s="0" t="s">
        <v>539</v>
      </c>
    </row>
    <row r="1613" customFormat="false" ht="15" hidden="false" customHeight="false" outlineLevel="0" collapsed="false">
      <c r="A1613" s="0" t="s">
        <v>21</v>
      </c>
      <c r="B1613" s="0" t="s">
        <v>5524</v>
      </c>
      <c r="C1613" s="0" t="s">
        <v>97</v>
      </c>
      <c r="D1613" s="0" t="s">
        <v>5525</v>
      </c>
      <c r="E1613" s="0" t="s">
        <v>5526</v>
      </c>
      <c r="H1613" s="0" t="s">
        <v>5527</v>
      </c>
      <c r="I1613" s="0" t="s">
        <v>5528</v>
      </c>
      <c r="J1613" s="0" t="s">
        <v>157</v>
      </c>
      <c r="K1613" s="0" t="s">
        <v>5529</v>
      </c>
      <c r="L1613" s="0" t="s">
        <v>124</v>
      </c>
      <c r="M1613" s="0" t="s">
        <v>232</v>
      </c>
      <c r="N1613" s="0" t="s">
        <v>124</v>
      </c>
      <c r="P1613" s="0" t="s">
        <v>130</v>
      </c>
      <c r="Q1613" s="0" t="s">
        <v>130</v>
      </c>
      <c r="R1613" s="0" t="s">
        <v>131</v>
      </c>
      <c r="S1613" s="0" t="s">
        <v>21</v>
      </c>
      <c r="T1613" s="0" t="s">
        <v>104</v>
      </c>
      <c r="W1613" s="0" t="s">
        <v>105</v>
      </c>
      <c r="X1613" s="0" t="s">
        <v>5530</v>
      </c>
      <c r="Y1613" s="0" t="s">
        <v>5531</v>
      </c>
      <c r="AB1613" s="0" t="s">
        <v>539</v>
      </c>
    </row>
    <row r="1614" customFormat="false" ht="15" hidden="false" customHeight="false" outlineLevel="0" collapsed="false">
      <c r="A1614" s="0" t="s">
        <v>21</v>
      </c>
      <c r="B1614" s="0" t="s">
        <v>5532</v>
      </c>
      <c r="C1614" s="0" t="s">
        <v>97</v>
      </c>
      <c r="D1614" s="0" t="s">
        <v>5533</v>
      </c>
      <c r="E1614" s="0" t="s">
        <v>5534</v>
      </c>
      <c r="H1614" s="0" t="s">
        <v>5535</v>
      </c>
      <c r="I1614" s="0" t="s">
        <v>5536</v>
      </c>
      <c r="J1614" s="0" t="s">
        <v>157</v>
      </c>
      <c r="K1614" s="0" t="s">
        <v>565</v>
      </c>
      <c r="L1614" s="0" t="s">
        <v>124</v>
      </c>
      <c r="M1614" s="0" t="s">
        <v>232</v>
      </c>
      <c r="N1614" s="0" t="s">
        <v>124</v>
      </c>
      <c r="P1614" s="0" t="s">
        <v>204</v>
      </c>
      <c r="Q1614" s="0" t="s">
        <v>204</v>
      </c>
      <c r="R1614" s="0" t="s">
        <v>131</v>
      </c>
      <c r="S1614" s="0" t="s">
        <v>21</v>
      </c>
      <c r="T1614" s="0" t="s">
        <v>104</v>
      </c>
      <c r="W1614" s="0" t="s">
        <v>105</v>
      </c>
      <c r="X1614" s="0" t="s">
        <v>5537</v>
      </c>
      <c r="Y1614" s="0" t="s">
        <v>5538</v>
      </c>
      <c r="AB1614" s="0" t="s">
        <v>539</v>
      </c>
    </row>
    <row r="1615" customFormat="false" ht="15" hidden="false" customHeight="false" outlineLevel="0" collapsed="false">
      <c r="A1615" s="0" t="s">
        <v>21</v>
      </c>
      <c r="B1615" s="0" t="s">
        <v>5532</v>
      </c>
      <c r="C1615" s="0" t="s">
        <v>97</v>
      </c>
      <c r="D1615" s="0" t="s">
        <v>5533</v>
      </c>
      <c r="E1615" s="0" t="s">
        <v>5534</v>
      </c>
      <c r="H1615" s="0" t="s">
        <v>5535</v>
      </c>
      <c r="I1615" s="0" t="s">
        <v>5536</v>
      </c>
      <c r="J1615" s="0" t="s">
        <v>157</v>
      </c>
      <c r="K1615" s="0" t="s">
        <v>565</v>
      </c>
      <c r="L1615" s="0" t="s">
        <v>124</v>
      </c>
      <c r="M1615" s="0" t="s">
        <v>232</v>
      </c>
      <c r="N1615" s="0" t="s">
        <v>124</v>
      </c>
      <c r="P1615" s="0" t="s">
        <v>554</v>
      </c>
      <c r="Q1615" s="0" t="s">
        <v>554</v>
      </c>
      <c r="R1615" s="0" t="s">
        <v>554</v>
      </c>
      <c r="S1615" s="0" t="s">
        <v>21</v>
      </c>
      <c r="T1615" s="0" t="s">
        <v>104</v>
      </c>
      <c r="W1615" s="0" t="s">
        <v>183</v>
      </c>
      <c r="X1615" s="0" t="s">
        <v>5537</v>
      </c>
      <c r="Y1615" s="0" t="s">
        <v>5538</v>
      </c>
      <c r="AB1615" s="0" t="s">
        <v>539</v>
      </c>
    </row>
    <row r="1616" customFormat="false" ht="15" hidden="false" customHeight="false" outlineLevel="0" collapsed="false">
      <c r="A1616" s="0" t="s">
        <v>21</v>
      </c>
      <c r="B1616" s="0" t="s">
        <v>5539</v>
      </c>
      <c r="C1616" s="0" t="s">
        <v>97</v>
      </c>
      <c r="D1616" s="0" t="s">
        <v>5540</v>
      </c>
      <c r="E1616" s="0" t="s">
        <v>5541</v>
      </c>
      <c r="H1616" s="0" t="s">
        <v>5542</v>
      </c>
      <c r="I1616" s="0" t="s">
        <v>5543</v>
      </c>
      <c r="J1616" s="0" t="s">
        <v>254</v>
      </c>
      <c r="K1616" s="0" t="s">
        <v>5544</v>
      </c>
      <c r="L1616" s="0" t="s">
        <v>124</v>
      </c>
      <c r="M1616" s="0" t="s">
        <v>208</v>
      </c>
      <c r="N1616" s="0" t="s">
        <v>124</v>
      </c>
      <c r="P1616" s="0" t="s">
        <v>130</v>
      </c>
      <c r="Q1616" s="0" t="s">
        <v>130</v>
      </c>
      <c r="R1616" s="0" t="s">
        <v>131</v>
      </c>
      <c r="S1616" s="0" t="s">
        <v>21</v>
      </c>
      <c r="T1616" s="0" t="s">
        <v>104</v>
      </c>
      <c r="W1616" s="0" t="s">
        <v>105</v>
      </c>
      <c r="X1616" s="0" t="s">
        <v>5545</v>
      </c>
      <c r="Y1616" s="0" t="s">
        <v>5546</v>
      </c>
      <c r="AB1616" s="0" t="s">
        <v>539</v>
      </c>
    </row>
    <row r="1617" customFormat="false" ht="15" hidden="false" customHeight="false" outlineLevel="0" collapsed="false">
      <c r="A1617" s="0" t="s">
        <v>21</v>
      </c>
      <c r="B1617" s="0" t="s">
        <v>5547</v>
      </c>
      <c r="C1617" s="0" t="s">
        <v>97</v>
      </c>
      <c r="D1617" s="0" t="s">
        <v>5548</v>
      </c>
      <c r="E1617" s="0" t="s">
        <v>5549</v>
      </c>
      <c r="H1617" s="0" t="s">
        <v>5550</v>
      </c>
      <c r="I1617" s="0" t="s">
        <v>5551</v>
      </c>
      <c r="J1617" s="0" t="s">
        <v>157</v>
      </c>
      <c r="K1617" s="0" t="s">
        <v>565</v>
      </c>
      <c r="L1617" s="0" t="s">
        <v>124</v>
      </c>
      <c r="M1617" s="0" t="s">
        <v>232</v>
      </c>
      <c r="N1617" s="0" t="s">
        <v>124</v>
      </c>
      <c r="P1617" s="0" t="s">
        <v>204</v>
      </c>
      <c r="Q1617" s="0" t="s">
        <v>204</v>
      </c>
      <c r="R1617" s="0" t="s">
        <v>131</v>
      </c>
      <c r="S1617" s="0" t="s">
        <v>21</v>
      </c>
      <c r="T1617" s="0" t="s">
        <v>104</v>
      </c>
      <c r="W1617" s="0" t="s">
        <v>105</v>
      </c>
      <c r="X1617" s="0" t="s">
        <v>5552</v>
      </c>
      <c r="Y1617" s="0" t="s">
        <v>5553</v>
      </c>
      <c r="AB1617" s="0" t="s">
        <v>539</v>
      </c>
    </row>
    <row r="1618" customFormat="false" ht="15" hidden="false" customHeight="false" outlineLevel="0" collapsed="false">
      <c r="A1618" s="0" t="s">
        <v>21</v>
      </c>
      <c r="B1618" s="0" t="s">
        <v>5547</v>
      </c>
      <c r="C1618" s="0" t="s">
        <v>97</v>
      </c>
      <c r="D1618" s="0" t="s">
        <v>5548</v>
      </c>
      <c r="E1618" s="0" t="s">
        <v>5549</v>
      </c>
      <c r="H1618" s="0" t="s">
        <v>5550</v>
      </c>
      <c r="I1618" s="0" t="s">
        <v>5551</v>
      </c>
      <c r="J1618" s="0" t="s">
        <v>157</v>
      </c>
      <c r="K1618" s="0" t="s">
        <v>565</v>
      </c>
      <c r="L1618" s="0" t="s">
        <v>124</v>
      </c>
      <c r="M1618" s="0" t="s">
        <v>232</v>
      </c>
      <c r="N1618" s="0" t="s">
        <v>124</v>
      </c>
      <c r="P1618" s="0" t="s">
        <v>554</v>
      </c>
      <c r="Q1618" s="0" t="s">
        <v>554</v>
      </c>
      <c r="R1618" s="0" t="s">
        <v>554</v>
      </c>
      <c r="S1618" s="0" t="s">
        <v>21</v>
      </c>
      <c r="T1618" s="0" t="s">
        <v>104</v>
      </c>
      <c r="W1618" s="0" t="s">
        <v>183</v>
      </c>
      <c r="X1618" s="0" t="s">
        <v>5552</v>
      </c>
      <c r="Y1618" s="0" t="s">
        <v>5553</v>
      </c>
      <c r="AB1618" s="0" t="s">
        <v>539</v>
      </c>
    </row>
    <row r="1619" customFormat="false" ht="15" hidden="false" customHeight="false" outlineLevel="0" collapsed="false">
      <c r="A1619" s="0" t="s">
        <v>21</v>
      </c>
      <c r="B1619" s="0" t="s">
        <v>5554</v>
      </c>
      <c r="C1619" s="0" t="s">
        <v>97</v>
      </c>
      <c r="D1619" s="0" t="s">
        <v>5555</v>
      </c>
      <c r="E1619" s="0" t="s">
        <v>5556</v>
      </c>
      <c r="H1619" s="0" t="s">
        <v>5557</v>
      </c>
      <c r="I1619" s="0" t="s">
        <v>5558</v>
      </c>
      <c r="J1619" s="0" t="s">
        <v>157</v>
      </c>
      <c r="K1619" s="0" t="s">
        <v>5559</v>
      </c>
      <c r="L1619" s="0" t="s">
        <v>124</v>
      </c>
      <c r="M1619" s="0" t="s">
        <v>232</v>
      </c>
      <c r="N1619" s="0" t="s">
        <v>124</v>
      </c>
      <c r="P1619" s="0" t="s">
        <v>204</v>
      </c>
      <c r="Q1619" s="0" t="s">
        <v>204</v>
      </c>
      <c r="R1619" s="0" t="s">
        <v>131</v>
      </c>
      <c r="S1619" s="0" t="s">
        <v>21</v>
      </c>
      <c r="T1619" s="0" t="s">
        <v>104</v>
      </c>
      <c r="W1619" s="0" t="s">
        <v>105</v>
      </c>
      <c r="X1619" s="0" t="s">
        <v>5560</v>
      </c>
      <c r="Y1619" s="0" t="s">
        <v>5561</v>
      </c>
      <c r="AB1619" s="0" t="s">
        <v>539</v>
      </c>
    </row>
    <row r="1620" customFormat="false" ht="15" hidden="false" customHeight="false" outlineLevel="0" collapsed="false">
      <c r="A1620" s="0" t="s">
        <v>21</v>
      </c>
      <c r="B1620" s="0" t="s">
        <v>5554</v>
      </c>
      <c r="C1620" s="0" t="s">
        <v>97</v>
      </c>
      <c r="D1620" s="0" t="s">
        <v>5555</v>
      </c>
      <c r="E1620" s="0" t="s">
        <v>5556</v>
      </c>
      <c r="H1620" s="0" t="s">
        <v>5557</v>
      </c>
      <c r="I1620" s="0" t="s">
        <v>5558</v>
      </c>
      <c r="J1620" s="0" t="s">
        <v>157</v>
      </c>
      <c r="K1620" s="0" t="s">
        <v>5559</v>
      </c>
      <c r="L1620" s="0" t="s">
        <v>124</v>
      </c>
      <c r="M1620" s="0" t="s">
        <v>232</v>
      </c>
      <c r="N1620" s="0" t="s">
        <v>124</v>
      </c>
      <c r="P1620" s="0" t="s">
        <v>554</v>
      </c>
      <c r="Q1620" s="0" t="s">
        <v>554</v>
      </c>
      <c r="R1620" s="0" t="s">
        <v>554</v>
      </c>
      <c r="S1620" s="0" t="s">
        <v>21</v>
      </c>
      <c r="T1620" s="0" t="s">
        <v>104</v>
      </c>
      <c r="W1620" s="0" t="s">
        <v>183</v>
      </c>
      <c r="X1620" s="0" t="s">
        <v>5560</v>
      </c>
      <c r="Y1620" s="0" t="s">
        <v>5561</v>
      </c>
      <c r="AB1620" s="0" t="s">
        <v>539</v>
      </c>
    </row>
    <row r="1621" customFormat="false" ht="15" hidden="false" customHeight="false" outlineLevel="0" collapsed="false">
      <c r="A1621" s="0" t="s">
        <v>21</v>
      </c>
      <c r="B1621" s="0" t="s">
        <v>5562</v>
      </c>
      <c r="C1621" s="0" t="s">
        <v>97</v>
      </c>
      <c r="D1621" s="0" t="s">
        <v>5563</v>
      </c>
      <c r="E1621" s="0" t="s">
        <v>4382</v>
      </c>
      <c r="H1621" s="0" t="s">
        <v>5564</v>
      </c>
      <c r="I1621" s="0" t="s">
        <v>5565</v>
      </c>
      <c r="J1621" s="0" t="s">
        <v>157</v>
      </c>
      <c r="K1621" s="0" t="s">
        <v>565</v>
      </c>
      <c r="L1621" s="0" t="s">
        <v>124</v>
      </c>
      <c r="M1621" s="0" t="s">
        <v>232</v>
      </c>
      <c r="N1621" s="0" t="s">
        <v>124</v>
      </c>
      <c r="P1621" s="0" t="s">
        <v>204</v>
      </c>
      <c r="Q1621" s="0" t="s">
        <v>204</v>
      </c>
      <c r="R1621" s="0" t="s">
        <v>131</v>
      </c>
      <c r="S1621" s="0" t="s">
        <v>21</v>
      </c>
      <c r="T1621" s="0" t="s">
        <v>104</v>
      </c>
      <c r="W1621" s="0" t="s">
        <v>105</v>
      </c>
      <c r="X1621" s="0" t="s">
        <v>5566</v>
      </c>
      <c r="Y1621" s="0" t="s">
        <v>5567</v>
      </c>
      <c r="AB1621" s="0" t="s">
        <v>539</v>
      </c>
    </row>
    <row r="1622" customFormat="false" ht="15" hidden="false" customHeight="false" outlineLevel="0" collapsed="false">
      <c r="A1622" s="0" t="s">
        <v>21</v>
      </c>
      <c r="B1622" s="0" t="s">
        <v>5562</v>
      </c>
      <c r="C1622" s="0" t="s">
        <v>97</v>
      </c>
      <c r="D1622" s="0" t="s">
        <v>5563</v>
      </c>
      <c r="E1622" s="0" t="s">
        <v>4382</v>
      </c>
      <c r="H1622" s="0" t="s">
        <v>5564</v>
      </c>
      <c r="I1622" s="0" t="s">
        <v>5565</v>
      </c>
      <c r="J1622" s="0" t="s">
        <v>157</v>
      </c>
      <c r="K1622" s="0" t="s">
        <v>565</v>
      </c>
      <c r="L1622" s="0" t="s">
        <v>124</v>
      </c>
      <c r="M1622" s="0" t="s">
        <v>232</v>
      </c>
      <c r="N1622" s="0" t="s">
        <v>124</v>
      </c>
      <c r="P1622" s="0" t="s">
        <v>554</v>
      </c>
      <c r="Q1622" s="0" t="s">
        <v>554</v>
      </c>
      <c r="R1622" s="0" t="s">
        <v>554</v>
      </c>
      <c r="S1622" s="0" t="s">
        <v>21</v>
      </c>
      <c r="T1622" s="0" t="s">
        <v>104</v>
      </c>
      <c r="W1622" s="0" t="s">
        <v>183</v>
      </c>
      <c r="X1622" s="0" t="s">
        <v>5566</v>
      </c>
      <c r="Y1622" s="0" t="s">
        <v>5567</v>
      </c>
      <c r="AB1622" s="0" t="s">
        <v>539</v>
      </c>
    </row>
    <row r="1623" customFormat="false" ht="15" hidden="false" customHeight="false" outlineLevel="0" collapsed="false">
      <c r="A1623" s="0" t="s">
        <v>21</v>
      </c>
      <c r="B1623" s="0" t="s">
        <v>5568</v>
      </c>
      <c r="C1623" s="0" t="s">
        <v>97</v>
      </c>
      <c r="D1623" s="0" t="s">
        <v>5569</v>
      </c>
      <c r="E1623" s="0" t="s">
        <v>5570</v>
      </c>
      <c r="G1623" s="0" t="s">
        <v>5571</v>
      </c>
      <c r="M1623" s="0" t="s">
        <v>247</v>
      </c>
      <c r="N1623" s="0" t="s">
        <v>124</v>
      </c>
      <c r="P1623" s="0" t="s">
        <v>204</v>
      </c>
      <c r="Q1623" s="0" t="s">
        <v>204</v>
      </c>
      <c r="R1623" s="0" t="s">
        <v>131</v>
      </c>
      <c r="S1623" s="0" t="s">
        <v>21</v>
      </c>
      <c r="T1623" s="0" t="s">
        <v>104</v>
      </c>
      <c r="W1623" s="0" t="s">
        <v>105</v>
      </c>
      <c r="AB1623" s="0" t="s">
        <v>539</v>
      </c>
    </row>
    <row r="1624" customFormat="false" ht="15" hidden="false" customHeight="false" outlineLevel="0" collapsed="false">
      <c r="A1624" s="0" t="s">
        <v>21</v>
      </c>
      <c r="B1624" s="0" t="s">
        <v>5568</v>
      </c>
      <c r="C1624" s="0" t="s">
        <v>97</v>
      </c>
      <c r="D1624" s="0" t="s">
        <v>5569</v>
      </c>
      <c r="E1624" s="0" t="s">
        <v>5570</v>
      </c>
      <c r="G1624" s="0" t="s">
        <v>5571</v>
      </c>
      <c r="M1624" s="0" t="s">
        <v>247</v>
      </c>
      <c r="N1624" s="0" t="s">
        <v>124</v>
      </c>
      <c r="P1624" s="0" t="s">
        <v>554</v>
      </c>
      <c r="Q1624" s="0" t="s">
        <v>554</v>
      </c>
      <c r="R1624" s="0" t="s">
        <v>554</v>
      </c>
      <c r="S1624" s="0" t="s">
        <v>21</v>
      </c>
      <c r="T1624" s="0" t="s">
        <v>104</v>
      </c>
      <c r="W1624" s="0" t="s">
        <v>183</v>
      </c>
      <c r="AB1624" s="0" t="s">
        <v>539</v>
      </c>
    </row>
    <row r="1625" customFormat="false" ht="15" hidden="false" customHeight="false" outlineLevel="0" collapsed="false">
      <c r="A1625" s="0" t="s">
        <v>21</v>
      </c>
      <c r="B1625" s="0" t="s">
        <v>5572</v>
      </c>
      <c r="C1625" s="0" t="s">
        <v>661</v>
      </c>
      <c r="D1625" s="0" t="s">
        <v>5573</v>
      </c>
      <c r="E1625" s="0" t="s">
        <v>5574</v>
      </c>
      <c r="M1625" s="0" t="s">
        <v>247</v>
      </c>
      <c r="N1625" s="0" t="s">
        <v>124</v>
      </c>
      <c r="P1625" s="0" t="s">
        <v>204</v>
      </c>
      <c r="Q1625" s="0" t="s">
        <v>204</v>
      </c>
      <c r="R1625" s="0" t="s">
        <v>131</v>
      </c>
      <c r="S1625" s="0" t="s">
        <v>21</v>
      </c>
      <c r="T1625" s="0" t="s">
        <v>104</v>
      </c>
      <c r="W1625" s="0" t="s">
        <v>105</v>
      </c>
      <c r="AB1625" s="0" t="s">
        <v>539</v>
      </c>
    </row>
    <row r="1626" customFormat="false" ht="15" hidden="false" customHeight="false" outlineLevel="0" collapsed="false">
      <c r="A1626" s="0" t="s">
        <v>21</v>
      </c>
      <c r="B1626" s="0" t="s">
        <v>5572</v>
      </c>
      <c r="C1626" s="0" t="s">
        <v>661</v>
      </c>
      <c r="D1626" s="0" t="s">
        <v>5573</v>
      </c>
      <c r="E1626" s="0" t="s">
        <v>5574</v>
      </c>
      <c r="M1626" s="0" t="s">
        <v>247</v>
      </c>
      <c r="N1626" s="0" t="s">
        <v>124</v>
      </c>
      <c r="P1626" s="0" t="s">
        <v>554</v>
      </c>
      <c r="Q1626" s="0" t="s">
        <v>554</v>
      </c>
      <c r="R1626" s="0" t="s">
        <v>554</v>
      </c>
      <c r="S1626" s="0" t="s">
        <v>21</v>
      </c>
      <c r="T1626" s="0" t="s">
        <v>104</v>
      </c>
      <c r="W1626" s="0" t="s">
        <v>183</v>
      </c>
      <c r="AB1626" s="0" t="s">
        <v>539</v>
      </c>
    </row>
    <row r="1627" customFormat="false" ht="15" hidden="false" customHeight="false" outlineLevel="0" collapsed="false">
      <c r="A1627" s="0" t="s">
        <v>21</v>
      </c>
      <c r="B1627" s="0" t="s">
        <v>5575</v>
      </c>
      <c r="C1627" s="0" t="s">
        <v>97</v>
      </c>
      <c r="D1627" s="0" t="s">
        <v>5576</v>
      </c>
      <c r="E1627" s="0" t="s">
        <v>5577</v>
      </c>
      <c r="H1627" s="0" t="s">
        <v>5578</v>
      </c>
      <c r="I1627" s="0" t="s">
        <v>5579</v>
      </c>
      <c r="J1627" s="0" t="s">
        <v>157</v>
      </c>
      <c r="K1627" s="0" t="s">
        <v>5529</v>
      </c>
      <c r="L1627" s="0" t="s">
        <v>124</v>
      </c>
      <c r="M1627" s="0" t="s">
        <v>232</v>
      </c>
      <c r="N1627" s="0" t="s">
        <v>124</v>
      </c>
      <c r="P1627" s="0" t="s">
        <v>204</v>
      </c>
      <c r="Q1627" s="0" t="s">
        <v>204</v>
      </c>
      <c r="R1627" s="0" t="s">
        <v>131</v>
      </c>
      <c r="S1627" s="0" t="s">
        <v>21</v>
      </c>
      <c r="T1627" s="0" t="s">
        <v>104</v>
      </c>
      <c r="W1627" s="0" t="s">
        <v>105</v>
      </c>
      <c r="X1627" s="0" t="s">
        <v>5580</v>
      </c>
      <c r="Y1627" s="0" t="s">
        <v>5581</v>
      </c>
      <c r="AB1627" s="0" t="s">
        <v>539</v>
      </c>
    </row>
    <row r="1628" customFormat="false" ht="15" hidden="false" customHeight="false" outlineLevel="0" collapsed="false">
      <c r="A1628" s="0" t="s">
        <v>21</v>
      </c>
      <c r="B1628" s="0" t="s">
        <v>5575</v>
      </c>
      <c r="C1628" s="0" t="s">
        <v>97</v>
      </c>
      <c r="D1628" s="0" t="s">
        <v>5576</v>
      </c>
      <c r="E1628" s="0" t="s">
        <v>5577</v>
      </c>
      <c r="H1628" s="0" t="s">
        <v>5578</v>
      </c>
      <c r="I1628" s="0" t="s">
        <v>5579</v>
      </c>
      <c r="J1628" s="0" t="s">
        <v>157</v>
      </c>
      <c r="K1628" s="0" t="s">
        <v>5529</v>
      </c>
      <c r="L1628" s="0" t="s">
        <v>124</v>
      </c>
      <c r="M1628" s="0" t="s">
        <v>232</v>
      </c>
      <c r="N1628" s="0" t="s">
        <v>124</v>
      </c>
      <c r="P1628" s="0" t="s">
        <v>554</v>
      </c>
      <c r="Q1628" s="0" t="s">
        <v>554</v>
      </c>
      <c r="R1628" s="0" t="s">
        <v>554</v>
      </c>
      <c r="S1628" s="0" t="s">
        <v>21</v>
      </c>
      <c r="T1628" s="0" t="s">
        <v>104</v>
      </c>
      <c r="W1628" s="0" t="s">
        <v>183</v>
      </c>
      <c r="X1628" s="0" t="s">
        <v>5580</v>
      </c>
      <c r="Y1628" s="0" t="s">
        <v>5581</v>
      </c>
      <c r="AB1628" s="0" t="s">
        <v>539</v>
      </c>
    </row>
    <row r="1629" customFormat="false" ht="15" hidden="false" customHeight="false" outlineLevel="0" collapsed="false">
      <c r="A1629" s="0" t="s">
        <v>21</v>
      </c>
      <c r="B1629" s="0" t="s">
        <v>5582</v>
      </c>
      <c r="C1629" s="0" t="s">
        <v>97</v>
      </c>
      <c r="D1629" s="0" t="s">
        <v>5583</v>
      </c>
      <c r="E1629" s="0" t="s">
        <v>5584</v>
      </c>
      <c r="H1629" s="0" t="s">
        <v>5585</v>
      </c>
      <c r="I1629" s="0" t="s">
        <v>5586</v>
      </c>
      <c r="J1629" s="0" t="s">
        <v>254</v>
      </c>
      <c r="K1629" s="0" t="s">
        <v>4250</v>
      </c>
      <c r="L1629" s="0" t="s">
        <v>124</v>
      </c>
      <c r="M1629" s="0" t="s">
        <v>208</v>
      </c>
      <c r="N1629" s="0" t="s">
        <v>124</v>
      </c>
      <c r="P1629" s="0" t="s">
        <v>204</v>
      </c>
      <c r="Q1629" s="0" t="s">
        <v>204</v>
      </c>
      <c r="R1629" s="0" t="s">
        <v>131</v>
      </c>
      <c r="S1629" s="0" t="s">
        <v>21</v>
      </c>
      <c r="T1629" s="0" t="s">
        <v>104</v>
      </c>
      <c r="W1629" s="0" t="s">
        <v>105</v>
      </c>
      <c r="X1629" s="0" t="s">
        <v>5587</v>
      </c>
      <c r="Y1629" s="0" t="s">
        <v>5588</v>
      </c>
      <c r="AB1629" s="0" t="s">
        <v>539</v>
      </c>
    </row>
    <row r="1630" customFormat="false" ht="15" hidden="false" customHeight="false" outlineLevel="0" collapsed="false">
      <c r="A1630" s="0" t="s">
        <v>21</v>
      </c>
      <c r="B1630" s="0" t="s">
        <v>5582</v>
      </c>
      <c r="C1630" s="0" t="s">
        <v>97</v>
      </c>
      <c r="D1630" s="0" t="s">
        <v>5583</v>
      </c>
      <c r="E1630" s="0" t="s">
        <v>5584</v>
      </c>
      <c r="H1630" s="0" t="s">
        <v>5585</v>
      </c>
      <c r="I1630" s="0" t="s">
        <v>5586</v>
      </c>
      <c r="J1630" s="0" t="s">
        <v>254</v>
      </c>
      <c r="K1630" s="0" t="s">
        <v>4250</v>
      </c>
      <c r="L1630" s="0" t="s">
        <v>124</v>
      </c>
      <c r="M1630" s="0" t="s">
        <v>208</v>
      </c>
      <c r="N1630" s="0" t="s">
        <v>124</v>
      </c>
      <c r="P1630" s="0" t="s">
        <v>554</v>
      </c>
      <c r="Q1630" s="0" t="s">
        <v>554</v>
      </c>
      <c r="R1630" s="0" t="s">
        <v>554</v>
      </c>
      <c r="S1630" s="0" t="s">
        <v>21</v>
      </c>
      <c r="T1630" s="0" t="s">
        <v>104</v>
      </c>
      <c r="W1630" s="0" t="s">
        <v>183</v>
      </c>
      <c r="X1630" s="0" t="s">
        <v>5587</v>
      </c>
      <c r="Y1630" s="0" t="s">
        <v>5588</v>
      </c>
      <c r="AB1630" s="0" t="s">
        <v>539</v>
      </c>
    </row>
    <row r="1631" customFormat="false" ht="15" hidden="false" customHeight="false" outlineLevel="0" collapsed="false">
      <c r="A1631" s="0" t="s">
        <v>21</v>
      </c>
      <c r="B1631" s="0" t="s">
        <v>5589</v>
      </c>
      <c r="C1631" s="0" t="s">
        <v>97</v>
      </c>
      <c r="D1631" s="0" t="s">
        <v>5583</v>
      </c>
      <c r="E1631" s="0" t="s">
        <v>5590</v>
      </c>
      <c r="H1631" s="0" t="s">
        <v>5591</v>
      </c>
      <c r="I1631" s="0" t="s">
        <v>5592</v>
      </c>
      <c r="J1631" s="0" t="s">
        <v>254</v>
      </c>
      <c r="K1631" s="0" t="s">
        <v>4250</v>
      </c>
      <c r="L1631" s="0" t="s">
        <v>124</v>
      </c>
      <c r="M1631" s="0" t="s">
        <v>208</v>
      </c>
      <c r="N1631" s="0" t="s">
        <v>124</v>
      </c>
      <c r="P1631" s="0" t="s">
        <v>130</v>
      </c>
      <c r="Q1631" s="0" t="s">
        <v>130</v>
      </c>
      <c r="R1631" s="0" t="s">
        <v>131</v>
      </c>
      <c r="S1631" s="0" t="s">
        <v>21</v>
      </c>
      <c r="T1631" s="0" t="s">
        <v>104</v>
      </c>
      <c r="W1631" s="0" t="s">
        <v>105</v>
      </c>
      <c r="X1631" s="0" t="s">
        <v>5593</v>
      </c>
      <c r="Y1631" s="0" t="s">
        <v>5594</v>
      </c>
      <c r="AB1631" s="0" t="s">
        <v>539</v>
      </c>
    </row>
    <row r="1632" customFormat="false" ht="15" hidden="false" customHeight="false" outlineLevel="0" collapsed="false">
      <c r="A1632" s="0" t="s">
        <v>21</v>
      </c>
      <c r="B1632" s="0" t="s">
        <v>5595</v>
      </c>
      <c r="C1632" s="0" t="s">
        <v>97</v>
      </c>
      <c r="D1632" s="0" t="s">
        <v>5596</v>
      </c>
      <c r="E1632" s="0" t="s">
        <v>1952</v>
      </c>
      <c r="H1632" s="0" t="s">
        <v>5597</v>
      </c>
      <c r="I1632" s="0" t="s">
        <v>5598</v>
      </c>
      <c r="J1632" s="0" t="s">
        <v>157</v>
      </c>
      <c r="K1632" s="0" t="s">
        <v>5599</v>
      </c>
      <c r="L1632" s="0" t="s">
        <v>124</v>
      </c>
      <c r="M1632" s="0" t="s">
        <v>232</v>
      </c>
      <c r="N1632" s="0" t="s">
        <v>124</v>
      </c>
      <c r="P1632" s="0" t="s">
        <v>204</v>
      </c>
      <c r="Q1632" s="0" t="s">
        <v>204</v>
      </c>
      <c r="R1632" s="0" t="s">
        <v>131</v>
      </c>
      <c r="S1632" s="0" t="s">
        <v>21</v>
      </c>
      <c r="T1632" s="0" t="s">
        <v>104</v>
      </c>
      <c r="W1632" s="0" t="s">
        <v>105</v>
      </c>
      <c r="X1632" s="0" t="s">
        <v>5600</v>
      </c>
      <c r="Y1632" s="0" t="s">
        <v>5601</v>
      </c>
      <c r="AB1632" s="0" t="s">
        <v>539</v>
      </c>
    </row>
    <row r="1633" customFormat="false" ht="15" hidden="false" customHeight="false" outlineLevel="0" collapsed="false">
      <c r="A1633" s="0" t="s">
        <v>21</v>
      </c>
      <c r="B1633" s="0" t="s">
        <v>5595</v>
      </c>
      <c r="C1633" s="0" t="s">
        <v>97</v>
      </c>
      <c r="D1633" s="0" t="s">
        <v>5596</v>
      </c>
      <c r="E1633" s="0" t="s">
        <v>1952</v>
      </c>
      <c r="H1633" s="0" t="s">
        <v>5597</v>
      </c>
      <c r="I1633" s="0" t="s">
        <v>5598</v>
      </c>
      <c r="J1633" s="0" t="s">
        <v>157</v>
      </c>
      <c r="K1633" s="0" t="s">
        <v>5599</v>
      </c>
      <c r="L1633" s="0" t="s">
        <v>124</v>
      </c>
      <c r="M1633" s="0" t="s">
        <v>232</v>
      </c>
      <c r="N1633" s="0" t="s">
        <v>124</v>
      </c>
      <c r="P1633" s="0" t="s">
        <v>554</v>
      </c>
      <c r="Q1633" s="0" t="s">
        <v>554</v>
      </c>
      <c r="R1633" s="0" t="s">
        <v>554</v>
      </c>
      <c r="S1633" s="0" t="s">
        <v>21</v>
      </c>
      <c r="T1633" s="0" t="s">
        <v>104</v>
      </c>
      <c r="W1633" s="0" t="s">
        <v>183</v>
      </c>
      <c r="X1633" s="0" t="s">
        <v>5600</v>
      </c>
      <c r="Y1633" s="0" t="s">
        <v>5601</v>
      </c>
      <c r="AB1633" s="0" t="s">
        <v>539</v>
      </c>
    </row>
    <row r="1634" customFormat="false" ht="15" hidden="false" customHeight="false" outlineLevel="0" collapsed="false">
      <c r="A1634" s="0" t="s">
        <v>21</v>
      </c>
      <c r="B1634" s="0" t="s">
        <v>5602</v>
      </c>
      <c r="C1634" s="0" t="s">
        <v>97</v>
      </c>
      <c r="D1634" s="0" t="s">
        <v>5603</v>
      </c>
      <c r="E1634" s="0" t="s">
        <v>5604</v>
      </c>
      <c r="G1634" s="0" t="s">
        <v>5605</v>
      </c>
      <c r="H1634" s="0" t="s">
        <v>5606</v>
      </c>
      <c r="I1634" s="0" t="s">
        <v>5607</v>
      </c>
      <c r="J1634" s="0" t="s">
        <v>254</v>
      </c>
      <c r="K1634" s="0" t="s">
        <v>5608</v>
      </c>
      <c r="L1634" s="0" t="s">
        <v>124</v>
      </c>
      <c r="M1634" s="0" t="s">
        <v>5607</v>
      </c>
      <c r="N1634" s="0" t="s">
        <v>124</v>
      </c>
      <c r="P1634" s="0" t="s">
        <v>204</v>
      </c>
      <c r="Q1634" s="0" t="s">
        <v>204</v>
      </c>
      <c r="R1634" s="0" t="s">
        <v>131</v>
      </c>
      <c r="S1634" s="0" t="s">
        <v>21</v>
      </c>
      <c r="T1634" s="0" t="s">
        <v>104</v>
      </c>
      <c r="W1634" s="0" t="s">
        <v>105</v>
      </c>
      <c r="AB1634" s="0" t="s">
        <v>539</v>
      </c>
    </row>
    <row r="1635" customFormat="false" ht="15" hidden="false" customHeight="false" outlineLevel="0" collapsed="false">
      <c r="A1635" s="0" t="s">
        <v>21</v>
      </c>
      <c r="B1635" s="0" t="s">
        <v>5602</v>
      </c>
      <c r="C1635" s="0" t="s">
        <v>97</v>
      </c>
      <c r="D1635" s="0" t="s">
        <v>5603</v>
      </c>
      <c r="E1635" s="0" t="s">
        <v>5604</v>
      </c>
      <c r="G1635" s="0" t="s">
        <v>5605</v>
      </c>
      <c r="H1635" s="0" t="s">
        <v>5606</v>
      </c>
      <c r="I1635" s="0" t="s">
        <v>5607</v>
      </c>
      <c r="J1635" s="0" t="s">
        <v>254</v>
      </c>
      <c r="K1635" s="0" t="s">
        <v>5608</v>
      </c>
      <c r="L1635" s="0" t="s">
        <v>124</v>
      </c>
      <c r="M1635" s="0" t="s">
        <v>5607</v>
      </c>
      <c r="N1635" s="0" t="s">
        <v>124</v>
      </c>
      <c r="P1635" s="0" t="s">
        <v>554</v>
      </c>
      <c r="Q1635" s="0" t="s">
        <v>554</v>
      </c>
      <c r="R1635" s="0" t="s">
        <v>554</v>
      </c>
      <c r="S1635" s="0" t="s">
        <v>21</v>
      </c>
      <c r="T1635" s="0" t="s">
        <v>104</v>
      </c>
      <c r="W1635" s="0" t="s">
        <v>183</v>
      </c>
      <c r="AB1635" s="0" t="s">
        <v>539</v>
      </c>
    </row>
    <row r="1636" customFormat="false" ht="15" hidden="false" customHeight="false" outlineLevel="0" collapsed="false">
      <c r="A1636" s="0" t="s">
        <v>21</v>
      </c>
      <c r="B1636" s="0" t="s">
        <v>5609</v>
      </c>
      <c r="C1636" s="0" t="s">
        <v>97</v>
      </c>
      <c r="D1636" s="0" t="s">
        <v>5610</v>
      </c>
      <c r="E1636" s="0" t="s">
        <v>5611</v>
      </c>
      <c r="H1636" s="0" t="s">
        <v>5612</v>
      </c>
      <c r="I1636" s="0" t="s">
        <v>5528</v>
      </c>
      <c r="J1636" s="0" t="s">
        <v>157</v>
      </c>
      <c r="K1636" s="0" t="s">
        <v>5529</v>
      </c>
      <c r="L1636" s="0" t="s">
        <v>124</v>
      </c>
      <c r="M1636" s="0" t="s">
        <v>232</v>
      </c>
      <c r="N1636" s="0" t="s">
        <v>124</v>
      </c>
      <c r="P1636" s="0" t="s">
        <v>204</v>
      </c>
      <c r="Q1636" s="0" t="s">
        <v>204</v>
      </c>
      <c r="R1636" s="0" t="s">
        <v>131</v>
      </c>
      <c r="S1636" s="0" t="s">
        <v>21</v>
      </c>
      <c r="T1636" s="0" t="s">
        <v>104</v>
      </c>
      <c r="W1636" s="0" t="s">
        <v>105</v>
      </c>
      <c r="X1636" s="0" t="s">
        <v>5613</v>
      </c>
      <c r="Y1636" s="0" t="s">
        <v>5614</v>
      </c>
      <c r="AB1636" s="0" t="s">
        <v>539</v>
      </c>
    </row>
    <row r="1637" customFormat="false" ht="15" hidden="false" customHeight="false" outlineLevel="0" collapsed="false">
      <c r="A1637" s="0" t="s">
        <v>21</v>
      </c>
      <c r="B1637" s="0" t="s">
        <v>5609</v>
      </c>
      <c r="C1637" s="0" t="s">
        <v>97</v>
      </c>
      <c r="D1637" s="0" t="s">
        <v>5610</v>
      </c>
      <c r="E1637" s="0" t="s">
        <v>5611</v>
      </c>
      <c r="H1637" s="0" t="s">
        <v>5612</v>
      </c>
      <c r="I1637" s="0" t="s">
        <v>5528</v>
      </c>
      <c r="J1637" s="0" t="s">
        <v>157</v>
      </c>
      <c r="K1637" s="0" t="s">
        <v>5529</v>
      </c>
      <c r="L1637" s="0" t="s">
        <v>124</v>
      </c>
      <c r="M1637" s="0" t="s">
        <v>232</v>
      </c>
      <c r="N1637" s="0" t="s">
        <v>124</v>
      </c>
      <c r="P1637" s="0" t="s">
        <v>554</v>
      </c>
      <c r="Q1637" s="0" t="s">
        <v>554</v>
      </c>
      <c r="R1637" s="0" t="s">
        <v>554</v>
      </c>
      <c r="S1637" s="0" t="s">
        <v>21</v>
      </c>
      <c r="T1637" s="0" t="s">
        <v>104</v>
      </c>
      <c r="W1637" s="0" t="s">
        <v>183</v>
      </c>
      <c r="X1637" s="0" t="s">
        <v>5613</v>
      </c>
      <c r="Y1637" s="0" t="s">
        <v>5614</v>
      </c>
      <c r="AB1637" s="0" t="s">
        <v>539</v>
      </c>
    </row>
    <row r="1638" customFormat="false" ht="15" hidden="false" customHeight="false" outlineLevel="0" collapsed="false">
      <c r="A1638" s="0" t="s">
        <v>21</v>
      </c>
      <c r="B1638" s="0" t="s">
        <v>5615</v>
      </c>
      <c r="C1638" s="0" t="s">
        <v>190</v>
      </c>
      <c r="D1638" s="0" t="s">
        <v>5616</v>
      </c>
      <c r="E1638" s="0" t="s">
        <v>4547</v>
      </c>
      <c r="H1638" s="0" t="s">
        <v>4548</v>
      </c>
      <c r="I1638" s="0" t="s">
        <v>4549</v>
      </c>
      <c r="J1638" s="0" t="s">
        <v>245</v>
      </c>
      <c r="K1638" s="0" t="s">
        <v>4550</v>
      </c>
      <c r="M1638" s="0" t="s">
        <v>247</v>
      </c>
      <c r="N1638" s="0" t="s">
        <v>124</v>
      </c>
      <c r="P1638" s="0" t="s">
        <v>204</v>
      </c>
      <c r="Q1638" s="0" t="s">
        <v>204</v>
      </c>
      <c r="R1638" s="0" t="s">
        <v>131</v>
      </c>
      <c r="S1638" s="0" t="s">
        <v>21</v>
      </c>
      <c r="T1638" s="0" t="s">
        <v>104</v>
      </c>
      <c r="W1638" s="0" t="s">
        <v>105</v>
      </c>
      <c r="AB1638" s="0" t="s">
        <v>539</v>
      </c>
    </row>
    <row r="1639" customFormat="false" ht="15" hidden="false" customHeight="false" outlineLevel="0" collapsed="false">
      <c r="A1639" s="0" t="s">
        <v>21</v>
      </c>
      <c r="B1639" s="0" t="s">
        <v>5615</v>
      </c>
      <c r="C1639" s="0" t="s">
        <v>190</v>
      </c>
      <c r="D1639" s="0" t="s">
        <v>5616</v>
      </c>
      <c r="E1639" s="0" t="s">
        <v>4547</v>
      </c>
      <c r="H1639" s="0" t="s">
        <v>4548</v>
      </c>
      <c r="I1639" s="0" t="s">
        <v>4549</v>
      </c>
      <c r="J1639" s="0" t="s">
        <v>245</v>
      </c>
      <c r="K1639" s="0" t="s">
        <v>4550</v>
      </c>
      <c r="M1639" s="0" t="s">
        <v>247</v>
      </c>
      <c r="N1639" s="0" t="s">
        <v>124</v>
      </c>
      <c r="P1639" s="0" t="s">
        <v>554</v>
      </c>
      <c r="Q1639" s="0" t="s">
        <v>554</v>
      </c>
      <c r="R1639" s="0" t="s">
        <v>554</v>
      </c>
      <c r="S1639" s="0" t="s">
        <v>21</v>
      </c>
      <c r="T1639" s="0" t="s">
        <v>104</v>
      </c>
      <c r="W1639" s="0" t="s">
        <v>183</v>
      </c>
      <c r="AB1639" s="0" t="s">
        <v>539</v>
      </c>
    </row>
    <row r="1640" customFormat="false" ht="15" hidden="false" customHeight="false" outlineLevel="0" collapsed="false">
      <c r="A1640" s="0" t="s">
        <v>21</v>
      </c>
      <c r="B1640" s="0" t="s">
        <v>5617</v>
      </c>
      <c r="C1640" s="0" t="s">
        <v>97</v>
      </c>
      <c r="D1640" s="0" t="s">
        <v>5618</v>
      </c>
      <c r="E1640" s="0" t="s">
        <v>5619</v>
      </c>
      <c r="H1640" s="0" t="s">
        <v>5620</v>
      </c>
      <c r="I1640" s="0" t="s">
        <v>5621</v>
      </c>
      <c r="J1640" s="0" t="s">
        <v>254</v>
      </c>
      <c r="K1640" s="0" t="s">
        <v>5622</v>
      </c>
      <c r="L1640" s="0" t="s">
        <v>124</v>
      </c>
      <c r="M1640" s="0" t="s">
        <v>208</v>
      </c>
      <c r="N1640" s="0" t="s">
        <v>124</v>
      </c>
      <c r="P1640" s="0" t="s">
        <v>130</v>
      </c>
      <c r="Q1640" s="0" t="s">
        <v>130</v>
      </c>
      <c r="R1640" s="0" t="s">
        <v>131</v>
      </c>
      <c r="S1640" s="0" t="s">
        <v>21</v>
      </c>
      <c r="T1640" s="0" t="s">
        <v>104</v>
      </c>
      <c r="W1640" s="0" t="s">
        <v>105</v>
      </c>
      <c r="X1640" s="0" t="s">
        <v>5623</v>
      </c>
      <c r="Y1640" s="0" t="s">
        <v>5624</v>
      </c>
      <c r="AB1640" s="0" t="s">
        <v>539</v>
      </c>
    </row>
    <row r="1641" customFormat="false" ht="15" hidden="false" customHeight="false" outlineLevel="0" collapsed="false">
      <c r="A1641" s="0" t="s">
        <v>21</v>
      </c>
      <c r="B1641" s="0" t="s">
        <v>5625</v>
      </c>
      <c r="C1641" s="0" t="s">
        <v>97</v>
      </c>
      <c r="D1641" s="0" t="s">
        <v>5626</v>
      </c>
      <c r="E1641" s="0" t="s">
        <v>5627</v>
      </c>
      <c r="G1641" s="0" t="s">
        <v>5628</v>
      </c>
      <c r="M1641" s="0" t="s">
        <v>247</v>
      </c>
      <c r="N1641" s="0" t="s">
        <v>124</v>
      </c>
      <c r="P1641" s="0" t="s">
        <v>204</v>
      </c>
      <c r="Q1641" s="0" t="s">
        <v>204</v>
      </c>
      <c r="R1641" s="0" t="s">
        <v>131</v>
      </c>
      <c r="S1641" s="0" t="s">
        <v>21</v>
      </c>
      <c r="T1641" s="0" t="s">
        <v>104</v>
      </c>
      <c r="W1641" s="0" t="s">
        <v>105</v>
      </c>
      <c r="AB1641" s="0" t="s">
        <v>539</v>
      </c>
    </row>
    <row r="1642" customFormat="false" ht="15" hidden="false" customHeight="false" outlineLevel="0" collapsed="false">
      <c r="A1642" s="0" t="s">
        <v>21</v>
      </c>
      <c r="B1642" s="0" t="s">
        <v>5625</v>
      </c>
      <c r="C1642" s="0" t="s">
        <v>97</v>
      </c>
      <c r="D1642" s="0" t="s">
        <v>5626</v>
      </c>
      <c r="E1642" s="0" t="s">
        <v>5627</v>
      </c>
      <c r="G1642" s="0" t="s">
        <v>5628</v>
      </c>
      <c r="M1642" s="0" t="s">
        <v>247</v>
      </c>
      <c r="N1642" s="0" t="s">
        <v>124</v>
      </c>
      <c r="P1642" s="0" t="s">
        <v>554</v>
      </c>
      <c r="Q1642" s="0" t="s">
        <v>554</v>
      </c>
      <c r="R1642" s="0" t="s">
        <v>554</v>
      </c>
      <c r="S1642" s="0" t="s">
        <v>21</v>
      </c>
      <c r="T1642" s="0" t="s">
        <v>104</v>
      </c>
      <c r="W1642" s="0" t="s">
        <v>183</v>
      </c>
      <c r="AB1642" s="0" t="s">
        <v>539</v>
      </c>
    </row>
    <row r="1643" customFormat="false" ht="15" hidden="false" customHeight="false" outlineLevel="0" collapsed="false">
      <c r="A1643" s="0" t="s">
        <v>21</v>
      </c>
      <c r="B1643" s="0" t="s">
        <v>5629</v>
      </c>
      <c r="C1643" s="0" t="s">
        <v>97</v>
      </c>
      <c r="D1643" s="0" t="s">
        <v>5630</v>
      </c>
      <c r="E1643" s="0" t="s">
        <v>5631</v>
      </c>
      <c r="H1643" s="0" t="s">
        <v>5632</v>
      </c>
      <c r="I1643" s="0" t="s">
        <v>5633</v>
      </c>
      <c r="J1643" s="0" t="s">
        <v>157</v>
      </c>
      <c r="K1643" s="0" t="s">
        <v>565</v>
      </c>
      <c r="L1643" s="0" t="s">
        <v>124</v>
      </c>
      <c r="M1643" s="0" t="s">
        <v>232</v>
      </c>
      <c r="N1643" s="0" t="s">
        <v>124</v>
      </c>
      <c r="P1643" s="0" t="s">
        <v>204</v>
      </c>
      <c r="Q1643" s="0" t="s">
        <v>204</v>
      </c>
      <c r="R1643" s="0" t="s">
        <v>131</v>
      </c>
      <c r="S1643" s="0" t="s">
        <v>21</v>
      </c>
      <c r="T1643" s="0" t="s">
        <v>104</v>
      </c>
      <c r="W1643" s="0" t="s">
        <v>105</v>
      </c>
      <c r="X1643" s="0" t="s">
        <v>5634</v>
      </c>
      <c r="Y1643" s="0" t="s">
        <v>5635</v>
      </c>
      <c r="AB1643" s="0" t="s">
        <v>539</v>
      </c>
    </row>
    <row r="1644" customFormat="false" ht="15" hidden="false" customHeight="false" outlineLevel="0" collapsed="false">
      <c r="A1644" s="0" t="s">
        <v>21</v>
      </c>
      <c r="B1644" s="0" t="s">
        <v>5629</v>
      </c>
      <c r="C1644" s="0" t="s">
        <v>97</v>
      </c>
      <c r="D1644" s="0" t="s">
        <v>5630</v>
      </c>
      <c r="E1644" s="0" t="s">
        <v>5631</v>
      </c>
      <c r="H1644" s="0" t="s">
        <v>5632</v>
      </c>
      <c r="I1644" s="0" t="s">
        <v>5633</v>
      </c>
      <c r="J1644" s="0" t="s">
        <v>157</v>
      </c>
      <c r="K1644" s="0" t="s">
        <v>565</v>
      </c>
      <c r="L1644" s="0" t="s">
        <v>124</v>
      </c>
      <c r="M1644" s="0" t="s">
        <v>232</v>
      </c>
      <c r="N1644" s="0" t="s">
        <v>124</v>
      </c>
      <c r="P1644" s="0" t="s">
        <v>554</v>
      </c>
      <c r="Q1644" s="0" t="s">
        <v>554</v>
      </c>
      <c r="R1644" s="0" t="s">
        <v>554</v>
      </c>
      <c r="S1644" s="0" t="s">
        <v>21</v>
      </c>
      <c r="T1644" s="0" t="s">
        <v>104</v>
      </c>
      <c r="W1644" s="0" t="s">
        <v>183</v>
      </c>
      <c r="X1644" s="0" t="s">
        <v>5634</v>
      </c>
      <c r="Y1644" s="0" t="s">
        <v>5635</v>
      </c>
      <c r="AB1644" s="0" t="s">
        <v>539</v>
      </c>
    </row>
    <row r="1645" customFormat="false" ht="15" hidden="false" customHeight="false" outlineLevel="0" collapsed="false">
      <c r="A1645" s="0" t="s">
        <v>21</v>
      </c>
      <c r="B1645" s="0" t="s">
        <v>5636</v>
      </c>
      <c r="C1645" s="0" t="s">
        <v>97</v>
      </c>
      <c r="D1645" s="0" t="s">
        <v>5637</v>
      </c>
      <c r="E1645" s="0" t="s">
        <v>5638</v>
      </c>
      <c r="H1645" s="0" t="s">
        <v>5639</v>
      </c>
      <c r="I1645" s="0" t="s">
        <v>5640</v>
      </c>
      <c r="J1645" s="0" t="s">
        <v>157</v>
      </c>
      <c r="K1645" s="0" t="s">
        <v>5599</v>
      </c>
      <c r="L1645" s="0" t="s">
        <v>124</v>
      </c>
      <c r="M1645" s="0" t="s">
        <v>232</v>
      </c>
      <c r="N1645" s="0" t="s">
        <v>124</v>
      </c>
      <c r="P1645" s="0" t="s">
        <v>204</v>
      </c>
      <c r="Q1645" s="0" t="s">
        <v>204</v>
      </c>
      <c r="R1645" s="0" t="s">
        <v>131</v>
      </c>
      <c r="S1645" s="0" t="s">
        <v>21</v>
      </c>
      <c r="T1645" s="0" t="s">
        <v>104</v>
      </c>
      <c r="W1645" s="0" t="s">
        <v>105</v>
      </c>
      <c r="X1645" s="0" t="s">
        <v>5641</v>
      </c>
      <c r="Y1645" s="0" t="s">
        <v>5642</v>
      </c>
      <c r="AB1645" s="0" t="s">
        <v>539</v>
      </c>
    </row>
    <row r="1646" customFormat="false" ht="15" hidden="false" customHeight="false" outlineLevel="0" collapsed="false">
      <c r="A1646" s="0" t="s">
        <v>21</v>
      </c>
      <c r="B1646" s="0" t="s">
        <v>5636</v>
      </c>
      <c r="C1646" s="0" t="s">
        <v>97</v>
      </c>
      <c r="D1646" s="0" t="s">
        <v>5637</v>
      </c>
      <c r="E1646" s="0" t="s">
        <v>5638</v>
      </c>
      <c r="H1646" s="0" t="s">
        <v>5639</v>
      </c>
      <c r="I1646" s="0" t="s">
        <v>5640</v>
      </c>
      <c r="J1646" s="0" t="s">
        <v>157</v>
      </c>
      <c r="K1646" s="0" t="s">
        <v>5599</v>
      </c>
      <c r="L1646" s="0" t="s">
        <v>124</v>
      </c>
      <c r="M1646" s="0" t="s">
        <v>232</v>
      </c>
      <c r="N1646" s="0" t="s">
        <v>124</v>
      </c>
      <c r="P1646" s="0" t="s">
        <v>554</v>
      </c>
      <c r="Q1646" s="0" t="s">
        <v>554</v>
      </c>
      <c r="R1646" s="0" t="s">
        <v>554</v>
      </c>
      <c r="S1646" s="0" t="s">
        <v>21</v>
      </c>
      <c r="T1646" s="0" t="s">
        <v>104</v>
      </c>
      <c r="W1646" s="0" t="s">
        <v>183</v>
      </c>
      <c r="X1646" s="0" t="s">
        <v>5641</v>
      </c>
      <c r="Y1646" s="0" t="s">
        <v>5642</v>
      </c>
      <c r="AB1646" s="0" t="s">
        <v>539</v>
      </c>
    </row>
    <row r="1647" customFormat="false" ht="15" hidden="false" customHeight="false" outlineLevel="0" collapsed="false">
      <c r="A1647" s="0" t="s">
        <v>21</v>
      </c>
      <c r="B1647" s="0" t="s">
        <v>5643</v>
      </c>
      <c r="C1647" s="0" t="s">
        <v>97</v>
      </c>
      <c r="D1647" s="0" t="s">
        <v>5644</v>
      </c>
      <c r="E1647" s="0" t="s">
        <v>5645</v>
      </c>
      <c r="H1647" s="0" t="s">
        <v>5646</v>
      </c>
      <c r="I1647" s="0" t="s">
        <v>5647</v>
      </c>
      <c r="J1647" s="0" t="s">
        <v>157</v>
      </c>
      <c r="K1647" s="0" t="s">
        <v>565</v>
      </c>
      <c r="L1647" s="0" t="s">
        <v>124</v>
      </c>
      <c r="M1647" s="0" t="s">
        <v>232</v>
      </c>
      <c r="N1647" s="0" t="s">
        <v>124</v>
      </c>
      <c r="P1647" s="0" t="s">
        <v>204</v>
      </c>
      <c r="Q1647" s="0" t="s">
        <v>204</v>
      </c>
      <c r="R1647" s="0" t="s">
        <v>131</v>
      </c>
      <c r="S1647" s="0" t="s">
        <v>21</v>
      </c>
      <c r="T1647" s="0" t="s">
        <v>104</v>
      </c>
      <c r="W1647" s="0" t="s">
        <v>105</v>
      </c>
      <c r="X1647" s="0" t="s">
        <v>5648</v>
      </c>
      <c r="Y1647" s="0" t="s">
        <v>5649</v>
      </c>
      <c r="AB1647" s="0" t="s">
        <v>539</v>
      </c>
    </row>
    <row r="1648" customFormat="false" ht="15" hidden="false" customHeight="false" outlineLevel="0" collapsed="false">
      <c r="A1648" s="0" t="s">
        <v>21</v>
      </c>
      <c r="B1648" s="0" t="s">
        <v>5643</v>
      </c>
      <c r="C1648" s="0" t="s">
        <v>97</v>
      </c>
      <c r="D1648" s="0" t="s">
        <v>5644</v>
      </c>
      <c r="E1648" s="0" t="s">
        <v>5645</v>
      </c>
      <c r="H1648" s="0" t="s">
        <v>5646</v>
      </c>
      <c r="I1648" s="0" t="s">
        <v>5647</v>
      </c>
      <c r="J1648" s="0" t="s">
        <v>157</v>
      </c>
      <c r="K1648" s="0" t="s">
        <v>565</v>
      </c>
      <c r="L1648" s="0" t="s">
        <v>124</v>
      </c>
      <c r="M1648" s="0" t="s">
        <v>232</v>
      </c>
      <c r="N1648" s="0" t="s">
        <v>124</v>
      </c>
      <c r="P1648" s="0" t="s">
        <v>554</v>
      </c>
      <c r="Q1648" s="0" t="s">
        <v>554</v>
      </c>
      <c r="R1648" s="0" t="s">
        <v>554</v>
      </c>
      <c r="S1648" s="0" t="s">
        <v>21</v>
      </c>
      <c r="T1648" s="0" t="s">
        <v>104</v>
      </c>
      <c r="W1648" s="0" t="s">
        <v>183</v>
      </c>
      <c r="X1648" s="0" t="s">
        <v>5648</v>
      </c>
      <c r="Y1648" s="0" t="s">
        <v>5649</v>
      </c>
      <c r="AB1648" s="0" t="s">
        <v>539</v>
      </c>
    </row>
    <row r="1649" customFormat="false" ht="15" hidden="false" customHeight="false" outlineLevel="0" collapsed="false">
      <c r="A1649" s="0" t="s">
        <v>21</v>
      </c>
      <c r="B1649" s="0" t="s">
        <v>5650</v>
      </c>
      <c r="C1649" s="0" t="s">
        <v>97</v>
      </c>
      <c r="D1649" s="0" t="s">
        <v>5651</v>
      </c>
      <c r="E1649" s="0" t="s">
        <v>5652</v>
      </c>
      <c r="G1649" s="0" t="s">
        <v>5653</v>
      </c>
      <c r="H1649" s="0" t="s">
        <v>5654</v>
      </c>
      <c r="I1649" s="0" t="s">
        <v>598</v>
      </c>
      <c r="J1649" s="0" t="s">
        <v>275</v>
      </c>
      <c r="K1649" s="0" t="s">
        <v>4682</v>
      </c>
      <c r="L1649" s="0" t="s">
        <v>124</v>
      </c>
      <c r="M1649" s="0" t="s">
        <v>178</v>
      </c>
      <c r="N1649" s="0" t="s">
        <v>124</v>
      </c>
      <c r="P1649" s="0" t="s">
        <v>204</v>
      </c>
      <c r="Q1649" s="0" t="s">
        <v>204</v>
      </c>
      <c r="R1649" s="0" t="s">
        <v>131</v>
      </c>
      <c r="S1649" s="0" t="s">
        <v>21</v>
      </c>
      <c r="T1649" s="0" t="s">
        <v>104</v>
      </c>
      <c r="W1649" s="0" t="s">
        <v>105</v>
      </c>
      <c r="X1649" s="0" t="s">
        <v>5655</v>
      </c>
      <c r="Y1649" s="0" t="s">
        <v>5656</v>
      </c>
      <c r="AB1649" s="0" t="s">
        <v>539</v>
      </c>
    </row>
    <row r="1650" customFormat="false" ht="15" hidden="false" customHeight="false" outlineLevel="0" collapsed="false">
      <c r="A1650" s="0" t="s">
        <v>21</v>
      </c>
      <c r="B1650" s="0" t="s">
        <v>5650</v>
      </c>
      <c r="C1650" s="0" t="s">
        <v>97</v>
      </c>
      <c r="D1650" s="0" t="s">
        <v>5651</v>
      </c>
      <c r="E1650" s="0" t="s">
        <v>5652</v>
      </c>
      <c r="G1650" s="0" t="s">
        <v>5653</v>
      </c>
      <c r="H1650" s="0" t="s">
        <v>5654</v>
      </c>
      <c r="I1650" s="0" t="s">
        <v>598</v>
      </c>
      <c r="J1650" s="0" t="s">
        <v>275</v>
      </c>
      <c r="K1650" s="0" t="s">
        <v>4682</v>
      </c>
      <c r="L1650" s="0" t="s">
        <v>124</v>
      </c>
      <c r="M1650" s="0" t="s">
        <v>178</v>
      </c>
      <c r="N1650" s="0" t="s">
        <v>124</v>
      </c>
      <c r="P1650" s="0" t="s">
        <v>554</v>
      </c>
      <c r="Q1650" s="0" t="s">
        <v>554</v>
      </c>
      <c r="R1650" s="0" t="s">
        <v>554</v>
      </c>
      <c r="S1650" s="0" t="s">
        <v>21</v>
      </c>
      <c r="T1650" s="0" t="s">
        <v>104</v>
      </c>
      <c r="W1650" s="0" t="s">
        <v>183</v>
      </c>
      <c r="X1650" s="0" t="s">
        <v>5655</v>
      </c>
      <c r="Y1650" s="0" t="s">
        <v>5656</v>
      </c>
      <c r="AB1650" s="0" t="s">
        <v>539</v>
      </c>
    </row>
    <row r="1651" customFormat="false" ht="15" hidden="false" customHeight="false" outlineLevel="0" collapsed="false">
      <c r="A1651" s="0" t="s">
        <v>21</v>
      </c>
      <c r="B1651" s="0" t="s">
        <v>5657</v>
      </c>
      <c r="C1651" s="0" t="s">
        <v>5503</v>
      </c>
      <c r="D1651" s="0" t="s">
        <v>5658</v>
      </c>
      <c r="E1651" s="0" t="s">
        <v>5659</v>
      </c>
      <c r="G1651" s="0" t="s">
        <v>5660</v>
      </c>
      <c r="H1651" s="0" t="s">
        <v>5661</v>
      </c>
      <c r="I1651" s="0" t="s">
        <v>564</v>
      </c>
      <c r="J1651" s="0" t="s">
        <v>157</v>
      </c>
      <c r="K1651" s="0" t="s">
        <v>565</v>
      </c>
      <c r="L1651" s="0" t="s">
        <v>124</v>
      </c>
      <c r="M1651" s="0" t="s">
        <v>232</v>
      </c>
      <c r="N1651" s="0" t="s">
        <v>124</v>
      </c>
      <c r="P1651" s="0" t="s">
        <v>346</v>
      </c>
      <c r="Q1651" s="0" t="s">
        <v>346</v>
      </c>
      <c r="R1651" s="0" t="s">
        <v>131</v>
      </c>
      <c r="S1651" s="0" t="s">
        <v>21</v>
      </c>
      <c r="T1651" s="0" t="s">
        <v>104</v>
      </c>
      <c r="W1651" s="0" t="s">
        <v>105</v>
      </c>
      <c r="X1651" s="0" t="s">
        <v>5662</v>
      </c>
      <c r="Y1651" s="0" t="s">
        <v>5663</v>
      </c>
    </row>
    <row r="1652" customFormat="false" ht="15" hidden="false" customHeight="false" outlineLevel="0" collapsed="false">
      <c r="A1652" s="0" t="s">
        <v>21</v>
      </c>
      <c r="B1652" s="0" t="s">
        <v>5664</v>
      </c>
      <c r="C1652" s="0" t="s">
        <v>5503</v>
      </c>
      <c r="E1652" s="0" t="s">
        <v>5665</v>
      </c>
      <c r="G1652" s="0" t="s">
        <v>5666</v>
      </c>
      <c r="H1652" s="0" t="s">
        <v>5667</v>
      </c>
      <c r="I1652" s="0" t="s">
        <v>5592</v>
      </c>
      <c r="J1652" s="0" t="s">
        <v>254</v>
      </c>
      <c r="K1652" s="0" t="s">
        <v>4250</v>
      </c>
      <c r="L1652" s="0" t="s">
        <v>124</v>
      </c>
      <c r="M1652" s="0" t="s">
        <v>208</v>
      </c>
      <c r="N1652" s="0" t="s">
        <v>124</v>
      </c>
      <c r="P1652" s="0" t="s">
        <v>130</v>
      </c>
      <c r="Q1652" s="0" t="s">
        <v>130</v>
      </c>
      <c r="R1652" s="0" t="s">
        <v>131</v>
      </c>
      <c r="S1652" s="0" t="s">
        <v>21</v>
      </c>
      <c r="T1652" s="0" t="s">
        <v>104</v>
      </c>
      <c r="W1652" s="0" t="s">
        <v>105</v>
      </c>
      <c r="X1652" s="0" t="s">
        <v>5668</v>
      </c>
      <c r="Y1652" s="0" t="s">
        <v>5669</v>
      </c>
    </row>
    <row r="1653" customFormat="false" ht="15" hidden="false" customHeight="false" outlineLevel="0" collapsed="false">
      <c r="A1653" s="0" t="s">
        <v>21</v>
      </c>
      <c r="B1653" s="0" t="s">
        <v>5670</v>
      </c>
      <c r="C1653" s="0" t="s">
        <v>97</v>
      </c>
      <c r="E1653" s="0" t="s">
        <v>974</v>
      </c>
      <c r="G1653" s="0" t="s">
        <v>5671</v>
      </c>
      <c r="M1653" s="0" t="s">
        <v>208</v>
      </c>
      <c r="N1653" s="0" t="s">
        <v>124</v>
      </c>
      <c r="P1653" s="0" t="s">
        <v>204</v>
      </c>
      <c r="Q1653" s="0" t="s">
        <v>204</v>
      </c>
      <c r="R1653" s="0" t="s">
        <v>131</v>
      </c>
      <c r="S1653" s="0" t="s">
        <v>21</v>
      </c>
      <c r="T1653" s="0" t="s">
        <v>104</v>
      </c>
      <c r="W1653" s="0" t="s">
        <v>105</v>
      </c>
      <c r="X1653" s="0" t="s">
        <v>5672</v>
      </c>
      <c r="Y1653" s="0" t="s">
        <v>5673</v>
      </c>
      <c r="Z1653" s="0" t="s">
        <v>5113</v>
      </c>
    </row>
    <row r="1654" customFormat="false" ht="15" hidden="false" customHeight="false" outlineLevel="0" collapsed="false">
      <c r="A1654" s="0" t="s">
        <v>21</v>
      </c>
      <c r="B1654" s="0" t="s">
        <v>5670</v>
      </c>
      <c r="C1654" s="0" t="s">
        <v>97</v>
      </c>
      <c r="E1654" s="0" t="s">
        <v>974</v>
      </c>
      <c r="G1654" s="0" t="s">
        <v>5671</v>
      </c>
      <c r="M1654" s="0" t="s">
        <v>208</v>
      </c>
      <c r="N1654" s="0" t="s">
        <v>124</v>
      </c>
      <c r="P1654" s="0" t="s">
        <v>554</v>
      </c>
      <c r="Q1654" s="0" t="s">
        <v>554</v>
      </c>
      <c r="R1654" s="0" t="s">
        <v>554</v>
      </c>
      <c r="S1654" s="0" t="s">
        <v>21</v>
      </c>
      <c r="T1654" s="0" t="s">
        <v>104</v>
      </c>
      <c r="W1654" s="0" t="s">
        <v>183</v>
      </c>
      <c r="X1654" s="0" t="s">
        <v>5672</v>
      </c>
      <c r="Y1654" s="0" t="s">
        <v>5673</v>
      </c>
      <c r="Z1654" s="0" t="s">
        <v>5113</v>
      </c>
    </row>
    <row r="1655" customFormat="false" ht="15" hidden="false" customHeight="false" outlineLevel="0" collapsed="false">
      <c r="A1655" s="0" t="s">
        <v>21</v>
      </c>
      <c r="B1655" s="0" t="s">
        <v>5674</v>
      </c>
      <c r="C1655" s="0" t="s">
        <v>97</v>
      </c>
      <c r="E1655" s="0" t="s">
        <v>293</v>
      </c>
      <c r="G1655" s="0" t="s">
        <v>5675</v>
      </c>
      <c r="H1655" s="0" t="s">
        <v>5676</v>
      </c>
      <c r="I1655" s="0" t="s">
        <v>5677</v>
      </c>
      <c r="J1655" s="0" t="s">
        <v>275</v>
      </c>
      <c r="K1655" s="0" t="s">
        <v>2104</v>
      </c>
      <c r="L1655" s="0" t="s">
        <v>124</v>
      </c>
      <c r="M1655" s="0" t="s">
        <v>178</v>
      </c>
      <c r="N1655" s="0" t="s">
        <v>124</v>
      </c>
      <c r="P1655" s="0" t="s">
        <v>204</v>
      </c>
      <c r="Q1655" s="0" t="s">
        <v>204</v>
      </c>
      <c r="R1655" s="0" t="s">
        <v>131</v>
      </c>
      <c r="S1655" s="0" t="s">
        <v>21</v>
      </c>
      <c r="T1655" s="0" t="s">
        <v>104</v>
      </c>
      <c r="W1655" s="0" t="s">
        <v>105</v>
      </c>
      <c r="X1655" s="0" t="s">
        <v>5678</v>
      </c>
      <c r="Y1655" s="0" t="s">
        <v>5679</v>
      </c>
    </row>
    <row r="1656" customFormat="false" ht="15" hidden="false" customHeight="false" outlineLevel="0" collapsed="false">
      <c r="A1656" s="0" t="s">
        <v>21</v>
      </c>
      <c r="B1656" s="0" t="s">
        <v>5674</v>
      </c>
      <c r="C1656" s="0" t="s">
        <v>97</v>
      </c>
      <c r="E1656" s="0" t="s">
        <v>293</v>
      </c>
      <c r="G1656" s="0" t="s">
        <v>5675</v>
      </c>
      <c r="H1656" s="0" t="s">
        <v>5676</v>
      </c>
      <c r="I1656" s="0" t="s">
        <v>5677</v>
      </c>
      <c r="J1656" s="0" t="s">
        <v>275</v>
      </c>
      <c r="K1656" s="0" t="s">
        <v>2104</v>
      </c>
      <c r="L1656" s="0" t="s">
        <v>124</v>
      </c>
      <c r="M1656" s="0" t="s">
        <v>178</v>
      </c>
      <c r="N1656" s="0" t="s">
        <v>124</v>
      </c>
      <c r="P1656" s="0" t="s">
        <v>554</v>
      </c>
      <c r="Q1656" s="0" t="s">
        <v>554</v>
      </c>
      <c r="R1656" s="0" t="s">
        <v>554</v>
      </c>
      <c r="S1656" s="0" t="s">
        <v>21</v>
      </c>
      <c r="T1656" s="0" t="s">
        <v>104</v>
      </c>
      <c r="W1656" s="0" t="s">
        <v>183</v>
      </c>
      <c r="X1656" s="0" t="s">
        <v>5678</v>
      </c>
      <c r="Y1656" s="0" t="s">
        <v>5679</v>
      </c>
    </row>
    <row r="1657" customFormat="false" ht="15" hidden="false" customHeight="false" outlineLevel="0" collapsed="false">
      <c r="A1657" s="0" t="s">
        <v>21</v>
      </c>
      <c r="B1657" s="0" t="s">
        <v>5680</v>
      </c>
      <c r="C1657" s="0" t="s">
        <v>5503</v>
      </c>
      <c r="D1657" s="0" t="s">
        <v>5681</v>
      </c>
      <c r="E1657" s="0" t="s">
        <v>5682</v>
      </c>
      <c r="G1657" s="0" t="s">
        <v>5683</v>
      </c>
      <c r="H1657" s="0" t="s">
        <v>5684</v>
      </c>
      <c r="I1657" s="0" t="s">
        <v>4416</v>
      </c>
      <c r="J1657" s="0" t="s">
        <v>157</v>
      </c>
      <c r="K1657" s="0" t="s">
        <v>4417</v>
      </c>
      <c r="L1657" s="0" t="s">
        <v>124</v>
      </c>
      <c r="M1657" s="0" t="s">
        <v>232</v>
      </c>
      <c r="N1657" s="0" t="s">
        <v>124</v>
      </c>
      <c r="P1657" s="0" t="s">
        <v>102</v>
      </c>
      <c r="Q1657" s="0" t="s">
        <v>102</v>
      </c>
      <c r="R1657" s="0" t="s">
        <v>131</v>
      </c>
      <c r="S1657" s="0" t="s">
        <v>21</v>
      </c>
      <c r="T1657" s="0" t="s">
        <v>104</v>
      </c>
      <c r="W1657" s="0" t="s">
        <v>105</v>
      </c>
      <c r="X1657" s="0" t="s">
        <v>5685</v>
      </c>
      <c r="Y1657" s="0" t="s">
        <v>5686</v>
      </c>
      <c r="Z1657" s="0" t="s">
        <v>4748</v>
      </c>
      <c r="AB1657" s="0" t="s">
        <v>1037</v>
      </c>
    </row>
    <row r="1658" customFormat="false" ht="15" hidden="false" customHeight="false" outlineLevel="0" collapsed="false">
      <c r="A1658" s="0" t="s">
        <v>21</v>
      </c>
      <c r="B1658" s="0" t="s">
        <v>5687</v>
      </c>
      <c r="C1658" s="0" t="s">
        <v>97</v>
      </c>
      <c r="D1658" s="0" t="s">
        <v>5688</v>
      </c>
      <c r="E1658" s="0" t="s">
        <v>5689</v>
      </c>
      <c r="F1658" s="0" t="s">
        <v>5689</v>
      </c>
      <c r="G1658" s="0" t="s">
        <v>5690</v>
      </c>
      <c r="H1658" s="0" t="s">
        <v>5691</v>
      </c>
      <c r="I1658" s="0" t="s">
        <v>5692</v>
      </c>
      <c r="J1658" s="0" t="s">
        <v>254</v>
      </c>
      <c r="K1658" s="0" t="s">
        <v>5693</v>
      </c>
      <c r="L1658" s="0" t="s">
        <v>124</v>
      </c>
      <c r="M1658" s="0" t="s">
        <v>208</v>
      </c>
      <c r="N1658" s="0" t="s">
        <v>124</v>
      </c>
      <c r="P1658" s="0" t="s">
        <v>102</v>
      </c>
      <c r="Q1658" s="0" t="s">
        <v>102</v>
      </c>
      <c r="R1658" s="0" t="s">
        <v>131</v>
      </c>
      <c r="S1658" s="0" t="s">
        <v>21</v>
      </c>
      <c r="T1658" s="0" t="s">
        <v>104</v>
      </c>
      <c r="W1658" s="0" t="s">
        <v>105</v>
      </c>
      <c r="X1658" s="0" t="s">
        <v>5694</v>
      </c>
      <c r="Y1658" s="0" t="s">
        <v>5695</v>
      </c>
      <c r="Z1658" s="0" t="s">
        <v>4748</v>
      </c>
    </row>
    <row r="1659" customFormat="false" ht="15" hidden="false" customHeight="false" outlineLevel="0" collapsed="false">
      <c r="A1659" s="0" t="s">
        <v>21</v>
      </c>
      <c r="B1659" s="0" t="s">
        <v>5696</v>
      </c>
      <c r="C1659" s="0" t="s">
        <v>97</v>
      </c>
      <c r="D1659" s="0" t="s">
        <v>5697</v>
      </c>
      <c r="E1659" s="0" t="s">
        <v>5698</v>
      </c>
      <c r="G1659" s="0" t="s">
        <v>5699</v>
      </c>
      <c r="H1659" s="0" t="s">
        <v>5700</v>
      </c>
      <c r="I1659" s="0" t="s">
        <v>5701</v>
      </c>
      <c r="J1659" s="0" t="s">
        <v>245</v>
      </c>
      <c r="K1659" s="0" t="s">
        <v>2315</v>
      </c>
      <c r="L1659" s="0" t="s">
        <v>124</v>
      </c>
      <c r="M1659" s="0" t="s">
        <v>247</v>
      </c>
      <c r="N1659" s="0" t="s">
        <v>124</v>
      </c>
      <c r="P1659" s="0" t="s">
        <v>346</v>
      </c>
      <c r="Q1659" s="0" t="s">
        <v>346</v>
      </c>
      <c r="R1659" s="0" t="s">
        <v>131</v>
      </c>
      <c r="S1659" s="0" t="s">
        <v>21</v>
      </c>
      <c r="T1659" s="0" t="s">
        <v>104</v>
      </c>
      <c r="W1659" s="0" t="s">
        <v>105</v>
      </c>
      <c r="X1659" s="0" t="s">
        <v>5702</v>
      </c>
      <c r="Y1659" s="0" t="s">
        <v>5703</v>
      </c>
    </row>
    <row r="1660" customFormat="false" ht="15" hidden="false" customHeight="false" outlineLevel="0" collapsed="false">
      <c r="A1660" s="0" t="s">
        <v>21</v>
      </c>
      <c r="B1660" s="0" t="s">
        <v>5704</v>
      </c>
      <c r="C1660" s="0" t="s">
        <v>5503</v>
      </c>
      <c r="D1660" s="0" t="s">
        <v>5705</v>
      </c>
      <c r="E1660" s="0" t="s">
        <v>5706</v>
      </c>
      <c r="G1660" s="0" t="s">
        <v>5707</v>
      </c>
      <c r="H1660" s="0" t="s">
        <v>5708</v>
      </c>
      <c r="I1660" s="0" t="s">
        <v>5543</v>
      </c>
      <c r="J1660" s="0" t="s">
        <v>254</v>
      </c>
      <c r="K1660" s="0" t="s">
        <v>5544</v>
      </c>
      <c r="L1660" s="0" t="s">
        <v>124</v>
      </c>
      <c r="M1660" s="0" t="s">
        <v>208</v>
      </c>
      <c r="N1660" s="0" t="s">
        <v>124</v>
      </c>
      <c r="P1660" s="0" t="s">
        <v>130</v>
      </c>
      <c r="Q1660" s="0" t="s">
        <v>130</v>
      </c>
      <c r="R1660" s="0" t="s">
        <v>131</v>
      </c>
      <c r="S1660" s="0" t="s">
        <v>21</v>
      </c>
      <c r="T1660" s="0" t="s">
        <v>104</v>
      </c>
      <c r="W1660" s="0" t="s">
        <v>105</v>
      </c>
      <c r="X1660" s="0" t="s">
        <v>5709</v>
      </c>
      <c r="Y1660" s="0" t="s">
        <v>5710</v>
      </c>
    </row>
    <row r="1661" customFormat="false" ht="15" hidden="false" customHeight="false" outlineLevel="0" collapsed="false">
      <c r="A1661" s="0" t="s">
        <v>21</v>
      </c>
      <c r="B1661" s="0" t="s">
        <v>5711</v>
      </c>
      <c r="C1661" s="0" t="s">
        <v>661</v>
      </c>
      <c r="D1661" s="0" t="s">
        <v>5712</v>
      </c>
      <c r="E1661" s="0" t="s">
        <v>5713</v>
      </c>
      <c r="H1661" s="0" t="s">
        <v>5714</v>
      </c>
      <c r="I1661" s="0" t="s">
        <v>5715</v>
      </c>
      <c r="J1661" s="0" t="s">
        <v>254</v>
      </c>
      <c r="K1661" s="0" t="s">
        <v>5716</v>
      </c>
      <c r="L1661" s="0" t="s">
        <v>124</v>
      </c>
      <c r="M1661" s="0" t="s">
        <v>5715</v>
      </c>
      <c r="N1661" s="0" t="s">
        <v>124</v>
      </c>
      <c r="P1661" s="0" t="s">
        <v>102</v>
      </c>
      <c r="Q1661" s="0" t="s">
        <v>102</v>
      </c>
      <c r="R1661" s="0" t="s">
        <v>131</v>
      </c>
      <c r="S1661" s="0" t="s">
        <v>21</v>
      </c>
      <c r="T1661" s="0" t="s">
        <v>104</v>
      </c>
      <c r="W1661" s="0" t="s">
        <v>105</v>
      </c>
      <c r="X1661" s="0" t="s">
        <v>5717</v>
      </c>
      <c r="Y1661" s="0" t="s">
        <v>5718</v>
      </c>
      <c r="Z1661" s="0" t="s">
        <v>4748</v>
      </c>
    </row>
    <row r="1662" customFormat="false" ht="15" hidden="false" customHeight="false" outlineLevel="0" collapsed="false">
      <c r="A1662" s="0" t="s">
        <v>21</v>
      </c>
      <c r="B1662" s="0" t="s">
        <v>5719</v>
      </c>
      <c r="C1662" s="0" t="s">
        <v>174</v>
      </c>
      <c r="D1662" s="0" t="s">
        <v>5720</v>
      </c>
      <c r="E1662" s="0" t="s">
        <v>5720</v>
      </c>
      <c r="M1662" s="0" t="s">
        <v>178</v>
      </c>
      <c r="N1662" s="0" t="s">
        <v>124</v>
      </c>
      <c r="P1662" s="0" t="s">
        <v>102</v>
      </c>
      <c r="Q1662" s="0" t="s">
        <v>102</v>
      </c>
      <c r="R1662" s="0" t="s">
        <v>131</v>
      </c>
      <c r="S1662" s="0" t="s">
        <v>21</v>
      </c>
      <c r="T1662" s="0" t="s">
        <v>104</v>
      </c>
      <c r="W1662" s="0" t="s">
        <v>105</v>
      </c>
      <c r="AB1662" s="0" t="s">
        <v>3726</v>
      </c>
    </row>
    <row r="1663" customFormat="false" ht="15" hidden="false" customHeight="false" outlineLevel="0" collapsed="false">
      <c r="A1663" s="0" t="s">
        <v>21</v>
      </c>
      <c r="B1663" s="0" t="s">
        <v>5719</v>
      </c>
      <c r="C1663" s="0" t="s">
        <v>174</v>
      </c>
      <c r="D1663" s="0" t="s">
        <v>5720</v>
      </c>
      <c r="E1663" s="0" t="s">
        <v>5720</v>
      </c>
      <c r="M1663" s="0" t="s">
        <v>178</v>
      </c>
      <c r="N1663" s="0" t="s">
        <v>124</v>
      </c>
      <c r="P1663" s="0" t="s">
        <v>180</v>
      </c>
      <c r="Q1663" s="0" t="s">
        <v>181</v>
      </c>
      <c r="R1663" s="0" t="s">
        <v>182</v>
      </c>
      <c r="S1663" s="0" t="s">
        <v>21</v>
      </c>
      <c r="T1663" s="0" t="s">
        <v>104</v>
      </c>
      <c r="W1663" s="0" t="s">
        <v>183</v>
      </c>
      <c r="AB1663" s="0" t="s">
        <v>3726</v>
      </c>
    </row>
    <row r="1664" customFormat="false" ht="15" hidden="false" customHeight="false" outlineLevel="0" collapsed="false">
      <c r="A1664" s="0" t="s">
        <v>21</v>
      </c>
      <c r="B1664" s="0" t="s">
        <v>5721</v>
      </c>
      <c r="C1664" s="0" t="s">
        <v>174</v>
      </c>
      <c r="D1664" s="0" t="s">
        <v>5722</v>
      </c>
      <c r="E1664" s="0" t="s">
        <v>5723</v>
      </c>
      <c r="G1664" s="0" t="s">
        <v>5724</v>
      </c>
      <c r="M1664" s="0" t="s">
        <v>178</v>
      </c>
      <c r="N1664" s="0" t="s">
        <v>124</v>
      </c>
      <c r="P1664" s="0" t="s">
        <v>102</v>
      </c>
      <c r="Q1664" s="0" t="s">
        <v>102</v>
      </c>
      <c r="R1664" s="0" t="s">
        <v>131</v>
      </c>
      <c r="S1664" s="0" t="s">
        <v>21</v>
      </c>
      <c r="T1664" s="0" t="s">
        <v>104</v>
      </c>
      <c r="W1664" s="0" t="s">
        <v>105</v>
      </c>
      <c r="AB1664" s="0" t="s">
        <v>898</v>
      </c>
    </row>
    <row r="1665" customFormat="false" ht="15" hidden="false" customHeight="false" outlineLevel="0" collapsed="false">
      <c r="A1665" s="0" t="s">
        <v>21</v>
      </c>
      <c r="B1665" s="0" t="s">
        <v>5721</v>
      </c>
      <c r="C1665" s="0" t="s">
        <v>174</v>
      </c>
      <c r="D1665" s="0" t="s">
        <v>5722</v>
      </c>
      <c r="E1665" s="0" t="s">
        <v>5723</v>
      </c>
      <c r="G1665" s="0" t="s">
        <v>5724</v>
      </c>
      <c r="M1665" s="0" t="s">
        <v>178</v>
      </c>
      <c r="N1665" s="0" t="s">
        <v>124</v>
      </c>
      <c r="P1665" s="0" t="s">
        <v>180</v>
      </c>
      <c r="Q1665" s="0" t="s">
        <v>181</v>
      </c>
      <c r="R1665" s="0" t="s">
        <v>182</v>
      </c>
      <c r="S1665" s="0" t="s">
        <v>21</v>
      </c>
      <c r="T1665" s="0" t="s">
        <v>104</v>
      </c>
      <c r="W1665" s="0" t="s">
        <v>183</v>
      </c>
      <c r="AB1665" s="0" t="s">
        <v>898</v>
      </c>
    </row>
    <row r="1666" customFormat="false" ht="15" hidden="false" customHeight="false" outlineLevel="0" collapsed="false">
      <c r="A1666" s="0" t="s">
        <v>21</v>
      </c>
      <c r="B1666" s="0" t="s">
        <v>5725</v>
      </c>
      <c r="C1666" s="0" t="s">
        <v>174</v>
      </c>
      <c r="D1666" s="0" t="s">
        <v>5726</v>
      </c>
      <c r="E1666" s="0" t="s">
        <v>5727</v>
      </c>
      <c r="G1666" s="0" t="s">
        <v>5728</v>
      </c>
      <c r="M1666" s="0" t="s">
        <v>178</v>
      </c>
      <c r="N1666" s="0" t="s">
        <v>124</v>
      </c>
      <c r="P1666" s="0" t="s">
        <v>102</v>
      </c>
      <c r="Q1666" s="0" t="s">
        <v>102</v>
      </c>
      <c r="R1666" s="0" t="s">
        <v>131</v>
      </c>
      <c r="S1666" s="0" t="s">
        <v>21</v>
      </c>
      <c r="T1666" s="0" t="s">
        <v>104</v>
      </c>
      <c r="W1666" s="0" t="s">
        <v>105</v>
      </c>
      <c r="AB1666" s="0" t="s">
        <v>3726</v>
      </c>
    </row>
    <row r="1667" customFormat="false" ht="15" hidden="false" customHeight="false" outlineLevel="0" collapsed="false">
      <c r="A1667" s="0" t="s">
        <v>21</v>
      </c>
      <c r="B1667" s="0" t="s">
        <v>5729</v>
      </c>
      <c r="C1667" s="0" t="s">
        <v>174</v>
      </c>
      <c r="D1667" s="0" t="s">
        <v>5730</v>
      </c>
      <c r="E1667" s="0" t="s">
        <v>5730</v>
      </c>
      <c r="M1667" s="0" t="s">
        <v>178</v>
      </c>
      <c r="N1667" s="0" t="s">
        <v>124</v>
      </c>
      <c r="P1667" s="0" t="s">
        <v>102</v>
      </c>
      <c r="Q1667" s="0" t="s">
        <v>102</v>
      </c>
      <c r="R1667" s="0" t="s">
        <v>131</v>
      </c>
      <c r="S1667" s="0" t="s">
        <v>21</v>
      </c>
      <c r="T1667" s="0" t="s">
        <v>104</v>
      </c>
      <c r="W1667" s="0" t="s">
        <v>105</v>
      </c>
      <c r="AB1667" s="0" t="s">
        <v>5731</v>
      </c>
    </row>
    <row r="1668" customFormat="false" ht="15" hidden="false" customHeight="false" outlineLevel="0" collapsed="false">
      <c r="A1668" s="0" t="s">
        <v>21</v>
      </c>
      <c r="B1668" s="0" t="s">
        <v>5729</v>
      </c>
      <c r="C1668" s="0" t="s">
        <v>174</v>
      </c>
      <c r="D1668" s="0" t="s">
        <v>5730</v>
      </c>
      <c r="E1668" s="0" t="s">
        <v>5730</v>
      </c>
      <c r="M1668" s="0" t="s">
        <v>178</v>
      </c>
      <c r="N1668" s="0" t="s">
        <v>124</v>
      </c>
      <c r="P1668" s="0" t="s">
        <v>180</v>
      </c>
      <c r="Q1668" s="0" t="s">
        <v>181</v>
      </c>
      <c r="R1668" s="0" t="s">
        <v>182</v>
      </c>
      <c r="S1668" s="0" t="s">
        <v>21</v>
      </c>
      <c r="T1668" s="0" t="s">
        <v>104</v>
      </c>
      <c r="W1668" s="0" t="s">
        <v>183</v>
      </c>
      <c r="AB1668" s="0" t="s">
        <v>5731</v>
      </c>
    </row>
    <row r="1669" customFormat="false" ht="15" hidden="false" customHeight="false" outlineLevel="0" collapsed="false">
      <c r="A1669" s="0" t="s">
        <v>21</v>
      </c>
      <c r="B1669" s="0" t="s">
        <v>5732</v>
      </c>
      <c r="C1669" s="0" t="s">
        <v>661</v>
      </c>
      <c r="D1669" s="0" t="s">
        <v>1994</v>
      </c>
      <c r="E1669" s="0" t="s">
        <v>1994</v>
      </c>
      <c r="M1669" s="0" t="s">
        <v>178</v>
      </c>
      <c r="N1669" s="0" t="s">
        <v>124</v>
      </c>
      <c r="P1669" s="0" t="s">
        <v>102</v>
      </c>
      <c r="Q1669" s="0" t="s">
        <v>102</v>
      </c>
      <c r="R1669" s="0" t="s">
        <v>131</v>
      </c>
      <c r="S1669" s="0" t="s">
        <v>21</v>
      </c>
      <c r="T1669" s="0" t="s">
        <v>104</v>
      </c>
      <c r="W1669" s="0" t="s">
        <v>105</v>
      </c>
      <c r="AB1669" s="0" t="s">
        <v>5733</v>
      </c>
    </row>
    <row r="1670" customFormat="false" ht="15" hidden="false" customHeight="false" outlineLevel="0" collapsed="false">
      <c r="A1670" s="0" t="s">
        <v>21</v>
      </c>
      <c r="B1670" s="0" t="s">
        <v>5734</v>
      </c>
      <c r="C1670" s="0" t="s">
        <v>661</v>
      </c>
      <c r="D1670" s="0" t="s">
        <v>1994</v>
      </c>
      <c r="E1670" s="0" t="s">
        <v>1994</v>
      </c>
      <c r="M1670" s="0" t="s">
        <v>178</v>
      </c>
      <c r="N1670" s="0" t="s">
        <v>124</v>
      </c>
      <c r="P1670" s="0" t="s">
        <v>102</v>
      </c>
      <c r="Q1670" s="0" t="s">
        <v>102</v>
      </c>
      <c r="R1670" s="0" t="s">
        <v>131</v>
      </c>
      <c r="S1670" s="0" t="s">
        <v>21</v>
      </c>
      <c r="T1670" s="0" t="s">
        <v>104</v>
      </c>
      <c r="W1670" s="0" t="s">
        <v>105</v>
      </c>
      <c r="AB1670" s="0" t="s">
        <v>5735</v>
      </c>
    </row>
    <row r="1671" customFormat="false" ht="15" hidden="false" customHeight="false" outlineLevel="0" collapsed="false">
      <c r="A1671" s="0" t="s">
        <v>21</v>
      </c>
      <c r="B1671" s="0" t="s">
        <v>5736</v>
      </c>
      <c r="C1671" s="0" t="s">
        <v>97</v>
      </c>
      <c r="D1671" s="0" t="s">
        <v>5737</v>
      </c>
      <c r="E1671" s="0" t="s">
        <v>5738</v>
      </c>
      <c r="H1671" s="0" t="s">
        <v>5739</v>
      </c>
      <c r="I1671" s="0" t="s">
        <v>5740</v>
      </c>
      <c r="J1671" s="0" t="s">
        <v>232</v>
      </c>
      <c r="K1671" s="0" t="s">
        <v>5741</v>
      </c>
      <c r="L1671" s="0" t="s">
        <v>124</v>
      </c>
      <c r="M1671" s="0" t="s">
        <v>232</v>
      </c>
      <c r="N1671" s="0" t="s">
        <v>124</v>
      </c>
      <c r="P1671" s="0" t="s">
        <v>102</v>
      </c>
      <c r="Q1671" s="0" t="s">
        <v>102</v>
      </c>
      <c r="R1671" s="0" t="s">
        <v>113</v>
      </c>
      <c r="S1671" s="0" t="s">
        <v>21</v>
      </c>
      <c r="T1671" s="0" t="s">
        <v>104</v>
      </c>
      <c r="W1671" s="0" t="s">
        <v>105</v>
      </c>
      <c r="X1671" s="0" t="s">
        <v>5742</v>
      </c>
      <c r="Y1671" s="0" t="s">
        <v>5743</v>
      </c>
      <c r="Z1671" s="0" t="s">
        <v>134</v>
      </c>
    </row>
    <row r="1672" customFormat="false" ht="15" hidden="false" customHeight="false" outlineLevel="0" collapsed="false">
      <c r="A1672" s="0" t="s">
        <v>21</v>
      </c>
      <c r="B1672" s="0" t="s">
        <v>5744</v>
      </c>
      <c r="C1672" s="0" t="s">
        <v>395</v>
      </c>
      <c r="D1672" s="0" t="s">
        <v>5745</v>
      </c>
      <c r="E1672" s="0" t="s">
        <v>5746</v>
      </c>
      <c r="G1672" s="0" t="s">
        <v>5747</v>
      </c>
      <c r="M1672" s="0" t="s">
        <v>442</v>
      </c>
      <c r="N1672" s="0" t="s">
        <v>101</v>
      </c>
      <c r="P1672" s="0" t="s">
        <v>236</v>
      </c>
      <c r="Q1672" s="0" t="s">
        <v>236</v>
      </c>
      <c r="R1672" s="0" t="s">
        <v>957</v>
      </c>
      <c r="S1672" s="0" t="s">
        <v>21</v>
      </c>
      <c r="T1672" s="0" t="s">
        <v>104</v>
      </c>
      <c r="W1672" s="0" t="s">
        <v>105</v>
      </c>
    </row>
    <row r="1673" customFormat="false" ht="15" hidden="false" customHeight="false" outlineLevel="0" collapsed="false">
      <c r="A1673" s="0" t="s">
        <v>21</v>
      </c>
      <c r="B1673" s="0" t="s">
        <v>5748</v>
      </c>
      <c r="C1673" s="0" t="s">
        <v>395</v>
      </c>
      <c r="D1673" s="0" t="s">
        <v>5749</v>
      </c>
      <c r="E1673" s="0" t="s">
        <v>5750</v>
      </c>
      <c r="G1673" s="0" t="s">
        <v>5751</v>
      </c>
      <c r="M1673" s="0" t="s">
        <v>421</v>
      </c>
      <c r="N1673" s="0" t="s">
        <v>101</v>
      </c>
      <c r="P1673" s="0" t="s">
        <v>236</v>
      </c>
      <c r="Q1673" s="0" t="s">
        <v>236</v>
      </c>
      <c r="R1673" s="0" t="s">
        <v>957</v>
      </c>
      <c r="S1673" s="0" t="s">
        <v>21</v>
      </c>
      <c r="T1673" s="0" t="s">
        <v>104</v>
      </c>
      <c r="W1673" s="0" t="s">
        <v>105</v>
      </c>
    </row>
    <row r="1674" customFormat="false" ht="15" hidden="false" customHeight="false" outlineLevel="0" collapsed="false">
      <c r="A1674" s="0" t="s">
        <v>21</v>
      </c>
      <c r="B1674" s="0" t="s">
        <v>5752</v>
      </c>
      <c r="C1674" s="0" t="s">
        <v>395</v>
      </c>
      <c r="D1674" s="0" t="s">
        <v>5753</v>
      </c>
      <c r="E1674" s="0" t="s">
        <v>5754</v>
      </c>
      <c r="G1674" s="0" t="s">
        <v>5755</v>
      </c>
      <c r="M1674" s="0" t="s">
        <v>1332</v>
      </c>
      <c r="N1674" s="0" t="s">
        <v>101</v>
      </c>
      <c r="P1674" s="0" t="s">
        <v>236</v>
      </c>
      <c r="Q1674" s="0" t="s">
        <v>236</v>
      </c>
      <c r="R1674" s="0" t="s">
        <v>957</v>
      </c>
      <c r="S1674" s="0" t="s">
        <v>21</v>
      </c>
      <c r="T1674" s="0" t="s">
        <v>104</v>
      </c>
      <c r="W1674" s="0" t="s">
        <v>105</v>
      </c>
    </row>
    <row r="1675" customFormat="false" ht="15" hidden="false" customHeight="false" outlineLevel="0" collapsed="false">
      <c r="A1675" s="0" t="s">
        <v>21</v>
      </c>
      <c r="B1675" s="0" t="s">
        <v>5756</v>
      </c>
      <c r="C1675" s="0" t="s">
        <v>139</v>
      </c>
      <c r="D1675" s="0" t="s">
        <v>5757</v>
      </c>
      <c r="E1675" s="0" t="s">
        <v>5758</v>
      </c>
      <c r="G1675" s="0" t="s">
        <v>4763</v>
      </c>
      <c r="M1675" s="0" t="s">
        <v>442</v>
      </c>
      <c r="N1675" s="0" t="s">
        <v>101</v>
      </c>
      <c r="P1675" s="0" t="s">
        <v>236</v>
      </c>
      <c r="Q1675" s="0" t="s">
        <v>236</v>
      </c>
      <c r="R1675" s="0" t="s">
        <v>957</v>
      </c>
      <c r="S1675" s="0" t="s">
        <v>21</v>
      </c>
      <c r="T1675" s="0" t="s">
        <v>104</v>
      </c>
      <c r="W1675" s="0" t="s">
        <v>105</v>
      </c>
      <c r="Z1675" s="0" t="s">
        <v>171</v>
      </c>
    </row>
    <row r="1676" customFormat="false" ht="15" hidden="false" customHeight="false" outlineLevel="0" collapsed="false">
      <c r="A1676" s="0" t="s">
        <v>21</v>
      </c>
      <c r="B1676" s="0" t="s">
        <v>5759</v>
      </c>
      <c r="C1676" s="0" t="s">
        <v>97</v>
      </c>
      <c r="D1676" s="0" t="s">
        <v>5213</v>
      </c>
      <c r="E1676" s="0" t="s">
        <v>5760</v>
      </c>
      <c r="M1676" s="0" t="s">
        <v>100</v>
      </c>
      <c r="N1676" s="0" t="s">
        <v>101</v>
      </c>
      <c r="P1676" s="0" t="s">
        <v>102</v>
      </c>
      <c r="Q1676" s="0" t="s">
        <v>102</v>
      </c>
      <c r="R1676" s="0" t="s">
        <v>131</v>
      </c>
      <c r="S1676" s="0" t="s">
        <v>21</v>
      </c>
      <c r="T1676" s="0" t="s">
        <v>104</v>
      </c>
      <c r="W1676" s="0" t="s">
        <v>105</v>
      </c>
    </row>
    <row r="1677" customFormat="false" ht="15" hidden="false" customHeight="false" outlineLevel="0" collapsed="false">
      <c r="A1677" s="0" t="s">
        <v>21</v>
      </c>
      <c r="B1677" s="0" t="s">
        <v>5761</v>
      </c>
      <c r="C1677" s="0" t="s">
        <v>97</v>
      </c>
      <c r="D1677" s="0" t="s">
        <v>5762</v>
      </c>
      <c r="E1677" s="0" t="s">
        <v>5763</v>
      </c>
      <c r="M1677" s="0" t="s">
        <v>100</v>
      </c>
      <c r="N1677" s="0" t="s">
        <v>101</v>
      </c>
      <c r="P1677" s="0" t="s">
        <v>102</v>
      </c>
      <c r="Q1677" s="0" t="s">
        <v>102</v>
      </c>
      <c r="R1677" s="0" t="s">
        <v>131</v>
      </c>
      <c r="S1677" s="0" t="s">
        <v>21</v>
      </c>
      <c r="T1677" s="0" t="s">
        <v>104</v>
      </c>
      <c r="W1677" s="0" t="s">
        <v>105</v>
      </c>
    </row>
    <row r="1678" customFormat="false" ht="15" hidden="false" customHeight="false" outlineLevel="0" collapsed="false">
      <c r="A1678" s="0" t="s">
        <v>21</v>
      </c>
      <c r="B1678" s="0" t="s">
        <v>5764</v>
      </c>
      <c r="C1678" s="0" t="s">
        <v>97</v>
      </c>
      <c r="D1678" s="0" t="s">
        <v>5765</v>
      </c>
      <c r="E1678" s="0" t="s">
        <v>5766</v>
      </c>
      <c r="M1678" s="0" t="s">
        <v>100</v>
      </c>
      <c r="N1678" s="0" t="s">
        <v>101</v>
      </c>
      <c r="P1678" s="0" t="s">
        <v>102</v>
      </c>
      <c r="Q1678" s="0" t="s">
        <v>102</v>
      </c>
      <c r="R1678" s="0" t="s">
        <v>131</v>
      </c>
      <c r="S1678" s="0" t="s">
        <v>21</v>
      </c>
      <c r="T1678" s="0" t="s">
        <v>104</v>
      </c>
      <c r="W1678" s="0" t="s">
        <v>105</v>
      </c>
    </row>
    <row r="1679" customFormat="false" ht="15" hidden="false" customHeight="false" outlineLevel="0" collapsed="false">
      <c r="A1679" s="0" t="s">
        <v>21</v>
      </c>
      <c r="B1679" s="0" t="s">
        <v>5767</v>
      </c>
      <c r="C1679" s="0" t="s">
        <v>97</v>
      </c>
      <c r="D1679" s="0" t="s">
        <v>5768</v>
      </c>
      <c r="E1679" s="0" t="s">
        <v>5769</v>
      </c>
      <c r="M1679" s="0" t="s">
        <v>136</v>
      </c>
      <c r="N1679" s="0" t="s">
        <v>124</v>
      </c>
      <c r="P1679" s="0" t="s">
        <v>102</v>
      </c>
      <c r="Q1679" s="0" t="s">
        <v>102</v>
      </c>
      <c r="R1679" s="0" t="s">
        <v>144</v>
      </c>
      <c r="S1679" s="0" t="s">
        <v>21</v>
      </c>
      <c r="T1679" s="0" t="s">
        <v>104</v>
      </c>
      <c r="W1679" s="0" t="s">
        <v>105</v>
      </c>
    </row>
    <row r="1680" customFormat="false" ht="15" hidden="false" customHeight="false" outlineLevel="0" collapsed="false">
      <c r="A1680" s="0" t="s">
        <v>21</v>
      </c>
      <c r="B1680" s="0" t="s">
        <v>5770</v>
      </c>
      <c r="C1680" s="0" t="s">
        <v>97</v>
      </c>
      <c r="D1680" s="0" t="s">
        <v>5771</v>
      </c>
      <c r="E1680" s="0" t="s">
        <v>5772</v>
      </c>
      <c r="M1680" s="0" t="s">
        <v>136</v>
      </c>
      <c r="N1680" s="0" t="s">
        <v>124</v>
      </c>
      <c r="P1680" s="0" t="s">
        <v>102</v>
      </c>
      <c r="Q1680" s="0" t="s">
        <v>102</v>
      </c>
      <c r="R1680" s="0" t="s">
        <v>144</v>
      </c>
      <c r="S1680" s="0" t="s">
        <v>21</v>
      </c>
      <c r="T1680" s="0" t="s">
        <v>104</v>
      </c>
      <c r="W1680" s="0" t="s">
        <v>105</v>
      </c>
    </row>
    <row r="1681" customFormat="false" ht="15" hidden="false" customHeight="false" outlineLevel="0" collapsed="false">
      <c r="A1681" s="0" t="s">
        <v>21</v>
      </c>
      <c r="B1681" s="0" t="s">
        <v>5773</v>
      </c>
      <c r="C1681" s="0" t="s">
        <v>97</v>
      </c>
      <c r="D1681" s="0" t="s">
        <v>5774</v>
      </c>
      <c r="E1681" s="0" t="s">
        <v>5775</v>
      </c>
      <c r="M1681" s="0" t="s">
        <v>100</v>
      </c>
      <c r="N1681" s="0" t="s">
        <v>101</v>
      </c>
      <c r="P1681" s="0" t="s">
        <v>102</v>
      </c>
      <c r="Q1681" s="0" t="s">
        <v>102</v>
      </c>
      <c r="R1681" s="0" t="s">
        <v>144</v>
      </c>
      <c r="S1681" s="0" t="s">
        <v>21</v>
      </c>
      <c r="T1681" s="0" t="s">
        <v>104</v>
      </c>
      <c r="W1681" s="0" t="s">
        <v>105</v>
      </c>
    </row>
    <row r="1682" customFormat="false" ht="15" hidden="false" customHeight="false" outlineLevel="0" collapsed="false">
      <c r="A1682" s="0" t="s">
        <v>21</v>
      </c>
      <c r="B1682" s="0" t="s">
        <v>5776</v>
      </c>
      <c r="C1682" s="0" t="s">
        <v>97</v>
      </c>
      <c r="D1682" s="0" t="s">
        <v>5777</v>
      </c>
      <c r="E1682" s="0" t="s">
        <v>5778</v>
      </c>
      <c r="M1682" s="0" t="s">
        <v>100</v>
      </c>
      <c r="N1682" s="0" t="s">
        <v>101</v>
      </c>
      <c r="P1682" s="0" t="s">
        <v>102</v>
      </c>
      <c r="Q1682" s="0" t="s">
        <v>102</v>
      </c>
      <c r="R1682" s="0" t="s">
        <v>144</v>
      </c>
      <c r="S1682" s="0" t="s">
        <v>21</v>
      </c>
      <c r="T1682" s="0" t="s">
        <v>104</v>
      </c>
      <c r="W1682" s="0" t="s">
        <v>105</v>
      </c>
    </row>
    <row r="1683" customFormat="false" ht="15" hidden="false" customHeight="false" outlineLevel="0" collapsed="false">
      <c r="A1683" s="0" t="s">
        <v>21</v>
      </c>
      <c r="B1683" s="0" t="s">
        <v>5779</v>
      </c>
      <c r="C1683" s="0" t="s">
        <v>97</v>
      </c>
      <c r="D1683" s="0" t="s">
        <v>5780</v>
      </c>
      <c r="E1683" s="0" t="s">
        <v>5781</v>
      </c>
      <c r="M1683" s="0" t="s">
        <v>100</v>
      </c>
      <c r="N1683" s="0" t="s">
        <v>101</v>
      </c>
      <c r="P1683" s="0" t="s">
        <v>102</v>
      </c>
      <c r="Q1683" s="0" t="s">
        <v>102</v>
      </c>
      <c r="R1683" s="0" t="s">
        <v>144</v>
      </c>
      <c r="S1683" s="0" t="s">
        <v>21</v>
      </c>
      <c r="T1683" s="0" t="s">
        <v>104</v>
      </c>
      <c r="W1683" s="0" t="s">
        <v>105</v>
      </c>
    </row>
    <row r="1684" customFormat="false" ht="15" hidden="false" customHeight="false" outlineLevel="0" collapsed="false">
      <c r="A1684" s="0" t="s">
        <v>21</v>
      </c>
      <c r="B1684" s="0" t="s">
        <v>5782</v>
      </c>
      <c r="C1684" s="0" t="s">
        <v>97</v>
      </c>
      <c r="D1684" s="0" t="s">
        <v>5783</v>
      </c>
      <c r="E1684" s="0" t="s">
        <v>5784</v>
      </c>
      <c r="M1684" s="0" t="s">
        <v>100</v>
      </c>
      <c r="N1684" s="0" t="s">
        <v>101</v>
      </c>
      <c r="P1684" s="0" t="s">
        <v>102</v>
      </c>
      <c r="Q1684" s="0" t="s">
        <v>102</v>
      </c>
      <c r="R1684" s="0" t="s">
        <v>144</v>
      </c>
      <c r="S1684" s="0" t="s">
        <v>21</v>
      </c>
      <c r="T1684" s="0" t="s">
        <v>104</v>
      </c>
      <c r="W1684" s="0" t="s">
        <v>105</v>
      </c>
    </row>
    <row r="1685" customFormat="false" ht="15" hidden="false" customHeight="false" outlineLevel="0" collapsed="false">
      <c r="A1685" s="0" t="s">
        <v>21</v>
      </c>
      <c r="B1685" s="0" t="s">
        <v>5785</v>
      </c>
      <c r="C1685" s="0" t="s">
        <v>97</v>
      </c>
      <c r="D1685" s="0" t="s">
        <v>5786</v>
      </c>
      <c r="E1685" s="0" t="s">
        <v>5787</v>
      </c>
      <c r="M1685" s="0" t="s">
        <v>100</v>
      </c>
      <c r="N1685" s="0" t="s">
        <v>101</v>
      </c>
      <c r="P1685" s="0" t="s">
        <v>102</v>
      </c>
      <c r="Q1685" s="0" t="s">
        <v>102</v>
      </c>
      <c r="R1685" s="0" t="s">
        <v>144</v>
      </c>
      <c r="S1685" s="0" t="s">
        <v>21</v>
      </c>
      <c r="T1685" s="0" t="s">
        <v>104</v>
      </c>
      <c r="W1685" s="0" t="s">
        <v>105</v>
      </c>
    </row>
    <row r="1686" customFormat="false" ht="15" hidden="false" customHeight="false" outlineLevel="0" collapsed="false">
      <c r="A1686" s="0" t="s">
        <v>21</v>
      </c>
      <c r="B1686" s="0" t="s">
        <v>5788</v>
      </c>
      <c r="C1686" s="0" t="s">
        <v>97</v>
      </c>
      <c r="D1686" s="0" t="s">
        <v>5789</v>
      </c>
      <c r="E1686" s="0" t="s">
        <v>5790</v>
      </c>
      <c r="M1686" s="0" t="s">
        <v>100</v>
      </c>
      <c r="N1686" s="0" t="s">
        <v>101</v>
      </c>
      <c r="P1686" s="0" t="s">
        <v>102</v>
      </c>
      <c r="Q1686" s="0" t="s">
        <v>102</v>
      </c>
      <c r="R1686" s="0" t="s">
        <v>144</v>
      </c>
      <c r="S1686" s="0" t="s">
        <v>21</v>
      </c>
      <c r="T1686" s="0" t="s">
        <v>104</v>
      </c>
      <c r="W1686" s="0" t="s">
        <v>105</v>
      </c>
    </row>
    <row r="1687" customFormat="false" ht="15" hidden="false" customHeight="false" outlineLevel="0" collapsed="false">
      <c r="A1687" s="0" t="s">
        <v>21</v>
      </c>
      <c r="B1687" s="0" t="s">
        <v>5791</v>
      </c>
      <c r="C1687" s="0" t="s">
        <v>97</v>
      </c>
      <c r="D1687" s="0" t="s">
        <v>5792</v>
      </c>
      <c r="E1687" s="0" t="s">
        <v>5793</v>
      </c>
      <c r="M1687" s="0" t="s">
        <v>100</v>
      </c>
      <c r="N1687" s="0" t="s">
        <v>101</v>
      </c>
      <c r="P1687" s="0" t="s">
        <v>102</v>
      </c>
      <c r="Q1687" s="0" t="s">
        <v>102</v>
      </c>
      <c r="R1687" s="0" t="s">
        <v>144</v>
      </c>
      <c r="S1687" s="0" t="s">
        <v>21</v>
      </c>
      <c r="T1687" s="0" t="s">
        <v>104</v>
      </c>
      <c r="W1687" s="0" t="s">
        <v>105</v>
      </c>
    </row>
    <row r="1688" customFormat="false" ht="15" hidden="false" customHeight="false" outlineLevel="0" collapsed="false">
      <c r="A1688" s="0" t="s">
        <v>21</v>
      </c>
      <c r="B1688" s="0" t="s">
        <v>5794</v>
      </c>
      <c r="C1688" s="0" t="s">
        <v>97</v>
      </c>
      <c r="D1688" s="0" t="s">
        <v>5795</v>
      </c>
      <c r="E1688" s="0" t="s">
        <v>5796</v>
      </c>
      <c r="M1688" s="0" t="s">
        <v>100</v>
      </c>
      <c r="N1688" s="0" t="s">
        <v>101</v>
      </c>
      <c r="P1688" s="0" t="s">
        <v>102</v>
      </c>
      <c r="Q1688" s="0" t="s">
        <v>102</v>
      </c>
      <c r="R1688" s="0" t="s">
        <v>144</v>
      </c>
      <c r="S1688" s="0" t="s">
        <v>21</v>
      </c>
      <c r="T1688" s="0" t="s">
        <v>104</v>
      </c>
      <c r="W1688" s="0" t="s">
        <v>105</v>
      </c>
    </row>
    <row r="1689" customFormat="false" ht="15" hidden="false" customHeight="false" outlineLevel="0" collapsed="false">
      <c r="A1689" s="0" t="s">
        <v>21</v>
      </c>
      <c r="B1689" s="0" t="s">
        <v>5797</v>
      </c>
      <c r="C1689" s="0" t="s">
        <v>97</v>
      </c>
      <c r="D1689" s="0" t="s">
        <v>5798</v>
      </c>
      <c r="E1689" s="0" t="s">
        <v>5799</v>
      </c>
      <c r="M1689" s="0" t="s">
        <v>100</v>
      </c>
      <c r="N1689" s="0" t="s">
        <v>101</v>
      </c>
      <c r="P1689" s="0" t="s">
        <v>102</v>
      </c>
      <c r="Q1689" s="0" t="s">
        <v>102</v>
      </c>
      <c r="R1689" s="0" t="s">
        <v>144</v>
      </c>
      <c r="S1689" s="0" t="s">
        <v>21</v>
      </c>
      <c r="T1689" s="0" t="s">
        <v>104</v>
      </c>
      <c r="W1689" s="0" t="s">
        <v>105</v>
      </c>
    </row>
    <row r="1690" customFormat="false" ht="15" hidden="false" customHeight="false" outlineLevel="0" collapsed="false">
      <c r="A1690" s="0" t="s">
        <v>21</v>
      </c>
      <c r="B1690" s="0" t="s">
        <v>5800</v>
      </c>
      <c r="C1690" s="0" t="s">
        <v>97</v>
      </c>
      <c r="D1690" s="0" t="s">
        <v>5801</v>
      </c>
      <c r="E1690" s="0" t="s">
        <v>5802</v>
      </c>
      <c r="M1690" s="0" t="s">
        <v>100</v>
      </c>
      <c r="N1690" s="0" t="s">
        <v>101</v>
      </c>
      <c r="P1690" s="0" t="s">
        <v>102</v>
      </c>
      <c r="Q1690" s="0" t="s">
        <v>102</v>
      </c>
      <c r="R1690" s="0" t="s">
        <v>144</v>
      </c>
      <c r="S1690" s="0" t="s">
        <v>21</v>
      </c>
      <c r="T1690" s="0" t="s">
        <v>104</v>
      </c>
      <c r="W1690" s="0" t="s">
        <v>105</v>
      </c>
    </row>
    <row r="1691" customFormat="false" ht="15" hidden="false" customHeight="false" outlineLevel="0" collapsed="false">
      <c r="A1691" s="0" t="s">
        <v>21</v>
      </c>
      <c r="B1691" s="0" t="s">
        <v>5803</v>
      </c>
      <c r="C1691" s="0" t="s">
        <v>97</v>
      </c>
      <c r="D1691" s="0" t="s">
        <v>5804</v>
      </c>
      <c r="E1691" s="0" t="s">
        <v>5805</v>
      </c>
      <c r="M1691" s="0" t="s">
        <v>100</v>
      </c>
      <c r="N1691" s="0" t="s">
        <v>101</v>
      </c>
      <c r="P1691" s="0" t="s">
        <v>102</v>
      </c>
      <c r="Q1691" s="0" t="s">
        <v>102</v>
      </c>
      <c r="R1691" s="0" t="s">
        <v>144</v>
      </c>
      <c r="S1691" s="0" t="s">
        <v>21</v>
      </c>
      <c r="T1691" s="0" t="s">
        <v>104</v>
      </c>
      <c r="W1691" s="0" t="s">
        <v>105</v>
      </c>
    </row>
    <row r="1692" customFormat="false" ht="15" hidden="false" customHeight="false" outlineLevel="0" collapsed="false">
      <c r="A1692" s="0" t="s">
        <v>21</v>
      </c>
      <c r="B1692" s="0" t="s">
        <v>5806</v>
      </c>
      <c r="C1692" s="0" t="s">
        <v>97</v>
      </c>
      <c r="D1692" s="0" t="s">
        <v>5807</v>
      </c>
      <c r="E1692" s="0" t="s">
        <v>5808</v>
      </c>
      <c r="M1692" s="0" t="s">
        <v>100</v>
      </c>
      <c r="N1692" s="0" t="s">
        <v>101</v>
      </c>
      <c r="P1692" s="0" t="s">
        <v>102</v>
      </c>
      <c r="Q1692" s="0" t="s">
        <v>102</v>
      </c>
      <c r="R1692" s="0" t="s">
        <v>144</v>
      </c>
      <c r="S1692" s="0" t="s">
        <v>21</v>
      </c>
      <c r="T1692" s="0" t="s">
        <v>104</v>
      </c>
      <c r="W1692" s="0" t="s">
        <v>105</v>
      </c>
    </row>
    <row r="1693" customFormat="false" ht="15" hidden="false" customHeight="false" outlineLevel="0" collapsed="false">
      <c r="A1693" s="0" t="s">
        <v>21</v>
      </c>
      <c r="B1693" s="0" t="s">
        <v>5809</v>
      </c>
      <c r="C1693" s="0" t="s">
        <v>97</v>
      </c>
      <c r="D1693" s="0" t="s">
        <v>5810</v>
      </c>
      <c r="E1693" s="0" t="s">
        <v>5811</v>
      </c>
      <c r="M1693" s="0" t="s">
        <v>100</v>
      </c>
      <c r="N1693" s="0" t="s">
        <v>101</v>
      </c>
      <c r="P1693" s="0" t="s">
        <v>102</v>
      </c>
      <c r="Q1693" s="0" t="s">
        <v>102</v>
      </c>
      <c r="R1693" s="0" t="s">
        <v>144</v>
      </c>
      <c r="S1693" s="0" t="s">
        <v>21</v>
      </c>
      <c r="T1693" s="0" t="s">
        <v>104</v>
      </c>
      <c r="W1693" s="0" t="s">
        <v>105</v>
      </c>
    </row>
    <row r="1694" customFormat="false" ht="15" hidden="false" customHeight="false" outlineLevel="0" collapsed="false">
      <c r="A1694" s="0" t="s">
        <v>21</v>
      </c>
      <c r="B1694" s="0" t="s">
        <v>5812</v>
      </c>
      <c r="C1694" s="0" t="s">
        <v>97</v>
      </c>
      <c r="D1694" s="0" t="s">
        <v>5813</v>
      </c>
      <c r="E1694" s="0" t="s">
        <v>5814</v>
      </c>
      <c r="M1694" s="0" t="s">
        <v>100</v>
      </c>
      <c r="N1694" s="0" t="s">
        <v>101</v>
      </c>
      <c r="P1694" s="0" t="s">
        <v>102</v>
      </c>
      <c r="Q1694" s="0" t="s">
        <v>102</v>
      </c>
      <c r="R1694" s="0" t="s">
        <v>144</v>
      </c>
      <c r="S1694" s="0" t="s">
        <v>21</v>
      </c>
      <c r="T1694" s="0" t="s">
        <v>104</v>
      </c>
      <c r="W1694" s="0" t="s">
        <v>105</v>
      </c>
    </row>
    <row r="1695" customFormat="false" ht="15" hidden="false" customHeight="false" outlineLevel="0" collapsed="false">
      <c r="A1695" s="0" t="s">
        <v>21</v>
      </c>
      <c r="B1695" s="0" t="s">
        <v>5815</v>
      </c>
      <c r="C1695" s="0" t="s">
        <v>97</v>
      </c>
      <c r="D1695" s="0" t="s">
        <v>5816</v>
      </c>
      <c r="E1695" s="0" t="s">
        <v>5817</v>
      </c>
      <c r="M1695" s="0" t="s">
        <v>100</v>
      </c>
      <c r="N1695" s="0" t="s">
        <v>101</v>
      </c>
      <c r="P1695" s="0" t="s">
        <v>102</v>
      </c>
      <c r="Q1695" s="0" t="s">
        <v>102</v>
      </c>
      <c r="R1695" s="0" t="s">
        <v>144</v>
      </c>
      <c r="S1695" s="0" t="s">
        <v>21</v>
      </c>
      <c r="T1695" s="0" t="s">
        <v>104</v>
      </c>
      <c r="W1695" s="0" t="s">
        <v>105</v>
      </c>
    </row>
    <row r="1696" customFormat="false" ht="15" hidden="false" customHeight="false" outlineLevel="0" collapsed="false">
      <c r="A1696" s="0" t="s">
        <v>21</v>
      </c>
      <c r="B1696" s="0" t="s">
        <v>5818</v>
      </c>
      <c r="C1696" s="0" t="s">
        <v>97</v>
      </c>
      <c r="D1696" s="0" t="s">
        <v>5819</v>
      </c>
      <c r="E1696" s="0" t="s">
        <v>5820</v>
      </c>
      <c r="M1696" s="0" t="s">
        <v>100</v>
      </c>
      <c r="N1696" s="0" t="s">
        <v>101</v>
      </c>
      <c r="P1696" s="0" t="s">
        <v>102</v>
      </c>
      <c r="Q1696" s="0" t="s">
        <v>102</v>
      </c>
      <c r="R1696" s="0" t="s">
        <v>144</v>
      </c>
      <c r="S1696" s="0" t="s">
        <v>21</v>
      </c>
      <c r="T1696" s="0" t="s">
        <v>104</v>
      </c>
      <c r="W1696" s="0" t="s">
        <v>105</v>
      </c>
    </row>
    <row r="1697" customFormat="false" ht="15" hidden="false" customHeight="false" outlineLevel="0" collapsed="false">
      <c r="A1697" s="0" t="s">
        <v>21</v>
      </c>
      <c r="B1697" s="0" t="s">
        <v>5821</v>
      </c>
      <c r="C1697" s="0" t="s">
        <v>97</v>
      </c>
      <c r="D1697" s="0" t="s">
        <v>5822</v>
      </c>
      <c r="E1697" s="0" t="s">
        <v>5823</v>
      </c>
      <c r="M1697" s="0" t="s">
        <v>100</v>
      </c>
      <c r="N1697" s="0" t="s">
        <v>101</v>
      </c>
      <c r="P1697" s="0" t="s">
        <v>102</v>
      </c>
      <c r="Q1697" s="0" t="s">
        <v>102</v>
      </c>
      <c r="R1697" s="0" t="s">
        <v>144</v>
      </c>
      <c r="S1697" s="0" t="s">
        <v>21</v>
      </c>
      <c r="T1697" s="0" t="s">
        <v>104</v>
      </c>
      <c r="W1697" s="0" t="s">
        <v>105</v>
      </c>
    </row>
    <row r="1698" customFormat="false" ht="15" hidden="false" customHeight="false" outlineLevel="0" collapsed="false">
      <c r="A1698" s="0" t="s">
        <v>21</v>
      </c>
      <c r="B1698" s="0" t="s">
        <v>5824</v>
      </c>
      <c r="C1698" s="0" t="s">
        <v>97</v>
      </c>
      <c r="D1698" s="0" t="s">
        <v>5825</v>
      </c>
      <c r="E1698" s="0" t="s">
        <v>5826</v>
      </c>
      <c r="M1698" s="0" t="s">
        <v>100</v>
      </c>
      <c r="N1698" s="0" t="s">
        <v>101</v>
      </c>
      <c r="P1698" s="0" t="s">
        <v>102</v>
      </c>
      <c r="Q1698" s="0" t="s">
        <v>102</v>
      </c>
      <c r="R1698" s="0" t="s">
        <v>144</v>
      </c>
      <c r="S1698" s="0" t="s">
        <v>21</v>
      </c>
      <c r="T1698" s="0" t="s">
        <v>104</v>
      </c>
      <c r="W1698" s="0" t="s">
        <v>105</v>
      </c>
    </row>
    <row r="1699" customFormat="false" ht="15" hidden="false" customHeight="false" outlineLevel="0" collapsed="false">
      <c r="A1699" s="0" t="s">
        <v>21</v>
      </c>
      <c r="B1699" s="0" t="s">
        <v>5827</v>
      </c>
      <c r="C1699" s="0" t="s">
        <v>97</v>
      </c>
      <c r="D1699" s="0" t="s">
        <v>5828</v>
      </c>
      <c r="E1699" s="0" t="s">
        <v>5829</v>
      </c>
      <c r="M1699" s="0" t="s">
        <v>100</v>
      </c>
      <c r="N1699" s="0" t="s">
        <v>101</v>
      </c>
      <c r="P1699" s="0" t="s">
        <v>102</v>
      </c>
      <c r="Q1699" s="0" t="s">
        <v>102</v>
      </c>
      <c r="R1699" s="0" t="s">
        <v>144</v>
      </c>
      <c r="S1699" s="0" t="s">
        <v>21</v>
      </c>
      <c r="T1699" s="0" t="s">
        <v>104</v>
      </c>
      <c r="W1699" s="0" t="s">
        <v>105</v>
      </c>
    </row>
    <row r="1700" customFormat="false" ht="15" hidden="false" customHeight="false" outlineLevel="0" collapsed="false">
      <c r="A1700" s="0" t="s">
        <v>21</v>
      </c>
      <c r="B1700" s="0" t="s">
        <v>5830</v>
      </c>
      <c r="C1700" s="0" t="s">
        <v>5831</v>
      </c>
      <c r="D1700" s="0" t="s">
        <v>2995</v>
      </c>
      <c r="E1700" s="0" t="s">
        <v>2995</v>
      </c>
      <c r="M1700" s="0" t="s">
        <v>442</v>
      </c>
      <c r="N1700" s="0" t="s">
        <v>101</v>
      </c>
      <c r="P1700" s="0" t="s">
        <v>102</v>
      </c>
      <c r="Q1700" s="0" t="s">
        <v>102</v>
      </c>
      <c r="R1700" s="0" t="s">
        <v>113</v>
      </c>
      <c r="S1700" s="0" t="s">
        <v>21</v>
      </c>
      <c r="T1700" s="0" t="s">
        <v>104</v>
      </c>
      <c r="W1700" s="0" t="s">
        <v>105</v>
      </c>
    </row>
    <row r="1701" customFormat="false" ht="15" hidden="false" customHeight="false" outlineLevel="0" collapsed="false">
      <c r="A1701" s="0" t="s">
        <v>21</v>
      </c>
      <c r="B1701" s="0" t="s">
        <v>5832</v>
      </c>
      <c r="C1701" s="0" t="s">
        <v>97</v>
      </c>
      <c r="D1701" s="0" t="s">
        <v>5833</v>
      </c>
      <c r="E1701" s="0" t="s">
        <v>5833</v>
      </c>
      <c r="M1701" s="0" t="s">
        <v>442</v>
      </c>
      <c r="N1701" s="0" t="s">
        <v>101</v>
      </c>
      <c r="P1701" s="0" t="s">
        <v>102</v>
      </c>
      <c r="Q1701" s="0" t="s">
        <v>102</v>
      </c>
      <c r="R1701" s="0" t="s">
        <v>113</v>
      </c>
      <c r="S1701" s="0" t="s">
        <v>21</v>
      </c>
      <c r="T1701" s="0" t="s">
        <v>104</v>
      </c>
      <c r="W1701" s="0" t="s">
        <v>105</v>
      </c>
    </row>
    <row r="1702" customFormat="false" ht="15" hidden="false" customHeight="false" outlineLevel="0" collapsed="false">
      <c r="A1702" s="0" t="s">
        <v>21</v>
      </c>
      <c r="B1702" s="0" t="s">
        <v>5834</v>
      </c>
      <c r="C1702" s="0" t="s">
        <v>97</v>
      </c>
      <c r="D1702" s="0" t="s">
        <v>5835</v>
      </c>
      <c r="E1702" s="0" t="s">
        <v>5835</v>
      </c>
      <c r="M1702" s="0" t="s">
        <v>420</v>
      </c>
      <c r="N1702" s="0" t="s">
        <v>101</v>
      </c>
      <c r="P1702" s="0" t="s">
        <v>102</v>
      </c>
      <c r="Q1702" s="0" t="s">
        <v>102</v>
      </c>
      <c r="R1702" s="0" t="s">
        <v>113</v>
      </c>
      <c r="S1702" s="0" t="s">
        <v>21</v>
      </c>
      <c r="T1702" s="0" t="s">
        <v>104</v>
      </c>
      <c r="W1702" s="0" t="s">
        <v>105</v>
      </c>
    </row>
    <row r="1703" customFormat="false" ht="15" hidden="false" customHeight="false" outlineLevel="0" collapsed="false">
      <c r="A1703" s="0" t="s">
        <v>21</v>
      </c>
      <c r="B1703" s="0" t="s">
        <v>5836</v>
      </c>
      <c r="C1703" s="0" t="s">
        <v>97</v>
      </c>
      <c r="D1703" s="0" t="s">
        <v>5837</v>
      </c>
      <c r="E1703" s="0" t="s">
        <v>5837</v>
      </c>
      <c r="M1703" s="0" t="s">
        <v>456</v>
      </c>
      <c r="N1703" s="0" t="s">
        <v>101</v>
      </c>
      <c r="P1703" s="0" t="s">
        <v>102</v>
      </c>
      <c r="Q1703" s="0" t="s">
        <v>102</v>
      </c>
      <c r="R1703" s="0" t="s">
        <v>113</v>
      </c>
      <c r="S1703" s="0" t="s">
        <v>21</v>
      </c>
      <c r="T1703" s="0" t="s">
        <v>104</v>
      </c>
      <c r="W1703" s="0" t="s">
        <v>105</v>
      </c>
    </row>
    <row r="1704" customFormat="false" ht="15" hidden="false" customHeight="false" outlineLevel="0" collapsed="false">
      <c r="A1704" s="0" t="s">
        <v>21</v>
      </c>
      <c r="B1704" s="0" t="s">
        <v>5838</v>
      </c>
      <c r="C1704" s="0" t="s">
        <v>5831</v>
      </c>
      <c r="D1704" s="0" t="s">
        <v>5839</v>
      </c>
      <c r="E1704" s="0" t="s">
        <v>5839</v>
      </c>
      <c r="M1704" s="0" t="s">
        <v>442</v>
      </c>
      <c r="N1704" s="0" t="s">
        <v>101</v>
      </c>
      <c r="P1704" s="0" t="s">
        <v>102</v>
      </c>
      <c r="Q1704" s="0" t="s">
        <v>102</v>
      </c>
      <c r="R1704" s="0" t="s">
        <v>113</v>
      </c>
      <c r="S1704" s="0" t="s">
        <v>21</v>
      </c>
      <c r="T1704" s="0" t="s">
        <v>104</v>
      </c>
      <c r="W1704" s="0" t="s">
        <v>105</v>
      </c>
    </row>
    <row r="1705" customFormat="false" ht="15" hidden="false" customHeight="false" outlineLevel="0" collapsed="false">
      <c r="A1705" s="0" t="s">
        <v>21</v>
      </c>
      <c r="B1705" s="0" t="s">
        <v>5840</v>
      </c>
      <c r="C1705" s="0" t="s">
        <v>97</v>
      </c>
      <c r="D1705" s="0" t="s">
        <v>724</v>
      </c>
      <c r="E1705" s="0" t="s">
        <v>724</v>
      </c>
      <c r="M1705" s="0" t="s">
        <v>437</v>
      </c>
      <c r="N1705" s="0" t="s">
        <v>101</v>
      </c>
      <c r="P1705" s="0" t="s">
        <v>102</v>
      </c>
      <c r="Q1705" s="0" t="s">
        <v>102</v>
      </c>
      <c r="R1705" s="0" t="s">
        <v>113</v>
      </c>
      <c r="S1705" s="0" t="s">
        <v>21</v>
      </c>
      <c r="T1705" s="0" t="s">
        <v>104</v>
      </c>
      <c r="W1705" s="0" t="s">
        <v>105</v>
      </c>
    </row>
    <row r="1706" customFormat="false" ht="15" hidden="false" customHeight="false" outlineLevel="0" collapsed="false">
      <c r="A1706" s="0" t="s">
        <v>21</v>
      </c>
      <c r="B1706" s="0" t="s">
        <v>5841</v>
      </c>
      <c r="C1706" s="0" t="s">
        <v>5842</v>
      </c>
      <c r="D1706" s="0" t="s">
        <v>5843</v>
      </c>
      <c r="E1706" s="0" t="s">
        <v>5844</v>
      </c>
      <c r="G1706" s="0" t="s">
        <v>5845</v>
      </c>
      <c r="H1706" s="0" t="s">
        <v>5846</v>
      </c>
      <c r="I1706" s="0" t="s">
        <v>5847</v>
      </c>
      <c r="J1706" s="0" t="s">
        <v>448</v>
      </c>
      <c r="K1706" s="0" t="s">
        <v>5848</v>
      </c>
      <c r="L1706" s="0" t="s">
        <v>101</v>
      </c>
      <c r="M1706" s="0" t="s">
        <v>448</v>
      </c>
      <c r="N1706" s="0" t="s">
        <v>101</v>
      </c>
      <c r="P1706" s="0" t="s">
        <v>5849</v>
      </c>
      <c r="Q1706" s="0" t="s">
        <v>5849</v>
      </c>
      <c r="R1706" s="0" t="s">
        <v>5849</v>
      </c>
      <c r="S1706" s="0" t="s">
        <v>21</v>
      </c>
      <c r="T1706" s="0" t="s">
        <v>104</v>
      </c>
      <c r="W1706" s="0" t="s">
        <v>105</v>
      </c>
    </row>
    <row r="1707" customFormat="false" ht="15" hidden="false" customHeight="false" outlineLevel="0" collapsed="false">
      <c r="A1707" s="0" t="s">
        <v>21</v>
      </c>
      <c r="B1707" s="0" t="s">
        <v>5850</v>
      </c>
      <c r="C1707" s="0" t="s">
        <v>97</v>
      </c>
      <c r="D1707" s="0" t="s">
        <v>3383</v>
      </c>
      <c r="E1707" s="0" t="s">
        <v>3383</v>
      </c>
      <c r="M1707" s="0" t="s">
        <v>442</v>
      </c>
      <c r="N1707" s="0" t="s">
        <v>101</v>
      </c>
      <c r="P1707" s="0" t="s">
        <v>102</v>
      </c>
      <c r="Q1707" s="0" t="s">
        <v>102</v>
      </c>
      <c r="R1707" s="0" t="s">
        <v>113</v>
      </c>
      <c r="S1707" s="0" t="s">
        <v>21</v>
      </c>
      <c r="T1707" s="0" t="s">
        <v>104</v>
      </c>
      <c r="W1707" s="0" t="s">
        <v>105</v>
      </c>
    </row>
    <row r="1708" customFormat="false" ht="15" hidden="false" customHeight="false" outlineLevel="0" collapsed="false">
      <c r="A1708" s="0" t="s">
        <v>21</v>
      </c>
      <c r="B1708" s="0" t="s">
        <v>5851</v>
      </c>
      <c r="C1708" s="0" t="s">
        <v>97</v>
      </c>
      <c r="D1708" s="0" t="s">
        <v>5852</v>
      </c>
      <c r="E1708" s="0" t="s">
        <v>5853</v>
      </c>
      <c r="M1708" s="0" t="s">
        <v>136</v>
      </c>
      <c r="N1708" s="0" t="s">
        <v>124</v>
      </c>
      <c r="P1708" s="0" t="s">
        <v>102</v>
      </c>
      <c r="Q1708" s="0" t="s">
        <v>102</v>
      </c>
      <c r="R1708" s="0" t="s">
        <v>144</v>
      </c>
      <c r="S1708" s="0" t="s">
        <v>21</v>
      </c>
      <c r="T1708" s="0" t="s">
        <v>104</v>
      </c>
      <c r="W1708" s="0" t="s">
        <v>105</v>
      </c>
    </row>
    <row r="1709" customFormat="false" ht="15" hidden="false" customHeight="false" outlineLevel="0" collapsed="false">
      <c r="A1709" s="0" t="s">
        <v>21</v>
      </c>
      <c r="B1709" s="0" t="s">
        <v>5854</v>
      </c>
      <c r="C1709" s="0" t="s">
        <v>97</v>
      </c>
      <c r="D1709" s="0" t="s">
        <v>3857</v>
      </c>
      <c r="E1709" s="0" t="s">
        <v>5855</v>
      </c>
      <c r="M1709" s="0" t="s">
        <v>136</v>
      </c>
      <c r="N1709" s="0" t="s">
        <v>124</v>
      </c>
      <c r="P1709" s="0" t="s">
        <v>102</v>
      </c>
      <c r="Q1709" s="0" t="s">
        <v>102</v>
      </c>
      <c r="R1709" s="0" t="s">
        <v>131</v>
      </c>
      <c r="S1709" s="0" t="s">
        <v>21</v>
      </c>
      <c r="T1709" s="0" t="s">
        <v>104</v>
      </c>
      <c r="W1709" s="0" t="s">
        <v>105</v>
      </c>
    </row>
    <row r="1710" customFormat="false" ht="15" hidden="false" customHeight="false" outlineLevel="0" collapsed="false">
      <c r="A1710" s="0" t="s">
        <v>21</v>
      </c>
      <c r="B1710" s="0" t="s">
        <v>5856</v>
      </c>
      <c r="C1710" s="0" t="s">
        <v>139</v>
      </c>
      <c r="D1710" s="0" t="s">
        <v>5857</v>
      </c>
      <c r="E1710" s="0" t="s">
        <v>5858</v>
      </c>
      <c r="G1710" s="0" t="s">
        <v>5859</v>
      </c>
      <c r="H1710" s="0" t="s">
        <v>5860</v>
      </c>
      <c r="I1710" s="0" t="s">
        <v>2678</v>
      </c>
      <c r="J1710" s="0" t="s">
        <v>245</v>
      </c>
      <c r="K1710" s="0" t="s">
        <v>2679</v>
      </c>
      <c r="L1710" s="0" t="s">
        <v>124</v>
      </c>
      <c r="M1710" s="0" t="s">
        <v>2678</v>
      </c>
      <c r="N1710" s="0" t="s">
        <v>124</v>
      </c>
      <c r="P1710" s="0" t="s">
        <v>102</v>
      </c>
      <c r="Q1710" s="0" t="s">
        <v>102</v>
      </c>
      <c r="R1710" s="0" t="s">
        <v>137</v>
      </c>
      <c r="S1710" s="0" t="s">
        <v>21</v>
      </c>
      <c r="T1710" s="0" t="s">
        <v>104</v>
      </c>
      <c r="W1710" s="0" t="s">
        <v>105</v>
      </c>
      <c r="X1710" s="0" t="s">
        <v>5861</v>
      </c>
      <c r="Y1710" s="0" t="s">
        <v>5862</v>
      </c>
      <c r="Z1710" s="0" t="s">
        <v>159</v>
      </c>
    </row>
    <row r="1711" customFormat="false" ht="15" hidden="false" customHeight="false" outlineLevel="0" collapsed="false">
      <c r="A1711" s="0" t="s">
        <v>21</v>
      </c>
      <c r="B1711" s="0" t="s">
        <v>5863</v>
      </c>
      <c r="C1711" s="0" t="s">
        <v>97</v>
      </c>
      <c r="D1711" s="0" t="s">
        <v>5178</v>
      </c>
      <c r="E1711" s="0" t="s">
        <v>5178</v>
      </c>
      <c r="M1711" s="0" t="s">
        <v>100</v>
      </c>
      <c r="N1711" s="0" t="s">
        <v>101</v>
      </c>
      <c r="P1711" s="0" t="s">
        <v>102</v>
      </c>
      <c r="Q1711" s="0" t="s">
        <v>102</v>
      </c>
      <c r="R1711" s="0" t="s">
        <v>131</v>
      </c>
      <c r="S1711" s="0" t="s">
        <v>21</v>
      </c>
      <c r="T1711" s="0" t="s">
        <v>104</v>
      </c>
      <c r="W1711" s="0" t="s">
        <v>105</v>
      </c>
    </row>
    <row r="1712" customFormat="false" ht="15" hidden="false" customHeight="false" outlineLevel="0" collapsed="false">
      <c r="A1712" s="0" t="s">
        <v>21</v>
      </c>
      <c r="B1712" s="0" t="s">
        <v>5864</v>
      </c>
      <c r="C1712" s="0" t="s">
        <v>97</v>
      </c>
      <c r="D1712" s="0" t="s">
        <v>5865</v>
      </c>
      <c r="E1712" s="0" t="s">
        <v>5865</v>
      </c>
      <c r="M1712" s="0" t="s">
        <v>101</v>
      </c>
      <c r="N1712" s="0" t="s">
        <v>101</v>
      </c>
      <c r="P1712" s="0" t="s">
        <v>102</v>
      </c>
      <c r="Q1712" s="0" t="s">
        <v>102</v>
      </c>
      <c r="R1712" s="0" t="s">
        <v>131</v>
      </c>
      <c r="S1712" s="0" t="s">
        <v>21</v>
      </c>
      <c r="T1712" s="0" t="s">
        <v>104</v>
      </c>
      <c r="W1712" s="0" t="s">
        <v>105</v>
      </c>
    </row>
    <row r="1713" customFormat="false" ht="15" hidden="false" customHeight="false" outlineLevel="0" collapsed="false">
      <c r="A1713" s="0" t="s">
        <v>21</v>
      </c>
      <c r="B1713" s="0" t="s">
        <v>5866</v>
      </c>
      <c r="C1713" s="0" t="s">
        <v>97</v>
      </c>
      <c r="D1713" s="0" t="s">
        <v>5867</v>
      </c>
      <c r="E1713" s="0" t="s">
        <v>5868</v>
      </c>
      <c r="M1713" s="0" t="s">
        <v>136</v>
      </c>
      <c r="N1713" s="0" t="s">
        <v>124</v>
      </c>
      <c r="P1713" s="0" t="s">
        <v>102</v>
      </c>
      <c r="Q1713" s="0" t="s">
        <v>102</v>
      </c>
      <c r="R1713" s="0" t="s">
        <v>131</v>
      </c>
      <c r="S1713" s="0" t="s">
        <v>21</v>
      </c>
      <c r="T1713" s="0" t="s">
        <v>104</v>
      </c>
      <c r="W1713" s="0" t="s">
        <v>105</v>
      </c>
    </row>
    <row r="1714" customFormat="false" ht="15" hidden="false" customHeight="false" outlineLevel="0" collapsed="false">
      <c r="A1714" s="0" t="s">
        <v>21</v>
      </c>
      <c r="B1714" s="0" t="s">
        <v>5869</v>
      </c>
      <c r="C1714" s="0" t="s">
        <v>97</v>
      </c>
      <c r="D1714" s="0" t="s">
        <v>5870</v>
      </c>
      <c r="E1714" s="0" t="s">
        <v>5870</v>
      </c>
      <c r="M1714" s="0" t="s">
        <v>136</v>
      </c>
      <c r="N1714" s="0" t="s">
        <v>124</v>
      </c>
      <c r="P1714" s="0" t="s">
        <v>102</v>
      </c>
      <c r="Q1714" s="0" t="s">
        <v>102</v>
      </c>
      <c r="R1714" s="0" t="s">
        <v>113</v>
      </c>
      <c r="S1714" s="0" t="s">
        <v>21</v>
      </c>
      <c r="T1714" s="0" t="s">
        <v>104</v>
      </c>
      <c r="W1714" s="0" t="s">
        <v>105</v>
      </c>
    </row>
    <row r="1715" customFormat="false" ht="15" hidden="false" customHeight="false" outlineLevel="0" collapsed="false">
      <c r="A1715" s="0" t="s">
        <v>21</v>
      </c>
      <c r="B1715" s="0" t="s">
        <v>5871</v>
      </c>
      <c r="C1715" s="0" t="s">
        <v>395</v>
      </c>
      <c r="D1715" s="0" t="s">
        <v>5872</v>
      </c>
      <c r="E1715" s="0" t="s">
        <v>5872</v>
      </c>
      <c r="M1715" s="0" t="s">
        <v>136</v>
      </c>
      <c r="N1715" s="0" t="s">
        <v>124</v>
      </c>
      <c r="P1715" s="0" t="s">
        <v>102</v>
      </c>
      <c r="Q1715" s="0" t="s">
        <v>102</v>
      </c>
      <c r="R1715" s="0" t="s">
        <v>113</v>
      </c>
      <c r="S1715" s="0" t="s">
        <v>21</v>
      </c>
      <c r="T1715" s="0" t="s">
        <v>104</v>
      </c>
      <c r="W1715" s="0" t="s">
        <v>105</v>
      </c>
    </row>
    <row r="1716" customFormat="false" ht="15" hidden="false" customHeight="false" outlineLevel="0" collapsed="false">
      <c r="A1716" s="0" t="s">
        <v>21</v>
      </c>
      <c r="B1716" s="0" t="s">
        <v>5873</v>
      </c>
      <c r="C1716" s="0" t="s">
        <v>395</v>
      </c>
      <c r="D1716" s="0" t="s">
        <v>5874</v>
      </c>
      <c r="E1716" s="0" t="s">
        <v>5874</v>
      </c>
      <c r="M1716" s="0" t="s">
        <v>136</v>
      </c>
      <c r="N1716" s="0" t="s">
        <v>124</v>
      </c>
      <c r="P1716" s="0" t="s">
        <v>102</v>
      </c>
      <c r="Q1716" s="0" t="s">
        <v>102</v>
      </c>
      <c r="R1716" s="0" t="s">
        <v>113</v>
      </c>
      <c r="S1716" s="0" t="s">
        <v>21</v>
      </c>
      <c r="T1716" s="0" t="s">
        <v>104</v>
      </c>
      <c r="W1716" s="0" t="s">
        <v>105</v>
      </c>
    </row>
    <row r="1717" customFormat="false" ht="15" hidden="false" customHeight="false" outlineLevel="0" collapsed="false">
      <c r="A1717" s="0" t="s">
        <v>21</v>
      </c>
      <c r="B1717" s="0" t="s">
        <v>5875</v>
      </c>
      <c r="C1717" s="0" t="s">
        <v>395</v>
      </c>
      <c r="D1717" s="0" t="s">
        <v>5876</v>
      </c>
      <c r="E1717" s="0" t="s">
        <v>5876</v>
      </c>
      <c r="M1717" s="0" t="s">
        <v>136</v>
      </c>
      <c r="N1717" s="0" t="s">
        <v>124</v>
      </c>
      <c r="P1717" s="0" t="s">
        <v>102</v>
      </c>
      <c r="Q1717" s="0" t="s">
        <v>102</v>
      </c>
      <c r="R1717" s="0" t="s">
        <v>113</v>
      </c>
      <c r="S1717" s="0" t="s">
        <v>21</v>
      </c>
      <c r="T1717" s="0" t="s">
        <v>104</v>
      </c>
      <c r="W1717" s="0" t="s">
        <v>105</v>
      </c>
    </row>
    <row r="1718" customFormat="false" ht="15" hidden="false" customHeight="false" outlineLevel="0" collapsed="false">
      <c r="A1718" s="0" t="s">
        <v>21</v>
      </c>
      <c r="B1718" s="0" t="s">
        <v>5877</v>
      </c>
      <c r="C1718" s="0" t="s">
        <v>97</v>
      </c>
      <c r="D1718" s="0" t="s">
        <v>5878</v>
      </c>
      <c r="E1718" s="0" t="s">
        <v>5878</v>
      </c>
      <c r="M1718" s="0" t="s">
        <v>136</v>
      </c>
      <c r="N1718" s="0" t="s">
        <v>124</v>
      </c>
      <c r="P1718" s="0" t="s">
        <v>102</v>
      </c>
      <c r="Q1718" s="0" t="s">
        <v>102</v>
      </c>
      <c r="R1718" s="0" t="s">
        <v>113</v>
      </c>
      <c r="S1718" s="0" t="s">
        <v>21</v>
      </c>
      <c r="T1718" s="0" t="s">
        <v>104</v>
      </c>
      <c r="W1718" s="0" t="s">
        <v>105</v>
      </c>
    </row>
    <row r="1719" customFormat="false" ht="15" hidden="false" customHeight="false" outlineLevel="0" collapsed="false">
      <c r="A1719" s="0" t="s">
        <v>21</v>
      </c>
      <c r="B1719" s="0" t="s">
        <v>5879</v>
      </c>
      <c r="C1719" s="0" t="s">
        <v>395</v>
      </c>
      <c r="D1719" s="0" t="s">
        <v>5880</v>
      </c>
      <c r="E1719" s="0" t="s">
        <v>5880</v>
      </c>
      <c r="M1719" s="0" t="s">
        <v>136</v>
      </c>
      <c r="N1719" s="0" t="s">
        <v>124</v>
      </c>
      <c r="P1719" s="0" t="s">
        <v>102</v>
      </c>
      <c r="Q1719" s="0" t="s">
        <v>102</v>
      </c>
      <c r="R1719" s="0" t="s">
        <v>113</v>
      </c>
      <c r="S1719" s="0" t="s">
        <v>21</v>
      </c>
      <c r="T1719" s="0" t="s">
        <v>104</v>
      </c>
      <c r="W1719" s="0" t="s">
        <v>105</v>
      </c>
    </row>
    <row r="1720" customFormat="false" ht="15" hidden="false" customHeight="false" outlineLevel="0" collapsed="false">
      <c r="A1720" s="0" t="s">
        <v>21</v>
      </c>
      <c r="B1720" s="0" t="s">
        <v>5881</v>
      </c>
      <c r="C1720" s="0" t="s">
        <v>395</v>
      </c>
      <c r="D1720" s="0" t="s">
        <v>5882</v>
      </c>
      <c r="E1720" s="0" t="s">
        <v>5882</v>
      </c>
      <c r="M1720" s="0" t="s">
        <v>136</v>
      </c>
      <c r="N1720" s="0" t="s">
        <v>124</v>
      </c>
      <c r="P1720" s="0" t="s">
        <v>102</v>
      </c>
      <c r="Q1720" s="0" t="s">
        <v>102</v>
      </c>
      <c r="R1720" s="0" t="s">
        <v>113</v>
      </c>
      <c r="S1720" s="0" t="s">
        <v>21</v>
      </c>
      <c r="T1720" s="0" t="s">
        <v>104</v>
      </c>
      <c r="W1720" s="0" t="s">
        <v>105</v>
      </c>
    </row>
    <row r="1721" customFormat="false" ht="15" hidden="false" customHeight="false" outlineLevel="0" collapsed="false">
      <c r="A1721" s="0" t="s">
        <v>21</v>
      </c>
      <c r="B1721" s="0" t="s">
        <v>5883</v>
      </c>
      <c r="C1721" s="0" t="s">
        <v>395</v>
      </c>
      <c r="D1721" s="0" t="s">
        <v>5884</v>
      </c>
      <c r="E1721" s="0" t="s">
        <v>5884</v>
      </c>
      <c r="M1721" s="0" t="s">
        <v>136</v>
      </c>
      <c r="N1721" s="0" t="s">
        <v>124</v>
      </c>
      <c r="P1721" s="0" t="s">
        <v>102</v>
      </c>
      <c r="Q1721" s="0" t="s">
        <v>102</v>
      </c>
      <c r="R1721" s="0" t="s">
        <v>113</v>
      </c>
      <c r="S1721" s="0" t="s">
        <v>21</v>
      </c>
      <c r="T1721" s="0" t="s">
        <v>104</v>
      </c>
      <c r="W1721" s="0" t="s">
        <v>105</v>
      </c>
    </row>
    <row r="1722" customFormat="false" ht="15" hidden="false" customHeight="false" outlineLevel="0" collapsed="false">
      <c r="A1722" s="0" t="s">
        <v>21</v>
      </c>
      <c r="B1722" s="0" t="s">
        <v>5885</v>
      </c>
      <c r="C1722" s="0" t="s">
        <v>395</v>
      </c>
      <c r="D1722" s="0" t="s">
        <v>5886</v>
      </c>
      <c r="E1722" s="0" t="s">
        <v>5886</v>
      </c>
      <c r="M1722" s="0" t="s">
        <v>136</v>
      </c>
      <c r="N1722" s="0" t="s">
        <v>124</v>
      </c>
      <c r="P1722" s="0" t="s">
        <v>102</v>
      </c>
      <c r="Q1722" s="0" t="s">
        <v>102</v>
      </c>
      <c r="R1722" s="0" t="s">
        <v>113</v>
      </c>
      <c r="S1722" s="0" t="s">
        <v>21</v>
      </c>
      <c r="T1722" s="0" t="s">
        <v>104</v>
      </c>
      <c r="W1722" s="0" t="s">
        <v>105</v>
      </c>
    </row>
    <row r="1723" customFormat="false" ht="15" hidden="false" customHeight="false" outlineLevel="0" collapsed="false">
      <c r="A1723" s="0" t="s">
        <v>21</v>
      </c>
      <c r="B1723" s="0" t="s">
        <v>5887</v>
      </c>
      <c r="C1723" s="0" t="s">
        <v>395</v>
      </c>
      <c r="D1723" s="0" t="s">
        <v>5888</v>
      </c>
      <c r="E1723" s="0" t="s">
        <v>5888</v>
      </c>
      <c r="M1723" s="0" t="s">
        <v>136</v>
      </c>
      <c r="N1723" s="0" t="s">
        <v>124</v>
      </c>
      <c r="P1723" s="0" t="s">
        <v>102</v>
      </c>
      <c r="Q1723" s="0" t="s">
        <v>102</v>
      </c>
      <c r="R1723" s="0" t="s">
        <v>113</v>
      </c>
      <c r="S1723" s="0" t="s">
        <v>21</v>
      </c>
      <c r="T1723" s="0" t="s">
        <v>104</v>
      </c>
      <c r="W1723" s="0" t="s">
        <v>105</v>
      </c>
    </row>
    <row r="1724" customFormat="false" ht="15" hidden="false" customHeight="false" outlineLevel="0" collapsed="false">
      <c r="A1724" s="0" t="s">
        <v>21</v>
      </c>
      <c r="B1724" s="0" t="s">
        <v>5889</v>
      </c>
      <c r="C1724" s="0" t="s">
        <v>395</v>
      </c>
      <c r="D1724" s="0" t="s">
        <v>5890</v>
      </c>
      <c r="E1724" s="0" t="s">
        <v>5890</v>
      </c>
      <c r="M1724" s="0" t="s">
        <v>136</v>
      </c>
      <c r="N1724" s="0" t="s">
        <v>124</v>
      </c>
      <c r="P1724" s="0" t="s">
        <v>102</v>
      </c>
      <c r="Q1724" s="0" t="s">
        <v>102</v>
      </c>
      <c r="R1724" s="0" t="s">
        <v>113</v>
      </c>
      <c r="S1724" s="0" t="s">
        <v>21</v>
      </c>
      <c r="T1724" s="0" t="s">
        <v>104</v>
      </c>
      <c r="W1724" s="0" t="s">
        <v>105</v>
      </c>
    </row>
    <row r="1725" customFormat="false" ht="15" hidden="false" customHeight="false" outlineLevel="0" collapsed="false">
      <c r="A1725" s="0" t="s">
        <v>21</v>
      </c>
      <c r="B1725" s="0" t="s">
        <v>5891</v>
      </c>
      <c r="C1725" s="0" t="s">
        <v>395</v>
      </c>
      <c r="D1725" s="0" t="s">
        <v>5892</v>
      </c>
      <c r="E1725" s="0" t="s">
        <v>5892</v>
      </c>
      <c r="M1725" s="0" t="s">
        <v>136</v>
      </c>
      <c r="N1725" s="0" t="s">
        <v>124</v>
      </c>
      <c r="P1725" s="0" t="s">
        <v>499</v>
      </c>
      <c r="Q1725" s="0" t="s">
        <v>499</v>
      </c>
      <c r="R1725" s="0" t="s">
        <v>499</v>
      </c>
      <c r="S1725" s="0" t="s">
        <v>21</v>
      </c>
      <c r="T1725" s="0" t="s">
        <v>104</v>
      </c>
      <c r="W1725" s="0" t="s">
        <v>183</v>
      </c>
    </row>
    <row r="1726" customFormat="false" ht="15" hidden="false" customHeight="false" outlineLevel="0" collapsed="false">
      <c r="A1726" s="0" t="s">
        <v>21</v>
      </c>
      <c r="B1726" s="0" t="s">
        <v>5891</v>
      </c>
      <c r="C1726" s="0" t="s">
        <v>395</v>
      </c>
      <c r="D1726" s="0" t="s">
        <v>5892</v>
      </c>
      <c r="E1726" s="0" t="s">
        <v>5892</v>
      </c>
      <c r="M1726" s="0" t="s">
        <v>136</v>
      </c>
      <c r="N1726" s="0" t="s">
        <v>124</v>
      </c>
      <c r="P1726" s="0" t="s">
        <v>102</v>
      </c>
      <c r="Q1726" s="0" t="s">
        <v>102</v>
      </c>
      <c r="R1726" s="0" t="s">
        <v>113</v>
      </c>
      <c r="S1726" s="0" t="s">
        <v>21</v>
      </c>
      <c r="T1726" s="0" t="s">
        <v>104</v>
      </c>
      <c r="W1726" s="0" t="s">
        <v>105</v>
      </c>
    </row>
    <row r="1727" customFormat="false" ht="15" hidden="false" customHeight="false" outlineLevel="0" collapsed="false">
      <c r="A1727" s="0" t="s">
        <v>21</v>
      </c>
      <c r="B1727" s="0" t="s">
        <v>5893</v>
      </c>
      <c r="C1727" s="0" t="s">
        <v>97</v>
      </c>
      <c r="D1727" s="0" t="s">
        <v>5894</v>
      </c>
      <c r="E1727" s="0" t="s">
        <v>5894</v>
      </c>
      <c r="M1727" s="0" t="s">
        <v>136</v>
      </c>
      <c r="N1727" s="0" t="s">
        <v>124</v>
      </c>
      <c r="P1727" s="0" t="s">
        <v>102</v>
      </c>
      <c r="Q1727" s="0" t="s">
        <v>102</v>
      </c>
      <c r="R1727" s="0" t="s">
        <v>113</v>
      </c>
      <c r="S1727" s="0" t="s">
        <v>21</v>
      </c>
      <c r="T1727" s="0" t="s">
        <v>104</v>
      </c>
      <c r="W1727" s="0" t="s">
        <v>105</v>
      </c>
    </row>
    <row r="1728" customFormat="false" ht="15" hidden="false" customHeight="false" outlineLevel="0" collapsed="false">
      <c r="A1728" s="0" t="s">
        <v>21</v>
      </c>
      <c r="B1728" s="0" t="s">
        <v>5895</v>
      </c>
      <c r="C1728" s="0" t="s">
        <v>97</v>
      </c>
      <c r="D1728" s="0" t="s">
        <v>5896</v>
      </c>
      <c r="E1728" s="0" t="s">
        <v>5896</v>
      </c>
      <c r="M1728" s="0" t="s">
        <v>136</v>
      </c>
      <c r="N1728" s="0" t="s">
        <v>124</v>
      </c>
      <c r="P1728" s="0" t="s">
        <v>102</v>
      </c>
      <c r="Q1728" s="0" t="s">
        <v>102</v>
      </c>
      <c r="R1728" s="0" t="s">
        <v>113</v>
      </c>
      <c r="S1728" s="0" t="s">
        <v>21</v>
      </c>
      <c r="T1728" s="0" t="s">
        <v>104</v>
      </c>
      <c r="W1728" s="0" t="s">
        <v>105</v>
      </c>
    </row>
    <row r="1729" customFormat="false" ht="15" hidden="false" customHeight="false" outlineLevel="0" collapsed="false">
      <c r="A1729" s="0" t="s">
        <v>21</v>
      </c>
      <c r="B1729" s="0" t="s">
        <v>5897</v>
      </c>
      <c r="C1729" s="0" t="s">
        <v>97</v>
      </c>
      <c r="D1729" s="0" t="s">
        <v>5898</v>
      </c>
      <c r="E1729" s="0" t="s">
        <v>5898</v>
      </c>
      <c r="M1729" s="0" t="s">
        <v>136</v>
      </c>
      <c r="N1729" s="0" t="s">
        <v>124</v>
      </c>
      <c r="P1729" s="0" t="s">
        <v>102</v>
      </c>
      <c r="Q1729" s="0" t="s">
        <v>102</v>
      </c>
      <c r="R1729" s="0" t="s">
        <v>113</v>
      </c>
      <c r="S1729" s="0" t="s">
        <v>21</v>
      </c>
      <c r="T1729" s="0" t="s">
        <v>104</v>
      </c>
      <c r="W1729" s="0" t="s">
        <v>105</v>
      </c>
    </row>
    <row r="1730" customFormat="false" ht="15" hidden="false" customHeight="false" outlineLevel="0" collapsed="false">
      <c r="A1730" s="0" t="s">
        <v>21</v>
      </c>
      <c r="B1730" s="0" t="s">
        <v>5899</v>
      </c>
      <c r="C1730" s="0" t="s">
        <v>97</v>
      </c>
      <c r="D1730" s="0" t="s">
        <v>4798</v>
      </c>
      <c r="E1730" s="0" t="s">
        <v>4798</v>
      </c>
      <c r="M1730" s="0" t="s">
        <v>442</v>
      </c>
      <c r="N1730" s="0" t="s">
        <v>101</v>
      </c>
      <c r="P1730" s="0" t="s">
        <v>130</v>
      </c>
      <c r="Q1730" s="0" t="s">
        <v>130</v>
      </c>
      <c r="R1730" s="0" t="s">
        <v>113</v>
      </c>
      <c r="S1730" s="0" t="s">
        <v>21</v>
      </c>
      <c r="T1730" s="0" t="s">
        <v>104</v>
      </c>
      <c r="W1730" s="0" t="s">
        <v>105</v>
      </c>
    </row>
    <row r="1731" customFormat="false" ht="15" hidden="false" customHeight="false" outlineLevel="0" collapsed="false">
      <c r="A1731" s="0" t="s">
        <v>21</v>
      </c>
      <c r="B1731" s="0" t="s">
        <v>5900</v>
      </c>
      <c r="C1731" s="0" t="s">
        <v>97</v>
      </c>
      <c r="D1731" s="0" t="s">
        <v>5901</v>
      </c>
      <c r="E1731" s="0" t="s">
        <v>5901</v>
      </c>
      <c r="M1731" s="0" t="s">
        <v>442</v>
      </c>
      <c r="N1731" s="0" t="s">
        <v>101</v>
      </c>
      <c r="P1731" s="0" t="s">
        <v>102</v>
      </c>
      <c r="Q1731" s="0" t="s">
        <v>102</v>
      </c>
      <c r="R1731" s="0" t="s">
        <v>113</v>
      </c>
      <c r="S1731" s="0" t="s">
        <v>21</v>
      </c>
      <c r="T1731" s="0" t="s">
        <v>104</v>
      </c>
      <c r="W1731" s="0" t="s">
        <v>105</v>
      </c>
    </row>
    <row r="1732" customFormat="false" ht="15" hidden="false" customHeight="false" outlineLevel="0" collapsed="false">
      <c r="A1732" s="0" t="s">
        <v>21</v>
      </c>
      <c r="B1732" s="0" t="s">
        <v>5902</v>
      </c>
      <c r="C1732" s="0" t="s">
        <v>97</v>
      </c>
      <c r="D1732" s="0" t="s">
        <v>5903</v>
      </c>
      <c r="E1732" s="0" t="s">
        <v>5903</v>
      </c>
      <c r="M1732" s="0" t="s">
        <v>136</v>
      </c>
      <c r="N1732" s="0" t="s">
        <v>124</v>
      </c>
      <c r="P1732" s="0" t="s">
        <v>102</v>
      </c>
      <c r="Q1732" s="0" t="s">
        <v>102</v>
      </c>
      <c r="R1732" s="0" t="s">
        <v>113</v>
      </c>
      <c r="S1732" s="0" t="s">
        <v>21</v>
      </c>
      <c r="T1732" s="0" t="s">
        <v>104</v>
      </c>
      <c r="W1732" s="0" t="s">
        <v>105</v>
      </c>
    </row>
    <row r="1733" customFormat="false" ht="15" hidden="false" customHeight="false" outlineLevel="0" collapsed="false">
      <c r="A1733" s="0" t="s">
        <v>21</v>
      </c>
      <c r="B1733" s="0" t="s">
        <v>5904</v>
      </c>
      <c r="C1733" s="0" t="s">
        <v>97</v>
      </c>
      <c r="D1733" s="0" t="s">
        <v>5905</v>
      </c>
      <c r="E1733" s="0" t="s">
        <v>5906</v>
      </c>
      <c r="H1733" s="0" t="s">
        <v>5907</v>
      </c>
      <c r="I1733" s="0" t="s">
        <v>5908</v>
      </c>
      <c r="J1733" s="0" t="s">
        <v>456</v>
      </c>
      <c r="K1733" s="0" t="s">
        <v>5909</v>
      </c>
      <c r="L1733" s="0" t="s">
        <v>101</v>
      </c>
      <c r="M1733" s="0" t="s">
        <v>3152</v>
      </c>
      <c r="N1733" s="0" t="s">
        <v>101</v>
      </c>
      <c r="P1733" s="0" t="s">
        <v>102</v>
      </c>
      <c r="Q1733" s="0" t="s">
        <v>102</v>
      </c>
      <c r="R1733" s="0" t="s">
        <v>113</v>
      </c>
      <c r="S1733" s="0" t="s">
        <v>21</v>
      </c>
      <c r="T1733" s="0" t="s">
        <v>104</v>
      </c>
      <c r="W1733" s="0" t="s">
        <v>105</v>
      </c>
      <c r="X1733" s="0" t="s">
        <v>5910</v>
      </c>
      <c r="Y1733" s="0" t="s">
        <v>5911</v>
      </c>
    </row>
    <row r="1734" customFormat="false" ht="15" hidden="false" customHeight="false" outlineLevel="0" collapsed="false">
      <c r="A1734" s="0" t="s">
        <v>21</v>
      </c>
      <c r="B1734" s="0" t="s">
        <v>5912</v>
      </c>
      <c r="C1734" s="0" t="s">
        <v>395</v>
      </c>
      <c r="E1734" s="0" t="s">
        <v>5913</v>
      </c>
      <c r="M1734" s="0" t="s">
        <v>5914</v>
      </c>
      <c r="N1734" s="0" t="s">
        <v>5914</v>
      </c>
      <c r="P1734" s="0" t="s">
        <v>102</v>
      </c>
      <c r="Q1734" s="0" t="s">
        <v>102</v>
      </c>
      <c r="R1734" s="0" t="s">
        <v>113</v>
      </c>
      <c r="S1734" s="0" t="s">
        <v>21</v>
      </c>
      <c r="T1734" s="0" t="s">
        <v>104</v>
      </c>
      <c r="W1734" s="0" t="s">
        <v>105</v>
      </c>
    </row>
    <row r="1735" customFormat="false" ht="15" hidden="false" customHeight="false" outlineLevel="0" collapsed="false">
      <c r="A1735" s="0" t="s">
        <v>21</v>
      </c>
      <c r="B1735" s="0" t="s">
        <v>5915</v>
      </c>
      <c r="C1735" s="0" t="s">
        <v>5831</v>
      </c>
      <c r="D1735" s="0" t="s">
        <v>503</v>
      </c>
      <c r="E1735" s="0" t="s">
        <v>503</v>
      </c>
      <c r="M1735" s="0" t="s">
        <v>442</v>
      </c>
      <c r="N1735" s="0" t="s">
        <v>101</v>
      </c>
      <c r="P1735" s="0" t="s">
        <v>130</v>
      </c>
      <c r="Q1735" s="0" t="s">
        <v>130</v>
      </c>
      <c r="R1735" s="0" t="s">
        <v>113</v>
      </c>
      <c r="S1735" s="0" t="s">
        <v>21</v>
      </c>
      <c r="T1735" s="0" t="s">
        <v>104</v>
      </c>
      <c r="W1735" s="0" t="s">
        <v>105</v>
      </c>
    </row>
    <row r="1736" customFormat="false" ht="15" hidden="false" customHeight="false" outlineLevel="0" collapsed="false">
      <c r="A1736" s="0" t="s">
        <v>21</v>
      </c>
      <c r="B1736" s="0" t="s">
        <v>5916</v>
      </c>
      <c r="C1736" s="0" t="s">
        <v>5831</v>
      </c>
      <c r="D1736" s="0" t="s">
        <v>503</v>
      </c>
      <c r="E1736" s="0" t="s">
        <v>503</v>
      </c>
      <c r="G1736" s="0" t="s">
        <v>5917</v>
      </c>
      <c r="M1736" s="0" t="s">
        <v>442</v>
      </c>
      <c r="N1736" s="0" t="s">
        <v>101</v>
      </c>
      <c r="P1736" s="0" t="s">
        <v>130</v>
      </c>
      <c r="Q1736" s="0" t="s">
        <v>130</v>
      </c>
      <c r="R1736" s="0" t="s">
        <v>113</v>
      </c>
      <c r="S1736" s="0" t="s">
        <v>21</v>
      </c>
      <c r="T1736" s="0" t="s">
        <v>104</v>
      </c>
      <c r="W1736" s="0" t="s">
        <v>105</v>
      </c>
    </row>
    <row r="1737" customFormat="false" ht="15" hidden="false" customHeight="false" outlineLevel="0" collapsed="false">
      <c r="A1737" s="0" t="s">
        <v>21</v>
      </c>
      <c r="B1737" s="0" t="s">
        <v>5918</v>
      </c>
      <c r="C1737" s="0" t="s">
        <v>395</v>
      </c>
      <c r="D1737" s="0" t="s">
        <v>4892</v>
      </c>
      <c r="E1737" s="0" t="s">
        <v>4892</v>
      </c>
      <c r="M1737" s="0" t="s">
        <v>442</v>
      </c>
      <c r="N1737" s="0" t="s">
        <v>101</v>
      </c>
      <c r="P1737" s="0" t="s">
        <v>102</v>
      </c>
      <c r="Q1737" s="0" t="s">
        <v>102</v>
      </c>
      <c r="R1737" s="0" t="s">
        <v>3947</v>
      </c>
      <c r="S1737" s="0" t="s">
        <v>21</v>
      </c>
      <c r="T1737" s="0" t="s">
        <v>104</v>
      </c>
      <c r="W1737" s="0" t="s">
        <v>105</v>
      </c>
    </row>
    <row r="1738" customFormat="false" ht="15" hidden="false" customHeight="false" outlineLevel="0" collapsed="false">
      <c r="A1738" s="0" t="s">
        <v>21</v>
      </c>
      <c r="B1738" s="0" t="s">
        <v>5919</v>
      </c>
      <c r="C1738" s="0" t="s">
        <v>661</v>
      </c>
      <c r="D1738" s="0" t="s">
        <v>1994</v>
      </c>
      <c r="E1738" s="0" t="s">
        <v>1994</v>
      </c>
      <c r="M1738" s="0" t="s">
        <v>178</v>
      </c>
      <c r="N1738" s="0" t="s">
        <v>124</v>
      </c>
      <c r="P1738" s="0" t="s">
        <v>102</v>
      </c>
      <c r="Q1738" s="0" t="s">
        <v>102</v>
      </c>
      <c r="R1738" s="0" t="s">
        <v>131</v>
      </c>
      <c r="S1738" s="0" t="s">
        <v>21</v>
      </c>
      <c r="T1738" s="0" t="s">
        <v>104</v>
      </c>
      <c r="W1738" s="0" t="s">
        <v>105</v>
      </c>
    </row>
    <row r="1739" customFormat="false" ht="15" hidden="false" customHeight="false" outlineLevel="0" collapsed="false">
      <c r="A1739" s="0" t="s">
        <v>21</v>
      </c>
      <c r="B1739" s="0" t="s">
        <v>5920</v>
      </c>
      <c r="C1739" s="0" t="s">
        <v>5831</v>
      </c>
      <c r="D1739" s="0" t="s">
        <v>435</v>
      </c>
      <c r="E1739" s="0" t="s">
        <v>435</v>
      </c>
      <c r="G1739" s="0" t="s">
        <v>5921</v>
      </c>
      <c r="M1739" s="0" t="s">
        <v>442</v>
      </c>
      <c r="N1739" s="0" t="s">
        <v>101</v>
      </c>
      <c r="P1739" s="0" t="s">
        <v>130</v>
      </c>
      <c r="Q1739" s="0" t="s">
        <v>130</v>
      </c>
      <c r="R1739" s="0" t="s">
        <v>113</v>
      </c>
      <c r="S1739" s="0" t="s">
        <v>21</v>
      </c>
      <c r="T1739" s="0" t="s">
        <v>104</v>
      </c>
      <c r="W1739" s="0" t="s">
        <v>105</v>
      </c>
    </row>
    <row r="1740" customFormat="false" ht="15" hidden="false" customHeight="false" outlineLevel="0" collapsed="false">
      <c r="A1740" s="0" t="s">
        <v>21</v>
      </c>
      <c r="B1740" s="0" t="s">
        <v>5922</v>
      </c>
      <c r="C1740" s="0" t="s">
        <v>5923</v>
      </c>
      <c r="D1740" s="0" t="s">
        <v>5924</v>
      </c>
      <c r="E1740" s="0" t="s">
        <v>5924</v>
      </c>
      <c r="M1740" s="0" t="s">
        <v>442</v>
      </c>
      <c r="N1740" s="0" t="s">
        <v>101</v>
      </c>
      <c r="P1740" s="0" t="s">
        <v>102</v>
      </c>
      <c r="Q1740" s="0" t="s">
        <v>102</v>
      </c>
      <c r="R1740" s="0" t="s">
        <v>113</v>
      </c>
      <c r="S1740" s="0" t="s">
        <v>21</v>
      </c>
      <c r="T1740" s="0" t="s">
        <v>104</v>
      </c>
      <c r="W1740" s="0" t="s">
        <v>105</v>
      </c>
    </row>
    <row r="1741" customFormat="false" ht="15" hidden="false" customHeight="false" outlineLevel="0" collapsed="false">
      <c r="A1741" s="0" t="s">
        <v>21</v>
      </c>
      <c r="B1741" s="0" t="s">
        <v>5925</v>
      </c>
      <c r="C1741" s="0" t="s">
        <v>97</v>
      </c>
      <c r="D1741" s="0" t="s">
        <v>5926</v>
      </c>
      <c r="E1741" s="0" t="s">
        <v>5926</v>
      </c>
      <c r="M1741" s="0" t="s">
        <v>442</v>
      </c>
      <c r="N1741" s="0" t="s">
        <v>101</v>
      </c>
      <c r="P1741" s="0" t="s">
        <v>102</v>
      </c>
      <c r="Q1741" s="0" t="s">
        <v>102</v>
      </c>
      <c r="R1741" s="0" t="s">
        <v>131</v>
      </c>
      <c r="S1741" s="0" t="s">
        <v>21</v>
      </c>
      <c r="T1741" s="0" t="s">
        <v>104</v>
      </c>
      <c r="W1741" s="0" t="s">
        <v>105</v>
      </c>
    </row>
    <row r="1742" customFormat="false" ht="15" hidden="false" customHeight="false" outlineLevel="0" collapsed="false">
      <c r="A1742" s="0" t="s">
        <v>21</v>
      </c>
      <c r="B1742" s="0" t="s">
        <v>5927</v>
      </c>
      <c r="C1742" s="0" t="s">
        <v>97</v>
      </c>
      <c r="D1742" s="0" t="s">
        <v>5928</v>
      </c>
      <c r="E1742" s="0" t="s">
        <v>5928</v>
      </c>
      <c r="M1742" s="0" t="s">
        <v>442</v>
      </c>
      <c r="N1742" s="0" t="s">
        <v>101</v>
      </c>
      <c r="P1742" s="0" t="s">
        <v>102</v>
      </c>
      <c r="Q1742" s="0" t="s">
        <v>102</v>
      </c>
      <c r="R1742" s="0" t="s">
        <v>131</v>
      </c>
      <c r="S1742" s="0" t="s">
        <v>21</v>
      </c>
      <c r="T1742" s="0" t="s">
        <v>104</v>
      </c>
      <c r="W1742" s="0" t="s">
        <v>105</v>
      </c>
    </row>
    <row r="1743" customFormat="false" ht="15" hidden="false" customHeight="false" outlineLevel="0" collapsed="false">
      <c r="A1743" s="0" t="s">
        <v>21</v>
      </c>
      <c r="B1743" s="0" t="s">
        <v>5929</v>
      </c>
      <c r="C1743" s="0" t="s">
        <v>97</v>
      </c>
      <c r="D1743" s="0" t="s">
        <v>5930</v>
      </c>
      <c r="E1743" s="0" t="s">
        <v>5931</v>
      </c>
      <c r="M1743" s="0" t="s">
        <v>100</v>
      </c>
      <c r="N1743" s="0" t="s">
        <v>101</v>
      </c>
      <c r="P1743" s="0" t="s">
        <v>102</v>
      </c>
      <c r="Q1743" s="0" t="s">
        <v>102</v>
      </c>
      <c r="R1743" s="0" t="s">
        <v>144</v>
      </c>
      <c r="S1743" s="0" t="s">
        <v>21</v>
      </c>
      <c r="T1743" s="0" t="s">
        <v>104</v>
      </c>
      <c r="W1743" s="0" t="s">
        <v>105</v>
      </c>
    </row>
    <row r="1744" customFormat="false" ht="15" hidden="false" customHeight="false" outlineLevel="0" collapsed="false">
      <c r="A1744" s="0" t="s">
        <v>21</v>
      </c>
      <c r="B1744" s="0" t="s">
        <v>5932</v>
      </c>
      <c r="C1744" s="0" t="s">
        <v>97</v>
      </c>
      <c r="D1744" s="0" t="s">
        <v>5933</v>
      </c>
      <c r="E1744" s="0" t="s">
        <v>5933</v>
      </c>
      <c r="M1744" s="0" t="s">
        <v>442</v>
      </c>
      <c r="N1744" s="0" t="s">
        <v>101</v>
      </c>
      <c r="P1744" s="0" t="s">
        <v>130</v>
      </c>
      <c r="Q1744" s="0" t="s">
        <v>130</v>
      </c>
      <c r="R1744" s="0" t="s">
        <v>113</v>
      </c>
      <c r="S1744" s="0" t="s">
        <v>21</v>
      </c>
      <c r="T1744" s="0" t="s">
        <v>104</v>
      </c>
      <c r="W1744" s="0" t="s">
        <v>105</v>
      </c>
    </row>
    <row r="1745" customFormat="false" ht="15" hidden="false" customHeight="false" outlineLevel="0" collapsed="false">
      <c r="A1745" s="0" t="s">
        <v>21</v>
      </c>
      <c r="B1745" s="0" t="s">
        <v>5934</v>
      </c>
      <c r="C1745" s="0" t="s">
        <v>97</v>
      </c>
      <c r="D1745" s="0" t="s">
        <v>4772</v>
      </c>
      <c r="E1745" s="0" t="s">
        <v>4772</v>
      </c>
      <c r="M1745" s="0" t="s">
        <v>442</v>
      </c>
      <c r="N1745" s="0" t="s">
        <v>101</v>
      </c>
      <c r="P1745" s="0" t="s">
        <v>102</v>
      </c>
      <c r="Q1745" s="0" t="s">
        <v>102</v>
      </c>
      <c r="R1745" s="0" t="s">
        <v>113</v>
      </c>
      <c r="S1745" s="0" t="s">
        <v>21</v>
      </c>
      <c r="T1745" s="0" t="s">
        <v>104</v>
      </c>
      <c r="W1745" s="0" t="s">
        <v>105</v>
      </c>
    </row>
    <row r="1746" customFormat="false" ht="15" hidden="false" customHeight="false" outlineLevel="0" collapsed="false">
      <c r="A1746" s="0" t="s">
        <v>21</v>
      </c>
      <c r="B1746" s="0" t="s">
        <v>5935</v>
      </c>
      <c r="C1746" s="0" t="s">
        <v>97</v>
      </c>
      <c r="D1746" s="0" t="s">
        <v>5936</v>
      </c>
      <c r="E1746" s="0" t="s">
        <v>5936</v>
      </c>
      <c r="M1746" s="0" t="s">
        <v>442</v>
      </c>
      <c r="N1746" s="0" t="s">
        <v>101</v>
      </c>
      <c r="P1746" s="0" t="s">
        <v>102</v>
      </c>
      <c r="Q1746" s="0" t="s">
        <v>102</v>
      </c>
      <c r="R1746" s="0" t="s">
        <v>113</v>
      </c>
      <c r="S1746" s="0" t="s">
        <v>21</v>
      </c>
      <c r="T1746" s="0" t="s">
        <v>104</v>
      </c>
      <c r="W1746" s="0" t="s">
        <v>105</v>
      </c>
    </row>
    <row r="1747" customFormat="false" ht="15" hidden="false" customHeight="false" outlineLevel="0" collapsed="false">
      <c r="A1747" s="0" t="s">
        <v>21</v>
      </c>
      <c r="B1747" s="0" t="s">
        <v>5937</v>
      </c>
      <c r="C1747" s="0" t="s">
        <v>97</v>
      </c>
      <c r="D1747" s="0" t="s">
        <v>5938</v>
      </c>
      <c r="E1747" s="0" t="s">
        <v>5938</v>
      </c>
      <c r="M1747" s="0" t="s">
        <v>442</v>
      </c>
      <c r="N1747" s="0" t="s">
        <v>101</v>
      </c>
      <c r="P1747" s="0" t="s">
        <v>130</v>
      </c>
      <c r="Q1747" s="0" t="s">
        <v>130</v>
      </c>
      <c r="R1747" s="0" t="s">
        <v>113</v>
      </c>
      <c r="S1747" s="0" t="s">
        <v>21</v>
      </c>
      <c r="T1747" s="0" t="s">
        <v>104</v>
      </c>
      <c r="W1747" s="0" t="s">
        <v>105</v>
      </c>
    </row>
    <row r="1748" customFormat="false" ht="15" hidden="false" customHeight="false" outlineLevel="0" collapsed="false">
      <c r="A1748" s="0" t="s">
        <v>21</v>
      </c>
      <c r="B1748" s="0" t="s">
        <v>5939</v>
      </c>
      <c r="C1748" s="0" t="s">
        <v>97</v>
      </c>
      <c r="D1748" s="0" t="s">
        <v>5940</v>
      </c>
      <c r="E1748" s="0" t="s">
        <v>5940</v>
      </c>
      <c r="M1748" s="0" t="s">
        <v>442</v>
      </c>
      <c r="N1748" s="0" t="s">
        <v>101</v>
      </c>
      <c r="P1748" s="0" t="s">
        <v>102</v>
      </c>
      <c r="Q1748" s="0" t="s">
        <v>102</v>
      </c>
      <c r="R1748" s="0" t="s">
        <v>113</v>
      </c>
      <c r="S1748" s="0" t="s">
        <v>21</v>
      </c>
      <c r="T1748" s="0" t="s">
        <v>104</v>
      </c>
      <c r="W1748" s="0" t="s">
        <v>105</v>
      </c>
    </row>
    <row r="1749" customFormat="false" ht="15" hidden="false" customHeight="false" outlineLevel="0" collapsed="false">
      <c r="A1749" s="0" t="s">
        <v>21</v>
      </c>
      <c r="B1749" s="0" t="s">
        <v>5941</v>
      </c>
      <c r="C1749" s="0" t="s">
        <v>97</v>
      </c>
      <c r="D1749" s="0" t="s">
        <v>4765</v>
      </c>
      <c r="E1749" s="0" t="s">
        <v>4765</v>
      </c>
      <c r="M1749" s="0" t="s">
        <v>442</v>
      </c>
      <c r="N1749" s="0" t="s">
        <v>101</v>
      </c>
      <c r="P1749" s="0" t="s">
        <v>130</v>
      </c>
      <c r="Q1749" s="0" t="s">
        <v>130</v>
      </c>
      <c r="R1749" s="0" t="s">
        <v>113</v>
      </c>
      <c r="S1749" s="0" t="s">
        <v>21</v>
      </c>
      <c r="T1749" s="0" t="s">
        <v>104</v>
      </c>
      <c r="W1749" s="0" t="s">
        <v>105</v>
      </c>
    </row>
    <row r="1750" customFormat="false" ht="15" hidden="false" customHeight="false" outlineLevel="0" collapsed="false">
      <c r="A1750" s="0" t="s">
        <v>21</v>
      </c>
      <c r="B1750" s="0" t="s">
        <v>5942</v>
      </c>
      <c r="C1750" s="0" t="s">
        <v>97</v>
      </c>
      <c r="D1750" s="0" t="s">
        <v>4782</v>
      </c>
      <c r="E1750" s="0" t="s">
        <v>4782</v>
      </c>
      <c r="M1750" s="0" t="s">
        <v>442</v>
      </c>
      <c r="N1750" s="0" t="s">
        <v>101</v>
      </c>
      <c r="P1750" s="0" t="s">
        <v>102</v>
      </c>
      <c r="Q1750" s="0" t="s">
        <v>102</v>
      </c>
      <c r="R1750" s="0" t="s">
        <v>113</v>
      </c>
      <c r="S1750" s="0" t="s">
        <v>21</v>
      </c>
      <c r="T1750" s="0" t="s">
        <v>104</v>
      </c>
      <c r="W1750" s="0" t="s">
        <v>105</v>
      </c>
    </row>
    <row r="1751" customFormat="false" ht="15" hidden="false" customHeight="false" outlineLevel="0" collapsed="false">
      <c r="A1751" s="0" t="s">
        <v>21</v>
      </c>
      <c r="B1751" s="0" t="s">
        <v>5943</v>
      </c>
      <c r="C1751" s="0" t="s">
        <v>110</v>
      </c>
      <c r="D1751" s="0" t="s">
        <v>5944</v>
      </c>
      <c r="E1751" s="0" t="s">
        <v>5945</v>
      </c>
      <c r="G1751" s="0" t="s">
        <v>5946</v>
      </c>
      <c r="M1751" s="0" t="s">
        <v>598</v>
      </c>
      <c r="N1751" s="0" t="s">
        <v>124</v>
      </c>
      <c r="P1751" s="0" t="s">
        <v>102</v>
      </c>
      <c r="Q1751" s="0" t="s">
        <v>102</v>
      </c>
      <c r="R1751" s="0" t="s">
        <v>144</v>
      </c>
      <c r="S1751" s="0" t="s">
        <v>21</v>
      </c>
      <c r="T1751" s="0" t="s">
        <v>104</v>
      </c>
      <c r="W1751" s="0" t="s">
        <v>105</v>
      </c>
    </row>
    <row r="1752" customFormat="false" ht="15" hidden="false" customHeight="false" outlineLevel="0" collapsed="false">
      <c r="A1752" s="0" t="s">
        <v>21</v>
      </c>
      <c r="B1752" s="0" t="s">
        <v>5947</v>
      </c>
      <c r="C1752" s="0" t="s">
        <v>97</v>
      </c>
      <c r="D1752" s="0" t="s">
        <v>5948</v>
      </c>
      <c r="E1752" s="0" t="s">
        <v>5949</v>
      </c>
      <c r="M1752" s="0" t="s">
        <v>136</v>
      </c>
      <c r="N1752" s="0" t="s">
        <v>124</v>
      </c>
      <c r="P1752" s="0" t="s">
        <v>102</v>
      </c>
      <c r="Q1752" s="0" t="s">
        <v>102</v>
      </c>
      <c r="R1752" s="0" t="s">
        <v>131</v>
      </c>
      <c r="S1752" s="0" t="s">
        <v>21</v>
      </c>
      <c r="T1752" s="0" t="s">
        <v>104</v>
      </c>
      <c r="W1752" s="0" t="s">
        <v>105</v>
      </c>
    </row>
    <row r="1753" customFormat="false" ht="15" hidden="false" customHeight="false" outlineLevel="0" collapsed="false">
      <c r="A1753" s="0" t="s">
        <v>21</v>
      </c>
      <c r="B1753" s="0" t="s">
        <v>5950</v>
      </c>
      <c r="C1753" s="0" t="s">
        <v>97</v>
      </c>
      <c r="D1753" s="0" t="s">
        <v>5951</v>
      </c>
      <c r="E1753" s="0" t="s">
        <v>5952</v>
      </c>
      <c r="M1753" s="0" t="s">
        <v>136</v>
      </c>
      <c r="N1753" s="0" t="s">
        <v>124</v>
      </c>
      <c r="P1753" s="0" t="s">
        <v>102</v>
      </c>
      <c r="Q1753" s="0" t="s">
        <v>102</v>
      </c>
      <c r="R1753" s="0" t="s">
        <v>131</v>
      </c>
      <c r="S1753" s="0" t="s">
        <v>21</v>
      </c>
      <c r="T1753" s="0" t="s">
        <v>104</v>
      </c>
      <c r="W1753" s="0" t="s">
        <v>105</v>
      </c>
    </row>
    <row r="1754" customFormat="false" ht="15" hidden="false" customHeight="false" outlineLevel="0" collapsed="false">
      <c r="A1754" s="0" t="s">
        <v>21</v>
      </c>
      <c r="B1754" s="0" t="s">
        <v>5953</v>
      </c>
      <c r="C1754" s="0" t="s">
        <v>97</v>
      </c>
      <c r="D1754" s="0" t="s">
        <v>5954</v>
      </c>
      <c r="E1754" s="0" t="s">
        <v>5955</v>
      </c>
      <c r="M1754" s="0" t="s">
        <v>136</v>
      </c>
      <c r="N1754" s="0" t="s">
        <v>124</v>
      </c>
      <c r="P1754" s="0" t="s">
        <v>102</v>
      </c>
      <c r="Q1754" s="0" t="s">
        <v>102</v>
      </c>
      <c r="R1754" s="0" t="s">
        <v>131</v>
      </c>
      <c r="S1754" s="0" t="s">
        <v>21</v>
      </c>
      <c r="T1754" s="0" t="s">
        <v>104</v>
      </c>
      <c r="W1754" s="0" t="s">
        <v>105</v>
      </c>
    </row>
    <row r="1755" customFormat="false" ht="15" hidden="false" customHeight="false" outlineLevel="0" collapsed="false">
      <c r="A1755" s="0" t="s">
        <v>21</v>
      </c>
      <c r="B1755" s="0" t="s">
        <v>5956</v>
      </c>
      <c r="C1755" s="0" t="s">
        <v>110</v>
      </c>
      <c r="D1755" s="0" t="s">
        <v>5957</v>
      </c>
      <c r="E1755" s="0" t="s">
        <v>5957</v>
      </c>
      <c r="M1755" s="0" t="s">
        <v>420</v>
      </c>
      <c r="N1755" s="0" t="s">
        <v>101</v>
      </c>
      <c r="P1755" s="0" t="s">
        <v>102</v>
      </c>
      <c r="Q1755" s="0" t="s">
        <v>102</v>
      </c>
      <c r="R1755" s="0" t="s">
        <v>131</v>
      </c>
      <c r="S1755" s="0" t="s">
        <v>21</v>
      </c>
      <c r="T1755" s="0" t="s">
        <v>104</v>
      </c>
      <c r="W1755" s="0" t="s">
        <v>105</v>
      </c>
    </row>
    <row r="1756" customFormat="false" ht="15" hidden="false" customHeight="false" outlineLevel="0" collapsed="false">
      <c r="A1756" s="0" t="s">
        <v>21</v>
      </c>
      <c r="B1756" s="0" t="s">
        <v>5958</v>
      </c>
      <c r="C1756" s="0" t="s">
        <v>5842</v>
      </c>
      <c r="D1756" s="0" t="s">
        <v>5959</v>
      </c>
      <c r="E1756" s="0" t="s">
        <v>5960</v>
      </c>
      <c r="G1756" s="0" t="s">
        <v>5845</v>
      </c>
      <c r="H1756" s="0" t="s">
        <v>5961</v>
      </c>
      <c r="I1756" s="0" t="s">
        <v>5962</v>
      </c>
      <c r="J1756" s="0" t="s">
        <v>398</v>
      </c>
      <c r="K1756" s="0" t="s">
        <v>5963</v>
      </c>
      <c r="L1756" s="0" t="s">
        <v>101</v>
      </c>
      <c r="M1756" s="0" t="s">
        <v>398</v>
      </c>
      <c r="N1756" s="0" t="s">
        <v>101</v>
      </c>
      <c r="P1756" s="0" t="s">
        <v>130</v>
      </c>
      <c r="Q1756" s="0" t="s">
        <v>130</v>
      </c>
      <c r="R1756" s="0" t="s">
        <v>113</v>
      </c>
      <c r="S1756" s="0" t="s">
        <v>21</v>
      </c>
      <c r="T1756" s="0" t="s">
        <v>104</v>
      </c>
      <c r="W1756" s="0" t="s">
        <v>105</v>
      </c>
    </row>
    <row r="1757" customFormat="false" ht="15" hidden="false" customHeight="false" outlineLevel="0" collapsed="false">
      <c r="A1757" s="0" t="s">
        <v>21</v>
      </c>
      <c r="B1757" s="0" t="s">
        <v>5964</v>
      </c>
      <c r="C1757" s="0" t="s">
        <v>97</v>
      </c>
      <c r="D1757" s="0" t="s">
        <v>5965</v>
      </c>
      <c r="E1757" s="0" t="s">
        <v>5965</v>
      </c>
      <c r="M1757" s="0" t="s">
        <v>442</v>
      </c>
      <c r="N1757" s="0" t="s">
        <v>101</v>
      </c>
      <c r="P1757" s="0" t="s">
        <v>130</v>
      </c>
      <c r="Q1757" s="0" t="s">
        <v>130</v>
      </c>
      <c r="R1757" s="0" t="s">
        <v>113</v>
      </c>
      <c r="S1757" s="0" t="s">
        <v>21</v>
      </c>
      <c r="T1757" s="0" t="s">
        <v>104</v>
      </c>
      <c r="W1757" s="0" t="s">
        <v>105</v>
      </c>
    </row>
    <row r="1758" customFormat="false" ht="15" hidden="false" customHeight="false" outlineLevel="0" collapsed="false">
      <c r="A1758" s="0" t="s">
        <v>21</v>
      </c>
      <c r="B1758" s="0" t="s">
        <v>5966</v>
      </c>
      <c r="C1758" s="0" t="s">
        <v>97</v>
      </c>
      <c r="D1758" s="0" t="s">
        <v>5967</v>
      </c>
      <c r="E1758" s="0" t="s">
        <v>5967</v>
      </c>
      <c r="M1758" s="0" t="s">
        <v>442</v>
      </c>
      <c r="N1758" s="0" t="s">
        <v>101</v>
      </c>
      <c r="P1758" s="0" t="s">
        <v>102</v>
      </c>
      <c r="Q1758" s="0" t="s">
        <v>102</v>
      </c>
      <c r="R1758" s="0" t="s">
        <v>113</v>
      </c>
      <c r="S1758" s="0" t="s">
        <v>21</v>
      </c>
      <c r="T1758" s="0" t="s">
        <v>104</v>
      </c>
      <c r="W1758" s="0" t="s">
        <v>105</v>
      </c>
    </row>
    <row r="1759" customFormat="false" ht="15" hidden="false" customHeight="false" outlineLevel="0" collapsed="false">
      <c r="A1759" s="0" t="s">
        <v>21</v>
      </c>
      <c r="B1759" s="0" t="s">
        <v>5968</v>
      </c>
      <c r="C1759" s="0" t="s">
        <v>5842</v>
      </c>
      <c r="D1759" s="0" t="s">
        <v>5843</v>
      </c>
      <c r="E1759" s="0" t="s">
        <v>5844</v>
      </c>
      <c r="G1759" s="0" t="s">
        <v>5845</v>
      </c>
      <c r="H1759" s="0" t="s">
        <v>5969</v>
      </c>
      <c r="I1759" s="0" t="s">
        <v>5970</v>
      </c>
      <c r="J1759" s="0" t="s">
        <v>448</v>
      </c>
      <c r="K1759" s="0" t="s">
        <v>5971</v>
      </c>
      <c r="L1759" s="0" t="s">
        <v>101</v>
      </c>
      <c r="M1759" s="0" t="s">
        <v>448</v>
      </c>
      <c r="N1759" s="0" t="s">
        <v>101</v>
      </c>
      <c r="P1759" s="0" t="s">
        <v>130</v>
      </c>
      <c r="Q1759" s="0" t="s">
        <v>130</v>
      </c>
      <c r="R1759" s="0" t="s">
        <v>113</v>
      </c>
      <c r="S1759" s="0" t="s">
        <v>21</v>
      </c>
      <c r="T1759" s="0" t="s">
        <v>104</v>
      </c>
      <c r="W1759" s="0" t="s">
        <v>105</v>
      </c>
    </row>
    <row r="1760" customFormat="false" ht="15" hidden="false" customHeight="false" outlineLevel="0" collapsed="false">
      <c r="A1760" s="0" t="s">
        <v>21</v>
      </c>
      <c r="B1760" s="0" t="s">
        <v>5972</v>
      </c>
      <c r="C1760" s="0" t="s">
        <v>97</v>
      </c>
      <c r="D1760" s="0" t="s">
        <v>4778</v>
      </c>
      <c r="E1760" s="0" t="s">
        <v>4778</v>
      </c>
      <c r="M1760" s="0" t="s">
        <v>442</v>
      </c>
      <c r="N1760" s="0" t="s">
        <v>101</v>
      </c>
      <c r="P1760" s="0" t="s">
        <v>130</v>
      </c>
      <c r="Q1760" s="0" t="s">
        <v>130</v>
      </c>
      <c r="R1760" s="0" t="s">
        <v>113</v>
      </c>
      <c r="S1760" s="0" t="s">
        <v>21</v>
      </c>
      <c r="T1760" s="0" t="s">
        <v>104</v>
      </c>
      <c r="W1760" s="0" t="s">
        <v>105</v>
      </c>
    </row>
    <row r="1761" customFormat="false" ht="15" hidden="false" customHeight="false" outlineLevel="0" collapsed="false">
      <c r="A1761" s="0" t="s">
        <v>21</v>
      </c>
      <c r="B1761" s="0" t="s">
        <v>5973</v>
      </c>
      <c r="C1761" s="0" t="s">
        <v>97</v>
      </c>
      <c r="D1761" s="0" t="s">
        <v>5974</v>
      </c>
      <c r="E1761" s="0" t="s">
        <v>5974</v>
      </c>
      <c r="M1761" s="0" t="s">
        <v>442</v>
      </c>
      <c r="N1761" s="0" t="s">
        <v>101</v>
      </c>
      <c r="P1761" s="0" t="s">
        <v>102</v>
      </c>
      <c r="Q1761" s="0" t="s">
        <v>102</v>
      </c>
      <c r="R1761" s="0" t="s">
        <v>113</v>
      </c>
      <c r="S1761" s="0" t="s">
        <v>21</v>
      </c>
      <c r="T1761" s="0" t="s">
        <v>104</v>
      </c>
      <c r="W1761" s="0" t="s">
        <v>105</v>
      </c>
    </row>
    <row r="1762" customFormat="false" ht="15" hidden="false" customHeight="false" outlineLevel="0" collapsed="false">
      <c r="A1762" s="0" t="s">
        <v>21</v>
      </c>
      <c r="B1762" s="0" t="s">
        <v>5975</v>
      </c>
      <c r="C1762" s="0" t="s">
        <v>97</v>
      </c>
      <c r="D1762" s="0" t="s">
        <v>5976</v>
      </c>
      <c r="E1762" s="0" t="s">
        <v>5976</v>
      </c>
      <c r="F1762" s="0" t="s">
        <v>5976</v>
      </c>
      <c r="M1762" s="0" t="s">
        <v>124</v>
      </c>
      <c r="N1762" s="0" t="s">
        <v>124</v>
      </c>
      <c r="P1762" s="0" t="s">
        <v>102</v>
      </c>
      <c r="Q1762" s="0" t="s">
        <v>102</v>
      </c>
      <c r="R1762" s="0" t="s">
        <v>131</v>
      </c>
      <c r="S1762" s="0" t="s">
        <v>21</v>
      </c>
      <c r="T1762" s="0" t="s">
        <v>104</v>
      </c>
      <c r="W1762" s="0" t="s">
        <v>105</v>
      </c>
    </row>
    <row r="1763" customFormat="false" ht="15" hidden="false" customHeight="false" outlineLevel="0" collapsed="false">
      <c r="A1763" s="0" t="s">
        <v>21</v>
      </c>
      <c r="B1763" s="0" t="s">
        <v>5977</v>
      </c>
      <c r="C1763" s="0" t="s">
        <v>139</v>
      </c>
      <c r="D1763" s="0" t="s">
        <v>5978</v>
      </c>
      <c r="E1763" s="0" t="s">
        <v>5979</v>
      </c>
      <c r="F1763" s="0" t="s">
        <v>5980</v>
      </c>
      <c r="G1763" s="0" t="s">
        <v>5981</v>
      </c>
      <c r="H1763" s="0" t="s">
        <v>5982</v>
      </c>
      <c r="I1763" s="0" t="s">
        <v>598</v>
      </c>
      <c r="J1763" s="0" t="s">
        <v>275</v>
      </c>
      <c r="K1763" s="0" t="s">
        <v>606</v>
      </c>
      <c r="L1763" s="0" t="s">
        <v>124</v>
      </c>
      <c r="M1763" s="0" t="s">
        <v>598</v>
      </c>
      <c r="N1763" s="0" t="s">
        <v>124</v>
      </c>
      <c r="P1763" s="0" t="s">
        <v>102</v>
      </c>
      <c r="Q1763" s="0" t="s">
        <v>102</v>
      </c>
      <c r="R1763" s="0" t="s">
        <v>137</v>
      </c>
      <c r="S1763" s="0" t="s">
        <v>21</v>
      </c>
      <c r="T1763" s="0" t="s">
        <v>104</v>
      </c>
      <c r="W1763" s="0" t="s">
        <v>105</v>
      </c>
      <c r="X1763" s="0" t="s">
        <v>5983</v>
      </c>
      <c r="Y1763" s="0" t="s">
        <v>5984</v>
      </c>
      <c r="Z1763" s="0" t="s">
        <v>159</v>
      </c>
    </row>
    <row r="1764" customFormat="false" ht="15" hidden="false" customHeight="false" outlineLevel="0" collapsed="false">
      <c r="A1764" s="0" t="s">
        <v>21</v>
      </c>
      <c r="B1764" s="0" t="s">
        <v>5985</v>
      </c>
      <c r="C1764" s="0" t="s">
        <v>139</v>
      </c>
      <c r="D1764" s="0" t="s">
        <v>5986</v>
      </c>
      <c r="E1764" s="0" t="s">
        <v>5987</v>
      </c>
      <c r="H1764" s="0" t="s">
        <v>5988</v>
      </c>
      <c r="I1764" s="0" t="s">
        <v>598</v>
      </c>
      <c r="J1764" s="0" t="s">
        <v>275</v>
      </c>
      <c r="K1764" s="0" t="s">
        <v>606</v>
      </c>
      <c r="L1764" s="0" t="s">
        <v>124</v>
      </c>
      <c r="M1764" s="0" t="s">
        <v>598</v>
      </c>
      <c r="N1764" s="0" t="s">
        <v>124</v>
      </c>
      <c r="P1764" s="0" t="s">
        <v>102</v>
      </c>
      <c r="Q1764" s="0" t="s">
        <v>102</v>
      </c>
      <c r="R1764" s="0" t="s">
        <v>137</v>
      </c>
      <c r="S1764" s="0" t="s">
        <v>21</v>
      </c>
      <c r="T1764" s="0" t="s">
        <v>104</v>
      </c>
      <c r="W1764" s="0" t="s">
        <v>105</v>
      </c>
      <c r="X1764" s="0" t="s">
        <v>5983</v>
      </c>
      <c r="Y1764" s="0" t="s">
        <v>5984</v>
      </c>
      <c r="Z1764" s="0" t="s">
        <v>159</v>
      </c>
      <c r="AA1764" s="0" t="s">
        <v>5989</v>
      </c>
    </row>
    <row r="1765" customFormat="false" ht="15" hidden="false" customHeight="false" outlineLevel="0" collapsed="false">
      <c r="A1765" s="0" t="s">
        <v>21</v>
      </c>
      <c r="B1765" s="0" t="s">
        <v>5990</v>
      </c>
      <c r="C1765" s="0" t="s">
        <v>97</v>
      </c>
      <c r="D1765" s="0" t="s">
        <v>5991</v>
      </c>
      <c r="E1765" s="0" t="s">
        <v>5991</v>
      </c>
      <c r="M1765" s="0" t="s">
        <v>442</v>
      </c>
      <c r="N1765" s="0" t="s">
        <v>101</v>
      </c>
      <c r="P1765" s="0" t="s">
        <v>102</v>
      </c>
      <c r="Q1765" s="0" t="s">
        <v>102</v>
      </c>
      <c r="R1765" s="0" t="s">
        <v>113</v>
      </c>
      <c r="S1765" s="0" t="s">
        <v>21</v>
      </c>
      <c r="T1765" s="0" t="s">
        <v>104</v>
      </c>
      <c r="W1765" s="0" t="s">
        <v>105</v>
      </c>
    </row>
    <row r="1766" customFormat="false" ht="15" hidden="false" customHeight="false" outlineLevel="0" collapsed="false">
      <c r="A1766" s="0" t="s">
        <v>21</v>
      </c>
      <c r="B1766" s="0" t="s">
        <v>5992</v>
      </c>
      <c r="C1766" s="0" t="s">
        <v>5842</v>
      </c>
      <c r="D1766" s="0" t="s">
        <v>3394</v>
      </c>
      <c r="E1766" s="0" t="s">
        <v>3394</v>
      </c>
      <c r="M1766" s="0" t="s">
        <v>3272</v>
      </c>
      <c r="N1766" s="0" t="s">
        <v>101</v>
      </c>
      <c r="P1766" s="0" t="s">
        <v>102</v>
      </c>
      <c r="Q1766" s="0" t="s">
        <v>102</v>
      </c>
      <c r="R1766" s="0" t="s">
        <v>137</v>
      </c>
      <c r="S1766" s="0" t="s">
        <v>21</v>
      </c>
      <c r="T1766" s="0" t="s">
        <v>104</v>
      </c>
      <c r="W1766" s="0" t="s">
        <v>105</v>
      </c>
    </row>
    <row r="1767" customFormat="false" ht="15" hidden="false" customHeight="false" outlineLevel="0" collapsed="false">
      <c r="A1767" s="0" t="s">
        <v>21</v>
      </c>
      <c r="B1767" s="0" t="s">
        <v>5993</v>
      </c>
      <c r="C1767" s="0" t="s">
        <v>97</v>
      </c>
      <c r="D1767" s="0" t="s">
        <v>5994</v>
      </c>
      <c r="E1767" s="0" t="s">
        <v>5994</v>
      </c>
      <c r="M1767" s="0" t="s">
        <v>442</v>
      </c>
      <c r="N1767" s="0" t="s">
        <v>101</v>
      </c>
      <c r="P1767" s="0" t="s">
        <v>102</v>
      </c>
      <c r="Q1767" s="0" t="s">
        <v>102</v>
      </c>
      <c r="R1767" s="0" t="s">
        <v>113</v>
      </c>
      <c r="S1767" s="0" t="s">
        <v>21</v>
      </c>
      <c r="T1767" s="0" t="s">
        <v>104</v>
      </c>
      <c r="W1767" s="0" t="s">
        <v>105</v>
      </c>
    </row>
    <row r="1768" customFormat="false" ht="15" hidden="false" customHeight="false" outlineLevel="0" collapsed="false">
      <c r="A1768" s="0" t="s">
        <v>21</v>
      </c>
      <c r="B1768" s="0" t="s">
        <v>5995</v>
      </c>
      <c r="C1768" s="0" t="s">
        <v>97</v>
      </c>
      <c r="D1768" s="0" t="s">
        <v>5996</v>
      </c>
      <c r="E1768" s="0" t="s">
        <v>5996</v>
      </c>
      <c r="M1768" s="0" t="s">
        <v>442</v>
      </c>
      <c r="N1768" s="0" t="s">
        <v>101</v>
      </c>
      <c r="P1768" s="0" t="s">
        <v>102</v>
      </c>
      <c r="Q1768" s="0" t="s">
        <v>102</v>
      </c>
      <c r="R1768" s="0" t="s">
        <v>113</v>
      </c>
      <c r="S1768" s="0" t="s">
        <v>21</v>
      </c>
      <c r="T1768" s="0" t="s">
        <v>104</v>
      </c>
      <c r="W1768" s="0" t="s">
        <v>105</v>
      </c>
    </row>
    <row r="1769" customFormat="false" ht="15" hidden="false" customHeight="false" outlineLevel="0" collapsed="false">
      <c r="A1769" s="0" t="s">
        <v>21</v>
      </c>
      <c r="B1769" s="0" t="s">
        <v>5997</v>
      </c>
      <c r="C1769" s="0" t="s">
        <v>661</v>
      </c>
      <c r="D1769" s="0" t="s">
        <v>3394</v>
      </c>
      <c r="E1769" s="0" t="s">
        <v>3394</v>
      </c>
      <c r="G1769" s="0" t="s">
        <v>5998</v>
      </c>
      <c r="H1769" s="0" t="s">
        <v>5999</v>
      </c>
      <c r="I1769" s="0" t="s">
        <v>6000</v>
      </c>
      <c r="J1769" s="0" t="s">
        <v>100</v>
      </c>
      <c r="K1769" s="0" t="s">
        <v>1169</v>
      </c>
      <c r="L1769" s="0" t="s">
        <v>101</v>
      </c>
      <c r="M1769" s="0" t="s">
        <v>100</v>
      </c>
      <c r="N1769" s="0" t="s">
        <v>101</v>
      </c>
      <c r="P1769" s="0" t="s">
        <v>102</v>
      </c>
      <c r="Q1769" s="0" t="s">
        <v>102</v>
      </c>
      <c r="R1769" s="0" t="s">
        <v>113</v>
      </c>
      <c r="S1769" s="0" t="s">
        <v>21</v>
      </c>
      <c r="T1769" s="0" t="s">
        <v>104</v>
      </c>
      <c r="W1769" s="0" t="s">
        <v>105</v>
      </c>
    </row>
    <row r="1770" customFormat="false" ht="15" hidden="false" customHeight="false" outlineLevel="0" collapsed="false">
      <c r="A1770" s="0" t="s">
        <v>21</v>
      </c>
      <c r="B1770" s="0" t="s">
        <v>6001</v>
      </c>
      <c r="C1770" s="0" t="s">
        <v>110</v>
      </c>
      <c r="D1770" s="0" t="s">
        <v>111</v>
      </c>
      <c r="E1770" s="0" t="s">
        <v>111</v>
      </c>
      <c r="M1770" s="0" t="s">
        <v>112</v>
      </c>
      <c r="N1770" s="0" t="s">
        <v>101</v>
      </c>
      <c r="P1770" s="0" t="s">
        <v>102</v>
      </c>
      <c r="Q1770" s="0" t="s">
        <v>102</v>
      </c>
      <c r="R1770" s="0" t="s">
        <v>113</v>
      </c>
      <c r="S1770" s="0" t="s">
        <v>21</v>
      </c>
      <c r="T1770" s="0" t="s">
        <v>104</v>
      </c>
      <c r="W1770" s="0" t="s">
        <v>105</v>
      </c>
    </row>
    <row r="1771" customFormat="false" ht="15" hidden="false" customHeight="false" outlineLevel="0" collapsed="false">
      <c r="A1771" s="0" t="s">
        <v>21</v>
      </c>
      <c r="B1771" s="0" t="s">
        <v>6002</v>
      </c>
      <c r="C1771" s="0" t="s">
        <v>97</v>
      </c>
      <c r="D1771" s="0" t="s">
        <v>6003</v>
      </c>
      <c r="E1771" s="0" t="s">
        <v>6003</v>
      </c>
      <c r="M1771" s="0" t="s">
        <v>442</v>
      </c>
      <c r="N1771" s="0" t="s">
        <v>101</v>
      </c>
      <c r="P1771" s="0" t="s">
        <v>130</v>
      </c>
      <c r="Q1771" s="0" t="s">
        <v>130</v>
      </c>
      <c r="R1771" s="0" t="s">
        <v>113</v>
      </c>
      <c r="S1771" s="0" t="s">
        <v>21</v>
      </c>
      <c r="T1771" s="0" t="s">
        <v>104</v>
      </c>
      <c r="W1771" s="0" t="s">
        <v>105</v>
      </c>
    </row>
    <row r="1772" customFormat="false" ht="15" hidden="false" customHeight="false" outlineLevel="0" collapsed="false">
      <c r="A1772" s="0" t="s">
        <v>21</v>
      </c>
      <c r="B1772" s="0" t="s">
        <v>6004</v>
      </c>
      <c r="C1772" s="0" t="s">
        <v>97</v>
      </c>
      <c r="D1772" s="0" t="s">
        <v>3348</v>
      </c>
      <c r="E1772" s="0" t="s">
        <v>3348</v>
      </c>
      <c r="M1772" s="0" t="s">
        <v>2820</v>
      </c>
      <c r="N1772" s="0" t="s">
        <v>2820</v>
      </c>
      <c r="P1772" s="0" t="s">
        <v>102</v>
      </c>
      <c r="Q1772" s="0" t="s">
        <v>102</v>
      </c>
      <c r="R1772" s="0" t="s">
        <v>113</v>
      </c>
      <c r="S1772" s="0" t="s">
        <v>21</v>
      </c>
      <c r="T1772" s="0" t="s">
        <v>104</v>
      </c>
      <c r="W1772" s="0" t="s">
        <v>105</v>
      </c>
    </row>
    <row r="1773" customFormat="false" ht="15" hidden="false" customHeight="false" outlineLevel="0" collapsed="false">
      <c r="A1773" s="0" t="s">
        <v>21</v>
      </c>
      <c r="B1773" s="0" t="s">
        <v>6005</v>
      </c>
      <c r="C1773" s="0" t="s">
        <v>97</v>
      </c>
      <c r="D1773" s="0" t="s">
        <v>6006</v>
      </c>
      <c r="E1773" s="0" t="s">
        <v>6006</v>
      </c>
      <c r="M1773" s="0" t="s">
        <v>442</v>
      </c>
      <c r="N1773" s="0" t="s">
        <v>101</v>
      </c>
      <c r="P1773" s="0" t="s">
        <v>130</v>
      </c>
      <c r="Q1773" s="0" t="s">
        <v>130</v>
      </c>
      <c r="R1773" s="0" t="s">
        <v>113</v>
      </c>
      <c r="S1773" s="0" t="s">
        <v>21</v>
      </c>
      <c r="T1773" s="0" t="s">
        <v>104</v>
      </c>
      <c r="W1773" s="0" t="s">
        <v>105</v>
      </c>
    </row>
    <row r="1774" customFormat="false" ht="15" hidden="false" customHeight="false" outlineLevel="0" collapsed="false">
      <c r="A1774" s="0" t="s">
        <v>21</v>
      </c>
      <c r="B1774" s="0" t="s">
        <v>6007</v>
      </c>
      <c r="C1774" s="0" t="s">
        <v>97</v>
      </c>
      <c r="D1774" s="0" t="s">
        <v>6008</v>
      </c>
      <c r="E1774" s="0" t="s">
        <v>6008</v>
      </c>
      <c r="M1774" s="0" t="s">
        <v>437</v>
      </c>
      <c r="N1774" s="0" t="s">
        <v>101</v>
      </c>
      <c r="P1774" s="0" t="s">
        <v>102</v>
      </c>
      <c r="Q1774" s="0" t="s">
        <v>102</v>
      </c>
      <c r="R1774" s="0" t="s">
        <v>113</v>
      </c>
      <c r="S1774" s="0" t="s">
        <v>21</v>
      </c>
      <c r="T1774" s="0" t="s">
        <v>104</v>
      </c>
      <c r="W1774" s="0" t="s">
        <v>105</v>
      </c>
    </row>
    <row r="1775" customFormat="false" ht="15" hidden="false" customHeight="false" outlineLevel="0" collapsed="false">
      <c r="A1775" s="0" t="s">
        <v>21</v>
      </c>
      <c r="B1775" s="0" t="s">
        <v>6009</v>
      </c>
      <c r="C1775" s="0" t="s">
        <v>97</v>
      </c>
      <c r="D1775" s="0" t="s">
        <v>6010</v>
      </c>
      <c r="E1775" s="0" t="s">
        <v>6011</v>
      </c>
      <c r="M1775" s="0" t="s">
        <v>136</v>
      </c>
      <c r="N1775" s="0" t="s">
        <v>124</v>
      </c>
      <c r="P1775" s="0" t="s">
        <v>102</v>
      </c>
      <c r="Q1775" s="0" t="s">
        <v>102</v>
      </c>
      <c r="R1775" s="0" t="s">
        <v>131</v>
      </c>
      <c r="S1775" s="0" t="s">
        <v>21</v>
      </c>
      <c r="T1775" s="0" t="s">
        <v>104</v>
      </c>
      <c r="W1775" s="0" t="s">
        <v>105</v>
      </c>
    </row>
    <row r="1776" customFormat="false" ht="15" hidden="false" customHeight="false" outlineLevel="0" collapsed="false">
      <c r="A1776" s="0" t="s">
        <v>21</v>
      </c>
      <c r="B1776" s="0" t="s">
        <v>6012</v>
      </c>
      <c r="C1776" s="0" t="s">
        <v>97</v>
      </c>
      <c r="D1776" s="0" t="s">
        <v>6013</v>
      </c>
      <c r="E1776" s="0" t="s">
        <v>6014</v>
      </c>
      <c r="M1776" s="0" t="s">
        <v>136</v>
      </c>
      <c r="N1776" s="0" t="s">
        <v>124</v>
      </c>
      <c r="P1776" s="0" t="s">
        <v>102</v>
      </c>
      <c r="Q1776" s="0" t="s">
        <v>102</v>
      </c>
      <c r="R1776" s="0" t="s">
        <v>131</v>
      </c>
      <c r="S1776" s="0" t="s">
        <v>21</v>
      </c>
      <c r="T1776" s="0" t="s">
        <v>104</v>
      </c>
      <c r="W1776" s="0" t="s">
        <v>105</v>
      </c>
    </row>
    <row r="1777" customFormat="false" ht="15" hidden="false" customHeight="false" outlineLevel="0" collapsed="false">
      <c r="A1777" s="0" t="s">
        <v>21</v>
      </c>
      <c r="B1777" s="0" t="s">
        <v>6015</v>
      </c>
      <c r="C1777" s="0" t="s">
        <v>97</v>
      </c>
      <c r="D1777" s="0" t="s">
        <v>6016</v>
      </c>
      <c r="E1777" s="0" t="s">
        <v>6016</v>
      </c>
      <c r="M1777" s="0" t="s">
        <v>442</v>
      </c>
      <c r="N1777" s="0" t="s">
        <v>101</v>
      </c>
      <c r="P1777" s="0" t="s">
        <v>130</v>
      </c>
      <c r="Q1777" s="0" t="s">
        <v>130</v>
      </c>
      <c r="R1777" s="0" t="s">
        <v>113</v>
      </c>
      <c r="S1777" s="0" t="s">
        <v>21</v>
      </c>
      <c r="T1777" s="0" t="s">
        <v>104</v>
      </c>
      <c r="W1777" s="0" t="s">
        <v>105</v>
      </c>
    </row>
    <row r="1778" customFormat="false" ht="15" hidden="false" customHeight="false" outlineLevel="0" collapsed="false">
      <c r="A1778" s="0" t="s">
        <v>21</v>
      </c>
      <c r="B1778" s="0" t="s">
        <v>6017</v>
      </c>
      <c r="C1778" s="0" t="s">
        <v>97</v>
      </c>
      <c r="D1778" s="0" t="s">
        <v>6018</v>
      </c>
      <c r="E1778" s="0" t="s">
        <v>6018</v>
      </c>
      <c r="M1778" s="0" t="s">
        <v>442</v>
      </c>
      <c r="N1778" s="0" t="s">
        <v>101</v>
      </c>
      <c r="P1778" s="0" t="s">
        <v>102</v>
      </c>
      <c r="Q1778" s="0" t="s">
        <v>102</v>
      </c>
      <c r="R1778" s="0" t="s">
        <v>113</v>
      </c>
      <c r="S1778" s="0" t="s">
        <v>21</v>
      </c>
      <c r="T1778" s="0" t="s">
        <v>104</v>
      </c>
      <c r="W1778" s="0" t="s">
        <v>105</v>
      </c>
    </row>
    <row r="1779" customFormat="false" ht="15" hidden="false" customHeight="false" outlineLevel="0" collapsed="false">
      <c r="A1779" s="0" t="s">
        <v>21</v>
      </c>
      <c r="B1779" s="0" t="s">
        <v>6019</v>
      </c>
      <c r="C1779" s="0" t="s">
        <v>139</v>
      </c>
      <c r="D1779" s="0" t="s">
        <v>6020</v>
      </c>
      <c r="E1779" s="0" t="s">
        <v>6021</v>
      </c>
      <c r="M1779" s="0" t="s">
        <v>247</v>
      </c>
      <c r="N1779" s="0" t="s">
        <v>124</v>
      </c>
      <c r="P1779" s="0" t="s">
        <v>102</v>
      </c>
      <c r="Q1779" s="0" t="s">
        <v>102</v>
      </c>
      <c r="R1779" s="0" t="s">
        <v>137</v>
      </c>
      <c r="S1779" s="0" t="s">
        <v>21</v>
      </c>
      <c r="T1779" s="0" t="s">
        <v>104</v>
      </c>
      <c r="W1779" s="0" t="s">
        <v>105</v>
      </c>
    </row>
    <row r="1780" customFormat="false" ht="15" hidden="false" customHeight="false" outlineLevel="0" collapsed="false">
      <c r="A1780" s="0" t="s">
        <v>21</v>
      </c>
      <c r="B1780" s="0" t="s">
        <v>6022</v>
      </c>
      <c r="C1780" s="0" t="s">
        <v>4280</v>
      </c>
      <c r="D1780" s="0" t="s">
        <v>6023</v>
      </c>
      <c r="E1780" s="0" t="s">
        <v>6023</v>
      </c>
      <c r="M1780" s="0" t="s">
        <v>456</v>
      </c>
      <c r="N1780" s="0" t="s">
        <v>101</v>
      </c>
      <c r="P1780" s="0" t="s">
        <v>102</v>
      </c>
      <c r="Q1780" s="0" t="s">
        <v>102</v>
      </c>
      <c r="R1780" s="0" t="s">
        <v>113</v>
      </c>
      <c r="S1780" s="0" t="s">
        <v>21</v>
      </c>
      <c r="T1780" s="0" t="s">
        <v>104</v>
      </c>
      <c r="W1780" s="0" t="s">
        <v>105</v>
      </c>
    </row>
    <row r="1781" customFormat="false" ht="15" hidden="false" customHeight="false" outlineLevel="0" collapsed="false">
      <c r="A1781" s="0" t="s">
        <v>21</v>
      </c>
      <c r="B1781" s="0" t="s">
        <v>6024</v>
      </c>
      <c r="C1781" s="0" t="s">
        <v>97</v>
      </c>
      <c r="D1781" s="0" t="s">
        <v>6025</v>
      </c>
      <c r="E1781" s="0" t="s">
        <v>6026</v>
      </c>
      <c r="M1781" s="0" t="s">
        <v>136</v>
      </c>
      <c r="N1781" s="0" t="s">
        <v>124</v>
      </c>
      <c r="P1781" s="0" t="s">
        <v>102</v>
      </c>
      <c r="Q1781" s="0" t="s">
        <v>102</v>
      </c>
      <c r="R1781" s="0" t="s">
        <v>131</v>
      </c>
      <c r="S1781" s="0" t="s">
        <v>21</v>
      </c>
      <c r="T1781" s="0" t="s">
        <v>104</v>
      </c>
      <c r="W1781" s="0" t="s">
        <v>105</v>
      </c>
    </row>
    <row r="1782" customFormat="false" ht="15" hidden="false" customHeight="false" outlineLevel="0" collapsed="false">
      <c r="A1782" s="0" t="s">
        <v>21</v>
      </c>
      <c r="B1782" s="0" t="s">
        <v>6027</v>
      </c>
      <c r="C1782" s="0" t="s">
        <v>197</v>
      </c>
      <c r="E1782" s="0" t="s">
        <v>6028</v>
      </c>
      <c r="M1782" s="0" t="s">
        <v>208</v>
      </c>
      <c r="N1782" s="0" t="s">
        <v>124</v>
      </c>
      <c r="P1782" s="0" t="s">
        <v>130</v>
      </c>
      <c r="Q1782" s="0" t="s">
        <v>130</v>
      </c>
      <c r="R1782" s="0" t="s">
        <v>137</v>
      </c>
      <c r="S1782" s="0" t="s">
        <v>21</v>
      </c>
      <c r="T1782" s="0" t="s">
        <v>104</v>
      </c>
      <c r="W1782" s="0" t="s">
        <v>105</v>
      </c>
    </row>
    <row r="1783" customFormat="false" ht="15" hidden="false" customHeight="false" outlineLevel="0" collapsed="false">
      <c r="A1783" s="0" t="s">
        <v>21</v>
      </c>
      <c r="B1783" s="0" t="s">
        <v>6029</v>
      </c>
      <c r="C1783" s="0" t="s">
        <v>200</v>
      </c>
      <c r="E1783" s="0" t="s">
        <v>6030</v>
      </c>
      <c r="M1783" s="0" t="s">
        <v>220</v>
      </c>
      <c r="N1783" s="0" t="s">
        <v>124</v>
      </c>
      <c r="P1783" s="0" t="s">
        <v>130</v>
      </c>
      <c r="Q1783" s="0" t="s">
        <v>130</v>
      </c>
      <c r="R1783" s="0" t="s">
        <v>137</v>
      </c>
      <c r="S1783" s="0" t="s">
        <v>21</v>
      </c>
      <c r="T1783" s="0" t="s">
        <v>104</v>
      </c>
      <c r="W1783" s="0" t="s">
        <v>105</v>
      </c>
    </row>
    <row r="1784" customFormat="false" ht="15" hidden="false" customHeight="false" outlineLevel="0" collapsed="false">
      <c r="A1784" s="0" t="s">
        <v>21</v>
      </c>
      <c r="B1784" s="0" t="s">
        <v>6031</v>
      </c>
      <c r="C1784" s="0" t="s">
        <v>97</v>
      </c>
      <c r="E1784" s="0" t="s">
        <v>6032</v>
      </c>
      <c r="M1784" s="0" t="s">
        <v>247</v>
      </c>
      <c r="N1784" s="0" t="s">
        <v>124</v>
      </c>
      <c r="P1784" s="0" t="s">
        <v>130</v>
      </c>
      <c r="Q1784" s="0" t="s">
        <v>130</v>
      </c>
      <c r="R1784" s="0" t="s">
        <v>137</v>
      </c>
      <c r="S1784" s="0" t="s">
        <v>21</v>
      </c>
      <c r="T1784" s="0" t="s">
        <v>104</v>
      </c>
      <c r="W1784" s="0" t="s">
        <v>105</v>
      </c>
    </row>
    <row r="1785" customFormat="false" ht="15" hidden="false" customHeight="false" outlineLevel="0" collapsed="false">
      <c r="A1785" s="0" t="s">
        <v>21</v>
      </c>
      <c r="B1785" s="0" t="s">
        <v>6033</v>
      </c>
      <c r="C1785" s="0" t="s">
        <v>97</v>
      </c>
      <c r="D1785" s="0" t="s">
        <v>6034</v>
      </c>
      <c r="E1785" s="0" t="s">
        <v>6035</v>
      </c>
      <c r="M1785" s="0" t="s">
        <v>136</v>
      </c>
      <c r="N1785" s="0" t="s">
        <v>124</v>
      </c>
      <c r="P1785" s="0" t="s">
        <v>102</v>
      </c>
      <c r="Q1785" s="0" t="s">
        <v>102</v>
      </c>
      <c r="R1785" s="0" t="s">
        <v>113</v>
      </c>
      <c r="S1785" s="0" t="s">
        <v>21</v>
      </c>
      <c r="T1785" s="0" t="s">
        <v>104</v>
      </c>
      <c r="W1785" s="0" t="s">
        <v>105</v>
      </c>
    </row>
    <row r="1786" customFormat="false" ht="15" hidden="false" customHeight="false" outlineLevel="0" collapsed="false">
      <c r="A1786" s="0" t="s">
        <v>21</v>
      </c>
      <c r="B1786" s="0" t="s">
        <v>6036</v>
      </c>
      <c r="C1786" s="0" t="s">
        <v>97</v>
      </c>
      <c r="D1786" s="0" t="s">
        <v>6037</v>
      </c>
      <c r="E1786" s="0" t="s">
        <v>6038</v>
      </c>
      <c r="M1786" s="0" t="s">
        <v>136</v>
      </c>
      <c r="N1786" s="0" t="s">
        <v>124</v>
      </c>
      <c r="P1786" s="0" t="s">
        <v>102</v>
      </c>
      <c r="Q1786" s="0" t="s">
        <v>102</v>
      </c>
      <c r="R1786" s="0" t="s">
        <v>113</v>
      </c>
      <c r="S1786" s="0" t="s">
        <v>21</v>
      </c>
      <c r="T1786" s="0" t="s">
        <v>104</v>
      </c>
      <c r="W1786" s="0" t="s">
        <v>105</v>
      </c>
    </row>
    <row r="1787" customFormat="false" ht="15" hidden="false" customHeight="false" outlineLevel="0" collapsed="false">
      <c r="A1787" s="0" t="s">
        <v>21</v>
      </c>
      <c r="B1787" s="0" t="s">
        <v>6039</v>
      </c>
      <c r="C1787" s="0" t="s">
        <v>97</v>
      </c>
      <c r="D1787" s="0" t="s">
        <v>6040</v>
      </c>
      <c r="E1787" s="0" t="s">
        <v>6041</v>
      </c>
      <c r="M1787" s="0" t="s">
        <v>136</v>
      </c>
      <c r="N1787" s="0" t="s">
        <v>124</v>
      </c>
      <c r="P1787" s="0" t="s">
        <v>102</v>
      </c>
      <c r="Q1787" s="0" t="s">
        <v>102</v>
      </c>
      <c r="R1787" s="0" t="s">
        <v>144</v>
      </c>
      <c r="S1787" s="0" t="s">
        <v>21</v>
      </c>
      <c r="T1787" s="0" t="s">
        <v>104</v>
      </c>
      <c r="W1787" s="0" t="s">
        <v>105</v>
      </c>
    </row>
    <row r="1788" customFormat="false" ht="15" hidden="false" customHeight="false" outlineLevel="0" collapsed="false">
      <c r="A1788" s="0" t="s">
        <v>21</v>
      </c>
      <c r="B1788" s="0" t="s">
        <v>6042</v>
      </c>
      <c r="C1788" s="0" t="s">
        <v>97</v>
      </c>
      <c r="D1788" s="0" t="s">
        <v>6043</v>
      </c>
      <c r="E1788" s="0" t="s">
        <v>6044</v>
      </c>
      <c r="M1788" s="0" t="s">
        <v>136</v>
      </c>
      <c r="N1788" s="0" t="s">
        <v>124</v>
      </c>
      <c r="P1788" s="0" t="s">
        <v>102</v>
      </c>
      <c r="Q1788" s="0" t="s">
        <v>102</v>
      </c>
      <c r="R1788" s="0" t="s">
        <v>113</v>
      </c>
      <c r="S1788" s="0" t="s">
        <v>21</v>
      </c>
      <c r="T1788" s="0" t="s">
        <v>104</v>
      </c>
      <c r="W1788" s="0" t="s">
        <v>105</v>
      </c>
    </row>
    <row r="1789" customFormat="false" ht="15" hidden="false" customHeight="false" outlineLevel="0" collapsed="false">
      <c r="A1789" s="0" t="s">
        <v>21</v>
      </c>
      <c r="B1789" s="0" t="s">
        <v>6045</v>
      </c>
      <c r="C1789" s="0" t="s">
        <v>97</v>
      </c>
      <c r="D1789" s="0" t="s">
        <v>6046</v>
      </c>
      <c r="E1789" s="0" t="s">
        <v>6047</v>
      </c>
      <c r="M1789" s="0" t="s">
        <v>136</v>
      </c>
      <c r="N1789" s="0" t="s">
        <v>124</v>
      </c>
      <c r="P1789" s="0" t="s">
        <v>102</v>
      </c>
      <c r="Q1789" s="0" t="s">
        <v>102</v>
      </c>
      <c r="R1789" s="0" t="s">
        <v>131</v>
      </c>
      <c r="S1789" s="0" t="s">
        <v>21</v>
      </c>
      <c r="T1789" s="0" t="s">
        <v>104</v>
      </c>
      <c r="W1789" s="0" t="s">
        <v>105</v>
      </c>
    </row>
    <row r="1790" customFormat="false" ht="15" hidden="false" customHeight="false" outlineLevel="0" collapsed="false">
      <c r="A1790" s="0" t="s">
        <v>21</v>
      </c>
      <c r="B1790" s="0" t="s">
        <v>6048</v>
      </c>
      <c r="C1790" s="0" t="s">
        <v>1067</v>
      </c>
      <c r="D1790" s="0" t="s">
        <v>6049</v>
      </c>
      <c r="E1790" s="0" t="s">
        <v>6049</v>
      </c>
      <c r="G1790" s="0" t="s">
        <v>6050</v>
      </c>
      <c r="M1790" s="0" t="s">
        <v>208</v>
      </c>
      <c r="N1790" s="0" t="s">
        <v>124</v>
      </c>
      <c r="P1790" s="0" t="s">
        <v>233</v>
      </c>
      <c r="Q1790" s="0" t="s">
        <v>233</v>
      </c>
      <c r="R1790" s="0" t="s">
        <v>233</v>
      </c>
      <c r="S1790" s="0" t="s">
        <v>21</v>
      </c>
      <c r="T1790" s="0" t="s">
        <v>104</v>
      </c>
      <c r="W1790" s="0" t="s">
        <v>183</v>
      </c>
    </row>
    <row r="1791" customFormat="false" ht="15" hidden="false" customHeight="false" outlineLevel="0" collapsed="false">
      <c r="A1791" s="0" t="s">
        <v>21</v>
      </c>
      <c r="B1791" s="0" t="s">
        <v>6048</v>
      </c>
      <c r="C1791" s="0" t="s">
        <v>1067</v>
      </c>
      <c r="D1791" s="0" t="s">
        <v>6049</v>
      </c>
      <c r="E1791" s="0" t="s">
        <v>6049</v>
      </c>
      <c r="G1791" s="0" t="s">
        <v>6050</v>
      </c>
      <c r="M1791" s="0" t="s">
        <v>208</v>
      </c>
      <c r="N1791" s="0" t="s">
        <v>124</v>
      </c>
      <c r="P1791" s="0" t="s">
        <v>102</v>
      </c>
      <c r="Q1791" s="0" t="s">
        <v>102</v>
      </c>
      <c r="R1791" s="0" t="s">
        <v>234</v>
      </c>
      <c r="S1791" s="0" t="s">
        <v>21</v>
      </c>
      <c r="T1791" s="0" t="s">
        <v>104</v>
      </c>
      <c r="V1791" s="0" t="s">
        <v>235</v>
      </c>
      <c r="W1791" s="0" t="s">
        <v>105</v>
      </c>
    </row>
    <row r="1792" customFormat="false" ht="15" hidden="false" customHeight="false" outlineLevel="0" collapsed="false">
      <c r="A1792" s="0" t="s">
        <v>21</v>
      </c>
      <c r="B1792" s="0" t="s">
        <v>6048</v>
      </c>
      <c r="C1792" s="0" t="s">
        <v>1067</v>
      </c>
      <c r="D1792" s="0" t="s">
        <v>6049</v>
      </c>
      <c r="E1792" s="0" t="s">
        <v>6049</v>
      </c>
      <c r="G1792" s="0" t="s">
        <v>6050</v>
      </c>
      <c r="M1792" s="0" t="s">
        <v>208</v>
      </c>
      <c r="N1792" s="0" t="s">
        <v>124</v>
      </c>
      <c r="P1792" s="0" t="s">
        <v>236</v>
      </c>
      <c r="Q1792" s="0" t="s">
        <v>236</v>
      </c>
      <c r="R1792" s="0" t="s">
        <v>237</v>
      </c>
      <c r="S1792" s="0" t="s">
        <v>21</v>
      </c>
      <c r="T1792" s="0" t="s">
        <v>104</v>
      </c>
      <c r="U1792" s="0" t="s">
        <v>238</v>
      </c>
      <c r="W1792" s="0" t="s">
        <v>105</v>
      </c>
    </row>
    <row r="1793" customFormat="false" ht="15" hidden="false" customHeight="false" outlineLevel="0" collapsed="false">
      <c r="A1793" s="0" t="s">
        <v>21</v>
      </c>
      <c r="B1793" s="0" t="s">
        <v>6051</v>
      </c>
      <c r="C1793" s="0" t="s">
        <v>97</v>
      </c>
      <c r="D1793" s="0" t="s">
        <v>6052</v>
      </c>
      <c r="E1793" s="0" t="s">
        <v>6053</v>
      </c>
      <c r="M1793" s="0" t="s">
        <v>100</v>
      </c>
      <c r="N1793" s="0" t="s">
        <v>101</v>
      </c>
      <c r="P1793" s="0" t="s">
        <v>102</v>
      </c>
      <c r="Q1793" s="0" t="s">
        <v>102</v>
      </c>
      <c r="R1793" s="0" t="s">
        <v>131</v>
      </c>
      <c r="S1793" s="0" t="s">
        <v>21</v>
      </c>
      <c r="T1793" s="0" t="s">
        <v>104</v>
      </c>
      <c r="W1793" s="0" t="s">
        <v>105</v>
      </c>
    </row>
    <row r="1794" customFormat="false" ht="15" hidden="false" customHeight="false" outlineLevel="0" collapsed="false">
      <c r="A1794" s="0" t="s">
        <v>21</v>
      </c>
      <c r="B1794" s="0" t="s">
        <v>6054</v>
      </c>
      <c r="C1794" s="0" t="s">
        <v>97</v>
      </c>
      <c r="D1794" s="0" t="s">
        <v>6055</v>
      </c>
      <c r="E1794" s="0" t="s">
        <v>6056</v>
      </c>
      <c r="M1794" s="0" t="s">
        <v>136</v>
      </c>
      <c r="N1794" s="0" t="s">
        <v>124</v>
      </c>
      <c r="P1794" s="0" t="s">
        <v>102</v>
      </c>
      <c r="Q1794" s="0" t="s">
        <v>102</v>
      </c>
      <c r="R1794" s="0" t="s">
        <v>144</v>
      </c>
      <c r="S1794" s="0" t="s">
        <v>21</v>
      </c>
      <c r="T1794" s="0" t="s">
        <v>104</v>
      </c>
      <c r="W1794" s="0" t="s">
        <v>105</v>
      </c>
    </row>
    <row r="1795" customFormat="false" ht="15" hidden="false" customHeight="false" outlineLevel="0" collapsed="false">
      <c r="A1795" s="0" t="s">
        <v>21</v>
      </c>
      <c r="B1795" s="0" t="s">
        <v>6057</v>
      </c>
      <c r="C1795" s="0" t="s">
        <v>97</v>
      </c>
      <c r="D1795" s="0" t="s">
        <v>6058</v>
      </c>
      <c r="E1795" s="0" t="s">
        <v>6059</v>
      </c>
      <c r="M1795" s="0" t="s">
        <v>136</v>
      </c>
      <c r="N1795" s="0" t="s">
        <v>124</v>
      </c>
      <c r="P1795" s="0" t="s">
        <v>102</v>
      </c>
      <c r="Q1795" s="0" t="s">
        <v>102</v>
      </c>
      <c r="R1795" s="0" t="s">
        <v>144</v>
      </c>
      <c r="S1795" s="0" t="s">
        <v>21</v>
      </c>
      <c r="T1795" s="0" t="s">
        <v>104</v>
      </c>
      <c r="W1795" s="0" t="s">
        <v>105</v>
      </c>
    </row>
    <row r="1796" customFormat="false" ht="15" hidden="false" customHeight="false" outlineLevel="0" collapsed="false">
      <c r="A1796" s="0" t="s">
        <v>21</v>
      </c>
      <c r="B1796" s="0" t="s">
        <v>6060</v>
      </c>
      <c r="C1796" s="0" t="s">
        <v>97</v>
      </c>
      <c r="D1796" s="0" t="s">
        <v>6061</v>
      </c>
      <c r="E1796" s="0" t="s">
        <v>5478</v>
      </c>
      <c r="M1796" s="0" t="s">
        <v>100</v>
      </c>
      <c r="N1796" s="0" t="s">
        <v>101</v>
      </c>
      <c r="P1796" s="0" t="s">
        <v>102</v>
      </c>
      <c r="Q1796" s="0" t="s">
        <v>102</v>
      </c>
      <c r="R1796" s="0" t="s">
        <v>113</v>
      </c>
      <c r="S1796" s="0" t="s">
        <v>21</v>
      </c>
      <c r="T1796" s="0" t="s">
        <v>104</v>
      </c>
      <c r="W1796" s="0" t="s">
        <v>105</v>
      </c>
    </row>
    <row r="1797" customFormat="false" ht="15" hidden="false" customHeight="false" outlineLevel="0" collapsed="false">
      <c r="A1797" s="0" t="s">
        <v>21</v>
      </c>
      <c r="B1797" s="0" t="s">
        <v>6062</v>
      </c>
      <c r="C1797" s="0" t="s">
        <v>97</v>
      </c>
      <c r="D1797" s="0" t="s">
        <v>6063</v>
      </c>
      <c r="E1797" s="0" t="s">
        <v>6064</v>
      </c>
      <c r="H1797" s="0" t="s">
        <v>6065</v>
      </c>
      <c r="I1797" s="0" t="s">
        <v>6066</v>
      </c>
      <c r="J1797" s="0" t="s">
        <v>6066</v>
      </c>
      <c r="K1797" s="0" t="s">
        <v>498</v>
      </c>
      <c r="L1797" s="0" t="s">
        <v>101</v>
      </c>
      <c r="M1797" s="0" t="s">
        <v>398</v>
      </c>
      <c r="N1797" s="0" t="s">
        <v>101</v>
      </c>
      <c r="P1797" s="0" t="s">
        <v>102</v>
      </c>
      <c r="Q1797" s="0" t="s">
        <v>102</v>
      </c>
      <c r="R1797" s="0" t="s">
        <v>113</v>
      </c>
      <c r="S1797" s="0" t="s">
        <v>21</v>
      </c>
      <c r="T1797" s="0" t="s">
        <v>104</v>
      </c>
      <c r="W1797" s="0" t="s">
        <v>105</v>
      </c>
      <c r="X1797" s="0" t="s">
        <v>6067</v>
      </c>
      <c r="Y1797" s="0" t="s">
        <v>6068</v>
      </c>
    </row>
    <row r="1798" customFormat="false" ht="15" hidden="false" customHeight="false" outlineLevel="0" collapsed="false">
      <c r="A1798" s="0" t="s">
        <v>21</v>
      </c>
      <c r="B1798" s="0" t="s">
        <v>6069</v>
      </c>
      <c r="C1798" s="0" t="s">
        <v>139</v>
      </c>
      <c r="D1798" s="0" t="s">
        <v>6070</v>
      </c>
      <c r="E1798" s="0" t="s">
        <v>6071</v>
      </c>
      <c r="G1798" s="0" t="s">
        <v>6072</v>
      </c>
      <c r="H1798" s="0" t="s">
        <v>6073</v>
      </c>
      <c r="I1798" s="0" t="s">
        <v>6074</v>
      </c>
      <c r="J1798" s="0" t="s">
        <v>275</v>
      </c>
      <c r="K1798" s="0" t="s">
        <v>751</v>
      </c>
      <c r="M1798" s="0" t="s">
        <v>178</v>
      </c>
      <c r="N1798" s="0" t="s">
        <v>124</v>
      </c>
      <c r="P1798" s="0" t="s">
        <v>233</v>
      </c>
      <c r="Q1798" s="0" t="s">
        <v>233</v>
      </c>
      <c r="R1798" s="0" t="s">
        <v>233</v>
      </c>
      <c r="S1798" s="0" t="s">
        <v>21</v>
      </c>
      <c r="T1798" s="0" t="s">
        <v>104</v>
      </c>
      <c r="W1798" s="0" t="s">
        <v>183</v>
      </c>
    </row>
    <row r="1799" customFormat="false" ht="15" hidden="false" customHeight="false" outlineLevel="0" collapsed="false">
      <c r="A1799" s="0" t="s">
        <v>21</v>
      </c>
      <c r="B1799" s="0" t="s">
        <v>6069</v>
      </c>
      <c r="C1799" s="0" t="s">
        <v>139</v>
      </c>
      <c r="D1799" s="0" t="s">
        <v>6070</v>
      </c>
      <c r="E1799" s="0" t="s">
        <v>6071</v>
      </c>
      <c r="G1799" s="0" t="s">
        <v>6072</v>
      </c>
      <c r="H1799" s="0" t="s">
        <v>6073</v>
      </c>
      <c r="I1799" s="0" t="s">
        <v>6074</v>
      </c>
      <c r="J1799" s="0" t="s">
        <v>275</v>
      </c>
      <c r="K1799" s="0" t="s">
        <v>751</v>
      </c>
      <c r="M1799" s="0" t="s">
        <v>178</v>
      </c>
      <c r="N1799" s="0" t="s">
        <v>124</v>
      </c>
      <c r="P1799" s="0" t="s">
        <v>102</v>
      </c>
      <c r="Q1799" s="0" t="s">
        <v>102</v>
      </c>
      <c r="R1799" s="0" t="s">
        <v>234</v>
      </c>
      <c r="S1799" s="0" t="s">
        <v>21</v>
      </c>
      <c r="T1799" s="0" t="s">
        <v>104</v>
      </c>
      <c r="V1799" s="0" t="s">
        <v>235</v>
      </c>
      <c r="W1799" s="0" t="s">
        <v>105</v>
      </c>
    </row>
    <row r="1800" customFormat="false" ht="15" hidden="false" customHeight="false" outlineLevel="0" collapsed="false">
      <c r="A1800" s="0" t="s">
        <v>21</v>
      </c>
      <c r="B1800" s="0" t="s">
        <v>6069</v>
      </c>
      <c r="C1800" s="0" t="s">
        <v>139</v>
      </c>
      <c r="D1800" s="0" t="s">
        <v>6070</v>
      </c>
      <c r="E1800" s="0" t="s">
        <v>6071</v>
      </c>
      <c r="G1800" s="0" t="s">
        <v>6072</v>
      </c>
      <c r="H1800" s="0" t="s">
        <v>6073</v>
      </c>
      <c r="I1800" s="0" t="s">
        <v>6074</v>
      </c>
      <c r="J1800" s="0" t="s">
        <v>275</v>
      </c>
      <c r="K1800" s="0" t="s">
        <v>751</v>
      </c>
      <c r="M1800" s="0" t="s">
        <v>178</v>
      </c>
      <c r="N1800" s="0" t="s">
        <v>124</v>
      </c>
      <c r="P1800" s="0" t="s">
        <v>236</v>
      </c>
      <c r="Q1800" s="0" t="s">
        <v>236</v>
      </c>
      <c r="R1800" s="0" t="s">
        <v>237</v>
      </c>
      <c r="S1800" s="0" t="s">
        <v>21</v>
      </c>
      <c r="T1800" s="0" t="s">
        <v>104</v>
      </c>
      <c r="U1800" s="0" t="s">
        <v>238</v>
      </c>
      <c r="W1800" s="0" t="s">
        <v>105</v>
      </c>
    </row>
    <row r="1801" customFormat="false" ht="15" hidden="false" customHeight="false" outlineLevel="0" collapsed="false">
      <c r="A1801" s="0" t="s">
        <v>21</v>
      </c>
      <c r="B1801" s="0" t="s">
        <v>6075</v>
      </c>
      <c r="C1801" s="0" t="s">
        <v>5842</v>
      </c>
      <c r="D1801" s="0" t="s">
        <v>4666</v>
      </c>
      <c r="M1801" s="0" t="s">
        <v>6076</v>
      </c>
      <c r="N1801" s="0" t="s">
        <v>124</v>
      </c>
      <c r="P1801" s="0" t="s">
        <v>1044</v>
      </c>
      <c r="Q1801" s="0" t="s">
        <v>1044</v>
      </c>
      <c r="R1801" s="0" t="s">
        <v>248</v>
      </c>
      <c r="S1801" s="0" t="s">
        <v>21</v>
      </c>
      <c r="T1801" s="0" t="s">
        <v>104</v>
      </c>
      <c r="U1801" s="0" t="s">
        <v>368</v>
      </c>
      <c r="W1801" s="0" t="s">
        <v>105</v>
      </c>
    </row>
    <row r="1802" customFormat="false" ht="15" hidden="false" customHeight="false" outlineLevel="0" collapsed="false">
      <c r="A1802" s="0" t="s">
        <v>21</v>
      </c>
      <c r="B1802" s="0" t="s">
        <v>6077</v>
      </c>
      <c r="C1802" s="0" t="s">
        <v>1067</v>
      </c>
      <c r="D1802" s="0" t="s">
        <v>6078</v>
      </c>
      <c r="E1802" s="0" t="s">
        <v>6079</v>
      </c>
      <c r="H1802" s="0" t="s">
        <v>6080</v>
      </c>
      <c r="I1802" s="0" t="s">
        <v>281</v>
      </c>
      <c r="J1802" s="0" t="s">
        <v>254</v>
      </c>
      <c r="K1802" s="0" t="s">
        <v>282</v>
      </c>
      <c r="M1802" s="0" t="s">
        <v>208</v>
      </c>
      <c r="N1802" s="0" t="s">
        <v>124</v>
      </c>
      <c r="P1802" s="0" t="s">
        <v>233</v>
      </c>
      <c r="Q1802" s="0" t="s">
        <v>233</v>
      </c>
      <c r="R1802" s="0" t="s">
        <v>233</v>
      </c>
      <c r="S1802" s="0" t="s">
        <v>21</v>
      </c>
      <c r="T1802" s="0" t="s">
        <v>104</v>
      </c>
      <c r="W1802" s="0" t="s">
        <v>183</v>
      </c>
      <c r="X1802" s="0" t="s">
        <v>6081</v>
      </c>
      <c r="Y1802" s="0" t="s">
        <v>6082</v>
      </c>
      <c r="Z1802" s="0" t="s">
        <v>195</v>
      </c>
    </row>
    <row r="1803" customFormat="false" ht="15" hidden="false" customHeight="false" outlineLevel="0" collapsed="false">
      <c r="A1803" s="0" t="s">
        <v>21</v>
      </c>
      <c r="B1803" s="0" t="s">
        <v>6077</v>
      </c>
      <c r="C1803" s="0" t="s">
        <v>1067</v>
      </c>
      <c r="D1803" s="0" t="s">
        <v>6078</v>
      </c>
      <c r="E1803" s="0" t="s">
        <v>6079</v>
      </c>
      <c r="H1803" s="0" t="s">
        <v>6080</v>
      </c>
      <c r="I1803" s="0" t="s">
        <v>281</v>
      </c>
      <c r="J1803" s="0" t="s">
        <v>254</v>
      </c>
      <c r="K1803" s="0" t="s">
        <v>282</v>
      </c>
      <c r="M1803" s="0" t="s">
        <v>208</v>
      </c>
      <c r="N1803" s="0" t="s">
        <v>124</v>
      </c>
      <c r="P1803" s="0" t="s">
        <v>102</v>
      </c>
      <c r="Q1803" s="0" t="s">
        <v>102</v>
      </c>
      <c r="R1803" s="0" t="s">
        <v>234</v>
      </c>
      <c r="S1803" s="0" t="s">
        <v>21</v>
      </c>
      <c r="T1803" s="0" t="s">
        <v>104</v>
      </c>
      <c r="V1803" s="0" t="s">
        <v>235</v>
      </c>
      <c r="W1803" s="0" t="s">
        <v>105</v>
      </c>
      <c r="X1803" s="0" t="s">
        <v>6081</v>
      </c>
      <c r="Y1803" s="0" t="s">
        <v>6082</v>
      </c>
      <c r="Z1803" s="0" t="s">
        <v>195</v>
      </c>
    </row>
    <row r="1804" customFormat="false" ht="15" hidden="false" customHeight="false" outlineLevel="0" collapsed="false">
      <c r="A1804" s="0" t="s">
        <v>21</v>
      </c>
      <c r="B1804" s="0" t="s">
        <v>6077</v>
      </c>
      <c r="C1804" s="0" t="s">
        <v>1067</v>
      </c>
      <c r="D1804" s="0" t="s">
        <v>6078</v>
      </c>
      <c r="E1804" s="0" t="s">
        <v>6079</v>
      </c>
      <c r="H1804" s="0" t="s">
        <v>6080</v>
      </c>
      <c r="I1804" s="0" t="s">
        <v>281</v>
      </c>
      <c r="J1804" s="0" t="s">
        <v>254</v>
      </c>
      <c r="K1804" s="0" t="s">
        <v>282</v>
      </c>
      <c r="M1804" s="0" t="s">
        <v>208</v>
      </c>
      <c r="N1804" s="0" t="s">
        <v>124</v>
      </c>
      <c r="P1804" s="0" t="s">
        <v>236</v>
      </c>
      <c r="Q1804" s="0" t="s">
        <v>236</v>
      </c>
      <c r="R1804" s="0" t="s">
        <v>237</v>
      </c>
      <c r="S1804" s="0" t="s">
        <v>21</v>
      </c>
      <c r="T1804" s="0" t="s">
        <v>104</v>
      </c>
      <c r="U1804" s="0" t="s">
        <v>238</v>
      </c>
      <c r="W1804" s="0" t="s">
        <v>105</v>
      </c>
      <c r="X1804" s="0" t="s">
        <v>6081</v>
      </c>
      <c r="Y1804" s="0" t="s">
        <v>6082</v>
      </c>
      <c r="Z1804" s="0" t="s">
        <v>195</v>
      </c>
    </row>
    <row r="1805" customFormat="false" ht="15" hidden="false" customHeight="false" outlineLevel="0" collapsed="false">
      <c r="A1805" s="0" t="s">
        <v>21</v>
      </c>
      <c r="B1805" s="0" t="s">
        <v>6083</v>
      </c>
      <c r="C1805" s="0" t="s">
        <v>6084</v>
      </c>
      <c r="D1805" s="0" t="s">
        <v>2259</v>
      </c>
      <c r="E1805" s="0" t="s">
        <v>6085</v>
      </c>
      <c r="G1805" s="0" t="s">
        <v>6086</v>
      </c>
      <c r="H1805" s="0" t="s">
        <v>6087</v>
      </c>
      <c r="I1805" s="0" t="s">
        <v>6088</v>
      </c>
      <c r="J1805" s="0" t="s">
        <v>254</v>
      </c>
      <c r="K1805" s="0" t="s">
        <v>6089</v>
      </c>
      <c r="M1805" s="0" t="s">
        <v>1011</v>
      </c>
      <c r="N1805" s="0" t="s">
        <v>124</v>
      </c>
      <c r="P1805" s="0" t="s">
        <v>233</v>
      </c>
      <c r="Q1805" s="0" t="s">
        <v>233</v>
      </c>
      <c r="R1805" s="0" t="s">
        <v>233</v>
      </c>
      <c r="S1805" s="0" t="s">
        <v>21</v>
      </c>
      <c r="T1805" s="0" t="s">
        <v>104</v>
      </c>
      <c r="W1805" s="0" t="s">
        <v>183</v>
      </c>
      <c r="Z1805" s="0" t="s">
        <v>195</v>
      </c>
    </row>
    <row r="1806" customFormat="false" ht="15" hidden="false" customHeight="false" outlineLevel="0" collapsed="false">
      <c r="A1806" s="0" t="s">
        <v>21</v>
      </c>
      <c r="B1806" s="0" t="s">
        <v>6083</v>
      </c>
      <c r="C1806" s="0" t="s">
        <v>6084</v>
      </c>
      <c r="D1806" s="0" t="s">
        <v>2259</v>
      </c>
      <c r="E1806" s="0" t="s">
        <v>6085</v>
      </c>
      <c r="G1806" s="0" t="s">
        <v>6086</v>
      </c>
      <c r="H1806" s="0" t="s">
        <v>6087</v>
      </c>
      <c r="I1806" s="0" t="s">
        <v>6088</v>
      </c>
      <c r="J1806" s="0" t="s">
        <v>254</v>
      </c>
      <c r="K1806" s="0" t="s">
        <v>6089</v>
      </c>
      <c r="M1806" s="0" t="s">
        <v>1011</v>
      </c>
      <c r="N1806" s="0" t="s">
        <v>124</v>
      </c>
      <c r="P1806" s="0" t="s">
        <v>102</v>
      </c>
      <c r="Q1806" s="0" t="s">
        <v>102</v>
      </c>
      <c r="R1806" s="0" t="s">
        <v>234</v>
      </c>
      <c r="S1806" s="0" t="s">
        <v>21</v>
      </c>
      <c r="T1806" s="0" t="s">
        <v>104</v>
      </c>
      <c r="V1806" s="0" t="s">
        <v>235</v>
      </c>
      <c r="W1806" s="0" t="s">
        <v>105</v>
      </c>
      <c r="Z1806" s="0" t="s">
        <v>195</v>
      </c>
    </row>
    <row r="1807" customFormat="false" ht="15" hidden="false" customHeight="false" outlineLevel="0" collapsed="false">
      <c r="A1807" s="0" t="s">
        <v>21</v>
      </c>
      <c r="B1807" s="0" t="s">
        <v>6083</v>
      </c>
      <c r="C1807" s="0" t="s">
        <v>6084</v>
      </c>
      <c r="D1807" s="0" t="s">
        <v>2259</v>
      </c>
      <c r="E1807" s="0" t="s">
        <v>6085</v>
      </c>
      <c r="G1807" s="0" t="s">
        <v>6086</v>
      </c>
      <c r="H1807" s="0" t="s">
        <v>6087</v>
      </c>
      <c r="I1807" s="0" t="s">
        <v>6088</v>
      </c>
      <c r="J1807" s="0" t="s">
        <v>254</v>
      </c>
      <c r="K1807" s="0" t="s">
        <v>6089</v>
      </c>
      <c r="M1807" s="0" t="s">
        <v>1011</v>
      </c>
      <c r="N1807" s="0" t="s">
        <v>124</v>
      </c>
      <c r="P1807" s="0" t="s">
        <v>236</v>
      </c>
      <c r="Q1807" s="0" t="s">
        <v>236</v>
      </c>
      <c r="R1807" s="0" t="s">
        <v>237</v>
      </c>
      <c r="S1807" s="0" t="s">
        <v>21</v>
      </c>
      <c r="T1807" s="0" t="s">
        <v>104</v>
      </c>
      <c r="U1807" s="0" t="s">
        <v>238</v>
      </c>
      <c r="W1807" s="0" t="s">
        <v>105</v>
      </c>
      <c r="Z1807" s="0" t="s">
        <v>195</v>
      </c>
    </row>
    <row r="1808" customFormat="false" ht="15" hidden="false" customHeight="false" outlineLevel="0" collapsed="false">
      <c r="A1808" s="0" t="s">
        <v>21</v>
      </c>
      <c r="B1808" s="0" t="s">
        <v>6090</v>
      </c>
      <c r="C1808" s="0" t="s">
        <v>190</v>
      </c>
      <c r="D1808" s="0" t="s">
        <v>6091</v>
      </c>
      <c r="E1808" s="0" t="s">
        <v>6092</v>
      </c>
      <c r="H1808" s="0" t="s">
        <v>6093</v>
      </c>
      <c r="I1808" s="0" t="s">
        <v>4249</v>
      </c>
      <c r="J1808" s="0" t="s">
        <v>254</v>
      </c>
      <c r="K1808" s="0" t="s">
        <v>4250</v>
      </c>
      <c r="M1808" s="0" t="s">
        <v>208</v>
      </c>
      <c r="N1808" s="0" t="s">
        <v>124</v>
      </c>
      <c r="P1808" s="0" t="s">
        <v>233</v>
      </c>
      <c r="Q1808" s="0" t="s">
        <v>233</v>
      </c>
      <c r="R1808" s="0" t="s">
        <v>233</v>
      </c>
      <c r="S1808" s="0" t="s">
        <v>21</v>
      </c>
      <c r="T1808" s="0" t="s">
        <v>104</v>
      </c>
      <c r="W1808" s="0" t="s">
        <v>183</v>
      </c>
      <c r="X1808" s="0" t="s">
        <v>6094</v>
      </c>
      <c r="Y1808" s="0" t="s">
        <v>6095</v>
      </c>
      <c r="Z1808" s="0" t="s">
        <v>195</v>
      </c>
    </row>
    <row r="1809" customFormat="false" ht="15" hidden="false" customHeight="false" outlineLevel="0" collapsed="false">
      <c r="A1809" s="0" t="s">
        <v>21</v>
      </c>
      <c r="B1809" s="0" t="s">
        <v>6090</v>
      </c>
      <c r="C1809" s="0" t="s">
        <v>190</v>
      </c>
      <c r="D1809" s="0" t="s">
        <v>6091</v>
      </c>
      <c r="E1809" s="0" t="s">
        <v>6092</v>
      </c>
      <c r="H1809" s="0" t="s">
        <v>6093</v>
      </c>
      <c r="I1809" s="0" t="s">
        <v>4249</v>
      </c>
      <c r="J1809" s="0" t="s">
        <v>254</v>
      </c>
      <c r="K1809" s="0" t="s">
        <v>4250</v>
      </c>
      <c r="M1809" s="0" t="s">
        <v>208</v>
      </c>
      <c r="N1809" s="0" t="s">
        <v>124</v>
      </c>
      <c r="P1809" s="0" t="s">
        <v>102</v>
      </c>
      <c r="Q1809" s="0" t="s">
        <v>102</v>
      </c>
      <c r="R1809" s="0" t="s">
        <v>234</v>
      </c>
      <c r="S1809" s="0" t="s">
        <v>21</v>
      </c>
      <c r="T1809" s="0" t="s">
        <v>104</v>
      </c>
      <c r="V1809" s="0" t="s">
        <v>235</v>
      </c>
      <c r="W1809" s="0" t="s">
        <v>105</v>
      </c>
      <c r="X1809" s="0" t="s">
        <v>6094</v>
      </c>
      <c r="Y1809" s="0" t="s">
        <v>6095</v>
      </c>
      <c r="Z1809" s="0" t="s">
        <v>195</v>
      </c>
    </row>
    <row r="1810" customFormat="false" ht="15" hidden="false" customHeight="false" outlineLevel="0" collapsed="false">
      <c r="A1810" s="0" t="s">
        <v>21</v>
      </c>
      <c r="B1810" s="0" t="s">
        <v>6090</v>
      </c>
      <c r="C1810" s="0" t="s">
        <v>190</v>
      </c>
      <c r="D1810" s="0" t="s">
        <v>6091</v>
      </c>
      <c r="E1810" s="0" t="s">
        <v>6092</v>
      </c>
      <c r="H1810" s="0" t="s">
        <v>6093</v>
      </c>
      <c r="I1810" s="0" t="s">
        <v>4249</v>
      </c>
      <c r="J1810" s="0" t="s">
        <v>254</v>
      </c>
      <c r="K1810" s="0" t="s">
        <v>4250</v>
      </c>
      <c r="M1810" s="0" t="s">
        <v>208</v>
      </c>
      <c r="N1810" s="0" t="s">
        <v>124</v>
      </c>
      <c r="P1810" s="0" t="s">
        <v>236</v>
      </c>
      <c r="Q1810" s="0" t="s">
        <v>236</v>
      </c>
      <c r="R1810" s="0" t="s">
        <v>237</v>
      </c>
      <c r="S1810" s="0" t="s">
        <v>21</v>
      </c>
      <c r="T1810" s="0" t="s">
        <v>104</v>
      </c>
      <c r="U1810" s="0" t="s">
        <v>238</v>
      </c>
      <c r="W1810" s="0" t="s">
        <v>105</v>
      </c>
      <c r="X1810" s="0" t="s">
        <v>6094</v>
      </c>
      <c r="Y1810" s="0" t="s">
        <v>6095</v>
      </c>
      <c r="Z1810" s="0" t="s">
        <v>195</v>
      </c>
    </row>
    <row r="1811" customFormat="false" ht="15" hidden="false" customHeight="false" outlineLevel="0" collapsed="false">
      <c r="A1811" s="0" t="s">
        <v>21</v>
      </c>
      <c r="B1811" s="0" t="s">
        <v>6096</v>
      </c>
      <c r="C1811" s="0" t="s">
        <v>97</v>
      </c>
      <c r="D1811" s="0" t="s">
        <v>6097</v>
      </c>
      <c r="E1811" s="0" t="s">
        <v>6098</v>
      </c>
      <c r="M1811" s="0" t="s">
        <v>136</v>
      </c>
      <c r="N1811" s="0" t="s">
        <v>124</v>
      </c>
      <c r="P1811" s="0" t="s">
        <v>102</v>
      </c>
      <c r="Q1811" s="0" t="s">
        <v>102</v>
      </c>
      <c r="R1811" s="0" t="s">
        <v>234</v>
      </c>
      <c r="S1811" s="0" t="s">
        <v>21</v>
      </c>
      <c r="T1811" s="0" t="s">
        <v>104</v>
      </c>
      <c r="W1811" s="0" t="s">
        <v>105</v>
      </c>
    </row>
    <row r="1812" customFormat="false" ht="15" hidden="false" customHeight="false" outlineLevel="0" collapsed="false">
      <c r="A1812" s="0" t="s">
        <v>21</v>
      </c>
      <c r="B1812" s="0" t="s">
        <v>6099</v>
      </c>
      <c r="C1812" s="0" t="s">
        <v>97</v>
      </c>
      <c r="D1812" s="0" t="s">
        <v>6100</v>
      </c>
      <c r="E1812" s="0" t="s">
        <v>6101</v>
      </c>
      <c r="M1812" s="0" t="s">
        <v>136</v>
      </c>
      <c r="N1812" s="0" t="s">
        <v>124</v>
      </c>
      <c r="P1812" s="0" t="s">
        <v>102</v>
      </c>
      <c r="Q1812" s="0" t="s">
        <v>102</v>
      </c>
      <c r="R1812" s="0" t="s">
        <v>234</v>
      </c>
      <c r="S1812" s="0" t="s">
        <v>21</v>
      </c>
      <c r="T1812" s="0" t="s">
        <v>104</v>
      </c>
      <c r="W1812" s="0" t="s">
        <v>105</v>
      </c>
    </row>
    <row r="1813" customFormat="false" ht="15" hidden="false" customHeight="false" outlineLevel="0" collapsed="false">
      <c r="A1813" s="0" t="s">
        <v>21</v>
      </c>
      <c r="B1813" s="0" t="s">
        <v>6102</v>
      </c>
      <c r="C1813" s="0" t="s">
        <v>97</v>
      </c>
      <c r="D1813" s="0" t="s">
        <v>6103</v>
      </c>
      <c r="E1813" s="0" t="s">
        <v>6104</v>
      </c>
      <c r="M1813" s="0" t="s">
        <v>136</v>
      </c>
      <c r="N1813" s="0" t="s">
        <v>124</v>
      </c>
      <c r="P1813" s="0" t="s">
        <v>102</v>
      </c>
      <c r="Q1813" s="0" t="s">
        <v>102</v>
      </c>
      <c r="R1813" s="0" t="s">
        <v>234</v>
      </c>
      <c r="S1813" s="0" t="s">
        <v>21</v>
      </c>
      <c r="T1813" s="0" t="s">
        <v>104</v>
      </c>
      <c r="W1813" s="0" t="s">
        <v>105</v>
      </c>
    </row>
    <row r="1814" customFormat="false" ht="15" hidden="false" customHeight="false" outlineLevel="0" collapsed="false">
      <c r="A1814" s="0" t="s">
        <v>21</v>
      </c>
      <c r="B1814" s="0" t="s">
        <v>6105</v>
      </c>
      <c r="C1814" s="0" t="s">
        <v>97</v>
      </c>
      <c r="D1814" s="0" t="s">
        <v>6106</v>
      </c>
      <c r="E1814" s="0" t="s">
        <v>6107</v>
      </c>
      <c r="H1814" s="0" t="s">
        <v>654</v>
      </c>
      <c r="I1814" s="0" t="s">
        <v>655</v>
      </c>
      <c r="J1814" s="0" t="s">
        <v>100</v>
      </c>
      <c r="K1814" s="0" t="s">
        <v>168</v>
      </c>
      <c r="L1814" s="0" t="s">
        <v>101</v>
      </c>
      <c r="M1814" s="0" t="s">
        <v>656</v>
      </c>
      <c r="N1814" s="0" t="s">
        <v>101</v>
      </c>
      <c r="P1814" s="0" t="s">
        <v>102</v>
      </c>
      <c r="Q1814" s="0" t="s">
        <v>102</v>
      </c>
      <c r="R1814" s="0" t="s">
        <v>144</v>
      </c>
      <c r="S1814" s="0" t="s">
        <v>21</v>
      </c>
      <c r="T1814" s="0" t="s">
        <v>104</v>
      </c>
      <c r="V1814" s="0" t="s">
        <v>6108</v>
      </c>
      <c r="W1814" s="0" t="s">
        <v>105</v>
      </c>
      <c r="X1814" s="0" t="s">
        <v>658</v>
      </c>
      <c r="Y1814" s="0" t="s">
        <v>659</v>
      </c>
    </row>
    <row r="1815" customFormat="false" ht="15" hidden="false" customHeight="false" outlineLevel="0" collapsed="false">
      <c r="A1815" s="0" t="s">
        <v>21</v>
      </c>
      <c r="B1815" s="0" t="s">
        <v>6105</v>
      </c>
      <c r="C1815" s="0" t="s">
        <v>97</v>
      </c>
      <c r="D1815" s="0" t="s">
        <v>6106</v>
      </c>
      <c r="E1815" s="0" t="s">
        <v>6107</v>
      </c>
      <c r="H1815" s="0" t="s">
        <v>654</v>
      </c>
      <c r="I1815" s="0" t="s">
        <v>655</v>
      </c>
      <c r="J1815" s="0" t="s">
        <v>100</v>
      </c>
      <c r="K1815" s="0" t="s">
        <v>168</v>
      </c>
      <c r="L1815" s="0" t="s">
        <v>101</v>
      </c>
      <c r="M1815" s="0" t="s">
        <v>656</v>
      </c>
      <c r="N1815" s="0" t="s">
        <v>101</v>
      </c>
      <c r="P1815" s="0" t="s">
        <v>236</v>
      </c>
      <c r="Q1815" s="0" t="s">
        <v>236</v>
      </c>
      <c r="R1815" s="0" t="s">
        <v>6109</v>
      </c>
      <c r="S1815" s="0" t="s">
        <v>21</v>
      </c>
      <c r="T1815" s="0" t="s">
        <v>104</v>
      </c>
      <c r="U1815" s="0" t="s">
        <v>6110</v>
      </c>
      <c r="W1815" s="0" t="s">
        <v>105</v>
      </c>
      <c r="X1815" s="0" t="s">
        <v>658</v>
      </c>
      <c r="Y1815" s="0" t="s">
        <v>659</v>
      </c>
    </row>
    <row r="1816" customFormat="false" ht="15" hidden="false" customHeight="false" outlineLevel="0" collapsed="false">
      <c r="A1816" s="0" t="s">
        <v>21</v>
      </c>
      <c r="B1816" s="0" t="s">
        <v>6111</v>
      </c>
      <c r="C1816" s="0" t="s">
        <v>97</v>
      </c>
      <c r="D1816" s="0" t="s">
        <v>6112</v>
      </c>
      <c r="E1816" s="0" t="s">
        <v>6113</v>
      </c>
      <c r="H1816" s="0" t="s">
        <v>654</v>
      </c>
      <c r="I1816" s="0" t="s">
        <v>655</v>
      </c>
      <c r="J1816" s="0" t="s">
        <v>100</v>
      </c>
      <c r="K1816" s="0" t="s">
        <v>168</v>
      </c>
      <c r="L1816" s="0" t="s">
        <v>101</v>
      </c>
      <c r="M1816" s="0" t="s">
        <v>656</v>
      </c>
      <c r="N1816" s="0" t="s">
        <v>101</v>
      </c>
      <c r="P1816" s="0" t="s">
        <v>102</v>
      </c>
      <c r="Q1816" s="0" t="s">
        <v>102</v>
      </c>
      <c r="R1816" s="0" t="s">
        <v>144</v>
      </c>
      <c r="S1816" s="0" t="s">
        <v>21</v>
      </c>
      <c r="T1816" s="0" t="s">
        <v>104</v>
      </c>
      <c r="V1816" s="0" t="s">
        <v>6108</v>
      </c>
      <c r="W1816" s="0" t="s">
        <v>105</v>
      </c>
      <c r="X1816" s="0" t="s">
        <v>658</v>
      </c>
      <c r="Y1816" s="0" t="s">
        <v>659</v>
      </c>
    </row>
    <row r="1817" customFormat="false" ht="15" hidden="false" customHeight="false" outlineLevel="0" collapsed="false">
      <c r="A1817" s="0" t="s">
        <v>21</v>
      </c>
      <c r="B1817" s="0" t="s">
        <v>6111</v>
      </c>
      <c r="C1817" s="0" t="s">
        <v>97</v>
      </c>
      <c r="D1817" s="0" t="s">
        <v>6112</v>
      </c>
      <c r="E1817" s="0" t="s">
        <v>6113</v>
      </c>
      <c r="H1817" s="0" t="s">
        <v>654</v>
      </c>
      <c r="I1817" s="0" t="s">
        <v>655</v>
      </c>
      <c r="J1817" s="0" t="s">
        <v>100</v>
      </c>
      <c r="K1817" s="0" t="s">
        <v>168</v>
      </c>
      <c r="L1817" s="0" t="s">
        <v>101</v>
      </c>
      <c r="M1817" s="0" t="s">
        <v>656</v>
      </c>
      <c r="N1817" s="0" t="s">
        <v>101</v>
      </c>
      <c r="P1817" s="0" t="s">
        <v>236</v>
      </c>
      <c r="Q1817" s="0" t="s">
        <v>236</v>
      </c>
      <c r="R1817" s="0" t="s">
        <v>6109</v>
      </c>
      <c r="S1817" s="0" t="s">
        <v>21</v>
      </c>
      <c r="T1817" s="0" t="s">
        <v>104</v>
      </c>
      <c r="U1817" s="0" t="s">
        <v>6110</v>
      </c>
      <c r="W1817" s="0" t="s">
        <v>105</v>
      </c>
      <c r="X1817" s="0" t="s">
        <v>658</v>
      </c>
      <c r="Y1817" s="0" t="s">
        <v>659</v>
      </c>
    </row>
    <row r="1818" customFormat="false" ht="15" hidden="false" customHeight="false" outlineLevel="0" collapsed="false">
      <c r="A1818" s="0" t="s">
        <v>21</v>
      </c>
      <c r="B1818" s="0" t="s">
        <v>6114</v>
      </c>
      <c r="C1818" s="0" t="s">
        <v>97</v>
      </c>
      <c r="D1818" s="0" t="s">
        <v>6115</v>
      </c>
      <c r="E1818" s="0" t="s">
        <v>6116</v>
      </c>
      <c r="M1818" s="0" t="s">
        <v>136</v>
      </c>
      <c r="N1818" s="0" t="s">
        <v>124</v>
      </c>
      <c r="P1818" s="0" t="s">
        <v>102</v>
      </c>
      <c r="Q1818" s="0" t="s">
        <v>102</v>
      </c>
      <c r="R1818" s="0" t="s">
        <v>234</v>
      </c>
      <c r="S1818" s="0" t="s">
        <v>21</v>
      </c>
      <c r="T1818" s="0" t="s">
        <v>104</v>
      </c>
      <c r="W1818" s="0" t="s">
        <v>105</v>
      </c>
    </row>
    <row r="1819" customFormat="false" ht="15" hidden="false" customHeight="false" outlineLevel="0" collapsed="false">
      <c r="A1819" s="0" t="s">
        <v>21</v>
      </c>
      <c r="B1819" s="0" t="s">
        <v>6117</v>
      </c>
      <c r="C1819" s="0" t="s">
        <v>97</v>
      </c>
      <c r="D1819" s="0" t="s">
        <v>6118</v>
      </c>
      <c r="E1819" s="0" t="s">
        <v>6118</v>
      </c>
      <c r="M1819" s="0" t="s">
        <v>136</v>
      </c>
      <c r="N1819" s="0" t="s">
        <v>124</v>
      </c>
      <c r="P1819" s="0" t="s">
        <v>102</v>
      </c>
      <c r="Q1819" s="0" t="s">
        <v>102</v>
      </c>
      <c r="R1819" s="0" t="s">
        <v>131</v>
      </c>
      <c r="S1819" s="0" t="s">
        <v>21</v>
      </c>
      <c r="T1819" s="0" t="s">
        <v>104</v>
      </c>
      <c r="W1819" s="0" t="s">
        <v>105</v>
      </c>
    </row>
    <row r="1820" customFormat="false" ht="15" hidden="false" customHeight="false" outlineLevel="0" collapsed="false">
      <c r="A1820" s="0" t="s">
        <v>21</v>
      </c>
      <c r="B1820" s="0" t="s">
        <v>6119</v>
      </c>
      <c r="C1820" s="0" t="s">
        <v>97</v>
      </c>
      <c r="D1820" s="0" t="s">
        <v>6120</v>
      </c>
      <c r="E1820" s="0" t="s">
        <v>6121</v>
      </c>
      <c r="M1820" s="0" t="s">
        <v>136</v>
      </c>
      <c r="N1820" s="0" t="s">
        <v>124</v>
      </c>
      <c r="P1820" s="0" t="s">
        <v>102</v>
      </c>
      <c r="Q1820" s="0" t="s">
        <v>102</v>
      </c>
      <c r="R1820" s="0" t="s">
        <v>131</v>
      </c>
      <c r="S1820" s="0" t="s">
        <v>21</v>
      </c>
      <c r="T1820" s="0" t="s">
        <v>104</v>
      </c>
      <c r="W1820" s="0" t="s">
        <v>105</v>
      </c>
    </row>
    <row r="1821" customFormat="false" ht="15" hidden="false" customHeight="false" outlineLevel="0" collapsed="false">
      <c r="A1821" s="0" t="s">
        <v>21</v>
      </c>
      <c r="B1821" s="0" t="s">
        <v>6122</v>
      </c>
      <c r="C1821" s="0" t="s">
        <v>116</v>
      </c>
      <c r="D1821" s="0" t="s">
        <v>6123</v>
      </c>
      <c r="E1821" s="0" t="s">
        <v>6124</v>
      </c>
      <c r="G1821" s="0" t="s">
        <v>6125</v>
      </c>
      <c r="M1821" s="0" t="s">
        <v>100</v>
      </c>
      <c r="N1821" s="0" t="s">
        <v>101</v>
      </c>
      <c r="P1821" s="0" t="s">
        <v>102</v>
      </c>
      <c r="Q1821" s="0" t="s">
        <v>102</v>
      </c>
      <c r="R1821" s="0" t="s">
        <v>113</v>
      </c>
      <c r="S1821" s="0" t="s">
        <v>21</v>
      </c>
      <c r="T1821" s="0" t="s">
        <v>104</v>
      </c>
      <c r="W1821" s="0" t="s">
        <v>105</v>
      </c>
    </row>
    <row r="1822" customFormat="false" ht="15" hidden="false" customHeight="false" outlineLevel="0" collapsed="false">
      <c r="A1822" s="0" t="s">
        <v>21</v>
      </c>
      <c r="B1822" s="0" t="s">
        <v>6126</v>
      </c>
      <c r="C1822" s="0" t="s">
        <v>116</v>
      </c>
      <c r="D1822" s="0" t="s">
        <v>6127</v>
      </c>
      <c r="E1822" s="0" t="s">
        <v>6127</v>
      </c>
      <c r="F1822" s="0" t="s">
        <v>6127</v>
      </c>
      <c r="M1822" s="0" t="s">
        <v>442</v>
      </c>
      <c r="N1822" s="0" t="s">
        <v>101</v>
      </c>
      <c r="P1822" s="0" t="s">
        <v>6128</v>
      </c>
      <c r="Q1822" s="0" t="s">
        <v>6128</v>
      </c>
      <c r="R1822" s="0" t="s">
        <v>6128</v>
      </c>
      <c r="S1822" s="0" t="s">
        <v>21</v>
      </c>
      <c r="T1822" s="0" t="s">
        <v>104</v>
      </c>
      <c r="W1822" s="0" t="s">
        <v>183</v>
      </c>
    </row>
    <row r="1823" customFormat="false" ht="15" hidden="false" customHeight="false" outlineLevel="0" collapsed="false">
      <c r="A1823" s="0" t="s">
        <v>21</v>
      </c>
      <c r="B1823" s="0" t="s">
        <v>6126</v>
      </c>
      <c r="C1823" s="0" t="s">
        <v>116</v>
      </c>
      <c r="D1823" s="0" t="s">
        <v>6127</v>
      </c>
      <c r="E1823" s="0" t="s">
        <v>6127</v>
      </c>
      <c r="F1823" s="0" t="s">
        <v>6127</v>
      </c>
      <c r="M1823" s="0" t="s">
        <v>442</v>
      </c>
      <c r="N1823" s="0" t="s">
        <v>101</v>
      </c>
      <c r="P1823" s="0" t="s">
        <v>102</v>
      </c>
      <c r="Q1823" s="0" t="s">
        <v>102</v>
      </c>
      <c r="R1823" s="0" t="s">
        <v>113</v>
      </c>
      <c r="S1823" s="0" t="s">
        <v>21</v>
      </c>
      <c r="T1823" s="0" t="s">
        <v>104</v>
      </c>
      <c r="W1823" s="0" t="s">
        <v>105</v>
      </c>
    </row>
    <row r="1824" customFormat="false" ht="15" hidden="false" customHeight="false" outlineLevel="0" collapsed="false">
      <c r="A1824" s="0" t="s">
        <v>21</v>
      </c>
      <c r="B1824" s="0" t="s">
        <v>6129</v>
      </c>
      <c r="C1824" s="0" t="s">
        <v>97</v>
      </c>
      <c r="D1824" s="0" t="s">
        <v>6130</v>
      </c>
      <c r="E1824" s="0" t="s">
        <v>6131</v>
      </c>
      <c r="M1824" s="0" t="s">
        <v>136</v>
      </c>
      <c r="N1824" s="0" t="s">
        <v>124</v>
      </c>
      <c r="P1824" s="0" t="s">
        <v>102</v>
      </c>
      <c r="Q1824" s="0" t="s">
        <v>102</v>
      </c>
      <c r="R1824" s="0" t="s">
        <v>144</v>
      </c>
      <c r="S1824" s="0" t="s">
        <v>21</v>
      </c>
      <c r="T1824" s="0" t="s">
        <v>104</v>
      </c>
      <c r="W1824" s="0" t="s">
        <v>105</v>
      </c>
    </row>
    <row r="1825" customFormat="false" ht="15" hidden="false" customHeight="false" outlineLevel="0" collapsed="false">
      <c r="A1825" s="0" t="s">
        <v>21</v>
      </c>
      <c r="B1825" s="0" t="s">
        <v>6132</v>
      </c>
      <c r="C1825" s="0" t="s">
        <v>97</v>
      </c>
      <c r="D1825" s="0" t="s">
        <v>6133</v>
      </c>
      <c r="E1825" s="0" t="s">
        <v>6134</v>
      </c>
      <c r="G1825" s="0" t="s">
        <v>6135</v>
      </c>
      <c r="M1825" s="0" t="s">
        <v>100</v>
      </c>
      <c r="N1825" s="0" t="s">
        <v>101</v>
      </c>
      <c r="P1825" s="0" t="s">
        <v>102</v>
      </c>
      <c r="Q1825" s="0" t="s">
        <v>102</v>
      </c>
      <c r="R1825" s="0" t="s">
        <v>137</v>
      </c>
      <c r="S1825" s="0" t="s">
        <v>21</v>
      </c>
      <c r="T1825" s="0" t="s">
        <v>104</v>
      </c>
      <c r="W1825" s="0" t="s">
        <v>105</v>
      </c>
    </row>
    <row r="1826" customFormat="false" ht="15" hidden="false" customHeight="false" outlineLevel="0" collapsed="false">
      <c r="A1826" s="0" t="s">
        <v>21</v>
      </c>
      <c r="B1826" s="0" t="s">
        <v>6136</v>
      </c>
      <c r="C1826" s="0" t="s">
        <v>116</v>
      </c>
      <c r="M1826" s="0" t="s">
        <v>247</v>
      </c>
      <c r="N1826" s="0" t="s">
        <v>124</v>
      </c>
      <c r="P1826" s="0" t="s">
        <v>130</v>
      </c>
      <c r="Q1826" s="0" t="s">
        <v>130</v>
      </c>
      <c r="R1826" s="0" t="s">
        <v>144</v>
      </c>
      <c r="S1826" s="0" t="s">
        <v>21</v>
      </c>
      <c r="T1826" s="0" t="s">
        <v>104</v>
      </c>
      <c r="W1826" s="0" t="s">
        <v>105</v>
      </c>
    </row>
    <row r="1827" customFormat="false" ht="15" hidden="false" customHeight="false" outlineLevel="0" collapsed="false">
      <c r="A1827" s="0" t="s">
        <v>21</v>
      </c>
      <c r="B1827" s="0" t="s">
        <v>6137</v>
      </c>
      <c r="C1827" s="0" t="s">
        <v>97</v>
      </c>
      <c r="D1827" s="0" t="s">
        <v>6138</v>
      </c>
      <c r="E1827" s="0" t="s">
        <v>6139</v>
      </c>
      <c r="M1827" s="0" t="s">
        <v>136</v>
      </c>
      <c r="N1827" s="0" t="s">
        <v>124</v>
      </c>
      <c r="P1827" s="0" t="s">
        <v>102</v>
      </c>
      <c r="Q1827" s="0" t="s">
        <v>102</v>
      </c>
      <c r="R1827" s="0" t="s">
        <v>113</v>
      </c>
      <c r="S1827" s="0" t="s">
        <v>21</v>
      </c>
      <c r="T1827" s="0" t="s">
        <v>104</v>
      </c>
      <c r="W1827" s="0" t="s">
        <v>105</v>
      </c>
    </row>
    <row r="1828" customFormat="false" ht="15" hidden="false" customHeight="false" outlineLevel="0" collapsed="false">
      <c r="A1828" s="0" t="s">
        <v>21</v>
      </c>
      <c r="B1828" s="0" t="s">
        <v>6140</v>
      </c>
      <c r="C1828" s="0" t="s">
        <v>97</v>
      </c>
      <c r="D1828" s="0" t="s">
        <v>117</v>
      </c>
      <c r="E1828" s="0" t="s">
        <v>118</v>
      </c>
      <c r="M1828" s="0" t="s">
        <v>136</v>
      </c>
      <c r="N1828" s="0" t="s">
        <v>124</v>
      </c>
      <c r="P1828" s="0" t="s">
        <v>102</v>
      </c>
      <c r="Q1828" s="0" t="s">
        <v>102</v>
      </c>
      <c r="R1828" s="0" t="s">
        <v>113</v>
      </c>
      <c r="S1828" s="0" t="s">
        <v>21</v>
      </c>
      <c r="T1828" s="0" t="s">
        <v>104</v>
      </c>
      <c r="W1828" s="0" t="s">
        <v>105</v>
      </c>
    </row>
    <row r="1829" customFormat="false" ht="15" hidden="false" customHeight="false" outlineLevel="0" collapsed="false">
      <c r="A1829" s="0" t="s">
        <v>21</v>
      </c>
      <c r="B1829" s="0" t="s">
        <v>6141</v>
      </c>
      <c r="C1829" s="0" t="s">
        <v>116</v>
      </c>
      <c r="M1829" s="0" t="s">
        <v>232</v>
      </c>
      <c r="N1829" s="0" t="s">
        <v>124</v>
      </c>
      <c r="P1829" s="0" t="s">
        <v>130</v>
      </c>
      <c r="Q1829" s="0" t="s">
        <v>130</v>
      </c>
      <c r="R1829" s="0" t="s">
        <v>144</v>
      </c>
      <c r="S1829" s="0" t="s">
        <v>21</v>
      </c>
      <c r="T1829" s="0" t="s">
        <v>104</v>
      </c>
      <c r="W1829" s="0" t="s">
        <v>105</v>
      </c>
    </row>
    <row r="1830" customFormat="false" ht="15" hidden="false" customHeight="false" outlineLevel="0" collapsed="false">
      <c r="A1830" s="0" t="s">
        <v>21</v>
      </c>
      <c r="B1830" s="0" t="s">
        <v>6142</v>
      </c>
      <c r="C1830" s="0" t="s">
        <v>97</v>
      </c>
      <c r="D1830" s="0" t="s">
        <v>6143</v>
      </c>
      <c r="E1830" s="0" t="s">
        <v>6144</v>
      </c>
      <c r="M1830" s="0" t="s">
        <v>136</v>
      </c>
      <c r="N1830" s="0" t="s">
        <v>124</v>
      </c>
      <c r="P1830" s="0" t="s">
        <v>102</v>
      </c>
      <c r="Q1830" s="0" t="s">
        <v>102</v>
      </c>
      <c r="R1830" s="0" t="s">
        <v>113</v>
      </c>
      <c r="S1830" s="0" t="s">
        <v>21</v>
      </c>
      <c r="T1830" s="0" t="s">
        <v>104</v>
      </c>
      <c r="W1830" s="0" t="s">
        <v>105</v>
      </c>
    </row>
    <row r="1831" customFormat="false" ht="15" hidden="false" customHeight="false" outlineLevel="0" collapsed="false">
      <c r="A1831" s="0" t="s">
        <v>21</v>
      </c>
      <c r="B1831" s="0" t="s">
        <v>6145</v>
      </c>
      <c r="C1831" s="0" t="s">
        <v>116</v>
      </c>
      <c r="E1831" s="0" t="s">
        <v>6146</v>
      </c>
      <c r="G1831" s="0" t="s">
        <v>6147</v>
      </c>
      <c r="M1831" s="0" t="s">
        <v>208</v>
      </c>
      <c r="N1831" s="0" t="s">
        <v>124</v>
      </c>
      <c r="P1831" s="0" t="s">
        <v>130</v>
      </c>
      <c r="Q1831" s="0" t="s">
        <v>130</v>
      </c>
      <c r="R1831" s="0" t="s">
        <v>144</v>
      </c>
      <c r="S1831" s="0" t="s">
        <v>21</v>
      </c>
      <c r="T1831" s="0" t="s">
        <v>104</v>
      </c>
      <c r="W1831" s="0" t="s">
        <v>105</v>
      </c>
    </row>
    <row r="1832" customFormat="false" ht="15" hidden="false" customHeight="false" outlineLevel="0" collapsed="false">
      <c r="A1832" s="0" t="s">
        <v>21</v>
      </c>
      <c r="B1832" s="0" t="s">
        <v>6148</v>
      </c>
      <c r="C1832" s="0" t="s">
        <v>116</v>
      </c>
      <c r="E1832" s="0" t="s">
        <v>6149</v>
      </c>
      <c r="M1832" s="0" t="s">
        <v>178</v>
      </c>
      <c r="N1832" s="0" t="s">
        <v>124</v>
      </c>
      <c r="P1832" s="0" t="s">
        <v>130</v>
      </c>
      <c r="Q1832" s="0" t="s">
        <v>130</v>
      </c>
      <c r="R1832" s="0" t="s">
        <v>144</v>
      </c>
      <c r="S1832" s="0" t="s">
        <v>21</v>
      </c>
      <c r="T1832" s="0" t="s">
        <v>104</v>
      </c>
      <c r="W1832" s="0" t="s">
        <v>105</v>
      </c>
    </row>
    <row r="1833" customFormat="false" ht="15" hidden="false" customHeight="false" outlineLevel="0" collapsed="false">
      <c r="A1833" s="0" t="s">
        <v>21</v>
      </c>
      <c r="B1833" s="0" t="s">
        <v>6150</v>
      </c>
      <c r="C1833" s="0" t="s">
        <v>97</v>
      </c>
      <c r="D1833" s="0" t="s">
        <v>6151</v>
      </c>
      <c r="E1833" s="0" t="s">
        <v>6152</v>
      </c>
      <c r="G1833" s="0" t="s">
        <v>6153</v>
      </c>
      <c r="H1833" s="0" t="s">
        <v>654</v>
      </c>
      <c r="I1833" s="0" t="s">
        <v>655</v>
      </c>
      <c r="J1833" s="0" t="s">
        <v>100</v>
      </c>
      <c r="K1833" s="0" t="s">
        <v>168</v>
      </c>
      <c r="L1833" s="0" t="s">
        <v>101</v>
      </c>
      <c r="M1833" s="0" t="s">
        <v>656</v>
      </c>
      <c r="N1833" s="0" t="s">
        <v>101</v>
      </c>
      <c r="P1833" s="0" t="s">
        <v>102</v>
      </c>
      <c r="Q1833" s="0" t="s">
        <v>102</v>
      </c>
      <c r="R1833" s="0" t="s">
        <v>131</v>
      </c>
      <c r="S1833" s="0" t="s">
        <v>21</v>
      </c>
      <c r="T1833" s="0" t="s">
        <v>104</v>
      </c>
      <c r="W1833" s="0" t="s">
        <v>105</v>
      </c>
      <c r="X1833" s="0" t="s">
        <v>658</v>
      </c>
      <c r="Y1833" s="0" t="s">
        <v>659</v>
      </c>
    </row>
    <row r="1834" customFormat="false" ht="15" hidden="false" customHeight="false" outlineLevel="0" collapsed="false">
      <c r="A1834" s="0" t="s">
        <v>21</v>
      </c>
      <c r="B1834" s="0" t="s">
        <v>6154</v>
      </c>
      <c r="C1834" s="0" t="s">
        <v>97</v>
      </c>
      <c r="D1834" s="0" t="s">
        <v>6155</v>
      </c>
      <c r="E1834" s="0" t="s">
        <v>6156</v>
      </c>
      <c r="H1834" s="0" t="s">
        <v>6157</v>
      </c>
      <c r="I1834" s="0" t="s">
        <v>6158</v>
      </c>
      <c r="J1834" s="0" t="s">
        <v>100</v>
      </c>
      <c r="K1834" s="0" t="s">
        <v>6159</v>
      </c>
      <c r="L1834" s="0" t="s">
        <v>101</v>
      </c>
      <c r="M1834" s="0" t="s">
        <v>442</v>
      </c>
      <c r="N1834" s="0" t="s">
        <v>101</v>
      </c>
      <c r="P1834" s="0" t="s">
        <v>130</v>
      </c>
      <c r="Q1834" s="0" t="s">
        <v>130</v>
      </c>
      <c r="R1834" s="0" t="s">
        <v>137</v>
      </c>
      <c r="S1834" s="0" t="s">
        <v>21</v>
      </c>
      <c r="T1834" s="0" t="s">
        <v>104</v>
      </c>
      <c r="W1834" s="0" t="s">
        <v>105</v>
      </c>
      <c r="X1834" s="0" t="s">
        <v>6160</v>
      </c>
      <c r="Y1834" s="0" t="s">
        <v>6161</v>
      </c>
    </row>
    <row r="1835" customFormat="false" ht="15" hidden="false" customHeight="false" outlineLevel="0" collapsed="false">
      <c r="A1835" s="0" t="s">
        <v>21</v>
      </c>
      <c r="B1835" s="0" t="s">
        <v>6162</v>
      </c>
      <c r="C1835" s="0" t="s">
        <v>97</v>
      </c>
      <c r="D1835" s="0" t="s">
        <v>6163</v>
      </c>
      <c r="E1835" s="0" t="s">
        <v>6164</v>
      </c>
      <c r="M1835" s="0" t="s">
        <v>656</v>
      </c>
      <c r="N1835" s="0" t="s">
        <v>101</v>
      </c>
      <c r="P1835" s="0" t="s">
        <v>102</v>
      </c>
      <c r="Q1835" s="0" t="s">
        <v>102</v>
      </c>
      <c r="R1835" s="0" t="s">
        <v>113</v>
      </c>
      <c r="S1835" s="0" t="s">
        <v>21</v>
      </c>
      <c r="T1835" s="0" t="s">
        <v>104</v>
      </c>
      <c r="W1835" s="0" t="s">
        <v>105</v>
      </c>
    </row>
    <row r="1836" customFormat="false" ht="15" hidden="false" customHeight="false" outlineLevel="0" collapsed="false">
      <c r="A1836" s="0" t="s">
        <v>21</v>
      </c>
      <c r="B1836" s="0" t="s">
        <v>6165</v>
      </c>
      <c r="C1836" s="0" t="s">
        <v>97</v>
      </c>
      <c r="D1836" s="0" t="s">
        <v>1515</v>
      </c>
      <c r="E1836" s="0" t="s">
        <v>6166</v>
      </c>
      <c r="H1836" s="0" t="s">
        <v>6167</v>
      </c>
      <c r="I1836" s="0" t="s">
        <v>6168</v>
      </c>
      <c r="J1836" s="0" t="s">
        <v>100</v>
      </c>
      <c r="K1836" s="0" t="s">
        <v>1577</v>
      </c>
      <c r="L1836" s="0" t="s">
        <v>101</v>
      </c>
      <c r="M1836" s="0" t="s">
        <v>1527</v>
      </c>
      <c r="N1836" s="0" t="s">
        <v>101</v>
      </c>
      <c r="P1836" s="0" t="s">
        <v>102</v>
      </c>
      <c r="Q1836" s="0" t="s">
        <v>102</v>
      </c>
      <c r="R1836" s="0" t="s">
        <v>113</v>
      </c>
      <c r="S1836" s="0" t="s">
        <v>21</v>
      </c>
      <c r="T1836" s="0" t="s">
        <v>104</v>
      </c>
      <c r="W1836" s="0" t="s">
        <v>105</v>
      </c>
      <c r="X1836" s="0" t="s">
        <v>6169</v>
      </c>
      <c r="Y1836" s="0" t="s">
        <v>6170</v>
      </c>
    </row>
    <row r="1837" customFormat="false" ht="15" hidden="false" customHeight="false" outlineLevel="0" collapsed="false">
      <c r="A1837" s="0" t="s">
        <v>21</v>
      </c>
      <c r="B1837" s="0" t="s">
        <v>6171</v>
      </c>
      <c r="C1837" s="0" t="s">
        <v>110</v>
      </c>
      <c r="D1837" s="0" t="s">
        <v>6172</v>
      </c>
      <c r="E1837" s="0" t="s">
        <v>6173</v>
      </c>
      <c r="H1837" s="0" t="s">
        <v>6174</v>
      </c>
      <c r="I1837" s="0" t="s">
        <v>2702</v>
      </c>
      <c r="J1837" s="0" t="s">
        <v>2281</v>
      </c>
      <c r="K1837" s="0" t="s">
        <v>4552</v>
      </c>
      <c r="L1837" s="0" t="s">
        <v>124</v>
      </c>
      <c r="M1837" s="0" t="s">
        <v>881</v>
      </c>
      <c r="N1837" s="0" t="s">
        <v>124</v>
      </c>
      <c r="P1837" s="0" t="s">
        <v>102</v>
      </c>
      <c r="Q1837" s="0" t="s">
        <v>102</v>
      </c>
      <c r="R1837" s="0" t="s">
        <v>113</v>
      </c>
      <c r="S1837" s="0" t="s">
        <v>21</v>
      </c>
      <c r="T1837" s="0" t="s">
        <v>104</v>
      </c>
      <c r="W1837" s="0" t="s">
        <v>105</v>
      </c>
      <c r="X1837" s="0" t="s">
        <v>6175</v>
      </c>
      <c r="Y1837" s="0" t="s">
        <v>6176</v>
      </c>
      <c r="Z1837" s="0" t="s">
        <v>134</v>
      </c>
    </row>
    <row r="1838" customFormat="false" ht="15" hidden="false" customHeight="false" outlineLevel="0" collapsed="false">
      <c r="A1838" s="0" t="s">
        <v>21</v>
      </c>
      <c r="B1838" s="0" t="s">
        <v>6177</v>
      </c>
      <c r="C1838" s="0" t="s">
        <v>174</v>
      </c>
      <c r="D1838" s="0" t="s">
        <v>6178</v>
      </c>
      <c r="E1838" s="0" t="s">
        <v>6178</v>
      </c>
      <c r="M1838" s="0" t="s">
        <v>220</v>
      </c>
      <c r="N1838" s="0" t="s">
        <v>124</v>
      </c>
      <c r="P1838" s="0" t="s">
        <v>102</v>
      </c>
      <c r="Q1838" s="0" t="s">
        <v>102</v>
      </c>
      <c r="R1838" s="0" t="s">
        <v>131</v>
      </c>
      <c r="S1838" s="0" t="s">
        <v>21</v>
      </c>
      <c r="T1838" s="0" t="s">
        <v>104</v>
      </c>
      <c r="U1838" s="0" t="s">
        <v>6179</v>
      </c>
      <c r="W1838" s="0" t="s">
        <v>105</v>
      </c>
    </row>
    <row r="1839" customFormat="false" ht="15" hidden="false" customHeight="false" outlineLevel="0" collapsed="false">
      <c r="A1839" s="0" t="s">
        <v>21</v>
      </c>
      <c r="B1839" s="0" t="s">
        <v>6180</v>
      </c>
      <c r="C1839" s="0" t="s">
        <v>97</v>
      </c>
      <c r="D1839" s="0" t="s">
        <v>6181</v>
      </c>
      <c r="E1839" s="0" t="s">
        <v>6182</v>
      </c>
      <c r="M1839" s="0" t="s">
        <v>136</v>
      </c>
      <c r="N1839" s="0" t="s">
        <v>124</v>
      </c>
      <c r="P1839" s="0" t="s">
        <v>102</v>
      </c>
      <c r="Q1839" s="0" t="s">
        <v>102</v>
      </c>
      <c r="R1839" s="0" t="s">
        <v>131</v>
      </c>
      <c r="S1839" s="0" t="s">
        <v>21</v>
      </c>
      <c r="T1839" s="0" t="s">
        <v>104</v>
      </c>
      <c r="W1839" s="0" t="s">
        <v>105</v>
      </c>
    </row>
    <row r="1840" customFormat="false" ht="15" hidden="false" customHeight="false" outlineLevel="0" collapsed="false">
      <c r="A1840" s="0" t="s">
        <v>21</v>
      </c>
      <c r="B1840" s="0" t="s">
        <v>6183</v>
      </c>
      <c r="C1840" s="0" t="s">
        <v>97</v>
      </c>
      <c r="D1840" s="0" t="s">
        <v>6184</v>
      </c>
      <c r="E1840" s="0" t="s">
        <v>6185</v>
      </c>
      <c r="M1840" s="0" t="s">
        <v>100</v>
      </c>
      <c r="N1840" s="0" t="s">
        <v>101</v>
      </c>
      <c r="P1840" s="0" t="s">
        <v>102</v>
      </c>
      <c r="Q1840" s="0" t="s">
        <v>102</v>
      </c>
      <c r="R1840" s="0" t="s">
        <v>144</v>
      </c>
      <c r="S1840" s="0" t="s">
        <v>21</v>
      </c>
      <c r="T1840" s="0" t="s">
        <v>104</v>
      </c>
      <c r="W1840" s="0" t="s">
        <v>105</v>
      </c>
    </row>
    <row r="1841" customFormat="false" ht="15" hidden="false" customHeight="false" outlineLevel="0" collapsed="false">
      <c r="A1841" s="0" t="s">
        <v>21</v>
      </c>
      <c r="B1841" s="0" t="s">
        <v>6186</v>
      </c>
      <c r="C1841" s="0" t="s">
        <v>97</v>
      </c>
      <c r="D1841" s="0" t="s">
        <v>6187</v>
      </c>
      <c r="E1841" s="0" t="s">
        <v>6188</v>
      </c>
      <c r="H1841" s="0" t="s">
        <v>6189</v>
      </c>
      <c r="I1841" s="0" t="s">
        <v>6190</v>
      </c>
      <c r="J1841" s="0" t="s">
        <v>6190</v>
      </c>
      <c r="K1841" s="0" t="s">
        <v>6191</v>
      </c>
      <c r="L1841" s="0" t="s">
        <v>101</v>
      </c>
      <c r="M1841" s="0" t="s">
        <v>6190</v>
      </c>
      <c r="N1841" s="0" t="s">
        <v>101</v>
      </c>
      <c r="P1841" s="0" t="s">
        <v>102</v>
      </c>
      <c r="Q1841" s="0" t="s">
        <v>102</v>
      </c>
      <c r="R1841" s="0" t="s">
        <v>137</v>
      </c>
      <c r="S1841" s="0" t="s">
        <v>21</v>
      </c>
      <c r="T1841" s="0" t="s">
        <v>104</v>
      </c>
      <c r="W1841" s="0" t="s">
        <v>105</v>
      </c>
      <c r="X1841" s="0" t="s">
        <v>6192</v>
      </c>
      <c r="Y1841" s="0" t="s">
        <v>6193</v>
      </c>
    </row>
    <row r="1842" customFormat="false" ht="15" hidden="false" customHeight="false" outlineLevel="0" collapsed="false">
      <c r="A1842" s="0" t="s">
        <v>21</v>
      </c>
      <c r="B1842" s="0" t="s">
        <v>6194</v>
      </c>
      <c r="C1842" s="0" t="s">
        <v>97</v>
      </c>
      <c r="D1842" s="0" t="s">
        <v>6195</v>
      </c>
      <c r="E1842" s="0" t="s">
        <v>6196</v>
      </c>
      <c r="M1842" s="0" t="s">
        <v>136</v>
      </c>
      <c r="N1842" s="0" t="s">
        <v>124</v>
      </c>
      <c r="P1842" s="0" t="s">
        <v>102</v>
      </c>
      <c r="Q1842" s="0" t="s">
        <v>102</v>
      </c>
      <c r="R1842" s="0" t="s">
        <v>144</v>
      </c>
      <c r="S1842" s="0" t="s">
        <v>21</v>
      </c>
      <c r="T1842" s="0" t="s">
        <v>104</v>
      </c>
      <c r="W1842" s="0" t="s">
        <v>105</v>
      </c>
    </row>
    <row r="1843" customFormat="false" ht="15" hidden="false" customHeight="false" outlineLevel="0" collapsed="false">
      <c r="A1843" s="0" t="s">
        <v>21</v>
      </c>
      <c r="B1843" s="0" t="s">
        <v>6197</v>
      </c>
      <c r="C1843" s="0" t="s">
        <v>97</v>
      </c>
      <c r="D1843" s="0" t="s">
        <v>6198</v>
      </c>
      <c r="E1843" s="0" t="s">
        <v>6199</v>
      </c>
      <c r="M1843" s="0" t="s">
        <v>136</v>
      </c>
      <c r="N1843" s="0" t="s">
        <v>124</v>
      </c>
      <c r="P1843" s="0" t="s">
        <v>102</v>
      </c>
      <c r="Q1843" s="0" t="s">
        <v>102</v>
      </c>
      <c r="R1843" s="0" t="s">
        <v>144</v>
      </c>
      <c r="S1843" s="0" t="s">
        <v>21</v>
      </c>
      <c r="T1843" s="0" t="s">
        <v>104</v>
      </c>
      <c r="W1843" s="0" t="s">
        <v>105</v>
      </c>
    </row>
    <row r="1844" customFormat="false" ht="15" hidden="false" customHeight="false" outlineLevel="0" collapsed="false">
      <c r="A1844" s="0" t="s">
        <v>21</v>
      </c>
      <c r="B1844" s="0" t="s">
        <v>6200</v>
      </c>
      <c r="C1844" s="0" t="s">
        <v>97</v>
      </c>
      <c r="D1844" s="0" t="s">
        <v>6201</v>
      </c>
      <c r="E1844" s="0" t="s">
        <v>6202</v>
      </c>
      <c r="M1844" s="0" t="s">
        <v>136</v>
      </c>
      <c r="N1844" s="0" t="s">
        <v>124</v>
      </c>
      <c r="P1844" s="0" t="s">
        <v>102</v>
      </c>
      <c r="Q1844" s="0" t="s">
        <v>102</v>
      </c>
      <c r="R1844" s="0" t="s">
        <v>144</v>
      </c>
      <c r="S1844" s="0" t="s">
        <v>21</v>
      </c>
      <c r="T1844" s="0" t="s">
        <v>104</v>
      </c>
      <c r="W1844" s="0" t="s">
        <v>105</v>
      </c>
    </row>
    <row r="1845" customFormat="false" ht="15" hidden="false" customHeight="false" outlineLevel="0" collapsed="false">
      <c r="A1845" s="0" t="s">
        <v>21</v>
      </c>
      <c r="B1845" s="0" t="s">
        <v>6203</v>
      </c>
      <c r="C1845" s="0" t="s">
        <v>97</v>
      </c>
      <c r="D1845" s="0" t="s">
        <v>6204</v>
      </c>
      <c r="E1845" s="0" t="s">
        <v>6205</v>
      </c>
      <c r="M1845" s="0" t="s">
        <v>136</v>
      </c>
      <c r="N1845" s="0" t="s">
        <v>124</v>
      </c>
      <c r="P1845" s="0" t="s">
        <v>102</v>
      </c>
      <c r="Q1845" s="0" t="s">
        <v>102</v>
      </c>
      <c r="R1845" s="0" t="s">
        <v>144</v>
      </c>
      <c r="S1845" s="0" t="s">
        <v>21</v>
      </c>
      <c r="T1845" s="0" t="s">
        <v>104</v>
      </c>
      <c r="W1845" s="0" t="s">
        <v>105</v>
      </c>
    </row>
    <row r="1846" customFormat="false" ht="15" hidden="false" customHeight="false" outlineLevel="0" collapsed="false">
      <c r="A1846" s="0" t="s">
        <v>21</v>
      </c>
      <c r="B1846" s="0" t="s">
        <v>6206</v>
      </c>
      <c r="C1846" s="0" t="s">
        <v>97</v>
      </c>
      <c r="D1846" s="0" t="s">
        <v>6207</v>
      </c>
      <c r="E1846" s="0" t="s">
        <v>6208</v>
      </c>
      <c r="M1846" s="0" t="s">
        <v>136</v>
      </c>
      <c r="N1846" s="0" t="s">
        <v>124</v>
      </c>
      <c r="P1846" s="0" t="s">
        <v>102</v>
      </c>
      <c r="Q1846" s="0" t="s">
        <v>102</v>
      </c>
      <c r="R1846" s="0" t="s">
        <v>144</v>
      </c>
      <c r="S1846" s="0" t="s">
        <v>21</v>
      </c>
      <c r="T1846" s="0" t="s">
        <v>104</v>
      </c>
      <c r="W1846" s="0" t="s">
        <v>105</v>
      </c>
    </row>
    <row r="1847" customFormat="false" ht="15" hidden="false" customHeight="false" outlineLevel="0" collapsed="false">
      <c r="A1847" s="0" t="s">
        <v>21</v>
      </c>
      <c r="B1847" s="0" t="s">
        <v>6209</v>
      </c>
      <c r="C1847" s="0" t="s">
        <v>97</v>
      </c>
      <c r="D1847" s="0" t="s">
        <v>6210</v>
      </c>
      <c r="E1847" s="0" t="s">
        <v>6211</v>
      </c>
      <c r="M1847" s="0" t="s">
        <v>136</v>
      </c>
      <c r="N1847" s="0" t="s">
        <v>124</v>
      </c>
      <c r="P1847" s="0" t="s">
        <v>102</v>
      </c>
      <c r="Q1847" s="0" t="s">
        <v>102</v>
      </c>
      <c r="R1847" s="0" t="s">
        <v>144</v>
      </c>
      <c r="S1847" s="0" t="s">
        <v>21</v>
      </c>
      <c r="T1847" s="0" t="s">
        <v>104</v>
      </c>
      <c r="W1847" s="0" t="s">
        <v>105</v>
      </c>
    </row>
    <row r="1848" customFormat="false" ht="15" hidden="false" customHeight="false" outlineLevel="0" collapsed="false">
      <c r="A1848" s="0" t="s">
        <v>21</v>
      </c>
      <c r="B1848" s="0" t="s">
        <v>6212</v>
      </c>
      <c r="C1848" s="0" t="s">
        <v>97</v>
      </c>
      <c r="D1848" s="0" t="s">
        <v>6213</v>
      </c>
      <c r="E1848" s="0" t="s">
        <v>6214</v>
      </c>
      <c r="M1848" s="0" t="s">
        <v>136</v>
      </c>
      <c r="N1848" s="0" t="s">
        <v>124</v>
      </c>
      <c r="P1848" s="0" t="s">
        <v>102</v>
      </c>
      <c r="Q1848" s="0" t="s">
        <v>102</v>
      </c>
      <c r="R1848" s="0" t="s">
        <v>804</v>
      </c>
      <c r="S1848" s="0" t="s">
        <v>21</v>
      </c>
      <c r="T1848" s="0" t="s">
        <v>104</v>
      </c>
      <c r="W1848" s="0" t="s">
        <v>105</v>
      </c>
    </row>
    <row r="1849" customFormat="false" ht="15" hidden="false" customHeight="false" outlineLevel="0" collapsed="false">
      <c r="A1849" s="0" t="s">
        <v>21</v>
      </c>
      <c r="B1849" s="0" t="s">
        <v>6215</v>
      </c>
      <c r="C1849" s="0" t="s">
        <v>97</v>
      </c>
      <c r="D1849" s="0" t="s">
        <v>353</v>
      </c>
      <c r="E1849" s="0" t="s">
        <v>354</v>
      </c>
      <c r="M1849" s="0" t="s">
        <v>136</v>
      </c>
      <c r="N1849" s="0" t="s">
        <v>124</v>
      </c>
      <c r="P1849" s="0" t="s">
        <v>102</v>
      </c>
      <c r="Q1849" s="0" t="s">
        <v>102</v>
      </c>
      <c r="R1849" s="0" t="s">
        <v>131</v>
      </c>
      <c r="S1849" s="0" t="s">
        <v>21</v>
      </c>
      <c r="T1849" s="0" t="s">
        <v>104</v>
      </c>
      <c r="W1849" s="0" t="s">
        <v>105</v>
      </c>
    </row>
    <row r="1850" customFormat="false" ht="15" hidden="false" customHeight="false" outlineLevel="0" collapsed="false">
      <c r="A1850" s="0" t="s">
        <v>21</v>
      </c>
      <c r="B1850" s="0" t="s">
        <v>6216</v>
      </c>
      <c r="C1850" s="0" t="s">
        <v>97</v>
      </c>
      <c r="D1850" s="0" t="s">
        <v>6217</v>
      </c>
      <c r="E1850" s="0" t="s">
        <v>6218</v>
      </c>
      <c r="M1850" s="0" t="s">
        <v>136</v>
      </c>
      <c r="N1850" s="0" t="s">
        <v>124</v>
      </c>
      <c r="P1850" s="0" t="s">
        <v>102</v>
      </c>
      <c r="Q1850" s="0" t="s">
        <v>102</v>
      </c>
      <c r="R1850" s="0" t="s">
        <v>144</v>
      </c>
      <c r="S1850" s="0" t="s">
        <v>21</v>
      </c>
      <c r="T1850" s="0" t="s">
        <v>104</v>
      </c>
      <c r="W1850" s="0" t="s">
        <v>105</v>
      </c>
    </row>
    <row r="1851" customFormat="false" ht="15" hidden="false" customHeight="false" outlineLevel="0" collapsed="false">
      <c r="A1851" s="0" t="s">
        <v>21</v>
      </c>
      <c r="B1851" s="0" t="s">
        <v>6219</v>
      </c>
      <c r="C1851" s="0" t="s">
        <v>97</v>
      </c>
      <c r="D1851" s="0" t="s">
        <v>6220</v>
      </c>
      <c r="E1851" s="0" t="s">
        <v>6221</v>
      </c>
      <c r="M1851" s="0" t="s">
        <v>136</v>
      </c>
      <c r="N1851" s="0" t="s">
        <v>124</v>
      </c>
      <c r="P1851" s="0" t="s">
        <v>102</v>
      </c>
      <c r="Q1851" s="0" t="s">
        <v>102</v>
      </c>
      <c r="R1851" s="0" t="s">
        <v>144</v>
      </c>
      <c r="S1851" s="0" t="s">
        <v>21</v>
      </c>
      <c r="T1851" s="0" t="s">
        <v>104</v>
      </c>
      <c r="W1851" s="0" t="s">
        <v>105</v>
      </c>
    </row>
    <row r="1852" customFormat="false" ht="15" hidden="false" customHeight="false" outlineLevel="0" collapsed="false">
      <c r="A1852" s="0" t="s">
        <v>21</v>
      </c>
      <c r="B1852" s="0" t="s">
        <v>6222</v>
      </c>
      <c r="C1852" s="0" t="s">
        <v>97</v>
      </c>
      <c r="D1852" s="0" t="s">
        <v>6223</v>
      </c>
      <c r="E1852" s="0" t="s">
        <v>6224</v>
      </c>
      <c r="M1852" s="0" t="s">
        <v>100</v>
      </c>
      <c r="N1852" s="0" t="s">
        <v>101</v>
      </c>
      <c r="P1852" s="0" t="s">
        <v>102</v>
      </c>
      <c r="Q1852" s="0" t="s">
        <v>102</v>
      </c>
      <c r="R1852" s="0" t="s">
        <v>144</v>
      </c>
      <c r="S1852" s="0" t="s">
        <v>21</v>
      </c>
      <c r="T1852" s="0" t="s">
        <v>104</v>
      </c>
      <c r="W1852" s="0" t="s">
        <v>105</v>
      </c>
    </row>
    <row r="1853" customFormat="false" ht="15" hidden="false" customHeight="false" outlineLevel="0" collapsed="false">
      <c r="A1853" s="0" t="s">
        <v>21</v>
      </c>
      <c r="B1853" s="0" t="s">
        <v>6225</v>
      </c>
      <c r="C1853" s="0" t="s">
        <v>97</v>
      </c>
      <c r="D1853" s="0" t="s">
        <v>6226</v>
      </c>
      <c r="E1853" s="0" t="s">
        <v>6227</v>
      </c>
      <c r="M1853" s="0" t="s">
        <v>100</v>
      </c>
      <c r="N1853" s="0" t="s">
        <v>101</v>
      </c>
      <c r="P1853" s="0" t="s">
        <v>102</v>
      </c>
      <c r="Q1853" s="0" t="s">
        <v>102</v>
      </c>
      <c r="R1853" s="0" t="s">
        <v>144</v>
      </c>
      <c r="S1853" s="0" t="s">
        <v>21</v>
      </c>
      <c r="T1853" s="0" t="s">
        <v>104</v>
      </c>
      <c r="W1853" s="0" t="s">
        <v>105</v>
      </c>
    </row>
    <row r="1854" customFormat="false" ht="15" hidden="false" customHeight="false" outlineLevel="0" collapsed="false">
      <c r="A1854" s="0" t="s">
        <v>21</v>
      </c>
      <c r="B1854" s="0" t="s">
        <v>6228</v>
      </c>
      <c r="C1854" s="0" t="s">
        <v>97</v>
      </c>
      <c r="D1854" s="0" t="s">
        <v>6229</v>
      </c>
      <c r="E1854" s="0" t="s">
        <v>6230</v>
      </c>
      <c r="M1854" s="0" t="s">
        <v>100</v>
      </c>
      <c r="N1854" s="0" t="s">
        <v>101</v>
      </c>
      <c r="P1854" s="0" t="s">
        <v>102</v>
      </c>
      <c r="Q1854" s="0" t="s">
        <v>102</v>
      </c>
      <c r="R1854" s="0" t="s">
        <v>144</v>
      </c>
      <c r="S1854" s="0" t="s">
        <v>21</v>
      </c>
      <c r="T1854" s="0" t="s">
        <v>104</v>
      </c>
      <c r="W1854" s="0" t="s">
        <v>105</v>
      </c>
    </row>
    <row r="1855" customFormat="false" ht="15" hidden="false" customHeight="false" outlineLevel="0" collapsed="false">
      <c r="A1855" s="0" t="s">
        <v>21</v>
      </c>
      <c r="B1855" s="0" t="s">
        <v>6231</v>
      </c>
      <c r="C1855" s="0" t="s">
        <v>97</v>
      </c>
      <c r="D1855" s="0" t="s">
        <v>6232</v>
      </c>
      <c r="E1855" s="0" t="s">
        <v>6233</v>
      </c>
      <c r="M1855" s="0" t="s">
        <v>100</v>
      </c>
      <c r="N1855" s="0" t="s">
        <v>101</v>
      </c>
      <c r="P1855" s="0" t="s">
        <v>102</v>
      </c>
      <c r="Q1855" s="0" t="s">
        <v>102</v>
      </c>
      <c r="R1855" s="0" t="s">
        <v>144</v>
      </c>
      <c r="S1855" s="0" t="s">
        <v>21</v>
      </c>
      <c r="T1855" s="0" t="s">
        <v>104</v>
      </c>
      <c r="W1855" s="0" t="s">
        <v>105</v>
      </c>
    </row>
    <row r="1856" customFormat="false" ht="15" hidden="false" customHeight="false" outlineLevel="0" collapsed="false">
      <c r="A1856" s="0" t="s">
        <v>21</v>
      </c>
      <c r="B1856" s="0" t="s">
        <v>6234</v>
      </c>
      <c r="C1856" s="0" t="s">
        <v>97</v>
      </c>
      <c r="D1856" s="0" t="s">
        <v>6235</v>
      </c>
      <c r="E1856" s="0" t="s">
        <v>6236</v>
      </c>
      <c r="M1856" s="0" t="s">
        <v>100</v>
      </c>
      <c r="N1856" s="0" t="s">
        <v>101</v>
      </c>
      <c r="P1856" s="0" t="s">
        <v>102</v>
      </c>
      <c r="Q1856" s="0" t="s">
        <v>102</v>
      </c>
      <c r="R1856" s="0" t="s">
        <v>144</v>
      </c>
      <c r="S1856" s="0" t="s">
        <v>21</v>
      </c>
      <c r="T1856" s="0" t="s">
        <v>104</v>
      </c>
      <c r="W1856" s="0" t="s">
        <v>105</v>
      </c>
    </row>
    <row r="1857" customFormat="false" ht="15" hidden="false" customHeight="false" outlineLevel="0" collapsed="false">
      <c r="A1857" s="0" t="s">
        <v>21</v>
      </c>
      <c r="B1857" s="0" t="s">
        <v>6237</v>
      </c>
      <c r="C1857" s="0" t="s">
        <v>97</v>
      </c>
      <c r="D1857" s="0" t="s">
        <v>6238</v>
      </c>
      <c r="E1857" s="0" t="s">
        <v>6239</v>
      </c>
      <c r="M1857" s="0" t="s">
        <v>100</v>
      </c>
      <c r="N1857" s="0" t="s">
        <v>101</v>
      </c>
      <c r="P1857" s="0" t="s">
        <v>102</v>
      </c>
      <c r="Q1857" s="0" t="s">
        <v>102</v>
      </c>
      <c r="R1857" s="0" t="s">
        <v>144</v>
      </c>
      <c r="S1857" s="0" t="s">
        <v>21</v>
      </c>
      <c r="T1857" s="0" t="s">
        <v>104</v>
      </c>
      <c r="W1857" s="0" t="s">
        <v>105</v>
      </c>
    </row>
    <row r="1858" customFormat="false" ht="15" hidden="false" customHeight="false" outlineLevel="0" collapsed="false">
      <c r="A1858" s="0" t="s">
        <v>21</v>
      </c>
      <c r="B1858" s="0" t="s">
        <v>6240</v>
      </c>
      <c r="C1858" s="0" t="s">
        <v>97</v>
      </c>
      <c r="D1858" s="0" t="s">
        <v>6241</v>
      </c>
      <c r="E1858" s="0" t="s">
        <v>6242</v>
      </c>
      <c r="M1858" s="0" t="s">
        <v>100</v>
      </c>
      <c r="N1858" s="0" t="s">
        <v>101</v>
      </c>
      <c r="P1858" s="0" t="s">
        <v>102</v>
      </c>
      <c r="Q1858" s="0" t="s">
        <v>102</v>
      </c>
      <c r="R1858" s="0" t="s">
        <v>144</v>
      </c>
      <c r="S1858" s="0" t="s">
        <v>21</v>
      </c>
      <c r="T1858" s="0" t="s">
        <v>104</v>
      </c>
      <c r="W1858" s="0" t="s">
        <v>105</v>
      </c>
    </row>
    <row r="1859" customFormat="false" ht="15" hidden="false" customHeight="false" outlineLevel="0" collapsed="false">
      <c r="A1859" s="0" t="s">
        <v>21</v>
      </c>
      <c r="B1859" s="0" t="s">
        <v>6243</v>
      </c>
      <c r="C1859" s="0" t="s">
        <v>97</v>
      </c>
      <c r="D1859" s="0" t="s">
        <v>6244</v>
      </c>
      <c r="E1859" s="0" t="s">
        <v>6245</v>
      </c>
      <c r="M1859" s="0" t="s">
        <v>100</v>
      </c>
      <c r="N1859" s="0" t="s">
        <v>101</v>
      </c>
      <c r="P1859" s="0" t="s">
        <v>102</v>
      </c>
      <c r="Q1859" s="0" t="s">
        <v>102</v>
      </c>
      <c r="R1859" s="0" t="s">
        <v>144</v>
      </c>
      <c r="S1859" s="0" t="s">
        <v>21</v>
      </c>
      <c r="T1859" s="0" t="s">
        <v>104</v>
      </c>
      <c r="W1859" s="0" t="s">
        <v>105</v>
      </c>
    </row>
    <row r="1860" customFormat="false" ht="15" hidden="false" customHeight="false" outlineLevel="0" collapsed="false">
      <c r="A1860" s="0" t="s">
        <v>21</v>
      </c>
      <c r="B1860" s="0" t="s">
        <v>6246</v>
      </c>
      <c r="C1860" s="0" t="s">
        <v>97</v>
      </c>
      <c r="D1860" s="0" t="s">
        <v>6247</v>
      </c>
      <c r="E1860" s="0" t="s">
        <v>6248</v>
      </c>
      <c r="M1860" s="0" t="s">
        <v>100</v>
      </c>
      <c r="N1860" s="0" t="s">
        <v>101</v>
      </c>
      <c r="P1860" s="0" t="s">
        <v>102</v>
      </c>
      <c r="Q1860" s="0" t="s">
        <v>102</v>
      </c>
      <c r="R1860" s="0" t="s">
        <v>144</v>
      </c>
      <c r="S1860" s="0" t="s">
        <v>21</v>
      </c>
      <c r="T1860" s="0" t="s">
        <v>104</v>
      </c>
      <c r="W1860" s="0" t="s">
        <v>105</v>
      </c>
    </row>
    <row r="1861" customFormat="false" ht="15" hidden="false" customHeight="false" outlineLevel="0" collapsed="false">
      <c r="A1861" s="0" t="s">
        <v>21</v>
      </c>
      <c r="B1861" s="0" t="s">
        <v>6249</v>
      </c>
      <c r="C1861" s="0" t="s">
        <v>97</v>
      </c>
      <c r="D1861" s="0" t="s">
        <v>6250</v>
      </c>
      <c r="E1861" s="0" t="s">
        <v>6251</v>
      </c>
      <c r="M1861" s="0" t="s">
        <v>100</v>
      </c>
      <c r="N1861" s="0" t="s">
        <v>101</v>
      </c>
      <c r="P1861" s="0" t="s">
        <v>102</v>
      </c>
      <c r="Q1861" s="0" t="s">
        <v>102</v>
      </c>
      <c r="R1861" s="0" t="s">
        <v>144</v>
      </c>
      <c r="S1861" s="0" t="s">
        <v>21</v>
      </c>
      <c r="T1861" s="0" t="s">
        <v>104</v>
      </c>
      <c r="W1861" s="0" t="s">
        <v>105</v>
      </c>
    </row>
    <row r="1862" customFormat="false" ht="15" hidden="false" customHeight="false" outlineLevel="0" collapsed="false">
      <c r="A1862" s="0" t="s">
        <v>21</v>
      </c>
      <c r="B1862" s="0" t="s">
        <v>6252</v>
      </c>
      <c r="C1862" s="0" t="s">
        <v>97</v>
      </c>
      <c r="D1862" s="0" t="s">
        <v>6253</v>
      </c>
      <c r="E1862" s="0" t="s">
        <v>6254</v>
      </c>
      <c r="M1862" s="0" t="s">
        <v>100</v>
      </c>
      <c r="N1862" s="0" t="s">
        <v>101</v>
      </c>
      <c r="P1862" s="0" t="s">
        <v>102</v>
      </c>
      <c r="Q1862" s="0" t="s">
        <v>102</v>
      </c>
      <c r="R1862" s="0" t="s">
        <v>144</v>
      </c>
      <c r="S1862" s="0" t="s">
        <v>21</v>
      </c>
      <c r="T1862" s="0" t="s">
        <v>104</v>
      </c>
      <c r="W1862" s="0" t="s">
        <v>105</v>
      </c>
    </row>
    <row r="1863" customFormat="false" ht="15" hidden="false" customHeight="false" outlineLevel="0" collapsed="false">
      <c r="A1863" s="0" t="s">
        <v>21</v>
      </c>
      <c r="B1863" s="0" t="s">
        <v>6255</v>
      </c>
      <c r="C1863" s="0" t="s">
        <v>97</v>
      </c>
      <c r="D1863" s="0" t="s">
        <v>6256</v>
      </c>
      <c r="E1863" s="0" t="s">
        <v>6257</v>
      </c>
      <c r="M1863" s="0" t="s">
        <v>100</v>
      </c>
      <c r="N1863" s="0" t="s">
        <v>101</v>
      </c>
      <c r="P1863" s="0" t="s">
        <v>102</v>
      </c>
      <c r="Q1863" s="0" t="s">
        <v>102</v>
      </c>
      <c r="R1863" s="0" t="s">
        <v>144</v>
      </c>
      <c r="S1863" s="0" t="s">
        <v>21</v>
      </c>
      <c r="T1863" s="0" t="s">
        <v>104</v>
      </c>
      <c r="W1863" s="0" t="s">
        <v>105</v>
      </c>
    </row>
    <row r="1864" customFormat="false" ht="15" hidden="false" customHeight="false" outlineLevel="0" collapsed="false">
      <c r="A1864" s="0" t="s">
        <v>21</v>
      </c>
      <c r="B1864" s="0" t="s">
        <v>6258</v>
      </c>
      <c r="C1864" s="0" t="s">
        <v>97</v>
      </c>
      <c r="D1864" s="0" t="s">
        <v>3593</v>
      </c>
      <c r="E1864" s="0" t="s">
        <v>6259</v>
      </c>
      <c r="M1864" s="0" t="s">
        <v>100</v>
      </c>
      <c r="N1864" s="0" t="s">
        <v>101</v>
      </c>
      <c r="P1864" s="0" t="s">
        <v>102</v>
      </c>
      <c r="Q1864" s="0" t="s">
        <v>102</v>
      </c>
      <c r="R1864" s="0" t="s">
        <v>144</v>
      </c>
      <c r="S1864" s="0" t="s">
        <v>21</v>
      </c>
      <c r="T1864" s="0" t="s">
        <v>104</v>
      </c>
      <c r="W1864" s="0" t="s">
        <v>105</v>
      </c>
    </row>
    <row r="1865" customFormat="false" ht="15" hidden="false" customHeight="false" outlineLevel="0" collapsed="false">
      <c r="A1865" s="0" t="s">
        <v>21</v>
      </c>
      <c r="B1865" s="0" t="s">
        <v>6260</v>
      </c>
      <c r="C1865" s="0" t="s">
        <v>97</v>
      </c>
      <c r="D1865" s="0" t="s">
        <v>6261</v>
      </c>
      <c r="E1865" s="0" t="s">
        <v>6262</v>
      </c>
      <c r="M1865" s="0" t="s">
        <v>100</v>
      </c>
      <c r="N1865" s="0" t="s">
        <v>101</v>
      </c>
      <c r="P1865" s="0" t="s">
        <v>102</v>
      </c>
      <c r="Q1865" s="0" t="s">
        <v>102</v>
      </c>
      <c r="R1865" s="0" t="s">
        <v>144</v>
      </c>
      <c r="S1865" s="0" t="s">
        <v>21</v>
      </c>
      <c r="T1865" s="0" t="s">
        <v>104</v>
      </c>
      <c r="W1865" s="0" t="s">
        <v>105</v>
      </c>
    </row>
    <row r="1866" customFormat="false" ht="15" hidden="false" customHeight="false" outlineLevel="0" collapsed="false">
      <c r="A1866" s="0" t="s">
        <v>21</v>
      </c>
      <c r="B1866" s="0" t="s">
        <v>6263</v>
      </c>
      <c r="C1866" s="0" t="s">
        <v>97</v>
      </c>
      <c r="D1866" s="0" t="s">
        <v>6264</v>
      </c>
      <c r="E1866" s="0" t="s">
        <v>6265</v>
      </c>
      <c r="M1866" s="0" t="s">
        <v>100</v>
      </c>
      <c r="N1866" s="0" t="s">
        <v>101</v>
      </c>
      <c r="P1866" s="0" t="s">
        <v>102</v>
      </c>
      <c r="Q1866" s="0" t="s">
        <v>102</v>
      </c>
      <c r="R1866" s="0" t="s">
        <v>144</v>
      </c>
      <c r="S1866" s="0" t="s">
        <v>21</v>
      </c>
      <c r="T1866" s="0" t="s">
        <v>104</v>
      </c>
      <c r="W1866" s="0" t="s">
        <v>105</v>
      </c>
    </row>
    <row r="1867" customFormat="false" ht="15" hidden="false" customHeight="false" outlineLevel="0" collapsed="false">
      <c r="A1867" s="0" t="s">
        <v>21</v>
      </c>
      <c r="B1867" s="0" t="s">
        <v>6266</v>
      </c>
      <c r="C1867" s="0" t="s">
        <v>97</v>
      </c>
      <c r="D1867" s="0" t="s">
        <v>6267</v>
      </c>
      <c r="E1867" s="0" t="s">
        <v>6268</v>
      </c>
      <c r="M1867" s="0" t="s">
        <v>100</v>
      </c>
      <c r="N1867" s="0" t="s">
        <v>101</v>
      </c>
      <c r="P1867" s="0" t="s">
        <v>102</v>
      </c>
      <c r="Q1867" s="0" t="s">
        <v>102</v>
      </c>
      <c r="R1867" s="0" t="s">
        <v>144</v>
      </c>
      <c r="S1867" s="0" t="s">
        <v>21</v>
      </c>
      <c r="T1867" s="0" t="s">
        <v>104</v>
      </c>
      <c r="W1867" s="0" t="s">
        <v>105</v>
      </c>
    </row>
    <row r="1868" customFormat="false" ht="15" hidden="false" customHeight="false" outlineLevel="0" collapsed="false">
      <c r="A1868" s="0" t="s">
        <v>21</v>
      </c>
      <c r="B1868" s="0" t="s">
        <v>6269</v>
      </c>
      <c r="C1868" s="0" t="s">
        <v>97</v>
      </c>
      <c r="D1868" s="0" t="s">
        <v>6270</v>
      </c>
      <c r="E1868" s="0" t="s">
        <v>6271</v>
      </c>
      <c r="M1868" s="0" t="s">
        <v>100</v>
      </c>
      <c r="N1868" s="0" t="s">
        <v>101</v>
      </c>
      <c r="P1868" s="0" t="s">
        <v>102</v>
      </c>
      <c r="Q1868" s="0" t="s">
        <v>102</v>
      </c>
      <c r="R1868" s="0" t="s">
        <v>144</v>
      </c>
      <c r="S1868" s="0" t="s">
        <v>21</v>
      </c>
      <c r="T1868" s="0" t="s">
        <v>104</v>
      </c>
      <c r="W1868" s="0" t="s">
        <v>105</v>
      </c>
    </row>
    <row r="1869" customFormat="false" ht="15" hidden="false" customHeight="false" outlineLevel="0" collapsed="false">
      <c r="A1869" s="0" t="s">
        <v>21</v>
      </c>
      <c r="B1869" s="0" t="s">
        <v>6272</v>
      </c>
      <c r="C1869" s="0" t="s">
        <v>97</v>
      </c>
      <c r="D1869" s="0" t="s">
        <v>6273</v>
      </c>
      <c r="E1869" s="0" t="s">
        <v>6273</v>
      </c>
      <c r="M1869" s="0" t="s">
        <v>136</v>
      </c>
      <c r="N1869" s="0" t="s">
        <v>124</v>
      </c>
      <c r="P1869" s="0" t="s">
        <v>102</v>
      </c>
      <c r="Q1869" s="0" t="s">
        <v>102</v>
      </c>
      <c r="R1869" s="0" t="s">
        <v>131</v>
      </c>
      <c r="S1869" s="0" t="s">
        <v>21</v>
      </c>
      <c r="T1869" s="0" t="s">
        <v>104</v>
      </c>
      <c r="W1869" s="0" t="s">
        <v>105</v>
      </c>
    </row>
    <row r="1870" customFormat="false" ht="15" hidden="false" customHeight="false" outlineLevel="0" collapsed="false">
      <c r="A1870" s="0" t="s">
        <v>21</v>
      </c>
      <c r="B1870" s="0" t="s">
        <v>6274</v>
      </c>
      <c r="C1870" s="0" t="s">
        <v>97</v>
      </c>
      <c r="D1870" s="0" t="s">
        <v>6275</v>
      </c>
      <c r="E1870" s="0" t="s">
        <v>6276</v>
      </c>
      <c r="M1870" s="0" t="s">
        <v>136</v>
      </c>
      <c r="N1870" s="0" t="s">
        <v>124</v>
      </c>
      <c r="P1870" s="0" t="s">
        <v>102</v>
      </c>
      <c r="Q1870" s="0" t="s">
        <v>102</v>
      </c>
      <c r="R1870" s="0" t="s">
        <v>131</v>
      </c>
      <c r="S1870" s="0" t="s">
        <v>21</v>
      </c>
      <c r="T1870" s="0" t="s">
        <v>104</v>
      </c>
      <c r="W1870" s="0" t="s">
        <v>105</v>
      </c>
    </row>
    <row r="1871" customFormat="false" ht="15" hidden="false" customHeight="false" outlineLevel="0" collapsed="false">
      <c r="A1871" s="0" t="s">
        <v>21</v>
      </c>
      <c r="B1871" s="0" t="s">
        <v>6277</v>
      </c>
      <c r="C1871" s="0" t="s">
        <v>97</v>
      </c>
      <c r="D1871" s="0" t="s">
        <v>6278</v>
      </c>
      <c r="E1871" s="0" t="s">
        <v>6278</v>
      </c>
      <c r="M1871" s="0" t="s">
        <v>136</v>
      </c>
      <c r="N1871" s="0" t="s">
        <v>124</v>
      </c>
      <c r="P1871" s="0" t="s">
        <v>102</v>
      </c>
      <c r="Q1871" s="0" t="s">
        <v>102</v>
      </c>
      <c r="R1871" s="0" t="s">
        <v>131</v>
      </c>
      <c r="S1871" s="0" t="s">
        <v>21</v>
      </c>
      <c r="T1871" s="0" t="s">
        <v>104</v>
      </c>
      <c r="W1871" s="0" t="s">
        <v>105</v>
      </c>
    </row>
    <row r="1872" customFormat="false" ht="15" hidden="false" customHeight="false" outlineLevel="0" collapsed="false">
      <c r="A1872" s="0" t="s">
        <v>21</v>
      </c>
      <c r="B1872" s="0" t="s">
        <v>6279</v>
      </c>
      <c r="C1872" s="0" t="s">
        <v>97</v>
      </c>
      <c r="D1872" s="0" t="s">
        <v>6280</v>
      </c>
      <c r="E1872" s="0" t="s">
        <v>6281</v>
      </c>
      <c r="M1872" s="0" t="s">
        <v>136</v>
      </c>
      <c r="N1872" s="0" t="s">
        <v>124</v>
      </c>
      <c r="P1872" s="0" t="s">
        <v>102</v>
      </c>
      <c r="Q1872" s="0" t="s">
        <v>102</v>
      </c>
      <c r="R1872" s="0" t="s">
        <v>131</v>
      </c>
      <c r="S1872" s="0" t="s">
        <v>21</v>
      </c>
      <c r="T1872" s="0" t="s">
        <v>104</v>
      </c>
      <c r="W1872" s="0" t="s">
        <v>105</v>
      </c>
    </row>
    <row r="1873" customFormat="false" ht="15" hidden="false" customHeight="false" outlineLevel="0" collapsed="false">
      <c r="A1873" s="0" t="s">
        <v>21</v>
      </c>
      <c r="B1873" s="0" t="s">
        <v>6282</v>
      </c>
      <c r="C1873" s="0" t="s">
        <v>4845</v>
      </c>
      <c r="D1873" s="0" t="s">
        <v>6283</v>
      </c>
      <c r="E1873" s="0" t="s">
        <v>6284</v>
      </c>
      <c r="G1873" s="0" t="s">
        <v>6285</v>
      </c>
      <c r="M1873" s="0" t="s">
        <v>208</v>
      </c>
      <c r="N1873" s="0" t="s">
        <v>124</v>
      </c>
      <c r="P1873" s="0" t="s">
        <v>102</v>
      </c>
      <c r="Q1873" s="0" t="s">
        <v>102</v>
      </c>
      <c r="R1873" s="0" t="s">
        <v>131</v>
      </c>
      <c r="S1873" s="0" t="s">
        <v>21</v>
      </c>
      <c r="T1873" s="0" t="s">
        <v>104</v>
      </c>
      <c r="W1873" s="0" t="s">
        <v>105</v>
      </c>
    </row>
    <row r="1874" customFormat="false" ht="15" hidden="false" customHeight="false" outlineLevel="0" collapsed="false">
      <c r="A1874" s="0" t="s">
        <v>21</v>
      </c>
      <c r="B1874" s="0" t="s">
        <v>6286</v>
      </c>
      <c r="C1874" s="0" t="s">
        <v>97</v>
      </c>
      <c r="D1874" s="0" t="s">
        <v>6283</v>
      </c>
      <c r="E1874" s="0" t="s">
        <v>6284</v>
      </c>
      <c r="M1874" s="0" t="s">
        <v>136</v>
      </c>
      <c r="N1874" s="0" t="s">
        <v>124</v>
      </c>
      <c r="P1874" s="0" t="s">
        <v>102</v>
      </c>
      <c r="Q1874" s="0" t="s">
        <v>102</v>
      </c>
      <c r="R1874" s="0" t="s">
        <v>131</v>
      </c>
      <c r="S1874" s="0" t="s">
        <v>21</v>
      </c>
      <c r="T1874" s="0" t="s">
        <v>104</v>
      </c>
      <c r="W1874" s="0" t="s">
        <v>105</v>
      </c>
    </row>
    <row r="1875" customFormat="false" ht="15" hidden="false" customHeight="false" outlineLevel="0" collapsed="false">
      <c r="A1875" s="0" t="s">
        <v>21</v>
      </c>
      <c r="B1875" s="0" t="s">
        <v>6287</v>
      </c>
      <c r="C1875" s="0" t="s">
        <v>97</v>
      </c>
      <c r="D1875" s="0" t="s">
        <v>6288</v>
      </c>
      <c r="E1875" s="0" t="s">
        <v>6289</v>
      </c>
      <c r="F1875" s="0" t="s">
        <v>6289</v>
      </c>
      <c r="M1875" s="0" t="s">
        <v>437</v>
      </c>
      <c r="N1875" s="0" t="s">
        <v>101</v>
      </c>
      <c r="P1875" s="0" t="s">
        <v>102</v>
      </c>
      <c r="Q1875" s="0" t="s">
        <v>102</v>
      </c>
      <c r="R1875" s="0" t="s">
        <v>113</v>
      </c>
      <c r="S1875" s="0" t="s">
        <v>21</v>
      </c>
      <c r="T1875" s="0" t="s">
        <v>104</v>
      </c>
      <c r="W1875" s="0" t="s">
        <v>105</v>
      </c>
    </row>
    <row r="1876" customFormat="false" ht="15" hidden="false" customHeight="false" outlineLevel="0" collapsed="false">
      <c r="A1876" s="0" t="s">
        <v>21</v>
      </c>
      <c r="B1876" s="0" t="s">
        <v>6290</v>
      </c>
      <c r="C1876" s="0" t="s">
        <v>97</v>
      </c>
      <c r="D1876" s="0" t="s">
        <v>6291</v>
      </c>
      <c r="E1876" s="0" t="s">
        <v>6291</v>
      </c>
      <c r="M1876" s="0" t="s">
        <v>136</v>
      </c>
      <c r="N1876" s="0" t="s">
        <v>124</v>
      </c>
      <c r="P1876" s="0" t="s">
        <v>102</v>
      </c>
      <c r="Q1876" s="0" t="s">
        <v>102</v>
      </c>
      <c r="R1876" s="0" t="s">
        <v>131</v>
      </c>
      <c r="S1876" s="0" t="s">
        <v>21</v>
      </c>
      <c r="T1876" s="0" t="s">
        <v>104</v>
      </c>
      <c r="W1876" s="0" t="s">
        <v>105</v>
      </c>
    </row>
    <row r="1877" customFormat="false" ht="15" hidden="false" customHeight="false" outlineLevel="0" collapsed="false">
      <c r="A1877" s="0" t="s">
        <v>21</v>
      </c>
      <c r="B1877" s="0" t="s">
        <v>6292</v>
      </c>
      <c r="C1877" s="0" t="s">
        <v>97</v>
      </c>
      <c r="D1877" s="0" t="s">
        <v>6293</v>
      </c>
      <c r="E1877" s="0" t="s">
        <v>6294</v>
      </c>
      <c r="M1877" s="0" t="s">
        <v>136</v>
      </c>
      <c r="N1877" s="0" t="s">
        <v>124</v>
      </c>
      <c r="P1877" s="0" t="s">
        <v>102</v>
      </c>
      <c r="Q1877" s="0" t="s">
        <v>102</v>
      </c>
      <c r="R1877" s="0" t="s">
        <v>144</v>
      </c>
      <c r="S1877" s="0" t="s">
        <v>21</v>
      </c>
      <c r="T1877" s="0" t="s">
        <v>104</v>
      </c>
      <c r="W1877" s="0" t="s">
        <v>105</v>
      </c>
    </row>
    <row r="1878" customFormat="false" ht="28.35" hidden="false" customHeight="false" outlineLevel="0" collapsed="false">
      <c r="A1878" s="0" t="s">
        <v>21</v>
      </c>
      <c r="B1878" s="0" t="s">
        <v>6295</v>
      </c>
      <c r="C1878" s="0" t="s">
        <v>97</v>
      </c>
      <c r="D1878" s="0" t="s">
        <v>6296</v>
      </c>
      <c r="E1878" s="0" t="s">
        <v>6297</v>
      </c>
      <c r="G1878" s="9" t="s">
        <v>6298</v>
      </c>
      <c r="M1878" s="0" t="s">
        <v>100</v>
      </c>
      <c r="N1878" s="0" t="s">
        <v>101</v>
      </c>
      <c r="P1878" s="0" t="s">
        <v>102</v>
      </c>
      <c r="Q1878" s="0" t="s">
        <v>102</v>
      </c>
      <c r="R1878" s="0" t="s">
        <v>144</v>
      </c>
      <c r="S1878" s="0" t="s">
        <v>21</v>
      </c>
      <c r="T1878" s="0" t="s">
        <v>104</v>
      </c>
      <c r="W1878" s="0" t="s">
        <v>105</v>
      </c>
    </row>
    <row r="1879" customFormat="false" ht="15" hidden="false" customHeight="false" outlineLevel="0" collapsed="false">
      <c r="A1879" s="0" t="s">
        <v>21</v>
      </c>
      <c r="B1879" s="0" t="s">
        <v>6299</v>
      </c>
      <c r="C1879" s="0" t="s">
        <v>97</v>
      </c>
      <c r="D1879" s="0" t="s">
        <v>6300</v>
      </c>
      <c r="E1879" s="0" t="s">
        <v>6301</v>
      </c>
      <c r="M1879" s="0" t="s">
        <v>656</v>
      </c>
      <c r="N1879" s="0" t="s">
        <v>101</v>
      </c>
      <c r="P1879" s="0" t="s">
        <v>102</v>
      </c>
      <c r="Q1879" s="0" t="s">
        <v>102</v>
      </c>
      <c r="R1879" s="0" t="s">
        <v>113</v>
      </c>
      <c r="S1879" s="0" t="s">
        <v>21</v>
      </c>
      <c r="T1879" s="0" t="s">
        <v>104</v>
      </c>
      <c r="W1879" s="0" t="s">
        <v>105</v>
      </c>
    </row>
    <row r="1880" customFormat="false" ht="15" hidden="false" customHeight="false" outlineLevel="0" collapsed="false">
      <c r="A1880" s="0" t="s">
        <v>21</v>
      </c>
      <c r="B1880" s="0" t="s">
        <v>6302</v>
      </c>
      <c r="C1880" s="0" t="s">
        <v>97</v>
      </c>
      <c r="D1880" s="0" t="s">
        <v>6303</v>
      </c>
      <c r="E1880" s="0" t="s">
        <v>6304</v>
      </c>
      <c r="H1880" s="0" t="s">
        <v>6305</v>
      </c>
      <c r="I1880" s="0" t="s">
        <v>2981</v>
      </c>
      <c r="J1880" s="0" t="s">
        <v>2981</v>
      </c>
      <c r="K1880" s="0" t="s">
        <v>3049</v>
      </c>
      <c r="L1880" s="0" t="s">
        <v>101</v>
      </c>
      <c r="M1880" s="0" t="s">
        <v>2981</v>
      </c>
      <c r="N1880" s="0" t="s">
        <v>101</v>
      </c>
      <c r="P1880" s="0" t="s">
        <v>102</v>
      </c>
      <c r="Q1880" s="0" t="s">
        <v>102</v>
      </c>
      <c r="R1880" s="0" t="s">
        <v>113</v>
      </c>
      <c r="S1880" s="0" t="s">
        <v>21</v>
      </c>
      <c r="T1880" s="0" t="s">
        <v>104</v>
      </c>
      <c r="W1880" s="0" t="s">
        <v>105</v>
      </c>
      <c r="X1880" s="0" t="s">
        <v>6306</v>
      </c>
      <c r="Y1880" s="0" t="s">
        <v>6307</v>
      </c>
    </row>
    <row r="1881" customFormat="false" ht="15" hidden="false" customHeight="false" outlineLevel="0" collapsed="false">
      <c r="A1881" s="0" t="s">
        <v>21</v>
      </c>
      <c r="B1881" s="0" t="s">
        <v>6308</v>
      </c>
      <c r="C1881" s="0" t="s">
        <v>97</v>
      </c>
      <c r="D1881" s="0" t="s">
        <v>6309</v>
      </c>
      <c r="E1881" s="0" t="s">
        <v>6310</v>
      </c>
      <c r="M1881" s="0" t="s">
        <v>136</v>
      </c>
      <c r="N1881" s="0" t="s">
        <v>124</v>
      </c>
      <c r="P1881" s="0" t="s">
        <v>102</v>
      </c>
      <c r="Q1881" s="0" t="s">
        <v>102</v>
      </c>
      <c r="R1881" s="0" t="s">
        <v>131</v>
      </c>
      <c r="S1881" s="0" t="s">
        <v>21</v>
      </c>
      <c r="T1881" s="0" t="s">
        <v>104</v>
      </c>
      <c r="W1881" s="0" t="s">
        <v>105</v>
      </c>
    </row>
    <row r="1882" customFormat="false" ht="15" hidden="false" customHeight="false" outlineLevel="0" collapsed="false">
      <c r="A1882" s="0" t="s">
        <v>21</v>
      </c>
      <c r="B1882" s="0" t="s">
        <v>6311</v>
      </c>
      <c r="C1882" s="0" t="s">
        <v>97</v>
      </c>
      <c r="D1882" s="0" t="s">
        <v>6312</v>
      </c>
      <c r="E1882" s="0" t="s">
        <v>6313</v>
      </c>
      <c r="M1882" s="0" t="s">
        <v>136</v>
      </c>
      <c r="N1882" s="0" t="s">
        <v>124</v>
      </c>
      <c r="P1882" s="0" t="s">
        <v>102</v>
      </c>
      <c r="Q1882" s="0" t="s">
        <v>102</v>
      </c>
      <c r="R1882" s="0" t="s">
        <v>144</v>
      </c>
      <c r="S1882" s="0" t="s">
        <v>21</v>
      </c>
      <c r="T1882" s="0" t="s">
        <v>104</v>
      </c>
      <c r="W1882" s="0" t="s">
        <v>105</v>
      </c>
    </row>
    <row r="1883" customFormat="false" ht="15" hidden="false" customHeight="false" outlineLevel="0" collapsed="false">
      <c r="A1883" s="0" t="s">
        <v>21</v>
      </c>
      <c r="B1883" s="0" t="s">
        <v>6314</v>
      </c>
      <c r="C1883" s="0" t="s">
        <v>97</v>
      </c>
      <c r="D1883" s="0" t="s">
        <v>6315</v>
      </c>
      <c r="E1883" s="0" t="s">
        <v>6316</v>
      </c>
      <c r="H1883" s="0" t="s">
        <v>654</v>
      </c>
      <c r="I1883" s="0" t="s">
        <v>655</v>
      </c>
      <c r="J1883" s="0" t="s">
        <v>100</v>
      </c>
      <c r="K1883" s="0" t="s">
        <v>168</v>
      </c>
      <c r="L1883" s="0" t="s">
        <v>101</v>
      </c>
      <c r="M1883" s="0" t="s">
        <v>656</v>
      </c>
      <c r="N1883" s="0" t="s">
        <v>101</v>
      </c>
      <c r="P1883" s="0" t="s">
        <v>102</v>
      </c>
      <c r="Q1883" s="0" t="s">
        <v>102</v>
      </c>
      <c r="R1883" s="0" t="s">
        <v>113</v>
      </c>
      <c r="S1883" s="0" t="s">
        <v>21</v>
      </c>
      <c r="T1883" s="0" t="s">
        <v>104</v>
      </c>
      <c r="W1883" s="0" t="s">
        <v>105</v>
      </c>
      <c r="X1883" s="0" t="s">
        <v>658</v>
      </c>
      <c r="Y1883" s="0" t="s">
        <v>659</v>
      </c>
    </row>
    <row r="1884" customFormat="false" ht="15" hidden="false" customHeight="false" outlineLevel="0" collapsed="false">
      <c r="A1884" s="0" t="s">
        <v>21</v>
      </c>
      <c r="B1884" s="0" t="s">
        <v>6317</v>
      </c>
      <c r="C1884" s="0" t="s">
        <v>97</v>
      </c>
      <c r="D1884" s="0" t="s">
        <v>6318</v>
      </c>
      <c r="E1884" s="0" t="s">
        <v>6319</v>
      </c>
      <c r="M1884" s="0" t="s">
        <v>656</v>
      </c>
      <c r="N1884" s="0" t="s">
        <v>101</v>
      </c>
      <c r="P1884" s="0" t="s">
        <v>102</v>
      </c>
      <c r="Q1884" s="0" t="s">
        <v>102</v>
      </c>
      <c r="R1884" s="0" t="s">
        <v>113</v>
      </c>
      <c r="S1884" s="0" t="s">
        <v>21</v>
      </c>
      <c r="T1884" s="0" t="s">
        <v>104</v>
      </c>
      <c r="W1884" s="0" t="s">
        <v>105</v>
      </c>
    </row>
    <row r="1885" customFormat="false" ht="15" hidden="false" customHeight="false" outlineLevel="0" collapsed="false">
      <c r="A1885" s="0" t="s">
        <v>21</v>
      </c>
      <c r="B1885" s="0" t="s">
        <v>6320</v>
      </c>
      <c r="C1885" s="0" t="s">
        <v>372</v>
      </c>
      <c r="D1885" s="0" t="s">
        <v>6321</v>
      </c>
      <c r="E1885" s="0" t="s">
        <v>6322</v>
      </c>
      <c r="H1885" s="0" t="s">
        <v>6323</v>
      </c>
      <c r="I1885" s="0" t="s">
        <v>6324</v>
      </c>
      <c r="J1885" s="0" t="s">
        <v>245</v>
      </c>
      <c r="K1885" s="0" t="s">
        <v>6325</v>
      </c>
      <c r="L1885" s="0" t="s">
        <v>124</v>
      </c>
      <c r="M1885" s="0" t="s">
        <v>247</v>
      </c>
      <c r="N1885" s="0" t="s">
        <v>124</v>
      </c>
      <c r="P1885" s="0" t="s">
        <v>379</v>
      </c>
      <c r="Q1885" s="0" t="s">
        <v>379</v>
      </c>
      <c r="R1885" s="0" t="s">
        <v>379</v>
      </c>
      <c r="S1885" s="0" t="s">
        <v>21</v>
      </c>
      <c r="T1885" s="0" t="s">
        <v>104</v>
      </c>
      <c r="W1885" s="0" t="s">
        <v>183</v>
      </c>
      <c r="X1885" s="0" t="s">
        <v>6326</v>
      </c>
      <c r="Y1885" s="0" t="s">
        <v>6327</v>
      </c>
      <c r="Z1885" s="0" t="s">
        <v>382</v>
      </c>
    </row>
    <row r="1886" customFormat="false" ht="15" hidden="false" customHeight="false" outlineLevel="0" collapsed="false">
      <c r="A1886" s="0" t="s">
        <v>21</v>
      </c>
      <c r="B1886" s="0" t="s">
        <v>6320</v>
      </c>
      <c r="C1886" s="0" t="s">
        <v>372</v>
      </c>
      <c r="D1886" s="0" t="s">
        <v>6321</v>
      </c>
      <c r="E1886" s="0" t="s">
        <v>6322</v>
      </c>
      <c r="H1886" s="0" t="s">
        <v>6323</v>
      </c>
      <c r="I1886" s="0" t="s">
        <v>6324</v>
      </c>
      <c r="J1886" s="0" t="s">
        <v>245</v>
      </c>
      <c r="K1886" s="0" t="s">
        <v>6325</v>
      </c>
      <c r="L1886" s="0" t="s">
        <v>124</v>
      </c>
      <c r="M1886" s="0" t="s">
        <v>247</v>
      </c>
      <c r="N1886" s="0" t="s">
        <v>124</v>
      </c>
      <c r="P1886" s="0" t="s">
        <v>102</v>
      </c>
      <c r="Q1886" s="0" t="s">
        <v>102</v>
      </c>
      <c r="R1886" s="0" t="s">
        <v>113</v>
      </c>
      <c r="S1886" s="0" t="s">
        <v>21</v>
      </c>
      <c r="T1886" s="0" t="s">
        <v>104</v>
      </c>
      <c r="W1886" s="0" t="s">
        <v>105</v>
      </c>
      <c r="X1886" s="0" t="s">
        <v>6326</v>
      </c>
      <c r="Y1886" s="0" t="s">
        <v>6327</v>
      </c>
      <c r="Z1886" s="0" t="s">
        <v>382</v>
      </c>
    </row>
    <row r="1887" customFormat="false" ht="15" hidden="false" customHeight="false" outlineLevel="0" collapsed="false">
      <c r="A1887" s="0" t="s">
        <v>21</v>
      </c>
      <c r="B1887" s="0" t="s">
        <v>6328</v>
      </c>
      <c r="C1887" s="0" t="s">
        <v>372</v>
      </c>
      <c r="D1887" s="0" t="s">
        <v>6329</v>
      </c>
      <c r="E1887" s="0" t="s">
        <v>6330</v>
      </c>
      <c r="H1887" s="0" t="s">
        <v>6331</v>
      </c>
      <c r="I1887" s="0" t="s">
        <v>6332</v>
      </c>
      <c r="J1887" s="0" t="s">
        <v>254</v>
      </c>
      <c r="K1887" s="0" t="s">
        <v>1496</v>
      </c>
      <c r="L1887" s="0" t="s">
        <v>124</v>
      </c>
      <c r="M1887" s="0" t="s">
        <v>208</v>
      </c>
      <c r="N1887" s="0" t="s">
        <v>124</v>
      </c>
      <c r="P1887" s="0" t="s">
        <v>379</v>
      </c>
      <c r="Q1887" s="0" t="s">
        <v>379</v>
      </c>
      <c r="R1887" s="0" t="s">
        <v>379</v>
      </c>
      <c r="S1887" s="0" t="s">
        <v>21</v>
      </c>
      <c r="T1887" s="0" t="s">
        <v>104</v>
      </c>
      <c r="W1887" s="0" t="s">
        <v>183</v>
      </c>
      <c r="X1887" s="0" t="s">
        <v>6333</v>
      </c>
      <c r="Y1887" s="0" t="s">
        <v>6334</v>
      </c>
      <c r="Z1887" s="0" t="s">
        <v>134</v>
      </c>
    </row>
    <row r="1888" customFormat="false" ht="15" hidden="false" customHeight="false" outlineLevel="0" collapsed="false">
      <c r="A1888" s="0" t="s">
        <v>21</v>
      </c>
      <c r="B1888" s="0" t="s">
        <v>6328</v>
      </c>
      <c r="C1888" s="0" t="s">
        <v>372</v>
      </c>
      <c r="D1888" s="0" t="s">
        <v>6329</v>
      </c>
      <c r="E1888" s="0" t="s">
        <v>6330</v>
      </c>
      <c r="H1888" s="0" t="s">
        <v>6331</v>
      </c>
      <c r="I1888" s="0" t="s">
        <v>6332</v>
      </c>
      <c r="J1888" s="0" t="s">
        <v>254</v>
      </c>
      <c r="K1888" s="0" t="s">
        <v>1496</v>
      </c>
      <c r="L1888" s="0" t="s">
        <v>124</v>
      </c>
      <c r="M1888" s="0" t="s">
        <v>208</v>
      </c>
      <c r="N1888" s="0" t="s">
        <v>124</v>
      </c>
      <c r="P1888" s="0" t="s">
        <v>102</v>
      </c>
      <c r="Q1888" s="0" t="s">
        <v>102</v>
      </c>
      <c r="R1888" s="0" t="s">
        <v>113</v>
      </c>
      <c r="S1888" s="0" t="s">
        <v>21</v>
      </c>
      <c r="T1888" s="0" t="s">
        <v>104</v>
      </c>
      <c r="W1888" s="0" t="s">
        <v>105</v>
      </c>
      <c r="X1888" s="0" t="s">
        <v>6333</v>
      </c>
      <c r="Y1888" s="0" t="s">
        <v>6334</v>
      </c>
      <c r="Z1888" s="0" t="s">
        <v>134</v>
      </c>
    </row>
    <row r="1889" customFormat="false" ht="15" hidden="false" customHeight="false" outlineLevel="0" collapsed="false">
      <c r="A1889" s="0" t="s">
        <v>21</v>
      </c>
      <c r="B1889" s="0" t="s">
        <v>6328</v>
      </c>
      <c r="C1889" s="0" t="s">
        <v>372</v>
      </c>
      <c r="D1889" s="0" t="s">
        <v>6329</v>
      </c>
      <c r="E1889" s="0" t="s">
        <v>6330</v>
      </c>
      <c r="H1889" s="0" t="s">
        <v>6331</v>
      </c>
      <c r="I1889" s="0" t="s">
        <v>6332</v>
      </c>
      <c r="J1889" s="0" t="s">
        <v>254</v>
      </c>
      <c r="K1889" s="0" t="s">
        <v>1496</v>
      </c>
      <c r="L1889" s="0" t="s">
        <v>124</v>
      </c>
      <c r="M1889" s="0" t="s">
        <v>208</v>
      </c>
      <c r="N1889" s="0" t="s">
        <v>124</v>
      </c>
      <c r="P1889" s="0" t="s">
        <v>4272</v>
      </c>
      <c r="Q1889" s="0" t="s">
        <v>4272</v>
      </c>
      <c r="R1889" s="0" t="s">
        <v>6335</v>
      </c>
      <c r="S1889" s="0" t="s">
        <v>21</v>
      </c>
      <c r="T1889" s="0" t="s">
        <v>6336</v>
      </c>
      <c r="W1889" s="0" t="s">
        <v>183</v>
      </c>
      <c r="X1889" s="0" t="s">
        <v>6333</v>
      </c>
      <c r="Y1889" s="0" t="s">
        <v>6334</v>
      </c>
      <c r="Z1889" s="0" t="s">
        <v>134</v>
      </c>
    </row>
    <row r="1890" customFormat="false" ht="15" hidden="false" customHeight="false" outlineLevel="0" collapsed="false">
      <c r="A1890" s="0" t="s">
        <v>21</v>
      </c>
      <c r="B1890" s="0" t="s">
        <v>6337</v>
      </c>
      <c r="C1890" s="0" t="s">
        <v>372</v>
      </c>
      <c r="D1890" s="0" t="s">
        <v>401</v>
      </c>
      <c r="E1890" s="0" t="s">
        <v>6338</v>
      </c>
      <c r="H1890" s="0" t="s">
        <v>6339</v>
      </c>
      <c r="I1890" s="0" t="s">
        <v>6340</v>
      </c>
      <c r="J1890" s="0" t="s">
        <v>100</v>
      </c>
      <c r="K1890" s="0" t="s">
        <v>1246</v>
      </c>
      <c r="L1890" s="0" t="s">
        <v>101</v>
      </c>
      <c r="M1890" s="0" t="s">
        <v>405</v>
      </c>
      <c r="N1890" s="0" t="s">
        <v>101</v>
      </c>
      <c r="P1890" s="0" t="s">
        <v>379</v>
      </c>
      <c r="Q1890" s="0" t="s">
        <v>379</v>
      </c>
      <c r="R1890" s="0" t="s">
        <v>379</v>
      </c>
      <c r="S1890" s="0" t="s">
        <v>21</v>
      </c>
      <c r="T1890" s="0" t="s">
        <v>104</v>
      </c>
      <c r="W1890" s="0" t="s">
        <v>183</v>
      </c>
      <c r="X1890" s="0" t="s">
        <v>6341</v>
      </c>
      <c r="Y1890" s="0" t="s">
        <v>6342</v>
      </c>
    </row>
    <row r="1891" customFormat="false" ht="15" hidden="false" customHeight="false" outlineLevel="0" collapsed="false">
      <c r="A1891" s="0" t="s">
        <v>21</v>
      </c>
      <c r="B1891" s="0" t="s">
        <v>6337</v>
      </c>
      <c r="C1891" s="0" t="s">
        <v>372</v>
      </c>
      <c r="D1891" s="0" t="s">
        <v>401</v>
      </c>
      <c r="E1891" s="0" t="s">
        <v>6338</v>
      </c>
      <c r="H1891" s="0" t="s">
        <v>6339</v>
      </c>
      <c r="I1891" s="0" t="s">
        <v>6340</v>
      </c>
      <c r="J1891" s="0" t="s">
        <v>100</v>
      </c>
      <c r="K1891" s="0" t="s">
        <v>1246</v>
      </c>
      <c r="L1891" s="0" t="s">
        <v>101</v>
      </c>
      <c r="M1891" s="0" t="s">
        <v>405</v>
      </c>
      <c r="N1891" s="0" t="s">
        <v>101</v>
      </c>
      <c r="P1891" s="0" t="s">
        <v>102</v>
      </c>
      <c r="Q1891" s="0" t="s">
        <v>102</v>
      </c>
      <c r="R1891" s="0" t="s">
        <v>113</v>
      </c>
      <c r="S1891" s="0" t="s">
        <v>21</v>
      </c>
      <c r="T1891" s="0" t="s">
        <v>104</v>
      </c>
      <c r="W1891" s="0" t="s">
        <v>105</v>
      </c>
      <c r="X1891" s="0" t="s">
        <v>6341</v>
      </c>
      <c r="Y1891" s="0" t="s">
        <v>6342</v>
      </c>
    </row>
    <row r="1892" customFormat="false" ht="15" hidden="false" customHeight="false" outlineLevel="0" collapsed="false">
      <c r="A1892" s="0" t="s">
        <v>21</v>
      </c>
      <c r="B1892" s="0" t="s">
        <v>6343</v>
      </c>
      <c r="C1892" s="0" t="s">
        <v>372</v>
      </c>
      <c r="D1892" s="0" t="s">
        <v>6344</v>
      </c>
      <c r="E1892" s="0" t="s">
        <v>6345</v>
      </c>
      <c r="H1892" s="0" t="s">
        <v>6346</v>
      </c>
      <c r="I1892" s="0" t="s">
        <v>6347</v>
      </c>
      <c r="J1892" s="0" t="s">
        <v>157</v>
      </c>
      <c r="K1892" s="0" t="s">
        <v>4269</v>
      </c>
      <c r="L1892" s="0" t="s">
        <v>124</v>
      </c>
      <c r="M1892" s="0" t="s">
        <v>232</v>
      </c>
      <c r="N1892" s="0" t="s">
        <v>124</v>
      </c>
      <c r="P1892" s="0" t="s">
        <v>379</v>
      </c>
      <c r="Q1892" s="0" t="s">
        <v>379</v>
      </c>
      <c r="R1892" s="0" t="s">
        <v>379</v>
      </c>
      <c r="S1892" s="0" t="s">
        <v>21</v>
      </c>
      <c r="T1892" s="0" t="s">
        <v>104</v>
      </c>
      <c r="W1892" s="0" t="s">
        <v>183</v>
      </c>
      <c r="X1892" s="0" t="s">
        <v>6348</v>
      </c>
      <c r="Y1892" s="0" t="s">
        <v>6349</v>
      </c>
      <c r="Z1892" s="0" t="s">
        <v>382</v>
      </c>
    </row>
    <row r="1893" customFormat="false" ht="15" hidden="false" customHeight="false" outlineLevel="0" collapsed="false">
      <c r="A1893" s="0" t="s">
        <v>21</v>
      </c>
      <c r="B1893" s="0" t="s">
        <v>6343</v>
      </c>
      <c r="C1893" s="0" t="s">
        <v>372</v>
      </c>
      <c r="D1893" s="0" t="s">
        <v>6344</v>
      </c>
      <c r="E1893" s="0" t="s">
        <v>6345</v>
      </c>
      <c r="H1893" s="0" t="s">
        <v>6346</v>
      </c>
      <c r="I1893" s="0" t="s">
        <v>6347</v>
      </c>
      <c r="J1893" s="0" t="s">
        <v>157</v>
      </c>
      <c r="K1893" s="0" t="s">
        <v>4269</v>
      </c>
      <c r="L1893" s="0" t="s">
        <v>124</v>
      </c>
      <c r="M1893" s="0" t="s">
        <v>232</v>
      </c>
      <c r="N1893" s="0" t="s">
        <v>124</v>
      </c>
      <c r="P1893" s="0" t="s">
        <v>102</v>
      </c>
      <c r="Q1893" s="0" t="s">
        <v>102</v>
      </c>
      <c r="R1893" s="0" t="s">
        <v>113</v>
      </c>
      <c r="S1893" s="0" t="s">
        <v>21</v>
      </c>
      <c r="T1893" s="0" t="s">
        <v>104</v>
      </c>
      <c r="W1893" s="0" t="s">
        <v>105</v>
      </c>
      <c r="X1893" s="0" t="s">
        <v>6348</v>
      </c>
      <c r="Y1893" s="0" t="s">
        <v>6349</v>
      </c>
      <c r="Z1893" s="0" t="s">
        <v>382</v>
      </c>
    </row>
    <row r="1894" customFormat="false" ht="15" hidden="false" customHeight="false" outlineLevel="0" collapsed="false">
      <c r="A1894" s="0" t="s">
        <v>21</v>
      </c>
      <c r="B1894" s="0" t="s">
        <v>6350</v>
      </c>
      <c r="C1894" s="0" t="s">
        <v>372</v>
      </c>
      <c r="D1894" s="0" t="s">
        <v>6351</v>
      </c>
      <c r="E1894" s="0" t="s">
        <v>691</v>
      </c>
      <c r="H1894" s="0" t="s">
        <v>6352</v>
      </c>
      <c r="I1894" s="0" t="s">
        <v>4213</v>
      </c>
      <c r="J1894" s="0" t="s">
        <v>275</v>
      </c>
      <c r="K1894" s="0" t="s">
        <v>6353</v>
      </c>
      <c r="L1894" s="0" t="s">
        <v>124</v>
      </c>
      <c r="M1894" s="0" t="s">
        <v>178</v>
      </c>
      <c r="N1894" s="0" t="s">
        <v>124</v>
      </c>
      <c r="P1894" s="0" t="s">
        <v>379</v>
      </c>
      <c r="Q1894" s="0" t="s">
        <v>379</v>
      </c>
      <c r="R1894" s="0" t="s">
        <v>379</v>
      </c>
      <c r="S1894" s="0" t="s">
        <v>21</v>
      </c>
      <c r="T1894" s="0" t="s">
        <v>104</v>
      </c>
      <c r="W1894" s="0" t="s">
        <v>183</v>
      </c>
      <c r="X1894" s="0" t="s">
        <v>6354</v>
      </c>
      <c r="Y1894" s="0" t="s">
        <v>6355</v>
      </c>
      <c r="Z1894" s="0" t="s">
        <v>382</v>
      </c>
    </row>
    <row r="1895" customFormat="false" ht="15" hidden="false" customHeight="false" outlineLevel="0" collapsed="false">
      <c r="A1895" s="0" t="s">
        <v>21</v>
      </c>
      <c r="B1895" s="0" t="s">
        <v>6350</v>
      </c>
      <c r="C1895" s="0" t="s">
        <v>372</v>
      </c>
      <c r="D1895" s="0" t="s">
        <v>6351</v>
      </c>
      <c r="E1895" s="0" t="s">
        <v>691</v>
      </c>
      <c r="H1895" s="0" t="s">
        <v>6352</v>
      </c>
      <c r="I1895" s="0" t="s">
        <v>4213</v>
      </c>
      <c r="J1895" s="0" t="s">
        <v>275</v>
      </c>
      <c r="K1895" s="0" t="s">
        <v>6353</v>
      </c>
      <c r="L1895" s="0" t="s">
        <v>124</v>
      </c>
      <c r="M1895" s="0" t="s">
        <v>178</v>
      </c>
      <c r="N1895" s="0" t="s">
        <v>124</v>
      </c>
      <c r="P1895" s="0" t="s">
        <v>102</v>
      </c>
      <c r="Q1895" s="0" t="s">
        <v>102</v>
      </c>
      <c r="R1895" s="0" t="s">
        <v>113</v>
      </c>
      <c r="S1895" s="0" t="s">
        <v>21</v>
      </c>
      <c r="T1895" s="0" t="s">
        <v>104</v>
      </c>
      <c r="W1895" s="0" t="s">
        <v>105</v>
      </c>
      <c r="X1895" s="0" t="s">
        <v>6354</v>
      </c>
      <c r="Y1895" s="0" t="s">
        <v>6355</v>
      </c>
      <c r="Z1895" s="0" t="s">
        <v>382</v>
      </c>
    </row>
    <row r="1896" customFormat="false" ht="15" hidden="false" customHeight="false" outlineLevel="0" collapsed="false">
      <c r="A1896" s="0" t="s">
        <v>21</v>
      </c>
      <c r="B1896" s="0" t="s">
        <v>6356</v>
      </c>
      <c r="C1896" s="0" t="s">
        <v>372</v>
      </c>
      <c r="D1896" s="0" t="s">
        <v>6357</v>
      </c>
      <c r="E1896" s="0" t="s">
        <v>6358</v>
      </c>
      <c r="G1896" s="0" t="s">
        <v>6359</v>
      </c>
      <c r="H1896" s="0" t="s">
        <v>6360</v>
      </c>
      <c r="I1896" s="0" t="s">
        <v>6361</v>
      </c>
      <c r="J1896" s="0" t="s">
        <v>254</v>
      </c>
      <c r="K1896" s="0" t="s">
        <v>5608</v>
      </c>
      <c r="L1896" s="0" t="s">
        <v>124</v>
      </c>
      <c r="M1896" s="0" t="s">
        <v>208</v>
      </c>
      <c r="N1896" s="0" t="s">
        <v>124</v>
      </c>
      <c r="P1896" s="0" t="s">
        <v>379</v>
      </c>
      <c r="Q1896" s="0" t="s">
        <v>379</v>
      </c>
      <c r="R1896" s="0" t="s">
        <v>379</v>
      </c>
      <c r="S1896" s="0" t="s">
        <v>21</v>
      </c>
      <c r="T1896" s="0" t="s">
        <v>104</v>
      </c>
      <c r="W1896" s="0" t="s">
        <v>183</v>
      </c>
      <c r="X1896" s="0" t="s">
        <v>6362</v>
      </c>
      <c r="Y1896" s="0" t="s">
        <v>6363</v>
      </c>
      <c r="Z1896" s="0" t="s">
        <v>382</v>
      </c>
    </row>
    <row r="1897" customFormat="false" ht="15" hidden="false" customHeight="false" outlineLevel="0" collapsed="false">
      <c r="A1897" s="0" t="s">
        <v>21</v>
      </c>
      <c r="B1897" s="0" t="s">
        <v>6356</v>
      </c>
      <c r="C1897" s="0" t="s">
        <v>372</v>
      </c>
      <c r="D1897" s="0" t="s">
        <v>6357</v>
      </c>
      <c r="E1897" s="0" t="s">
        <v>6358</v>
      </c>
      <c r="G1897" s="0" t="s">
        <v>6359</v>
      </c>
      <c r="H1897" s="0" t="s">
        <v>6360</v>
      </c>
      <c r="I1897" s="0" t="s">
        <v>6361</v>
      </c>
      <c r="J1897" s="0" t="s">
        <v>254</v>
      </c>
      <c r="K1897" s="0" t="s">
        <v>5608</v>
      </c>
      <c r="L1897" s="0" t="s">
        <v>124</v>
      </c>
      <c r="M1897" s="0" t="s">
        <v>208</v>
      </c>
      <c r="N1897" s="0" t="s">
        <v>124</v>
      </c>
      <c r="P1897" s="0" t="s">
        <v>102</v>
      </c>
      <c r="Q1897" s="0" t="s">
        <v>102</v>
      </c>
      <c r="R1897" s="0" t="s">
        <v>113</v>
      </c>
      <c r="S1897" s="0" t="s">
        <v>21</v>
      </c>
      <c r="T1897" s="0" t="s">
        <v>104</v>
      </c>
      <c r="W1897" s="0" t="s">
        <v>105</v>
      </c>
      <c r="X1897" s="0" t="s">
        <v>6362</v>
      </c>
      <c r="Y1897" s="0" t="s">
        <v>6363</v>
      </c>
      <c r="Z1897" s="0" t="s">
        <v>382</v>
      </c>
    </row>
    <row r="1898" customFormat="false" ht="15" hidden="false" customHeight="false" outlineLevel="0" collapsed="false">
      <c r="A1898" s="0" t="s">
        <v>21</v>
      </c>
      <c r="B1898" s="0" t="s">
        <v>6364</v>
      </c>
      <c r="C1898" s="0" t="s">
        <v>372</v>
      </c>
      <c r="D1898" s="0" t="s">
        <v>6365</v>
      </c>
      <c r="E1898" s="0" t="s">
        <v>6366</v>
      </c>
      <c r="H1898" s="0" t="s">
        <v>6367</v>
      </c>
      <c r="I1898" s="0" t="s">
        <v>6368</v>
      </c>
      <c r="J1898" s="0" t="s">
        <v>254</v>
      </c>
      <c r="K1898" s="0" t="s">
        <v>4696</v>
      </c>
      <c r="L1898" s="0" t="s">
        <v>124</v>
      </c>
      <c r="M1898" s="0" t="s">
        <v>208</v>
      </c>
      <c r="N1898" s="0" t="s">
        <v>124</v>
      </c>
      <c r="P1898" s="0" t="s">
        <v>379</v>
      </c>
      <c r="Q1898" s="0" t="s">
        <v>379</v>
      </c>
      <c r="R1898" s="0" t="s">
        <v>379</v>
      </c>
      <c r="S1898" s="0" t="s">
        <v>21</v>
      </c>
      <c r="T1898" s="0" t="s">
        <v>104</v>
      </c>
      <c r="W1898" s="0" t="s">
        <v>183</v>
      </c>
      <c r="Z1898" s="0" t="s">
        <v>382</v>
      </c>
    </row>
    <row r="1899" customFormat="false" ht="15" hidden="false" customHeight="false" outlineLevel="0" collapsed="false">
      <c r="A1899" s="0" t="s">
        <v>21</v>
      </c>
      <c r="B1899" s="0" t="s">
        <v>6364</v>
      </c>
      <c r="C1899" s="0" t="s">
        <v>372</v>
      </c>
      <c r="D1899" s="0" t="s">
        <v>6365</v>
      </c>
      <c r="E1899" s="0" t="s">
        <v>6366</v>
      </c>
      <c r="H1899" s="0" t="s">
        <v>6367</v>
      </c>
      <c r="I1899" s="0" t="s">
        <v>6368</v>
      </c>
      <c r="J1899" s="0" t="s">
        <v>254</v>
      </c>
      <c r="K1899" s="0" t="s">
        <v>4696</v>
      </c>
      <c r="L1899" s="0" t="s">
        <v>124</v>
      </c>
      <c r="M1899" s="0" t="s">
        <v>208</v>
      </c>
      <c r="N1899" s="0" t="s">
        <v>124</v>
      </c>
      <c r="P1899" s="0" t="s">
        <v>102</v>
      </c>
      <c r="Q1899" s="0" t="s">
        <v>102</v>
      </c>
      <c r="R1899" s="0" t="s">
        <v>113</v>
      </c>
      <c r="S1899" s="0" t="s">
        <v>21</v>
      </c>
      <c r="T1899" s="0" t="s">
        <v>104</v>
      </c>
      <c r="W1899" s="0" t="s">
        <v>105</v>
      </c>
      <c r="Z1899" s="0" t="s">
        <v>382</v>
      </c>
    </row>
    <row r="1900" customFormat="false" ht="15" hidden="false" customHeight="false" outlineLevel="0" collapsed="false">
      <c r="A1900" s="0" t="s">
        <v>21</v>
      </c>
      <c r="B1900" s="0" t="s">
        <v>6369</v>
      </c>
      <c r="C1900" s="0" t="s">
        <v>372</v>
      </c>
      <c r="D1900" s="0" t="s">
        <v>6370</v>
      </c>
      <c r="E1900" s="0" t="s">
        <v>5324</v>
      </c>
      <c r="G1900" s="0" t="s">
        <v>6371</v>
      </c>
      <c r="H1900" s="0" t="s">
        <v>6372</v>
      </c>
      <c r="I1900" s="0" t="s">
        <v>6373</v>
      </c>
      <c r="J1900" s="0" t="s">
        <v>2281</v>
      </c>
      <c r="K1900" s="0" t="s">
        <v>6374</v>
      </c>
      <c r="L1900" s="0" t="s">
        <v>124</v>
      </c>
      <c r="M1900" s="0" t="s">
        <v>881</v>
      </c>
      <c r="N1900" s="0" t="s">
        <v>124</v>
      </c>
      <c r="P1900" s="0" t="s">
        <v>379</v>
      </c>
      <c r="Q1900" s="0" t="s">
        <v>379</v>
      </c>
      <c r="R1900" s="0" t="s">
        <v>379</v>
      </c>
      <c r="S1900" s="0" t="s">
        <v>21</v>
      </c>
      <c r="T1900" s="0" t="s">
        <v>104</v>
      </c>
      <c r="W1900" s="0" t="s">
        <v>183</v>
      </c>
      <c r="X1900" s="0" t="s">
        <v>6375</v>
      </c>
      <c r="Y1900" s="0" t="s">
        <v>6376</v>
      </c>
      <c r="Z1900" s="0" t="s">
        <v>382</v>
      </c>
    </row>
    <row r="1901" customFormat="false" ht="15" hidden="false" customHeight="false" outlineLevel="0" collapsed="false">
      <c r="A1901" s="0" t="s">
        <v>21</v>
      </c>
      <c r="B1901" s="0" t="s">
        <v>6369</v>
      </c>
      <c r="C1901" s="0" t="s">
        <v>372</v>
      </c>
      <c r="D1901" s="0" t="s">
        <v>6370</v>
      </c>
      <c r="E1901" s="0" t="s">
        <v>5324</v>
      </c>
      <c r="G1901" s="0" t="s">
        <v>6371</v>
      </c>
      <c r="H1901" s="0" t="s">
        <v>6372</v>
      </c>
      <c r="I1901" s="0" t="s">
        <v>6373</v>
      </c>
      <c r="J1901" s="0" t="s">
        <v>2281</v>
      </c>
      <c r="K1901" s="0" t="s">
        <v>6374</v>
      </c>
      <c r="L1901" s="0" t="s">
        <v>124</v>
      </c>
      <c r="M1901" s="0" t="s">
        <v>881</v>
      </c>
      <c r="N1901" s="0" t="s">
        <v>124</v>
      </c>
      <c r="P1901" s="0" t="s">
        <v>102</v>
      </c>
      <c r="Q1901" s="0" t="s">
        <v>102</v>
      </c>
      <c r="R1901" s="0" t="s">
        <v>113</v>
      </c>
      <c r="S1901" s="0" t="s">
        <v>21</v>
      </c>
      <c r="T1901" s="0" t="s">
        <v>104</v>
      </c>
      <c r="W1901" s="0" t="s">
        <v>105</v>
      </c>
      <c r="X1901" s="0" t="s">
        <v>6375</v>
      </c>
      <c r="Y1901" s="0" t="s">
        <v>6376</v>
      </c>
      <c r="Z1901" s="0" t="s">
        <v>382</v>
      </c>
    </row>
    <row r="1902" customFormat="false" ht="15" hidden="false" customHeight="false" outlineLevel="0" collapsed="false">
      <c r="A1902" s="0" t="s">
        <v>21</v>
      </c>
      <c r="B1902" s="0" t="s">
        <v>6377</v>
      </c>
      <c r="C1902" s="0" t="s">
        <v>372</v>
      </c>
      <c r="D1902" s="0" t="s">
        <v>409</v>
      </c>
      <c r="E1902" s="0" t="s">
        <v>6378</v>
      </c>
      <c r="H1902" s="0" t="s">
        <v>411</v>
      </c>
      <c r="I1902" s="0" t="s">
        <v>412</v>
      </c>
      <c r="J1902" s="0" t="s">
        <v>412</v>
      </c>
      <c r="K1902" s="0" t="s">
        <v>309</v>
      </c>
      <c r="L1902" s="0" t="s">
        <v>101</v>
      </c>
      <c r="M1902" s="0" t="s">
        <v>412</v>
      </c>
      <c r="N1902" s="0" t="s">
        <v>101</v>
      </c>
      <c r="P1902" s="0" t="s">
        <v>379</v>
      </c>
      <c r="Q1902" s="0" t="s">
        <v>379</v>
      </c>
      <c r="R1902" s="0" t="s">
        <v>379</v>
      </c>
      <c r="S1902" s="0" t="s">
        <v>21</v>
      </c>
      <c r="T1902" s="0" t="s">
        <v>104</v>
      </c>
      <c r="W1902" s="0" t="s">
        <v>183</v>
      </c>
      <c r="X1902" s="0" t="s">
        <v>6379</v>
      </c>
      <c r="Y1902" s="0" t="s">
        <v>6380</v>
      </c>
    </row>
    <row r="1903" customFormat="false" ht="15" hidden="false" customHeight="false" outlineLevel="0" collapsed="false">
      <c r="A1903" s="0" t="s">
        <v>21</v>
      </c>
      <c r="B1903" s="0" t="s">
        <v>6377</v>
      </c>
      <c r="C1903" s="0" t="s">
        <v>372</v>
      </c>
      <c r="D1903" s="0" t="s">
        <v>409</v>
      </c>
      <c r="E1903" s="0" t="s">
        <v>6378</v>
      </c>
      <c r="H1903" s="0" t="s">
        <v>411</v>
      </c>
      <c r="I1903" s="0" t="s">
        <v>412</v>
      </c>
      <c r="J1903" s="0" t="s">
        <v>412</v>
      </c>
      <c r="K1903" s="0" t="s">
        <v>309</v>
      </c>
      <c r="L1903" s="0" t="s">
        <v>101</v>
      </c>
      <c r="M1903" s="0" t="s">
        <v>412</v>
      </c>
      <c r="N1903" s="0" t="s">
        <v>101</v>
      </c>
      <c r="P1903" s="0" t="s">
        <v>102</v>
      </c>
      <c r="Q1903" s="0" t="s">
        <v>102</v>
      </c>
      <c r="R1903" s="0" t="s">
        <v>113</v>
      </c>
      <c r="S1903" s="0" t="s">
        <v>21</v>
      </c>
      <c r="T1903" s="0" t="s">
        <v>104</v>
      </c>
      <c r="W1903" s="0" t="s">
        <v>105</v>
      </c>
      <c r="X1903" s="0" t="s">
        <v>6379</v>
      </c>
      <c r="Y1903" s="0" t="s">
        <v>6380</v>
      </c>
    </row>
    <row r="1904" customFormat="false" ht="15" hidden="false" customHeight="false" outlineLevel="0" collapsed="false">
      <c r="A1904" s="0" t="s">
        <v>21</v>
      </c>
      <c r="B1904" s="0" t="s">
        <v>6381</v>
      </c>
      <c r="C1904" s="0" t="s">
        <v>372</v>
      </c>
      <c r="D1904" s="0" t="s">
        <v>6382</v>
      </c>
      <c r="E1904" s="0" t="s">
        <v>6383</v>
      </c>
      <c r="H1904" s="0" t="s">
        <v>6384</v>
      </c>
      <c r="I1904" s="0" t="s">
        <v>6385</v>
      </c>
      <c r="J1904" s="0" t="s">
        <v>245</v>
      </c>
      <c r="K1904" s="0" t="s">
        <v>2116</v>
      </c>
      <c r="L1904" s="0" t="s">
        <v>124</v>
      </c>
      <c r="M1904" s="0" t="s">
        <v>247</v>
      </c>
      <c r="N1904" s="0" t="s">
        <v>124</v>
      </c>
      <c r="P1904" s="0" t="s">
        <v>379</v>
      </c>
      <c r="Q1904" s="0" t="s">
        <v>379</v>
      </c>
      <c r="R1904" s="0" t="s">
        <v>379</v>
      </c>
      <c r="S1904" s="0" t="s">
        <v>21</v>
      </c>
      <c r="T1904" s="0" t="s">
        <v>104</v>
      </c>
      <c r="W1904" s="0" t="s">
        <v>183</v>
      </c>
      <c r="X1904" s="0" t="s">
        <v>6386</v>
      </c>
      <c r="Y1904" s="0" t="s">
        <v>6387</v>
      </c>
      <c r="Z1904" s="0" t="s">
        <v>382</v>
      </c>
    </row>
    <row r="1905" customFormat="false" ht="15" hidden="false" customHeight="false" outlineLevel="0" collapsed="false">
      <c r="A1905" s="0" t="s">
        <v>21</v>
      </c>
      <c r="B1905" s="0" t="s">
        <v>6381</v>
      </c>
      <c r="C1905" s="0" t="s">
        <v>372</v>
      </c>
      <c r="D1905" s="0" t="s">
        <v>6382</v>
      </c>
      <c r="E1905" s="0" t="s">
        <v>6383</v>
      </c>
      <c r="H1905" s="0" t="s">
        <v>6384</v>
      </c>
      <c r="I1905" s="0" t="s">
        <v>6385</v>
      </c>
      <c r="J1905" s="0" t="s">
        <v>245</v>
      </c>
      <c r="K1905" s="0" t="s">
        <v>2116</v>
      </c>
      <c r="L1905" s="0" t="s">
        <v>124</v>
      </c>
      <c r="M1905" s="0" t="s">
        <v>247</v>
      </c>
      <c r="N1905" s="0" t="s">
        <v>124</v>
      </c>
      <c r="P1905" s="0" t="s">
        <v>102</v>
      </c>
      <c r="Q1905" s="0" t="s">
        <v>102</v>
      </c>
      <c r="R1905" s="0" t="s">
        <v>113</v>
      </c>
      <c r="S1905" s="0" t="s">
        <v>21</v>
      </c>
      <c r="T1905" s="0" t="s">
        <v>104</v>
      </c>
      <c r="W1905" s="0" t="s">
        <v>105</v>
      </c>
      <c r="X1905" s="0" t="s">
        <v>6386</v>
      </c>
      <c r="Y1905" s="0" t="s">
        <v>6387</v>
      </c>
      <c r="Z1905" s="0" t="s">
        <v>382</v>
      </c>
    </row>
    <row r="1906" customFormat="false" ht="15" hidden="false" customHeight="false" outlineLevel="0" collapsed="false">
      <c r="A1906" s="0" t="s">
        <v>21</v>
      </c>
      <c r="B1906" s="0" t="s">
        <v>6388</v>
      </c>
      <c r="C1906" s="0" t="s">
        <v>372</v>
      </c>
      <c r="D1906" s="0" t="s">
        <v>6389</v>
      </c>
      <c r="E1906" s="0" t="s">
        <v>6390</v>
      </c>
      <c r="H1906" s="0" t="s">
        <v>6391</v>
      </c>
      <c r="I1906" s="0" t="s">
        <v>6392</v>
      </c>
      <c r="J1906" s="0" t="s">
        <v>245</v>
      </c>
      <c r="K1906" s="0" t="s">
        <v>6393</v>
      </c>
      <c r="M1906" s="0" t="s">
        <v>247</v>
      </c>
      <c r="N1906" s="0" t="s">
        <v>124</v>
      </c>
      <c r="P1906" s="0" t="s">
        <v>379</v>
      </c>
      <c r="Q1906" s="0" t="s">
        <v>379</v>
      </c>
      <c r="R1906" s="0" t="s">
        <v>379</v>
      </c>
      <c r="S1906" s="0" t="s">
        <v>21</v>
      </c>
      <c r="T1906" s="0" t="s">
        <v>104</v>
      </c>
      <c r="W1906" s="0" t="s">
        <v>183</v>
      </c>
      <c r="X1906" s="0" t="s">
        <v>6394</v>
      </c>
      <c r="Y1906" s="0" t="s">
        <v>6395</v>
      </c>
      <c r="Z1906" s="0" t="s">
        <v>382</v>
      </c>
    </row>
    <row r="1907" customFormat="false" ht="15" hidden="false" customHeight="false" outlineLevel="0" collapsed="false">
      <c r="A1907" s="0" t="s">
        <v>21</v>
      </c>
      <c r="B1907" s="0" t="s">
        <v>6388</v>
      </c>
      <c r="C1907" s="0" t="s">
        <v>372</v>
      </c>
      <c r="D1907" s="0" t="s">
        <v>6389</v>
      </c>
      <c r="E1907" s="0" t="s">
        <v>6390</v>
      </c>
      <c r="H1907" s="0" t="s">
        <v>6391</v>
      </c>
      <c r="I1907" s="0" t="s">
        <v>6392</v>
      </c>
      <c r="J1907" s="0" t="s">
        <v>245</v>
      </c>
      <c r="K1907" s="0" t="s">
        <v>6393</v>
      </c>
      <c r="M1907" s="0" t="s">
        <v>247</v>
      </c>
      <c r="N1907" s="0" t="s">
        <v>124</v>
      </c>
      <c r="P1907" s="0" t="s">
        <v>102</v>
      </c>
      <c r="Q1907" s="0" t="s">
        <v>102</v>
      </c>
      <c r="R1907" s="0" t="s">
        <v>113</v>
      </c>
      <c r="S1907" s="0" t="s">
        <v>21</v>
      </c>
      <c r="T1907" s="0" t="s">
        <v>104</v>
      </c>
      <c r="W1907" s="0" t="s">
        <v>105</v>
      </c>
      <c r="X1907" s="0" t="s">
        <v>6394</v>
      </c>
      <c r="Y1907" s="0" t="s">
        <v>6395</v>
      </c>
      <c r="Z1907" s="0" t="s">
        <v>382</v>
      </c>
    </row>
    <row r="1908" customFormat="false" ht="15" hidden="false" customHeight="false" outlineLevel="0" collapsed="false">
      <c r="A1908" s="0" t="s">
        <v>21</v>
      </c>
      <c r="B1908" s="0" t="s">
        <v>6396</v>
      </c>
      <c r="C1908" s="0" t="s">
        <v>372</v>
      </c>
      <c r="D1908" s="0" t="s">
        <v>417</v>
      </c>
      <c r="E1908" s="0" t="s">
        <v>6397</v>
      </c>
      <c r="H1908" s="0" t="s">
        <v>6398</v>
      </c>
      <c r="I1908" s="0" t="s">
        <v>6399</v>
      </c>
      <c r="J1908" s="0" t="s">
        <v>420</v>
      </c>
      <c r="K1908" s="0" t="s">
        <v>404</v>
      </c>
      <c r="L1908" s="0" t="s">
        <v>101</v>
      </c>
      <c r="M1908" s="0" t="s">
        <v>420</v>
      </c>
      <c r="N1908" s="0" t="s">
        <v>101</v>
      </c>
      <c r="P1908" s="0" t="s">
        <v>379</v>
      </c>
      <c r="Q1908" s="0" t="s">
        <v>379</v>
      </c>
      <c r="R1908" s="0" t="s">
        <v>379</v>
      </c>
      <c r="S1908" s="0" t="s">
        <v>21</v>
      </c>
      <c r="T1908" s="0" t="s">
        <v>104</v>
      </c>
      <c r="W1908" s="0" t="s">
        <v>183</v>
      </c>
      <c r="X1908" s="0" t="s">
        <v>6400</v>
      </c>
      <c r="Y1908" s="0" t="s">
        <v>6401</v>
      </c>
    </row>
    <row r="1909" customFormat="false" ht="15" hidden="false" customHeight="false" outlineLevel="0" collapsed="false">
      <c r="A1909" s="0" t="s">
        <v>21</v>
      </c>
      <c r="B1909" s="0" t="s">
        <v>6396</v>
      </c>
      <c r="C1909" s="0" t="s">
        <v>372</v>
      </c>
      <c r="D1909" s="0" t="s">
        <v>417</v>
      </c>
      <c r="E1909" s="0" t="s">
        <v>6397</v>
      </c>
      <c r="H1909" s="0" t="s">
        <v>6398</v>
      </c>
      <c r="I1909" s="0" t="s">
        <v>6399</v>
      </c>
      <c r="J1909" s="0" t="s">
        <v>420</v>
      </c>
      <c r="K1909" s="0" t="s">
        <v>404</v>
      </c>
      <c r="L1909" s="0" t="s">
        <v>101</v>
      </c>
      <c r="M1909" s="0" t="s">
        <v>420</v>
      </c>
      <c r="N1909" s="0" t="s">
        <v>101</v>
      </c>
      <c r="P1909" s="0" t="s">
        <v>102</v>
      </c>
      <c r="Q1909" s="0" t="s">
        <v>102</v>
      </c>
      <c r="R1909" s="0" t="s">
        <v>113</v>
      </c>
      <c r="S1909" s="0" t="s">
        <v>21</v>
      </c>
      <c r="T1909" s="0" t="s">
        <v>104</v>
      </c>
      <c r="W1909" s="0" t="s">
        <v>105</v>
      </c>
      <c r="X1909" s="0" t="s">
        <v>6400</v>
      </c>
      <c r="Y1909" s="0" t="s">
        <v>6401</v>
      </c>
    </row>
    <row r="1910" customFormat="false" ht="15" hidden="false" customHeight="false" outlineLevel="0" collapsed="false">
      <c r="A1910" s="0" t="s">
        <v>21</v>
      </c>
      <c r="B1910" s="0" t="s">
        <v>6402</v>
      </c>
      <c r="C1910" s="0" t="s">
        <v>372</v>
      </c>
      <c r="D1910" s="0" t="s">
        <v>6403</v>
      </c>
      <c r="E1910" s="0" t="s">
        <v>6404</v>
      </c>
      <c r="H1910" s="0" t="s">
        <v>6405</v>
      </c>
      <c r="I1910" s="0" t="s">
        <v>6406</v>
      </c>
      <c r="J1910" s="0" t="s">
        <v>122</v>
      </c>
      <c r="K1910" s="0" t="s">
        <v>884</v>
      </c>
      <c r="L1910" s="0" t="s">
        <v>124</v>
      </c>
      <c r="M1910" s="0" t="s">
        <v>121</v>
      </c>
      <c r="N1910" s="0" t="s">
        <v>124</v>
      </c>
      <c r="P1910" s="0" t="s">
        <v>379</v>
      </c>
      <c r="Q1910" s="0" t="s">
        <v>379</v>
      </c>
      <c r="R1910" s="0" t="s">
        <v>379</v>
      </c>
      <c r="S1910" s="0" t="s">
        <v>21</v>
      </c>
      <c r="T1910" s="0" t="s">
        <v>104</v>
      </c>
      <c r="W1910" s="0" t="s">
        <v>183</v>
      </c>
      <c r="X1910" s="0" t="s">
        <v>6407</v>
      </c>
      <c r="Y1910" s="0" t="s">
        <v>6408</v>
      </c>
      <c r="Z1910" s="0" t="s">
        <v>134</v>
      </c>
    </row>
    <row r="1911" customFormat="false" ht="15" hidden="false" customHeight="false" outlineLevel="0" collapsed="false">
      <c r="A1911" s="0" t="s">
        <v>21</v>
      </c>
      <c r="B1911" s="0" t="s">
        <v>6402</v>
      </c>
      <c r="C1911" s="0" t="s">
        <v>372</v>
      </c>
      <c r="D1911" s="0" t="s">
        <v>6403</v>
      </c>
      <c r="E1911" s="0" t="s">
        <v>6404</v>
      </c>
      <c r="H1911" s="0" t="s">
        <v>6405</v>
      </c>
      <c r="I1911" s="0" t="s">
        <v>6406</v>
      </c>
      <c r="J1911" s="0" t="s">
        <v>122</v>
      </c>
      <c r="K1911" s="0" t="s">
        <v>884</v>
      </c>
      <c r="L1911" s="0" t="s">
        <v>124</v>
      </c>
      <c r="M1911" s="0" t="s">
        <v>121</v>
      </c>
      <c r="N1911" s="0" t="s">
        <v>124</v>
      </c>
      <c r="P1911" s="0" t="s">
        <v>102</v>
      </c>
      <c r="Q1911" s="0" t="s">
        <v>102</v>
      </c>
      <c r="R1911" s="0" t="s">
        <v>113</v>
      </c>
      <c r="S1911" s="0" t="s">
        <v>21</v>
      </c>
      <c r="T1911" s="0" t="s">
        <v>104</v>
      </c>
      <c r="W1911" s="0" t="s">
        <v>105</v>
      </c>
      <c r="X1911" s="0" t="s">
        <v>6407</v>
      </c>
      <c r="Y1911" s="0" t="s">
        <v>6408</v>
      </c>
      <c r="Z1911" s="0" t="s">
        <v>134</v>
      </c>
    </row>
    <row r="1912" customFormat="false" ht="15" hidden="false" customHeight="false" outlineLevel="0" collapsed="false">
      <c r="A1912" s="0" t="s">
        <v>21</v>
      </c>
      <c r="B1912" s="0" t="s">
        <v>6409</v>
      </c>
      <c r="C1912" s="0" t="s">
        <v>372</v>
      </c>
      <c r="D1912" s="0" t="s">
        <v>6410</v>
      </c>
      <c r="E1912" s="0" t="s">
        <v>6411</v>
      </c>
      <c r="G1912" s="0" t="s">
        <v>6412</v>
      </c>
      <c r="H1912" s="0" t="s">
        <v>6413</v>
      </c>
      <c r="I1912" s="0" t="s">
        <v>6414</v>
      </c>
      <c r="J1912" s="0" t="s">
        <v>245</v>
      </c>
      <c r="K1912" s="0" t="s">
        <v>6415</v>
      </c>
      <c r="L1912" s="0" t="s">
        <v>124</v>
      </c>
      <c r="M1912" s="0" t="s">
        <v>247</v>
      </c>
      <c r="N1912" s="0" t="s">
        <v>124</v>
      </c>
      <c r="P1912" s="0" t="s">
        <v>379</v>
      </c>
      <c r="Q1912" s="0" t="s">
        <v>379</v>
      </c>
      <c r="R1912" s="0" t="s">
        <v>379</v>
      </c>
      <c r="S1912" s="0" t="s">
        <v>21</v>
      </c>
      <c r="T1912" s="0" t="s">
        <v>104</v>
      </c>
      <c r="W1912" s="0" t="s">
        <v>183</v>
      </c>
      <c r="X1912" s="0" t="s">
        <v>6416</v>
      </c>
      <c r="Y1912" s="0" t="s">
        <v>6417</v>
      </c>
      <c r="Z1912" s="0" t="s">
        <v>382</v>
      </c>
      <c r="AA1912" s="0" t="s">
        <v>6418</v>
      </c>
    </row>
    <row r="1913" customFormat="false" ht="15" hidden="false" customHeight="false" outlineLevel="0" collapsed="false">
      <c r="A1913" s="0" t="s">
        <v>21</v>
      </c>
      <c r="B1913" s="0" t="s">
        <v>6409</v>
      </c>
      <c r="C1913" s="0" t="s">
        <v>372</v>
      </c>
      <c r="D1913" s="0" t="s">
        <v>6410</v>
      </c>
      <c r="E1913" s="0" t="s">
        <v>6411</v>
      </c>
      <c r="G1913" s="0" t="s">
        <v>6412</v>
      </c>
      <c r="H1913" s="0" t="s">
        <v>6413</v>
      </c>
      <c r="I1913" s="0" t="s">
        <v>6414</v>
      </c>
      <c r="J1913" s="0" t="s">
        <v>245</v>
      </c>
      <c r="K1913" s="0" t="s">
        <v>6415</v>
      </c>
      <c r="L1913" s="0" t="s">
        <v>124</v>
      </c>
      <c r="M1913" s="0" t="s">
        <v>247</v>
      </c>
      <c r="N1913" s="0" t="s">
        <v>124</v>
      </c>
      <c r="P1913" s="0" t="s">
        <v>102</v>
      </c>
      <c r="Q1913" s="0" t="s">
        <v>102</v>
      </c>
      <c r="R1913" s="0" t="s">
        <v>113</v>
      </c>
      <c r="S1913" s="0" t="s">
        <v>21</v>
      </c>
      <c r="T1913" s="0" t="s">
        <v>104</v>
      </c>
      <c r="W1913" s="0" t="s">
        <v>105</v>
      </c>
      <c r="X1913" s="0" t="s">
        <v>6416</v>
      </c>
      <c r="Y1913" s="0" t="s">
        <v>6417</v>
      </c>
      <c r="Z1913" s="0" t="s">
        <v>382</v>
      </c>
      <c r="AA1913" s="0" t="s">
        <v>6418</v>
      </c>
    </row>
    <row r="1914" customFormat="false" ht="15" hidden="false" customHeight="false" outlineLevel="0" collapsed="false">
      <c r="A1914" s="0" t="s">
        <v>21</v>
      </c>
      <c r="B1914" s="0" t="s">
        <v>6419</v>
      </c>
      <c r="C1914" s="0" t="s">
        <v>372</v>
      </c>
      <c r="D1914" s="0" t="s">
        <v>6420</v>
      </c>
      <c r="E1914" s="0" t="s">
        <v>6421</v>
      </c>
      <c r="H1914" s="0" t="s">
        <v>6422</v>
      </c>
      <c r="I1914" s="0" t="s">
        <v>955</v>
      </c>
      <c r="J1914" s="0" t="s">
        <v>214</v>
      </c>
      <c r="K1914" s="0" t="s">
        <v>956</v>
      </c>
      <c r="L1914" s="0" t="s">
        <v>124</v>
      </c>
      <c r="M1914" s="0" t="s">
        <v>143</v>
      </c>
      <c r="N1914" s="0" t="s">
        <v>124</v>
      </c>
      <c r="P1914" s="0" t="s">
        <v>379</v>
      </c>
      <c r="Q1914" s="0" t="s">
        <v>379</v>
      </c>
      <c r="R1914" s="0" t="s">
        <v>379</v>
      </c>
      <c r="S1914" s="0" t="s">
        <v>21</v>
      </c>
      <c r="T1914" s="0" t="s">
        <v>104</v>
      </c>
      <c r="W1914" s="0" t="s">
        <v>183</v>
      </c>
      <c r="X1914" s="0" t="s">
        <v>6423</v>
      </c>
      <c r="Y1914" s="0" t="s">
        <v>6424</v>
      </c>
      <c r="Z1914" s="0" t="s">
        <v>382</v>
      </c>
    </row>
    <row r="1915" customFormat="false" ht="15" hidden="false" customHeight="false" outlineLevel="0" collapsed="false">
      <c r="A1915" s="0" t="s">
        <v>21</v>
      </c>
      <c r="B1915" s="0" t="s">
        <v>6419</v>
      </c>
      <c r="C1915" s="0" t="s">
        <v>372</v>
      </c>
      <c r="D1915" s="0" t="s">
        <v>6420</v>
      </c>
      <c r="E1915" s="0" t="s">
        <v>6421</v>
      </c>
      <c r="H1915" s="0" t="s">
        <v>6422</v>
      </c>
      <c r="I1915" s="0" t="s">
        <v>955</v>
      </c>
      <c r="J1915" s="0" t="s">
        <v>214</v>
      </c>
      <c r="K1915" s="0" t="s">
        <v>956</v>
      </c>
      <c r="L1915" s="0" t="s">
        <v>124</v>
      </c>
      <c r="M1915" s="0" t="s">
        <v>143</v>
      </c>
      <c r="N1915" s="0" t="s">
        <v>124</v>
      </c>
      <c r="P1915" s="0" t="s">
        <v>102</v>
      </c>
      <c r="Q1915" s="0" t="s">
        <v>102</v>
      </c>
      <c r="R1915" s="0" t="s">
        <v>113</v>
      </c>
      <c r="S1915" s="0" t="s">
        <v>21</v>
      </c>
      <c r="T1915" s="0" t="s">
        <v>104</v>
      </c>
      <c r="W1915" s="0" t="s">
        <v>105</v>
      </c>
      <c r="X1915" s="0" t="s">
        <v>6423</v>
      </c>
      <c r="Y1915" s="0" t="s">
        <v>6424</v>
      </c>
      <c r="Z1915" s="0" t="s">
        <v>382</v>
      </c>
    </row>
    <row r="1916" customFormat="false" ht="15" hidden="false" customHeight="false" outlineLevel="0" collapsed="false">
      <c r="A1916" s="0" t="s">
        <v>21</v>
      </c>
      <c r="B1916" s="0" t="s">
        <v>6425</v>
      </c>
      <c r="C1916" s="0" t="s">
        <v>372</v>
      </c>
      <c r="D1916" s="0" t="s">
        <v>426</v>
      </c>
      <c r="E1916" s="0" t="s">
        <v>6426</v>
      </c>
      <c r="H1916" s="0" t="s">
        <v>6427</v>
      </c>
      <c r="I1916" s="0" t="s">
        <v>6428</v>
      </c>
      <c r="J1916" s="0" t="s">
        <v>429</v>
      </c>
      <c r="K1916" s="0" t="s">
        <v>413</v>
      </c>
      <c r="L1916" s="0" t="s">
        <v>101</v>
      </c>
      <c r="M1916" s="0" t="s">
        <v>429</v>
      </c>
      <c r="N1916" s="0" t="s">
        <v>101</v>
      </c>
      <c r="P1916" s="0" t="s">
        <v>379</v>
      </c>
      <c r="Q1916" s="0" t="s">
        <v>379</v>
      </c>
      <c r="R1916" s="0" t="s">
        <v>379</v>
      </c>
      <c r="S1916" s="0" t="s">
        <v>21</v>
      </c>
      <c r="T1916" s="0" t="s">
        <v>104</v>
      </c>
      <c r="W1916" s="0" t="s">
        <v>183</v>
      </c>
      <c r="X1916" s="0" t="s">
        <v>6429</v>
      </c>
      <c r="Y1916" s="0" t="s">
        <v>6430</v>
      </c>
    </row>
    <row r="1917" customFormat="false" ht="15" hidden="false" customHeight="false" outlineLevel="0" collapsed="false">
      <c r="A1917" s="0" t="s">
        <v>21</v>
      </c>
      <c r="B1917" s="0" t="s">
        <v>6425</v>
      </c>
      <c r="C1917" s="0" t="s">
        <v>372</v>
      </c>
      <c r="D1917" s="0" t="s">
        <v>426</v>
      </c>
      <c r="E1917" s="0" t="s">
        <v>6426</v>
      </c>
      <c r="H1917" s="0" t="s">
        <v>6427</v>
      </c>
      <c r="I1917" s="0" t="s">
        <v>6428</v>
      </c>
      <c r="J1917" s="0" t="s">
        <v>429</v>
      </c>
      <c r="K1917" s="0" t="s">
        <v>413</v>
      </c>
      <c r="L1917" s="0" t="s">
        <v>101</v>
      </c>
      <c r="M1917" s="0" t="s">
        <v>429</v>
      </c>
      <c r="N1917" s="0" t="s">
        <v>101</v>
      </c>
      <c r="P1917" s="0" t="s">
        <v>102</v>
      </c>
      <c r="Q1917" s="0" t="s">
        <v>102</v>
      </c>
      <c r="R1917" s="0" t="s">
        <v>113</v>
      </c>
      <c r="S1917" s="0" t="s">
        <v>21</v>
      </c>
      <c r="T1917" s="0" t="s">
        <v>104</v>
      </c>
      <c r="W1917" s="0" t="s">
        <v>105</v>
      </c>
      <c r="X1917" s="0" t="s">
        <v>6429</v>
      </c>
      <c r="Y1917" s="0" t="s">
        <v>6430</v>
      </c>
    </row>
    <row r="1918" customFormat="false" ht="15" hidden="false" customHeight="false" outlineLevel="0" collapsed="false">
      <c r="A1918" s="0" t="s">
        <v>21</v>
      </c>
      <c r="B1918" s="0" t="s">
        <v>6431</v>
      </c>
      <c r="C1918" s="0" t="s">
        <v>372</v>
      </c>
      <c r="D1918" s="0" t="s">
        <v>6432</v>
      </c>
      <c r="E1918" s="0" t="s">
        <v>6433</v>
      </c>
      <c r="G1918" s="0" t="s">
        <v>6434</v>
      </c>
      <c r="H1918" s="0" t="s">
        <v>6435</v>
      </c>
      <c r="I1918" s="0" t="s">
        <v>6436</v>
      </c>
      <c r="J1918" s="0" t="s">
        <v>157</v>
      </c>
      <c r="K1918" s="0" t="s">
        <v>6437</v>
      </c>
      <c r="M1918" s="0" t="s">
        <v>6438</v>
      </c>
      <c r="N1918" s="0" t="s">
        <v>124</v>
      </c>
      <c r="P1918" s="0" t="s">
        <v>102</v>
      </c>
      <c r="Q1918" s="0" t="s">
        <v>102</v>
      </c>
      <c r="R1918" s="0" t="s">
        <v>113</v>
      </c>
      <c r="S1918" s="0" t="s">
        <v>21</v>
      </c>
      <c r="T1918" s="0" t="s">
        <v>104</v>
      </c>
      <c r="W1918" s="0" t="s">
        <v>105</v>
      </c>
      <c r="Z1918" s="0" t="s">
        <v>382</v>
      </c>
    </row>
    <row r="1919" customFormat="false" ht="15" hidden="false" customHeight="false" outlineLevel="0" collapsed="false">
      <c r="A1919" s="0" t="s">
        <v>21</v>
      </c>
      <c r="B1919" s="0" t="s">
        <v>6439</v>
      </c>
      <c r="C1919" s="0" t="s">
        <v>372</v>
      </c>
      <c r="D1919" s="0" t="s">
        <v>6440</v>
      </c>
      <c r="E1919" s="0" t="s">
        <v>6441</v>
      </c>
      <c r="H1919" s="0" t="s">
        <v>6442</v>
      </c>
      <c r="I1919" s="0" t="s">
        <v>6443</v>
      </c>
      <c r="J1919" s="0" t="s">
        <v>254</v>
      </c>
      <c r="K1919" s="0" t="s">
        <v>4250</v>
      </c>
      <c r="L1919" s="0" t="s">
        <v>124</v>
      </c>
      <c r="M1919" s="0" t="s">
        <v>591</v>
      </c>
      <c r="N1919" s="0" t="s">
        <v>124</v>
      </c>
      <c r="P1919" s="0" t="s">
        <v>379</v>
      </c>
      <c r="Q1919" s="0" t="s">
        <v>379</v>
      </c>
      <c r="R1919" s="0" t="s">
        <v>379</v>
      </c>
      <c r="S1919" s="0" t="s">
        <v>21</v>
      </c>
      <c r="T1919" s="0" t="s">
        <v>104</v>
      </c>
      <c r="W1919" s="0" t="s">
        <v>183</v>
      </c>
      <c r="Z1919" s="0" t="s">
        <v>382</v>
      </c>
    </row>
    <row r="1920" customFormat="false" ht="15" hidden="false" customHeight="false" outlineLevel="0" collapsed="false">
      <c r="A1920" s="0" t="s">
        <v>21</v>
      </c>
      <c r="B1920" s="0" t="s">
        <v>6439</v>
      </c>
      <c r="C1920" s="0" t="s">
        <v>372</v>
      </c>
      <c r="D1920" s="0" t="s">
        <v>6440</v>
      </c>
      <c r="E1920" s="0" t="s">
        <v>6441</v>
      </c>
      <c r="H1920" s="0" t="s">
        <v>6442</v>
      </c>
      <c r="I1920" s="0" t="s">
        <v>6443</v>
      </c>
      <c r="J1920" s="0" t="s">
        <v>254</v>
      </c>
      <c r="K1920" s="0" t="s">
        <v>4250</v>
      </c>
      <c r="L1920" s="0" t="s">
        <v>124</v>
      </c>
      <c r="M1920" s="0" t="s">
        <v>591</v>
      </c>
      <c r="N1920" s="0" t="s">
        <v>124</v>
      </c>
      <c r="P1920" s="0" t="s">
        <v>102</v>
      </c>
      <c r="Q1920" s="0" t="s">
        <v>102</v>
      </c>
      <c r="R1920" s="0" t="s">
        <v>113</v>
      </c>
      <c r="S1920" s="0" t="s">
        <v>21</v>
      </c>
      <c r="T1920" s="0" t="s">
        <v>104</v>
      </c>
      <c r="W1920" s="0" t="s">
        <v>105</v>
      </c>
      <c r="Z1920" s="0" t="s">
        <v>382</v>
      </c>
    </row>
    <row r="1921" customFormat="false" ht="15" hidden="false" customHeight="false" outlineLevel="0" collapsed="false">
      <c r="A1921" s="0" t="s">
        <v>21</v>
      </c>
      <c r="B1921" s="0" t="s">
        <v>6444</v>
      </c>
      <c r="C1921" s="0" t="s">
        <v>372</v>
      </c>
      <c r="D1921" s="0" t="s">
        <v>6445</v>
      </c>
      <c r="E1921" s="0" t="s">
        <v>6446</v>
      </c>
      <c r="H1921" s="0" t="s">
        <v>6447</v>
      </c>
      <c r="I1921" s="0" t="s">
        <v>6448</v>
      </c>
      <c r="J1921" s="0" t="s">
        <v>157</v>
      </c>
      <c r="K1921" s="0" t="s">
        <v>1144</v>
      </c>
      <c r="L1921" s="0" t="s">
        <v>124</v>
      </c>
      <c r="M1921" s="0" t="s">
        <v>232</v>
      </c>
      <c r="N1921" s="0" t="s">
        <v>124</v>
      </c>
      <c r="P1921" s="0" t="s">
        <v>379</v>
      </c>
      <c r="Q1921" s="0" t="s">
        <v>379</v>
      </c>
      <c r="R1921" s="0" t="s">
        <v>379</v>
      </c>
      <c r="S1921" s="0" t="s">
        <v>21</v>
      </c>
      <c r="T1921" s="0" t="s">
        <v>104</v>
      </c>
      <c r="W1921" s="0" t="s">
        <v>183</v>
      </c>
      <c r="X1921" s="0" t="s">
        <v>6449</v>
      </c>
      <c r="Y1921" s="0" t="s">
        <v>6450</v>
      </c>
      <c r="Z1921" s="0" t="s">
        <v>382</v>
      </c>
    </row>
    <row r="1922" customFormat="false" ht="15" hidden="false" customHeight="false" outlineLevel="0" collapsed="false">
      <c r="A1922" s="0" t="s">
        <v>21</v>
      </c>
      <c r="B1922" s="0" t="s">
        <v>6444</v>
      </c>
      <c r="C1922" s="0" t="s">
        <v>372</v>
      </c>
      <c r="D1922" s="0" t="s">
        <v>6445</v>
      </c>
      <c r="E1922" s="0" t="s">
        <v>6446</v>
      </c>
      <c r="H1922" s="0" t="s">
        <v>6447</v>
      </c>
      <c r="I1922" s="0" t="s">
        <v>6448</v>
      </c>
      <c r="J1922" s="0" t="s">
        <v>157</v>
      </c>
      <c r="K1922" s="0" t="s">
        <v>1144</v>
      </c>
      <c r="L1922" s="0" t="s">
        <v>124</v>
      </c>
      <c r="M1922" s="0" t="s">
        <v>232</v>
      </c>
      <c r="N1922" s="0" t="s">
        <v>124</v>
      </c>
      <c r="P1922" s="0" t="s">
        <v>102</v>
      </c>
      <c r="Q1922" s="0" t="s">
        <v>102</v>
      </c>
      <c r="R1922" s="0" t="s">
        <v>113</v>
      </c>
      <c r="S1922" s="0" t="s">
        <v>21</v>
      </c>
      <c r="T1922" s="0" t="s">
        <v>104</v>
      </c>
      <c r="W1922" s="0" t="s">
        <v>105</v>
      </c>
      <c r="X1922" s="0" t="s">
        <v>6449</v>
      </c>
      <c r="Y1922" s="0" t="s">
        <v>6450</v>
      </c>
      <c r="Z1922" s="0" t="s">
        <v>382</v>
      </c>
    </row>
    <row r="1923" customFormat="false" ht="15" hidden="false" customHeight="false" outlineLevel="0" collapsed="false">
      <c r="A1923" s="0" t="s">
        <v>21</v>
      </c>
      <c r="B1923" s="0" t="s">
        <v>6451</v>
      </c>
      <c r="C1923" s="0" t="s">
        <v>372</v>
      </c>
      <c r="D1923" s="0" t="s">
        <v>6403</v>
      </c>
      <c r="E1923" s="0" t="s">
        <v>1658</v>
      </c>
      <c r="H1923" s="0" t="s">
        <v>6452</v>
      </c>
      <c r="I1923" s="0" t="s">
        <v>377</v>
      </c>
      <c r="J1923" s="0" t="s">
        <v>121</v>
      </c>
      <c r="K1923" s="0" t="s">
        <v>378</v>
      </c>
      <c r="L1923" s="0" t="s">
        <v>124</v>
      </c>
      <c r="M1923" s="0" t="s">
        <v>121</v>
      </c>
      <c r="N1923" s="0" t="s">
        <v>124</v>
      </c>
      <c r="P1923" s="0" t="s">
        <v>379</v>
      </c>
      <c r="Q1923" s="0" t="s">
        <v>379</v>
      </c>
      <c r="R1923" s="0" t="s">
        <v>379</v>
      </c>
      <c r="S1923" s="0" t="s">
        <v>21</v>
      </c>
      <c r="T1923" s="0" t="s">
        <v>104</v>
      </c>
      <c r="W1923" s="0" t="s">
        <v>183</v>
      </c>
      <c r="Z1923" s="0" t="s">
        <v>382</v>
      </c>
      <c r="AA1923" s="0" t="s">
        <v>6453</v>
      </c>
    </row>
    <row r="1924" customFormat="false" ht="15" hidden="false" customHeight="false" outlineLevel="0" collapsed="false">
      <c r="A1924" s="0" t="s">
        <v>21</v>
      </c>
      <c r="B1924" s="0" t="s">
        <v>6451</v>
      </c>
      <c r="C1924" s="0" t="s">
        <v>372</v>
      </c>
      <c r="D1924" s="0" t="s">
        <v>6403</v>
      </c>
      <c r="E1924" s="0" t="s">
        <v>1658</v>
      </c>
      <c r="H1924" s="0" t="s">
        <v>6452</v>
      </c>
      <c r="I1924" s="0" t="s">
        <v>377</v>
      </c>
      <c r="J1924" s="0" t="s">
        <v>121</v>
      </c>
      <c r="K1924" s="0" t="s">
        <v>378</v>
      </c>
      <c r="L1924" s="0" t="s">
        <v>124</v>
      </c>
      <c r="M1924" s="0" t="s">
        <v>121</v>
      </c>
      <c r="N1924" s="0" t="s">
        <v>124</v>
      </c>
      <c r="P1924" s="0" t="s">
        <v>102</v>
      </c>
      <c r="Q1924" s="0" t="s">
        <v>102</v>
      </c>
      <c r="R1924" s="0" t="s">
        <v>113</v>
      </c>
      <c r="S1924" s="0" t="s">
        <v>21</v>
      </c>
      <c r="T1924" s="0" t="s">
        <v>104</v>
      </c>
      <c r="W1924" s="0" t="s">
        <v>105</v>
      </c>
      <c r="Z1924" s="0" t="s">
        <v>382</v>
      </c>
      <c r="AA1924" s="0" t="s">
        <v>6453</v>
      </c>
    </row>
    <row r="1925" customFormat="false" ht="15" hidden="false" customHeight="false" outlineLevel="0" collapsed="false">
      <c r="A1925" s="0" t="s">
        <v>21</v>
      </c>
      <c r="B1925" s="0" t="s">
        <v>6454</v>
      </c>
      <c r="C1925" s="0" t="s">
        <v>372</v>
      </c>
      <c r="D1925" s="0" t="s">
        <v>6455</v>
      </c>
      <c r="E1925" s="0" t="s">
        <v>6456</v>
      </c>
      <c r="H1925" s="0" t="s">
        <v>6457</v>
      </c>
      <c r="I1925" s="0" t="s">
        <v>6458</v>
      </c>
      <c r="J1925" s="0" t="s">
        <v>157</v>
      </c>
      <c r="K1925" s="0" t="s">
        <v>6459</v>
      </c>
      <c r="L1925" s="0" t="s">
        <v>124</v>
      </c>
      <c r="M1925" s="0" t="s">
        <v>232</v>
      </c>
      <c r="N1925" s="0" t="s">
        <v>124</v>
      </c>
      <c r="P1925" s="0" t="s">
        <v>379</v>
      </c>
      <c r="Q1925" s="0" t="s">
        <v>379</v>
      </c>
      <c r="R1925" s="0" t="s">
        <v>379</v>
      </c>
      <c r="S1925" s="0" t="s">
        <v>21</v>
      </c>
      <c r="T1925" s="0" t="s">
        <v>104</v>
      </c>
      <c r="W1925" s="0" t="s">
        <v>183</v>
      </c>
      <c r="X1925" s="0" t="s">
        <v>6460</v>
      </c>
      <c r="Y1925" s="0" t="s">
        <v>6461</v>
      </c>
      <c r="Z1925" s="0" t="s">
        <v>382</v>
      </c>
    </row>
    <row r="1926" customFormat="false" ht="15" hidden="false" customHeight="false" outlineLevel="0" collapsed="false">
      <c r="A1926" s="0" t="s">
        <v>21</v>
      </c>
      <c r="B1926" s="0" t="s">
        <v>6454</v>
      </c>
      <c r="C1926" s="0" t="s">
        <v>372</v>
      </c>
      <c r="D1926" s="0" t="s">
        <v>6455</v>
      </c>
      <c r="E1926" s="0" t="s">
        <v>6456</v>
      </c>
      <c r="H1926" s="0" t="s">
        <v>6457</v>
      </c>
      <c r="I1926" s="0" t="s">
        <v>6458</v>
      </c>
      <c r="J1926" s="0" t="s">
        <v>157</v>
      </c>
      <c r="K1926" s="0" t="s">
        <v>6459</v>
      </c>
      <c r="L1926" s="0" t="s">
        <v>124</v>
      </c>
      <c r="M1926" s="0" t="s">
        <v>232</v>
      </c>
      <c r="N1926" s="0" t="s">
        <v>124</v>
      </c>
      <c r="P1926" s="0" t="s">
        <v>102</v>
      </c>
      <c r="Q1926" s="0" t="s">
        <v>102</v>
      </c>
      <c r="R1926" s="0" t="s">
        <v>113</v>
      </c>
      <c r="S1926" s="0" t="s">
        <v>21</v>
      </c>
      <c r="T1926" s="0" t="s">
        <v>104</v>
      </c>
      <c r="W1926" s="0" t="s">
        <v>105</v>
      </c>
      <c r="X1926" s="0" t="s">
        <v>6460</v>
      </c>
      <c r="Y1926" s="0" t="s">
        <v>6461</v>
      </c>
      <c r="Z1926" s="0" t="s">
        <v>382</v>
      </c>
    </row>
    <row r="1927" customFormat="false" ht="15" hidden="false" customHeight="false" outlineLevel="0" collapsed="false">
      <c r="A1927" s="0" t="s">
        <v>21</v>
      </c>
      <c r="B1927" s="0" t="s">
        <v>6462</v>
      </c>
      <c r="C1927" s="0" t="s">
        <v>372</v>
      </c>
      <c r="D1927" s="0" t="s">
        <v>444</v>
      </c>
      <c r="E1927" s="0" t="s">
        <v>6463</v>
      </c>
      <c r="H1927" s="0" t="s">
        <v>6464</v>
      </c>
      <c r="I1927" s="0" t="s">
        <v>6465</v>
      </c>
      <c r="J1927" s="0" t="s">
        <v>447</v>
      </c>
      <c r="K1927" s="0" t="s">
        <v>422</v>
      </c>
      <c r="L1927" s="0" t="s">
        <v>101</v>
      </c>
      <c r="M1927" s="0" t="s">
        <v>447</v>
      </c>
      <c r="N1927" s="0" t="s">
        <v>101</v>
      </c>
      <c r="P1927" s="0" t="s">
        <v>379</v>
      </c>
      <c r="Q1927" s="0" t="s">
        <v>379</v>
      </c>
      <c r="R1927" s="0" t="s">
        <v>379</v>
      </c>
      <c r="S1927" s="0" t="s">
        <v>21</v>
      </c>
      <c r="T1927" s="0" t="s">
        <v>104</v>
      </c>
      <c r="W1927" s="0" t="s">
        <v>183</v>
      </c>
      <c r="X1927" s="0" t="s">
        <v>6466</v>
      </c>
      <c r="Y1927" s="0" t="s">
        <v>6467</v>
      </c>
    </row>
    <row r="1928" customFormat="false" ht="15" hidden="false" customHeight="false" outlineLevel="0" collapsed="false">
      <c r="A1928" s="0" t="s">
        <v>21</v>
      </c>
      <c r="B1928" s="0" t="s">
        <v>6462</v>
      </c>
      <c r="C1928" s="0" t="s">
        <v>372</v>
      </c>
      <c r="D1928" s="0" t="s">
        <v>444</v>
      </c>
      <c r="E1928" s="0" t="s">
        <v>6463</v>
      </c>
      <c r="H1928" s="0" t="s">
        <v>6464</v>
      </c>
      <c r="I1928" s="0" t="s">
        <v>6465</v>
      </c>
      <c r="J1928" s="0" t="s">
        <v>447</v>
      </c>
      <c r="K1928" s="0" t="s">
        <v>422</v>
      </c>
      <c r="L1928" s="0" t="s">
        <v>101</v>
      </c>
      <c r="M1928" s="0" t="s">
        <v>447</v>
      </c>
      <c r="N1928" s="0" t="s">
        <v>101</v>
      </c>
      <c r="P1928" s="0" t="s">
        <v>102</v>
      </c>
      <c r="Q1928" s="0" t="s">
        <v>102</v>
      </c>
      <c r="R1928" s="0" t="s">
        <v>113</v>
      </c>
      <c r="S1928" s="0" t="s">
        <v>21</v>
      </c>
      <c r="T1928" s="0" t="s">
        <v>104</v>
      </c>
      <c r="W1928" s="0" t="s">
        <v>105</v>
      </c>
      <c r="X1928" s="0" t="s">
        <v>6466</v>
      </c>
      <c r="Y1928" s="0" t="s">
        <v>6467</v>
      </c>
    </row>
    <row r="1929" customFormat="false" ht="15" hidden="false" customHeight="false" outlineLevel="0" collapsed="false">
      <c r="A1929" s="0" t="s">
        <v>21</v>
      </c>
      <c r="B1929" s="0" t="s">
        <v>6468</v>
      </c>
      <c r="C1929" s="0" t="s">
        <v>372</v>
      </c>
      <c r="D1929" s="0" t="s">
        <v>384</v>
      </c>
      <c r="E1929" s="0" t="s">
        <v>6469</v>
      </c>
      <c r="G1929" s="0" t="s">
        <v>6470</v>
      </c>
      <c r="H1929" s="0" t="s">
        <v>387</v>
      </c>
      <c r="I1929" s="0" t="s">
        <v>388</v>
      </c>
      <c r="J1929" s="0" t="s">
        <v>157</v>
      </c>
      <c r="K1929" s="0" t="s">
        <v>389</v>
      </c>
      <c r="M1929" s="0" t="s">
        <v>232</v>
      </c>
      <c r="N1929" s="0" t="s">
        <v>124</v>
      </c>
      <c r="P1929" s="0" t="s">
        <v>379</v>
      </c>
      <c r="Q1929" s="0" t="s">
        <v>379</v>
      </c>
      <c r="R1929" s="0" t="s">
        <v>379</v>
      </c>
      <c r="S1929" s="0" t="s">
        <v>21</v>
      </c>
      <c r="T1929" s="0" t="s">
        <v>104</v>
      </c>
      <c r="W1929" s="0" t="s">
        <v>183</v>
      </c>
      <c r="Z1929" s="0" t="s">
        <v>382</v>
      </c>
    </row>
    <row r="1930" customFormat="false" ht="15" hidden="false" customHeight="false" outlineLevel="0" collapsed="false">
      <c r="A1930" s="0" t="s">
        <v>21</v>
      </c>
      <c r="B1930" s="0" t="s">
        <v>6468</v>
      </c>
      <c r="C1930" s="0" t="s">
        <v>372</v>
      </c>
      <c r="D1930" s="0" t="s">
        <v>384</v>
      </c>
      <c r="E1930" s="0" t="s">
        <v>6469</v>
      </c>
      <c r="G1930" s="0" t="s">
        <v>6470</v>
      </c>
      <c r="H1930" s="0" t="s">
        <v>387</v>
      </c>
      <c r="I1930" s="0" t="s">
        <v>388</v>
      </c>
      <c r="J1930" s="0" t="s">
        <v>157</v>
      </c>
      <c r="K1930" s="0" t="s">
        <v>389</v>
      </c>
      <c r="M1930" s="0" t="s">
        <v>232</v>
      </c>
      <c r="N1930" s="0" t="s">
        <v>124</v>
      </c>
      <c r="P1930" s="0" t="s">
        <v>102</v>
      </c>
      <c r="Q1930" s="0" t="s">
        <v>102</v>
      </c>
      <c r="R1930" s="0" t="s">
        <v>113</v>
      </c>
      <c r="S1930" s="0" t="s">
        <v>21</v>
      </c>
      <c r="T1930" s="0" t="s">
        <v>104</v>
      </c>
      <c r="W1930" s="0" t="s">
        <v>105</v>
      </c>
      <c r="Z1930" s="0" t="s">
        <v>382</v>
      </c>
    </row>
    <row r="1931" customFormat="false" ht="15" hidden="false" customHeight="false" outlineLevel="0" collapsed="false">
      <c r="A1931" s="0" t="s">
        <v>21</v>
      </c>
      <c r="B1931" s="0" t="s">
        <v>6471</v>
      </c>
      <c r="C1931" s="0" t="s">
        <v>372</v>
      </c>
      <c r="D1931" s="0" t="s">
        <v>6472</v>
      </c>
      <c r="E1931" s="0" t="s">
        <v>6473</v>
      </c>
      <c r="H1931" s="0" t="s">
        <v>6474</v>
      </c>
      <c r="I1931" s="0" t="s">
        <v>129</v>
      </c>
      <c r="J1931" s="0" t="s">
        <v>275</v>
      </c>
      <c r="K1931" s="0" t="s">
        <v>6475</v>
      </c>
      <c r="L1931" s="0" t="s">
        <v>124</v>
      </c>
      <c r="M1931" s="0" t="s">
        <v>129</v>
      </c>
      <c r="N1931" s="0" t="s">
        <v>124</v>
      </c>
      <c r="P1931" s="0" t="s">
        <v>379</v>
      </c>
      <c r="Q1931" s="0" t="s">
        <v>379</v>
      </c>
      <c r="R1931" s="0" t="s">
        <v>379</v>
      </c>
      <c r="S1931" s="0" t="s">
        <v>21</v>
      </c>
      <c r="T1931" s="0" t="s">
        <v>104</v>
      </c>
      <c r="W1931" s="0" t="s">
        <v>183</v>
      </c>
      <c r="X1931" s="0" t="s">
        <v>6476</v>
      </c>
      <c r="Y1931" s="0" t="s">
        <v>6477</v>
      </c>
      <c r="Z1931" s="0" t="s">
        <v>382</v>
      </c>
    </row>
    <row r="1932" customFormat="false" ht="15" hidden="false" customHeight="false" outlineLevel="0" collapsed="false">
      <c r="A1932" s="0" t="s">
        <v>21</v>
      </c>
      <c r="B1932" s="0" t="s">
        <v>6471</v>
      </c>
      <c r="C1932" s="0" t="s">
        <v>372</v>
      </c>
      <c r="D1932" s="0" t="s">
        <v>6472</v>
      </c>
      <c r="E1932" s="0" t="s">
        <v>6473</v>
      </c>
      <c r="H1932" s="0" t="s">
        <v>6474</v>
      </c>
      <c r="I1932" s="0" t="s">
        <v>129</v>
      </c>
      <c r="J1932" s="0" t="s">
        <v>275</v>
      </c>
      <c r="K1932" s="0" t="s">
        <v>6475</v>
      </c>
      <c r="L1932" s="0" t="s">
        <v>124</v>
      </c>
      <c r="M1932" s="0" t="s">
        <v>129</v>
      </c>
      <c r="N1932" s="0" t="s">
        <v>124</v>
      </c>
      <c r="P1932" s="0" t="s">
        <v>102</v>
      </c>
      <c r="Q1932" s="0" t="s">
        <v>102</v>
      </c>
      <c r="R1932" s="0" t="s">
        <v>113</v>
      </c>
      <c r="S1932" s="0" t="s">
        <v>21</v>
      </c>
      <c r="T1932" s="0" t="s">
        <v>104</v>
      </c>
      <c r="W1932" s="0" t="s">
        <v>105</v>
      </c>
      <c r="X1932" s="0" t="s">
        <v>6476</v>
      </c>
      <c r="Y1932" s="0" t="s">
        <v>6477</v>
      </c>
      <c r="Z1932" s="0" t="s">
        <v>382</v>
      </c>
    </row>
    <row r="1933" customFormat="false" ht="15" hidden="false" customHeight="false" outlineLevel="0" collapsed="false">
      <c r="A1933" s="0" t="s">
        <v>21</v>
      </c>
      <c r="B1933" s="0" t="s">
        <v>6478</v>
      </c>
      <c r="C1933" s="0" t="s">
        <v>372</v>
      </c>
      <c r="D1933" s="0" t="s">
        <v>6479</v>
      </c>
      <c r="E1933" s="0" t="s">
        <v>6479</v>
      </c>
      <c r="H1933" s="0" t="s">
        <v>6480</v>
      </c>
      <c r="I1933" s="0" t="s">
        <v>6481</v>
      </c>
      <c r="J1933" s="0" t="s">
        <v>275</v>
      </c>
      <c r="K1933" s="0" t="s">
        <v>6482</v>
      </c>
      <c r="L1933" s="0" t="s">
        <v>124</v>
      </c>
      <c r="M1933" s="0" t="s">
        <v>178</v>
      </c>
      <c r="N1933" s="0" t="s">
        <v>124</v>
      </c>
      <c r="P1933" s="0" t="s">
        <v>379</v>
      </c>
      <c r="Q1933" s="0" t="s">
        <v>379</v>
      </c>
      <c r="R1933" s="0" t="s">
        <v>379</v>
      </c>
      <c r="S1933" s="0" t="s">
        <v>21</v>
      </c>
      <c r="T1933" s="0" t="s">
        <v>104</v>
      </c>
      <c r="W1933" s="0" t="s">
        <v>183</v>
      </c>
      <c r="X1933" s="0" t="s">
        <v>6483</v>
      </c>
      <c r="Y1933" s="0" t="s">
        <v>6484</v>
      </c>
      <c r="Z1933" s="0" t="s">
        <v>382</v>
      </c>
    </row>
    <row r="1934" customFormat="false" ht="15" hidden="false" customHeight="false" outlineLevel="0" collapsed="false">
      <c r="A1934" s="0" t="s">
        <v>21</v>
      </c>
      <c r="B1934" s="0" t="s">
        <v>6478</v>
      </c>
      <c r="C1934" s="0" t="s">
        <v>372</v>
      </c>
      <c r="D1934" s="0" t="s">
        <v>6479</v>
      </c>
      <c r="E1934" s="0" t="s">
        <v>6479</v>
      </c>
      <c r="H1934" s="0" t="s">
        <v>6480</v>
      </c>
      <c r="I1934" s="0" t="s">
        <v>6481</v>
      </c>
      <c r="J1934" s="0" t="s">
        <v>275</v>
      </c>
      <c r="K1934" s="0" t="s">
        <v>6482</v>
      </c>
      <c r="L1934" s="0" t="s">
        <v>124</v>
      </c>
      <c r="M1934" s="0" t="s">
        <v>178</v>
      </c>
      <c r="N1934" s="0" t="s">
        <v>124</v>
      </c>
      <c r="P1934" s="0" t="s">
        <v>102</v>
      </c>
      <c r="Q1934" s="0" t="s">
        <v>102</v>
      </c>
      <c r="R1934" s="0" t="s">
        <v>113</v>
      </c>
      <c r="S1934" s="0" t="s">
        <v>21</v>
      </c>
      <c r="T1934" s="0" t="s">
        <v>104</v>
      </c>
      <c r="W1934" s="0" t="s">
        <v>105</v>
      </c>
      <c r="X1934" s="0" t="s">
        <v>6483</v>
      </c>
      <c r="Y1934" s="0" t="s">
        <v>6484</v>
      </c>
      <c r="Z1934" s="0" t="s">
        <v>382</v>
      </c>
    </row>
    <row r="1935" customFormat="false" ht="15" hidden="false" customHeight="false" outlineLevel="0" collapsed="false">
      <c r="A1935" s="0" t="s">
        <v>21</v>
      </c>
      <c r="B1935" s="0" t="s">
        <v>6485</v>
      </c>
      <c r="C1935" s="0" t="s">
        <v>372</v>
      </c>
      <c r="D1935" s="0" t="s">
        <v>6486</v>
      </c>
      <c r="E1935" s="0" t="s">
        <v>6487</v>
      </c>
      <c r="H1935" s="0" t="s">
        <v>6488</v>
      </c>
      <c r="I1935" s="0" t="s">
        <v>6489</v>
      </c>
      <c r="J1935" s="0" t="s">
        <v>157</v>
      </c>
      <c r="K1935" s="0" t="s">
        <v>6490</v>
      </c>
      <c r="L1935" s="0" t="s">
        <v>124</v>
      </c>
      <c r="M1935" s="0" t="s">
        <v>232</v>
      </c>
      <c r="N1935" s="0" t="s">
        <v>124</v>
      </c>
      <c r="P1935" s="0" t="s">
        <v>379</v>
      </c>
      <c r="Q1935" s="0" t="s">
        <v>379</v>
      </c>
      <c r="R1935" s="0" t="s">
        <v>379</v>
      </c>
      <c r="S1935" s="0" t="s">
        <v>21</v>
      </c>
      <c r="T1935" s="0" t="s">
        <v>104</v>
      </c>
      <c r="W1935" s="0" t="s">
        <v>183</v>
      </c>
      <c r="X1935" s="0" t="s">
        <v>6491</v>
      </c>
      <c r="Y1935" s="0" t="s">
        <v>6492</v>
      </c>
      <c r="Z1935" s="0" t="s">
        <v>382</v>
      </c>
    </row>
    <row r="1936" customFormat="false" ht="15" hidden="false" customHeight="false" outlineLevel="0" collapsed="false">
      <c r="A1936" s="0" t="s">
        <v>21</v>
      </c>
      <c r="B1936" s="0" t="s">
        <v>6485</v>
      </c>
      <c r="C1936" s="0" t="s">
        <v>372</v>
      </c>
      <c r="D1936" s="0" t="s">
        <v>6486</v>
      </c>
      <c r="E1936" s="0" t="s">
        <v>6487</v>
      </c>
      <c r="H1936" s="0" t="s">
        <v>6488</v>
      </c>
      <c r="I1936" s="0" t="s">
        <v>6489</v>
      </c>
      <c r="J1936" s="0" t="s">
        <v>157</v>
      </c>
      <c r="K1936" s="0" t="s">
        <v>6490</v>
      </c>
      <c r="L1936" s="0" t="s">
        <v>124</v>
      </c>
      <c r="M1936" s="0" t="s">
        <v>232</v>
      </c>
      <c r="N1936" s="0" t="s">
        <v>124</v>
      </c>
      <c r="P1936" s="0" t="s">
        <v>102</v>
      </c>
      <c r="Q1936" s="0" t="s">
        <v>102</v>
      </c>
      <c r="R1936" s="0" t="s">
        <v>113</v>
      </c>
      <c r="S1936" s="0" t="s">
        <v>21</v>
      </c>
      <c r="T1936" s="0" t="s">
        <v>104</v>
      </c>
      <c r="W1936" s="0" t="s">
        <v>105</v>
      </c>
      <c r="X1936" s="0" t="s">
        <v>6491</v>
      </c>
      <c r="Y1936" s="0" t="s">
        <v>6492</v>
      </c>
      <c r="Z1936" s="0" t="s">
        <v>382</v>
      </c>
    </row>
    <row r="1937" customFormat="false" ht="15" hidden="false" customHeight="false" outlineLevel="0" collapsed="false">
      <c r="A1937" s="0" t="s">
        <v>21</v>
      </c>
      <c r="B1937" s="0" t="s">
        <v>6493</v>
      </c>
      <c r="C1937" s="0" t="s">
        <v>372</v>
      </c>
      <c r="D1937" s="0" t="s">
        <v>3872</v>
      </c>
      <c r="E1937" s="0" t="s">
        <v>6494</v>
      </c>
      <c r="H1937" s="0" t="s">
        <v>6495</v>
      </c>
      <c r="I1937" s="0" t="s">
        <v>6496</v>
      </c>
      <c r="J1937" s="0" t="s">
        <v>178</v>
      </c>
      <c r="K1937" s="0" t="s">
        <v>6497</v>
      </c>
      <c r="M1937" s="0" t="s">
        <v>178</v>
      </c>
      <c r="N1937" s="0" t="s">
        <v>124</v>
      </c>
      <c r="P1937" s="0" t="s">
        <v>379</v>
      </c>
      <c r="Q1937" s="0" t="s">
        <v>379</v>
      </c>
      <c r="R1937" s="0" t="s">
        <v>379</v>
      </c>
      <c r="S1937" s="0" t="s">
        <v>21</v>
      </c>
      <c r="T1937" s="0" t="s">
        <v>104</v>
      </c>
      <c r="W1937" s="0" t="s">
        <v>183</v>
      </c>
      <c r="Z1937" s="0" t="s">
        <v>382</v>
      </c>
    </row>
    <row r="1938" customFormat="false" ht="15" hidden="false" customHeight="false" outlineLevel="0" collapsed="false">
      <c r="A1938" s="0" t="s">
        <v>21</v>
      </c>
      <c r="B1938" s="0" t="s">
        <v>6493</v>
      </c>
      <c r="C1938" s="0" t="s">
        <v>372</v>
      </c>
      <c r="D1938" s="0" t="s">
        <v>3872</v>
      </c>
      <c r="E1938" s="0" t="s">
        <v>6494</v>
      </c>
      <c r="H1938" s="0" t="s">
        <v>6495</v>
      </c>
      <c r="I1938" s="0" t="s">
        <v>6496</v>
      </c>
      <c r="J1938" s="0" t="s">
        <v>178</v>
      </c>
      <c r="K1938" s="0" t="s">
        <v>6497</v>
      </c>
      <c r="M1938" s="0" t="s">
        <v>178</v>
      </c>
      <c r="N1938" s="0" t="s">
        <v>124</v>
      </c>
      <c r="P1938" s="0" t="s">
        <v>102</v>
      </c>
      <c r="Q1938" s="0" t="s">
        <v>102</v>
      </c>
      <c r="R1938" s="0" t="s">
        <v>113</v>
      </c>
      <c r="S1938" s="0" t="s">
        <v>21</v>
      </c>
      <c r="T1938" s="0" t="s">
        <v>104</v>
      </c>
      <c r="W1938" s="0" t="s">
        <v>105</v>
      </c>
      <c r="Z1938" s="0" t="s">
        <v>382</v>
      </c>
    </row>
    <row r="1939" customFormat="false" ht="15" hidden="false" customHeight="false" outlineLevel="0" collapsed="false">
      <c r="A1939" s="0" t="s">
        <v>21</v>
      </c>
      <c r="B1939" s="0" t="s">
        <v>6493</v>
      </c>
      <c r="C1939" s="0" t="s">
        <v>372</v>
      </c>
      <c r="D1939" s="0" t="s">
        <v>3872</v>
      </c>
      <c r="E1939" s="0" t="s">
        <v>6494</v>
      </c>
      <c r="H1939" s="0" t="s">
        <v>6495</v>
      </c>
      <c r="I1939" s="0" t="s">
        <v>6496</v>
      </c>
      <c r="J1939" s="0" t="s">
        <v>178</v>
      </c>
      <c r="K1939" s="0" t="s">
        <v>6497</v>
      </c>
      <c r="M1939" s="0" t="s">
        <v>178</v>
      </c>
      <c r="N1939" s="0" t="s">
        <v>124</v>
      </c>
      <c r="P1939" s="0" t="s">
        <v>4272</v>
      </c>
      <c r="Q1939" s="0" t="s">
        <v>6498</v>
      </c>
      <c r="R1939" s="0" t="s">
        <v>6499</v>
      </c>
      <c r="S1939" s="0" t="s">
        <v>21</v>
      </c>
      <c r="T1939" s="0" t="s">
        <v>104</v>
      </c>
      <c r="W1939" s="0" t="s">
        <v>183</v>
      </c>
      <c r="Z1939" s="0" t="s">
        <v>382</v>
      </c>
    </row>
    <row r="1940" customFormat="false" ht="15" hidden="false" customHeight="false" outlineLevel="0" collapsed="false">
      <c r="A1940" s="0" t="s">
        <v>21</v>
      </c>
      <c r="B1940" s="0" t="s">
        <v>6500</v>
      </c>
      <c r="C1940" s="0" t="s">
        <v>372</v>
      </c>
      <c r="D1940" s="0" t="s">
        <v>453</v>
      </c>
      <c r="E1940" s="0" t="s">
        <v>6501</v>
      </c>
      <c r="H1940" s="0" t="s">
        <v>6502</v>
      </c>
      <c r="I1940" s="0" t="s">
        <v>6503</v>
      </c>
      <c r="J1940" s="0" t="s">
        <v>456</v>
      </c>
      <c r="K1940" s="0" t="s">
        <v>431</v>
      </c>
      <c r="L1940" s="0" t="s">
        <v>101</v>
      </c>
      <c r="M1940" s="0" t="s">
        <v>456</v>
      </c>
      <c r="N1940" s="0" t="s">
        <v>101</v>
      </c>
      <c r="P1940" s="0" t="s">
        <v>379</v>
      </c>
      <c r="Q1940" s="0" t="s">
        <v>379</v>
      </c>
      <c r="R1940" s="0" t="s">
        <v>379</v>
      </c>
      <c r="S1940" s="0" t="s">
        <v>21</v>
      </c>
      <c r="T1940" s="0" t="s">
        <v>104</v>
      </c>
      <c r="W1940" s="0" t="s">
        <v>183</v>
      </c>
      <c r="X1940" s="0" t="s">
        <v>6504</v>
      </c>
      <c r="Y1940" s="0" t="s">
        <v>6505</v>
      </c>
    </row>
    <row r="1941" customFormat="false" ht="15" hidden="false" customHeight="false" outlineLevel="0" collapsed="false">
      <c r="A1941" s="0" t="s">
        <v>21</v>
      </c>
      <c r="B1941" s="0" t="s">
        <v>6500</v>
      </c>
      <c r="C1941" s="0" t="s">
        <v>372</v>
      </c>
      <c r="D1941" s="0" t="s">
        <v>453</v>
      </c>
      <c r="E1941" s="0" t="s">
        <v>6501</v>
      </c>
      <c r="H1941" s="0" t="s">
        <v>6502</v>
      </c>
      <c r="I1941" s="0" t="s">
        <v>6503</v>
      </c>
      <c r="J1941" s="0" t="s">
        <v>456</v>
      </c>
      <c r="K1941" s="0" t="s">
        <v>431</v>
      </c>
      <c r="L1941" s="0" t="s">
        <v>101</v>
      </c>
      <c r="M1941" s="0" t="s">
        <v>456</v>
      </c>
      <c r="N1941" s="0" t="s">
        <v>101</v>
      </c>
      <c r="P1941" s="0" t="s">
        <v>102</v>
      </c>
      <c r="Q1941" s="0" t="s">
        <v>102</v>
      </c>
      <c r="R1941" s="0" t="s">
        <v>113</v>
      </c>
      <c r="S1941" s="0" t="s">
        <v>21</v>
      </c>
      <c r="T1941" s="0" t="s">
        <v>104</v>
      </c>
      <c r="W1941" s="0" t="s">
        <v>105</v>
      </c>
      <c r="X1941" s="0" t="s">
        <v>6504</v>
      </c>
      <c r="Y1941" s="0" t="s">
        <v>6505</v>
      </c>
    </row>
    <row r="1942" customFormat="false" ht="15" hidden="false" customHeight="false" outlineLevel="0" collapsed="false">
      <c r="A1942" s="0" t="s">
        <v>21</v>
      </c>
      <c r="B1942" s="0" t="s">
        <v>6506</v>
      </c>
      <c r="C1942" s="0" t="s">
        <v>372</v>
      </c>
      <c r="D1942" s="0" t="s">
        <v>362</v>
      </c>
      <c r="E1942" s="0" t="s">
        <v>6507</v>
      </c>
      <c r="F1942" s="0" t="s">
        <v>6508</v>
      </c>
      <c r="H1942" s="0" t="s">
        <v>365</v>
      </c>
      <c r="I1942" s="0" t="s">
        <v>6509</v>
      </c>
      <c r="J1942" s="0" t="s">
        <v>366</v>
      </c>
      <c r="K1942" s="0" t="s">
        <v>1565</v>
      </c>
      <c r="L1942" s="0" t="s">
        <v>101</v>
      </c>
      <c r="M1942" s="0" t="s">
        <v>366</v>
      </c>
      <c r="N1942" s="0" t="s">
        <v>101</v>
      </c>
      <c r="P1942" s="0" t="s">
        <v>379</v>
      </c>
      <c r="Q1942" s="0" t="s">
        <v>379</v>
      </c>
      <c r="R1942" s="0" t="s">
        <v>379</v>
      </c>
      <c r="S1942" s="0" t="s">
        <v>21</v>
      </c>
      <c r="T1942" s="0" t="s">
        <v>104</v>
      </c>
      <c r="W1942" s="0" t="s">
        <v>183</v>
      </c>
      <c r="X1942" s="0" t="s">
        <v>6510</v>
      </c>
      <c r="Y1942" s="0" t="s">
        <v>6511</v>
      </c>
    </row>
    <row r="1943" customFormat="false" ht="15" hidden="false" customHeight="false" outlineLevel="0" collapsed="false">
      <c r="A1943" s="0" t="s">
        <v>21</v>
      </c>
      <c r="B1943" s="0" t="s">
        <v>6506</v>
      </c>
      <c r="C1943" s="0" t="s">
        <v>372</v>
      </c>
      <c r="D1943" s="0" t="s">
        <v>362</v>
      </c>
      <c r="E1943" s="0" t="s">
        <v>6507</v>
      </c>
      <c r="F1943" s="0" t="s">
        <v>6508</v>
      </c>
      <c r="H1943" s="0" t="s">
        <v>365</v>
      </c>
      <c r="I1943" s="0" t="s">
        <v>6509</v>
      </c>
      <c r="J1943" s="0" t="s">
        <v>366</v>
      </c>
      <c r="K1943" s="0" t="s">
        <v>1565</v>
      </c>
      <c r="L1943" s="0" t="s">
        <v>101</v>
      </c>
      <c r="M1943" s="0" t="s">
        <v>366</v>
      </c>
      <c r="N1943" s="0" t="s">
        <v>101</v>
      </c>
      <c r="P1943" s="0" t="s">
        <v>102</v>
      </c>
      <c r="Q1943" s="0" t="s">
        <v>102</v>
      </c>
      <c r="R1943" s="0" t="s">
        <v>113</v>
      </c>
      <c r="S1943" s="0" t="s">
        <v>21</v>
      </c>
      <c r="T1943" s="0" t="s">
        <v>104</v>
      </c>
      <c r="W1943" s="0" t="s">
        <v>105</v>
      </c>
      <c r="X1943" s="0" t="s">
        <v>6510</v>
      </c>
      <c r="Y1943" s="0" t="s">
        <v>6511</v>
      </c>
    </row>
    <row r="1944" customFormat="false" ht="15" hidden="false" customHeight="false" outlineLevel="0" collapsed="false">
      <c r="A1944" s="0" t="s">
        <v>21</v>
      </c>
      <c r="B1944" s="0" t="s">
        <v>6512</v>
      </c>
      <c r="C1944" s="0" t="s">
        <v>372</v>
      </c>
      <c r="D1944" s="0" t="s">
        <v>6513</v>
      </c>
      <c r="E1944" s="0" t="s">
        <v>3361</v>
      </c>
      <c r="H1944" s="0" t="s">
        <v>6514</v>
      </c>
      <c r="I1944" s="0" t="s">
        <v>6515</v>
      </c>
      <c r="J1944" s="0" t="s">
        <v>218</v>
      </c>
      <c r="K1944" s="0" t="s">
        <v>418</v>
      </c>
      <c r="L1944" s="0" t="s">
        <v>124</v>
      </c>
      <c r="M1944" s="0" t="s">
        <v>220</v>
      </c>
      <c r="N1944" s="0" t="s">
        <v>124</v>
      </c>
      <c r="P1944" s="0" t="s">
        <v>379</v>
      </c>
      <c r="Q1944" s="0" t="s">
        <v>379</v>
      </c>
      <c r="R1944" s="0" t="s">
        <v>379</v>
      </c>
      <c r="S1944" s="0" t="s">
        <v>21</v>
      </c>
      <c r="T1944" s="0" t="s">
        <v>104</v>
      </c>
      <c r="W1944" s="0" t="s">
        <v>183</v>
      </c>
      <c r="X1944" s="0" t="s">
        <v>6516</v>
      </c>
      <c r="Y1944" s="0" t="s">
        <v>6517</v>
      </c>
      <c r="Z1944" s="0" t="s">
        <v>382</v>
      </c>
    </row>
    <row r="1945" customFormat="false" ht="15" hidden="false" customHeight="false" outlineLevel="0" collapsed="false">
      <c r="A1945" s="0" t="s">
        <v>21</v>
      </c>
      <c r="B1945" s="0" t="s">
        <v>6512</v>
      </c>
      <c r="C1945" s="0" t="s">
        <v>372</v>
      </c>
      <c r="D1945" s="0" t="s">
        <v>6513</v>
      </c>
      <c r="E1945" s="0" t="s">
        <v>3361</v>
      </c>
      <c r="H1945" s="0" t="s">
        <v>6514</v>
      </c>
      <c r="I1945" s="0" t="s">
        <v>6515</v>
      </c>
      <c r="J1945" s="0" t="s">
        <v>218</v>
      </c>
      <c r="K1945" s="0" t="s">
        <v>418</v>
      </c>
      <c r="L1945" s="0" t="s">
        <v>124</v>
      </c>
      <c r="M1945" s="0" t="s">
        <v>220</v>
      </c>
      <c r="N1945" s="0" t="s">
        <v>124</v>
      </c>
      <c r="P1945" s="0" t="s">
        <v>102</v>
      </c>
      <c r="Q1945" s="0" t="s">
        <v>102</v>
      </c>
      <c r="R1945" s="0" t="s">
        <v>113</v>
      </c>
      <c r="S1945" s="0" t="s">
        <v>21</v>
      </c>
      <c r="T1945" s="0" t="s">
        <v>104</v>
      </c>
      <c r="W1945" s="0" t="s">
        <v>105</v>
      </c>
      <c r="X1945" s="0" t="s">
        <v>6516</v>
      </c>
      <c r="Y1945" s="0" t="s">
        <v>6517</v>
      </c>
      <c r="Z1945" s="0" t="s">
        <v>382</v>
      </c>
    </row>
    <row r="1946" customFormat="false" ht="15" hidden="false" customHeight="false" outlineLevel="0" collapsed="false">
      <c r="A1946" s="0" t="s">
        <v>21</v>
      </c>
      <c r="B1946" s="0" t="s">
        <v>6518</v>
      </c>
      <c r="C1946" s="0" t="s">
        <v>372</v>
      </c>
      <c r="D1946" s="0" t="s">
        <v>6519</v>
      </c>
      <c r="E1946" s="0" t="s">
        <v>589</v>
      </c>
      <c r="H1946" s="0" t="s">
        <v>6520</v>
      </c>
      <c r="I1946" s="0" t="s">
        <v>6521</v>
      </c>
      <c r="J1946" s="0" t="s">
        <v>275</v>
      </c>
      <c r="K1946" s="0" t="s">
        <v>6522</v>
      </c>
      <c r="L1946" s="0" t="s">
        <v>124</v>
      </c>
      <c r="M1946" s="0" t="s">
        <v>178</v>
      </c>
      <c r="N1946" s="0" t="s">
        <v>124</v>
      </c>
      <c r="P1946" s="0" t="s">
        <v>379</v>
      </c>
      <c r="Q1946" s="0" t="s">
        <v>379</v>
      </c>
      <c r="R1946" s="0" t="s">
        <v>379</v>
      </c>
      <c r="S1946" s="0" t="s">
        <v>21</v>
      </c>
      <c r="T1946" s="0" t="s">
        <v>104</v>
      </c>
      <c r="W1946" s="0" t="s">
        <v>183</v>
      </c>
      <c r="X1946" s="0" t="s">
        <v>6523</v>
      </c>
      <c r="Y1946" s="0" t="s">
        <v>6524</v>
      </c>
      <c r="Z1946" s="0" t="s">
        <v>382</v>
      </c>
    </row>
    <row r="1947" customFormat="false" ht="15" hidden="false" customHeight="false" outlineLevel="0" collapsed="false">
      <c r="A1947" s="0" t="s">
        <v>21</v>
      </c>
      <c r="B1947" s="0" t="s">
        <v>6518</v>
      </c>
      <c r="C1947" s="0" t="s">
        <v>372</v>
      </c>
      <c r="D1947" s="0" t="s">
        <v>6519</v>
      </c>
      <c r="E1947" s="0" t="s">
        <v>589</v>
      </c>
      <c r="H1947" s="0" t="s">
        <v>6520</v>
      </c>
      <c r="I1947" s="0" t="s">
        <v>6521</v>
      </c>
      <c r="J1947" s="0" t="s">
        <v>275</v>
      </c>
      <c r="K1947" s="0" t="s">
        <v>6522</v>
      </c>
      <c r="L1947" s="0" t="s">
        <v>124</v>
      </c>
      <c r="M1947" s="0" t="s">
        <v>178</v>
      </c>
      <c r="N1947" s="0" t="s">
        <v>124</v>
      </c>
      <c r="P1947" s="0" t="s">
        <v>102</v>
      </c>
      <c r="Q1947" s="0" t="s">
        <v>102</v>
      </c>
      <c r="R1947" s="0" t="s">
        <v>113</v>
      </c>
      <c r="S1947" s="0" t="s">
        <v>21</v>
      </c>
      <c r="T1947" s="0" t="s">
        <v>104</v>
      </c>
      <c r="W1947" s="0" t="s">
        <v>105</v>
      </c>
      <c r="X1947" s="0" t="s">
        <v>6523</v>
      </c>
      <c r="Y1947" s="0" t="s">
        <v>6524</v>
      </c>
      <c r="Z1947" s="0" t="s">
        <v>382</v>
      </c>
    </row>
    <row r="1948" customFormat="false" ht="15" hidden="false" customHeight="false" outlineLevel="0" collapsed="false">
      <c r="A1948" s="0" t="s">
        <v>21</v>
      </c>
      <c r="B1948" s="0" t="s">
        <v>6525</v>
      </c>
      <c r="C1948" s="0" t="s">
        <v>97</v>
      </c>
      <c r="D1948" s="0" t="s">
        <v>6344</v>
      </c>
      <c r="E1948" s="0" t="s">
        <v>6345</v>
      </c>
      <c r="M1948" s="0" t="s">
        <v>136</v>
      </c>
      <c r="N1948" s="0" t="s">
        <v>124</v>
      </c>
      <c r="P1948" s="0" t="s">
        <v>102</v>
      </c>
      <c r="Q1948" s="0" t="s">
        <v>102</v>
      </c>
      <c r="R1948" s="0" t="s">
        <v>113</v>
      </c>
      <c r="S1948" s="0" t="s">
        <v>21</v>
      </c>
      <c r="T1948" s="0" t="s">
        <v>104</v>
      </c>
      <c r="W1948" s="0" t="s">
        <v>105</v>
      </c>
    </row>
    <row r="1949" customFormat="false" ht="15" hidden="false" customHeight="false" outlineLevel="0" collapsed="false">
      <c r="A1949" s="0" t="s">
        <v>21</v>
      </c>
      <c r="B1949" s="0" t="s">
        <v>6526</v>
      </c>
      <c r="C1949" s="0" t="s">
        <v>97</v>
      </c>
      <c r="D1949" s="0" t="s">
        <v>6527</v>
      </c>
      <c r="E1949" s="0" t="s">
        <v>6528</v>
      </c>
      <c r="H1949" s="0" t="s">
        <v>654</v>
      </c>
      <c r="I1949" s="0" t="s">
        <v>655</v>
      </c>
      <c r="J1949" s="0" t="s">
        <v>100</v>
      </c>
      <c r="K1949" s="0" t="s">
        <v>168</v>
      </c>
      <c r="L1949" s="0" t="s">
        <v>101</v>
      </c>
      <c r="M1949" s="0" t="s">
        <v>656</v>
      </c>
      <c r="N1949" s="0" t="s">
        <v>101</v>
      </c>
      <c r="P1949" s="0" t="s">
        <v>102</v>
      </c>
      <c r="Q1949" s="0" t="s">
        <v>102</v>
      </c>
      <c r="R1949" s="0" t="s">
        <v>113</v>
      </c>
      <c r="S1949" s="0" t="s">
        <v>21</v>
      </c>
      <c r="T1949" s="0" t="s">
        <v>104</v>
      </c>
      <c r="W1949" s="0" t="s">
        <v>105</v>
      </c>
      <c r="X1949" s="0" t="s">
        <v>658</v>
      </c>
      <c r="Y1949" s="0" t="s">
        <v>659</v>
      </c>
    </row>
    <row r="1950" customFormat="false" ht="15" hidden="false" customHeight="false" outlineLevel="0" collapsed="false">
      <c r="A1950" s="0" t="s">
        <v>21</v>
      </c>
      <c r="B1950" s="0" t="s">
        <v>6529</v>
      </c>
      <c r="C1950" s="0" t="s">
        <v>97</v>
      </c>
      <c r="D1950" s="0" t="s">
        <v>6432</v>
      </c>
      <c r="E1950" s="0" t="s">
        <v>6433</v>
      </c>
      <c r="M1950" s="0" t="s">
        <v>136</v>
      </c>
      <c r="N1950" s="0" t="s">
        <v>124</v>
      </c>
      <c r="P1950" s="0" t="s">
        <v>102</v>
      </c>
      <c r="Q1950" s="0" t="s">
        <v>102</v>
      </c>
      <c r="R1950" s="0" t="s">
        <v>113</v>
      </c>
      <c r="S1950" s="0" t="s">
        <v>21</v>
      </c>
      <c r="T1950" s="0" t="s">
        <v>104</v>
      </c>
      <c r="W1950" s="0" t="s">
        <v>105</v>
      </c>
    </row>
    <row r="1951" customFormat="false" ht="15" hidden="false" customHeight="false" outlineLevel="0" collapsed="false">
      <c r="A1951" s="0" t="s">
        <v>21</v>
      </c>
      <c r="B1951" s="0" t="s">
        <v>6530</v>
      </c>
      <c r="C1951" s="0" t="s">
        <v>97</v>
      </c>
      <c r="D1951" s="0" t="s">
        <v>6531</v>
      </c>
      <c r="E1951" s="0" t="s">
        <v>6532</v>
      </c>
      <c r="M1951" s="0" t="s">
        <v>136</v>
      </c>
      <c r="N1951" s="0" t="s">
        <v>124</v>
      </c>
      <c r="P1951" s="0" t="s">
        <v>102</v>
      </c>
      <c r="Q1951" s="0" t="s">
        <v>102</v>
      </c>
      <c r="R1951" s="0" t="s">
        <v>113</v>
      </c>
      <c r="S1951" s="0" t="s">
        <v>21</v>
      </c>
      <c r="T1951" s="0" t="s">
        <v>104</v>
      </c>
      <c r="W1951" s="0" t="s">
        <v>105</v>
      </c>
    </row>
    <row r="1952" customFormat="false" ht="15" hidden="false" customHeight="false" outlineLevel="0" collapsed="false">
      <c r="A1952" s="0" t="s">
        <v>21</v>
      </c>
      <c r="B1952" s="0" t="s">
        <v>6533</v>
      </c>
      <c r="C1952" s="0" t="s">
        <v>97</v>
      </c>
      <c r="D1952" s="0" t="s">
        <v>6329</v>
      </c>
      <c r="E1952" s="0" t="s">
        <v>6534</v>
      </c>
      <c r="M1952" s="0" t="s">
        <v>136</v>
      </c>
      <c r="N1952" s="0" t="s">
        <v>124</v>
      </c>
      <c r="P1952" s="0" t="s">
        <v>102</v>
      </c>
      <c r="Q1952" s="0" t="s">
        <v>102</v>
      </c>
      <c r="R1952" s="0" t="s">
        <v>113</v>
      </c>
      <c r="S1952" s="0" t="s">
        <v>21</v>
      </c>
      <c r="T1952" s="0" t="s">
        <v>104</v>
      </c>
      <c r="W1952" s="0" t="s">
        <v>105</v>
      </c>
    </row>
    <row r="1953" customFormat="false" ht="15" hidden="false" customHeight="false" outlineLevel="0" collapsed="false">
      <c r="A1953" s="0" t="s">
        <v>21</v>
      </c>
      <c r="B1953" s="0" t="s">
        <v>6535</v>
      </c>
      <c r="C1953" s="0" t="s">
        <v>97</v>
      </c>
      <c r="D1953" s="0" t="s">
        <v>6536</v>
      </c>
      <c r="E1953" s="0" t="s">
        <v>6537</v>
      </c>
      <c r="M1953" s="0" t="s">
        <v>136</v>
      </c>
      <c r="N1953" s="0" t="s">
        <v>124</v>
      </c>
      <c r="P1953" s="0" t="s">
        <v>102</v>
      </c>
      <c r="Q1953" s="0" t="s">
        <v>102</v>
      </c>
      <c r="R1953" s="0" t="s">
        <v>113</v>
      </c>
      <c r="S1953" s="0" t="s">
        <v>21</v>
      </c>
      <c r="T1953" s="0" t="s">
        <v>104</v>
      </c>
      <c r="W1953" s="0" t="s">
        <v>105</v>
      </c>
    </row>
    <row r="1954" customFormat="false" ht="15" hidden="false" customHeight="false" outlineLevel="0" collapsed="false">
      <c r="A1954" s="0" t="s">
        <v>21</v>
      </c>
      <c r="B1954" s="0" t="s">
        <v>6538</v>
      </c>
      <c r="C1954" s="0" t="s">
        <v>97</v>
      </c>
      <c r="D1954" s="0" t="s">
        <v>6382</v>
      </c>
      <c r="E1954" s="0" t="s">
        <v>6539</v>
      </c>
      <c r="M1954" s="0" t="s">
        <v>136</v>
      </c>
      <c r="N1954" s="0" t="s">
        <v>124</v>
      </c>
      <c r="P1954" s="0" t="s">
        <v>102</v>
      </c>
      <c r="Q1954" s="0" t="s">
        <v>102</v>
      </c>
      <c r="R1954" s="0" t="s">
        <v>113</v>
      </c>
      <c r="S1954" s="0" t="s">
        <v>21</v>
      </c>
      <c r="T1954" s="0" t="s">
        <v>104</v>
      </c>
      <c r="W1954" s="0" t="s">
        <v>105</v>
      </c>
    </row>
    <row r="1955" customFormat="false" ht="15" hidden="false" customHeight="false" outlineLevel="0" collapsed="false">
      <c r="A1955" s="0" t="s">
        <v>21</v>
      </c>
      <c r="B1955" s="0" t="s">
        <v>6540</v>
      </c>
      <c r="C1955" s="0" t="s">
        <v>97</v>
      </c>
      <c r="D1955" s="0" t="s">
        <v>6541</v>
      </c>
      <c r="E1955" s="0" t="s">
        <v>6542</v>
      </c>
      <c r="M1955" s="0" t="s">
        <v>136</v>
      </c>
      <c r="N1955" s="0" t="s">
        <v>124</v>
      </c>
      <c r="P1955" s="0" t="s">
        <v>102</v>
      </c>
      <c r="Q1955" s="0" t="s">
        <v>102</v>
      </c>
      <c r="R1955" s="0" t="s">
        <v>113</v>
      </c>
      <c r="S1955" s="0" t="s">
        <v>21</v>
      </c>
      <c r="T1955" s="0" t="s">
        <v>104</v>
      </c>
      <c r="W1955" s="0" t="s">
        <v>105</v>
      </c>
    </row>
    <row r="1956" customFormat="false" ht="15" hidden="false" customHeight="false" outlineLevel="0" collapsed="false">
      <c r="A1956" s="0" t="s">
        <v>21</v>
      </c>
      <c r="B1956" s="0" t="s">
        <v>6543</v>
      </c>
      <c r="C1956" s="0" t="s">
        <v>97</v>
      </c>
      <c r="D1956" s="0" t="s">
        <v>6370</v>
      </c>
      <c r="E1956" s="0" t="s">
        <v>6544</v>
      </c>
      <c r="M1956" s="0" t="s">
        <v>136</v>
      </c>
      <c r="N1956" s="0" t="s">
        <v>124</v>
      </c>
      <c r="P1956" s="0" t="s">
        <v>102</v>
      </c>
      <c r="Q1956" s="0" t="s">
        <v>102</v>
      </c>
      <c r="R1956" s="0" t="s">
        <v>113</v>
      </c>
      <c r="S1956" s="0" t="s">
        <v>21</v>
      </c>
      <c r="T1956" s="0" t="s">
        <v>104</v>
      </c>
      <c r="W1956" s="0" t="s">
        <v>105</v>
      </c>
    </row>
    <row r="1957" customFormat="false" ht="15" hidden="false" customHeight="false" outlineLevel="0" collapsed="false">
      <c r="A1957" s="0" t="s">
        <v>21</v>
      </c>
      <c r="B1957" s="0" t="s">
        <v>6545</v>
      </c>
      <c r="C1957" s="0" t="s">
        <v>97</v>
      </c>
      <c r="D1957" s="0" t="s">
        <v>6389</v>
      </c>
      <c r="E1957" s="0" t="s">
        <v>6546</v>
      </c>
      <c r="M1957" s="0" t="s">
        <v>136</v>
      </c>
      <c r="N1957" s="0" t="s">
        <v>124</v>
      </c>
      <c r="P1957" s="0" t="s">
        <v>102</v>
      </c>
      <c r="Q1957" s="0" t="s">
        <v>102</v>
      </c>
      <c r="R1957" s="0" t="s">
        <v>113</v>
      </c>
      <c r="S1957" s="0" t="s">
        <v>21</v>
      </c>
      <c r="T1957" s="0" t="s">
        <v>104</v>
      </c>
      <c r="W1957" s="0" t="s">
        <v>105</v>
      </c>
    </row>
    <row r="1958" customFormat="false" ht="15" hidden="false" customHeight="false" outlineLevel="0" collapsed="false">
      <c r="A1958" s="0" t="s">
        <v>21</v>
      </c>
      <c r="B1958" s="0" t="s">
        <v>6547</v>
      </c>
      <c r="C1958" s="0" t="s">
        <v>97</v>
      </c>
      <c r="D1958" s="0" t="s">
        <v>6548</v>
      </c>
      <c r="E1958" s="0" t="s">
        <v>6549</v>
      </c>
      <c r="M1958" s="0" t="s">
        <v>136</v>
      </c>
      <c r="N1958" s="0" t="s">
        <v>124</v>
      </c>
      <c r="P1958" s="0" t="s">
        <v>102</v>
      </c>
      <c r="Q1958" s="0" t="s">
        <v>102</v>
      </c>
      <c r="R1958" s="0" t="s">
        <v>113</v>
      </c>
      <c r="S1958" s="0" t="s">
        <v>21</v>
      </c>
      <c r="T1958" s="0" t="s">
        <v>104</v>
      </c>
      <c r="W1958" s="0" t="s">
        <v>105</v>
      </c>
    </row>
    <row r="1959" customFormat="false" ht="15" hidden="false" customHeight="false" outlineLevel="0" collapsed="false">
      <c r="A1959" s="0" t="s">
        <v>21</v>
      </c>
      <c r="B1959" s="0" t="s">
        <v>6550</v>
      </c>
      <c r="C1959" s="0" t="s">
        <v>97</v>
      </c>
      <c r="D1959" s="0" t="s">
        <v>6420</v>
      </c>
      <c r="E1959" s="0" t="s">
        <v>6551</v>
      </c>
      <c r="M1959" s="0" t="s">
        <v>136</v>
      </c>
      <c r="N1959" s="0" t="s">
        <v>124</v>
      </c>
      <c r="P1959" s="0" t="s">
        <v>102</v>
      </c>
      <c r="Q1959" s="0" t="s">
        <v>102</v>
      </c>
      <c r="R1959" s="0" t="s">
        <v>113</v>
      </c>
      <c r="S1959" s="0" t="s">
        <v>21</v>
      </c>
      <c r="T1959" s="0" t="s">
        <v>104</v>
      </c>
      <c r="W1959" s="0" t="s">
        <v>105</v>
      </c>
    </row>
    <row r="1960" customFormat="false" ht="15" hidden="false" customHeight="false" outlineLevel="0" collapsed="false">
      <c r="A1960" s="0" t="s">
        <v>21</v>
      </c>
      <c r="B1960" s="0" t="s">
        <v>6552</v>
      </c>
      <c r="C1960" s="0" t="s">
        <v>97</v>
      </c>
      <c r="D1960" s="0" t="s">
        <v>6553</v>
      </c>
      <c r="E1960" s="0" t="s">
        <v>6554</v>
      </c>
      <c r="M1960" s="0" t="s">
        <v>136</v>
      </c>
      <c r="N1960" s="0" t="s">
        <v>124</v>
      </c>
      <c r="P1960" s="0" t="s">
        <v>102</v>
      </c>
      <c r="Q1960" s="0" t="s">
        <v>102</v>
      </c>
      <c r="R1960" s="0" t="s">
        <v>113</v>
      </c>
      <c r="S1960" s="0" t="s">
        <v>21</v>
      </c>
      <c r="T1960" s="0" t="s">
        <v>104</v>
      </c>
      <c r="W1960" s="0" t="s">
        <v>105</v>
      </c>
    </row>
    <row r="1961" customFormat="false" ht="15" hidden="false" customHeight="false" outlineLevel="0" collapsed="false">
      <c r="A1961" s="0" t="s">
        <v>21</v>
      </c>
      <c r="B1961" s="0" t="s">
        <v>6555</v>
      </c>
      <c r="C1961" s="0" t="s">
        <v>97</v>
      </c>
      <c r="D1961" s="0" t="s">
        <v>6556</v>
      </c>
      <c r="E1961" s="0" t="s">
        <v>6557</v>
      </c>
      <c r="M1961" s="0" t="s">
        <v>136</v>
      </c>
      <c r="N1961" s="0" t="s">
        <v>124</v>
      </c>
      <c r="P1961" s="0" t="s">
        <v>102</v>
      </c>
      <c r="Q1961" s="0" t="s">
        <v>102</v>
      </c>
      <c r="R1961" s="0" t="s">
        <v>113</v>
      </c>
      <c r="S1961" s="0" t="s">
        <v>21</v>
      </c>
      <c r="T1961" s="0" t="s">
        <v>104</v>
      </c>
      <c r="W1961" s="0" t="s">
        <v>105</v>
      </c>
    </row>
    <row r="1962" customFormat="false" ht="15" hidden="false" customHeight="false" outlineLevel="0" collapsed="false">
      <c r="A1962" s="0" t="s">
        <v>21</v>
      </c>
      <c r="B1962" s="0" t="s">
        <v>6558</v>
      </c>
      <c r="C1962" s="0" t="s">
        <v>97</v>
      </c>
      <c r="D1962" s="0" t="s">
        <v>373</v>
      </c>
      <c r="E1962" s="0" t="s">
        <v>6559</v>
      </c>
      <c r="M1962" s="0" t="s">
        <v>136</v>
      </c>
      <c r="N1962" s="0" t="s">
        <v>124</v>
      </c>
      <c r="P1962" s="0" t="s">
        <v>102</v>
      </c>
      <c r="Q1962" s="0" t="s">
        <v>102</v>
      </c>
      <c r="R1962" s="0" t="s">
        <v>113</v>
      </c>
      <c r="S1962" s="0" t="s">
        <v>21</v>
      </c>
      <c r="T1962" s="0" t="s">
        <v>104</v>
      </c>
      <c r="W1962" s="0" t="s">
        <v>105</v>
      </c>
    </row>
    <row r="1963" customFormat="false" ht="15" hidden="false" customHeight="false" outlineLevel="0" collapsed="false">
      <c r="A1963" s="0" t="s">
        <v>21</v>
      </c>
      <c r="B1963" s="0" t="s">
        <v>6560</v>
      </c>
      <c r="C1963" s="0" t="s">
        <v>97</v>
      </c>
      <c r="D1963" s="0" t="s">
        <v>6561</v>
      </c>
      <c r="E1963" s="0" t="s">
        <v>6562</v>
      </c>
      <c r="M1963" s="0" t="s">
        <v>136</v>
      </c>
      <c r="N1963" s="0" t="s">
        <v>124</v>
      </c>
      <c r="P1963" s="0" t="s">
        <v>102</v>
      </c>
      <c r="Q1963" s="0" t="s">
        <v>102</v>
      </c>
      <c r="R1963" s="0" t="s">
        <v>113</v>
      </c>
      <c r="S1963" s="0" t="s">
        <v>21</v>
      </c>
      <c r="T1963" s="0" t="s">
        <v>104</v>
      </c>
      <c r="W1963" s="0" t="s">
        <v>105</v>
      </c>
    </row>
    <row r="1964" customFormat="false" ht="15" hidden="false" customHeight="false" outlineLevel="0" collapsed="false">
      <c r="A1964" s="0" t="s">
        <v>21</v>
      </c>
      <c r="B1964" s="0" t="s">
        <v>6563</v>
      </c>
      <c r="C1964" s="0" t="s">
        <v>97</v>
      </c>
      <c r="D1964" s="0" t="s">
        <v>6564</v>
      </c>
      <c r="E1964" s="0" t="s">
        <v>6565</v>
      </c>
      <c r="M1964" s="0" t="s">
        <v>136</v>
      </c>
      <c r="N1964" s="0" t="s">
        <v>124</v>
      </c>
      <c r="P1964" s="0" t="s">
        <v>102</v>
      </c>
      <c r="Q1964" s="0" t="s">
        <v>102</v>
      </c>
      <c r="R1964" s="0" t="s">
        <v>113</v>
      </c>
      <c r="S1964" s="0" t="s">
        <v>21</v>
      </c>
      <c r="T1964" s="0" t="s">
        <v>104</v>
      </c>
      <c r="W1964" s="0" t="s">
        <v>105</v>
      </c>
    </row>
    <row r="1965" customFormat="false" ht="15" hidden="false" customHeight="false" outlineLevel="0" collapsed="false">
      <c r="A1965" s="0" t="s">
        <v>21</v>
      </c>
      <c r="B1965" s="0" t="s">
        <v>6566</v>
      </c>
      <c r="C1965" s="0" t="s">
        <v>97</v>
      </c>
      <c r="D1965" s="0" t="s">
        <v>6567</v>
      </c>
      <c r="E1965" s="0" t="s">
        <v>6568</v>
      </c>
      <c r="M1965" s="0" t="s">
        <v>136</v>
      </c>
      <c r="N1965" s="0" t="s">
        <v>124</v>
      </c>
      <c r="P1965" s="0" t="s">
        <v>102</v>
      </c>
      <c r="Q1965" s="0" t="s">
        <v>102</v>
      </c>
      <c r="R1965" s="0" t="s">
        <v>113</v>
      </c>
      <c r="S1965" s="0" t="s">
        <v>21</v>
      </c>
      <c r="T1965" s="0" t="s">
        <v>104</v>
      </c>
      <c r="W1965" s="0" t="s">
        <v>105</v>
      </c>
    </row>
    <row r="1966" customFormat="false" ht="15" hidden="false" customHeight="false" outlineLevel="0" collapsed="false">
      <c r="A1966" s="0" t="s">
        <v>21</v>
      </c>
      <c r="B1966" s="0" t="s">
        <v>6569</v>
      </c>
      <c r="C1966" s="0" t="s">
        <v>97</v>
      </c>
      <c r="D1966" s="0" t="s">
        <v>6570</v>
      </c>
      <c r="E1966" s="0" t="s">
        <v>6571</v>
      </c>
      <c r="M1966" s="0" t="s">
        <v>136</v>
      </c>
      <c r="N1966" s="0" t="s">
        <v>124</v>
      </c>
      <c r="P1966" s="0" t="s">
        <v>102</v>
      </c>
      <c r="Q1966" s="0" t="s">
        <v>102</v>
      </c>
      <c r="R1966" s="0" t="s">
        <v>113</v>
      </c>
      <c r="S1966" s="0" t="s">
        <v>21</v>
      </c>
      <c r="T1966" s="0" t="s">
        <v>104</v>
      </c>
      <c r="W1966" s="0" t="s">
        <v>105</v>
      </c>
    </row>
    <row r="1967" customFormat="false" ht="15" hidden="false" customHeight="false" outlineLevel="0" collapsed="false">
      <c r="A1967" s="0" t="s">
        <v>21</v>
      </c>
      <c r="B1967" s="0" t="s">
        <v>6572</v>
      </c>
      <c r="C1967" s="0" t="s">
        <v>97</v>
      </c>
      <c r="D1967" s="0" t="s">
        <v>6573</v>
      </c>
      <c r="E1967" s="0" t="s">
        <v>6574</v>
      </c>
      <c r="M1967" s="0" t="s">
        <v>136</v>
      </c>
      <c r="N1967" s="0" t="s">
        <v>124</v>
      </c>
      <c r="P1967" s="0" t="s">
        <v>102</v>
      </c>
      <c r="Q1967" s="0" t="s">
        <v>102</v>
      </c>
      <c r="R1967" s="0" t="s">
        <v>113</v>
      </c>
      <c r="S1967" s="0" t="s">
        <v>21</v>
      </c>
      <c r="T1967" s="0" t="s">
        <v>104</v>
      </c>
      <c r="W1967" s="0" t="s">
        <v>105</v>
      </c>
    </row>
    <row r="1968" customFormat="false" ht="15" hidden="false" customHeight="false" outlineLevel="0" collapsed="false">
      <c r="A1968" s="0" t="s">
        <v>21</v>
      </c>
      <c r="B1968" s="0" t="s">
        <v>6575</v>
      </c>
      <c r="C1968" s="0" t="s">
        <v>97</v>
      </c>
      <c r="D1968" s="0" t="s">
        <v>6576</v>
      </c>
      <c r="E1968" s="0" t="s">
        <v>6577</v>
      </c>
      <c r="M1968" s="0" t="s">
        <v>136</v>
      </c>
      <c r="N1968" s="0" t="s">
        <v>124</v>
      </c>
      <c r="P1968" s="0" t="s">
        <v>102</v>
      </c>
      <c r="Q1968" s="0" t="s">
        <v>102</v>
      </c>
      <c r="R1968" s="0" t="s">
        <v>113</v>
      </c>
      <c r="S1968" s="0" t="s">
        <v>21</v>
      </c>
      <c r="T1968" s="0" t="s">
        <v>104</v>
      </c>
      <c r="W1968" s="0" t="s">
        <v>105</v>
      </c>
    </row>
    <row r="1969" customFormat="false" ht="15" hidden="false" customHeight="false" outlineLevel="0" collapsed="false">
      <c r="A1969" s="0" t="s">
        <v>21</v>
      </c>
      <c r="B1969" s="0" t="s">
        <v>6578</v>
      </c>
      <c r="C1969" s="0" t="s">
        <v>97</v>
      </c>
      <c r="D1969" s="0" t="s">
        <v>6513</v>
      </c>
      <c r="E1969" s="0" t="s">
        <v>6579</v>
      </c>
      <c r="M1969" s="0" t="s">
        <v>136</v>
      </c>
      <c r="N1969" s="0" t="s">
        <v>124</v>
      </c>
      <c r="P1969" s="0" t="s">
        <v>102</v>
      </c>
      <c r="Q1969" s="0" t="s">
        <v>102</v>
      </c>
      <c r="R1969" s="0" t="s">
        <v>113</v>
      </c>
      <c r="S1969" s="0" t="s">
        <v>21</v>
      </c>
      <c r="T1969" s="0" t="s">
        <v>104</v>
      </c>
      <c r="W1969" s="0" t="s">
        <v>105</v>
      </c>
    </row>
    <row r="1970" customFormat="false" ht="15" hidden="false" customHeight="false" outlineLevel="0" collapsed="false">
      <c r="A1970" s="0" t="s">
        <v>21</v>
      </c>
      <c r="B1970" s="0" t="s">
        <v>6580</v>
      </c>
      <c r="C1970" s="0" t="s">
        <v>97</v>
      </c>
      <c r="D1970" s="0" t="s">
        <v>6581</v>
      </c>
      <c r="E1970" s="0" t="s">
        <v>6582</v>
      </c>
      <c r="M1970" s="0" t="s">
        <v>136</v>
      </c>
      <c r="N1970" s="0" t="s">
        <v>124</v>
      </c>
      <c r="P1970" s="0" t="s">
        <v>102</v>
      </c>
      <c r="Q1970" s="0" t="s">
        <v>102</v>
      </c>
      <c r="R1970" s="0" t="s">
        <v>113</v>
      </c>
      <c r="S1970" s="0" t="s">
        <v>21</v>
      </c>
      <c r="T1970" s="0" t="s">
        <v>104</v>
      </c>
      <c r="W1970" s="0" t="s">
        <v>105</v>
      </c>
    </row>
    <row r="1971" customFormat="false" ht="15" hidden="false" customHeight="false" outlineLevel="0" collapsed="false">
      <c r="A1971" s="0" t="s">
        <v>21</v>
      </c>
      <c r="B1971" s="0" t="s">
        <v>6583</v>
      </c>
      <c r="C1971" s="0" t="s">
        <v>97</v>
      </c>
      <c r="D1971" s="0" t="s">
        <v>6584</v>
      </c>
      <c r="E1971" s="0" t="s">
        <v>6584</v>
      </c>
      <c r="F1971" s="0" t="s">
        <v>6584</v>
      </c>
      <c r="M1971" s="0" t="s">
        <v>136</v>
      </c>
      <c r="N1971" s="0" t="s">
        <v>124</v>
      </c>
      <c r="P1971" s="0" t="s">
        <v>102</v>
      </c>
      <c r="Q1971" s="0" t="s">
        <v>102</v>
      </c>
      <c r="R1971" s="0" t="s">
        <v>131</v>
      </c>
      <c r="S1971" s="0" t="s">
        <v>21</v>
      </c>
      <c r="T1971" s="0" t="s">
        <v>104</v>
      </c>
      <c r="W1971" s="0" t="s">
        <v>105</v>
      </c>
    </row>
    <row r="1972" customFormat="false" ht="15" hidden="false" customHeight="false" outlineLevel="0" collapsed="false">
      <c r="A1972" s="0" t="s">
        <v>21</v>
      </c>
      <c r="B1972" s="0" t="s">
        <v>6585</v>
      </c>
      <c r="C1972" s="0" t="s">
        <v>97</v>
      </c>
      <c r="D1972" s="0" t="s">
        <v>6586</v>
      </c>
      <c r="E1972" s="0" t="s">
        <v>6587</v>
      </c>
      <c r="M1972" s="0" t="s">
        <v>136</v>
      </c>
      <c r="N1972" s="0" t="s">
        <v>124</v>
      </c>
      <c r="P1972" s="0" t="s">
        <v>102</v>
      </c>
      <c r="Q1972" s="0" t="s">
        <v>102</v>
      </c>
      <c r="R1972" s="0" t="s">
        <v>113</v>
      </c>
      <c r="S1972" s="0" t="s">
        <v>21</v>
      </c>
      <c r="T1972" s="0" t="s">
        <v>104</v>
      </c>
      <c r="W1972" s="0" t="s">
        <v>105</v>
      </c>
    </row>
    <row r="1973" customFormat="false" ht="15" hidden="false" customHeight="false" outlineLevel="0" collapsed="false">
      <c r="A1973" s="0" t="s">
        <v>21</v>
      </c>
      <c r="B1973" s="0" t="s">
        <v>6588</v>
      </c>
      <c r="C1973" s="0" t="s">
        <v>97</v>
      </c>
      <c r="D1973" s="0" t="s">
        <v>6589</v>
      </c>
      <c r="E1973" s="0" t="s">
        <v>6590</v>
      </c>
      <c r="M1973" s="0" t="s">
        <v>100</v>
      </c>
      <c r="N1973" s="0" t="s">
        <v>101</v>
      </c>
      <c r="P1973" s="0" t="s">
        <v>102</v>
      </c>
      <c r="Q1973" s="0" t="s">
        <v>102</v>
      </c>
      <c r="R1973" s="0" t="s">
        <v>113</v>
      </c>
      <c r="S1973" s="0" t="s">
        <v>21</v>
      </c>
      <c r="T1973" s="0" t="s">
        <v>104</v>
      </c>
      <c r="W1973" s="0" t="s">
        <v>105</v>
      </c>
    </row>
    <row r="1974" customFormat="false" ht="15" hidden="false" customHeight="false" outlineLevel="0" collapsed="false">
      <c r="A1974" s="0" t="s">
        <v>21</v>
      </c>
      <c r="B1974" s="0" t="s">
        <v>6591</v>
      </c>
      <c r="C1974" s="0" t="s">
        <v>97</v>
      </c>
      <c r="D1974" s="0" t="s">
        <v>6592</v>
      </c>
      <c r="E1974" s="0" t="s">
        <v>6593</v>
      </c>
      <c r="G1974" s="0" t="s">
        <v>6594</v>
      </c>
      <c r="H1974" s="0" t="s">
        <v>654</v>
      </c>
      <c r="I1974" s="0" t="s">
        <v>655</v>
      </c>
      <c r="J1974" s="0" t="s">
        <v>100</v>
      </c>
      <c r="K1974" s="0" t="s">
        <v>168</v>
      </c>
      <c r="L1974" s="0" t="s">
        <v>101</v>
      </c>
      <c r="M1974" s="0" t="s">
        <v>656</v>
      </c>
      <c r="N1974" s="0" t="s">
        <v>101</v>
      </c>
      <c r="P1974" s="0" t="s">
        <v>102</v>
      </c>
      <c r="Q1974" s="0" t="s">
        <v>102</v>
      </c>
      <c r="R1974" s="0" t="s">
        <v>144</v>
      </c>
      <c r="S1974" s="0" t="s">
        <v>21</v>
      </c>
      <c r="T1974" s="0" t="s">
        <v>104</v>
      </c>
      <c r="W1974" s="0" t="s">
        <v>105</v>
      </c>
      <c r="X1974" s="0" t="s">
        <v>658</v>
      </c>
      <c r="Y1974" s="0" t="s">
        <v>659</v>
      </c>
    </row>
    <row r="1975" customFormat="false" ht="15" hidden="false" customHeight="false" outlineLevel="0" collapsed="false">
      <c r="A1975" s="0" t="s">
        <v>21</v>
      </c>
      <c r="B1975" s="0" t="s">
        <v>6595</v>
      </c>
      <c r="C1975" s="0" t="s">
        <v>97</v>
      </c>
      <c r="D1975" s="0" t="s">
        <v>6596</v>
      </c>
      <c r="E1975" s="0" t="s">
        <v>6597</v>
      </c>
      <c r="M1975" s="0" t="s">
        <v>100</v>
      </c>
      <c r="N1975" s="0" t="s">
        <v>101</v>
      </c>
      <c r="P1975" s="0" t="s">
        <v>102</v>
      </c>
      <c r="Q1975" s="0" t="s">
        <v>102</v>
      </c>
      <c r="R1975" s="0" t="s">
        <v>113</v>
      </c>
      <c r="S1975" s="0" t="s">
        <v>21</v>
      </c>
      <c r="T1975" s="0" t="s">
        <v>104</v>
      </c>
      <c r="W1975" s="0" t="s">
        <v>105</v>
      </c>
    </row>
    <row r="1976" customFormat="false" ht="15" hidden="false" customHeight="false" outlineLevel="0" collapsed="false">
      <c r="A1976" s="0" t="s">
        <v>21</v>
      </c>
      <c r="B1976" s="0" t="s">
        <v>6598</v>
      </c>
      <c r="C1976" s="0" t="s">
        <v>97</v>
      </c>
      <c r="D1976" s="0" t="s">
        <v>6599</v>
      </c>
      <c r="E1976" s="0" t="s">
        <v>6600</v>
      </c>
      <c r="M1976" s="0" t="s">
        <v>136</v>
      </c>
      <c r="N1976" s="0" t="s">
        <v>124</v>
      </c>
      <c r="P1976" s="0" t="s">
        <v>102</v>
      </c>
      <c r="Q1976" s="0" t="s">
        <v>102</v>
      </c>
      <c r="R1976" s="0" t="s">
        <v>113</v>
      </c>
      <c r="S1976" s="0" t="s">
        <v>21</v>
      </c>
      <c r="T1976" s="0" t="s">
        <v>104</v>
      </c>
      <c r="W1976" s="0" t="s">
        <v>105</v>
      </c>
    </row>
    <row r="1977" customFormat="false" ht="15" hidden="false" customHeight="false" outlineLevel="0" collapsed="false">
      <c r="A1977" s="0" t="s">
        <v>21</v>
      </c>
      <c r="B1977" s="0" t="s">
        <v>6601</v>
      </c>
      <c r="C1977" s="0" t="s">
        <v>97</v>
      </c>
      <c r="D1977" s="0" t="s">
        <v>6602</v>
      </c>
      <c r="E1977" s="0" t="s">
        <v>6593</v>
      </c>
      <c r="M1977" s="0" t="s">
        <v>100</v>
      </c>
      <c r="N1977" s="0" t="s">
        <v>101</v>
      </c>
      <c r="P1977" s="0" t="s">
        <v>102</v>
      </c>
      <c r="Q1977" s="0" t="s">
        <v>102</v>
      </c>
      <c r="R1977" s="0" t="s">
        <v>144</v>
      </c>
      <c r="S1977" s="0" t="s">
        <v>21</v>
      </c>
      <c r="T1977" s="0" t="s">
        <v>104</v>
      </c>
      <c r="W1977" s="0" t="s">
        <v>105</v>
      </c>
    </row>
    <row r="1978" customFormat="false" ht="15" hidden="false" customHeight="false" outlineLevel="0" collapsed="false">
      <c r="A1978" s="0" t="s">
        <v>21</v>
      </c>
      <c r="B1978" s="0" t="s">
        <v>6603</v>
      </c>
      <c r="C1978" s="0" t="s">
        <v>97</v>
      </c>
      <c r="D1978" s="0" t="s">
        <v>6604</v>
      </c>
      <c r="E1978" s="0" t="s">
        <v>6605</v>
      </c>
      <c r="M1978" s="0" t="s">
        <v>656</v>
      </c>
      <c r="N1978" s="0" t="s">
        <v>101</v>
      </c>
      <c r="P1978" s="0" t="s">
        <v>102</v>
      </c>
      <c r="Q1978" s="0" t="s">
        <v>102</v>
      </c>
      <c r="R1978" s="0" t="s">
        <v>113</v>
      </c>
      <c r="S1978" s="0" t="s">
        <v>21</v>
      </c>
      <c r="T1978" s="0" t="s">
        <v>104</v>
      </c>
      <c r="W1978" s="0" t="s">
        <v>105</v>
      </c>
    </row>
    <row r="1979" customFormat="false" ht="15" hidden="false" customHeight="false" outlineLevel="0" collapsed="false">
      <c r="A1979" s="0" t="s">
        <v>21</v>
      </c>
      <c r="B1979" s="0" t="s">
        <v>6606</v>
      </c>
      <c r="C1979" s="0" t="s">
        <v>97</v>
      </c>
      <c r="D1979" s="0" t="s">
        <v>5901</v>
      </c>
      <c r="E1979" s="0" t="s">
        <v>6607</v>
      </c>
      <c r="M1979" s="0" t="s">
        <v>656</v>
      </c>
      <c r="N1979" s="0" t="s">
        <v>101</v>
      </c>
      <c r="P1979" s="0" t="s">
        <v>102</v>
      </c>
      <c r="Q1979" s="0" t="s">
        <v>102</v>
      </c>
      <c r="R1979" s="0" t="s">
        <v>113</v>
      </c>
      <c r="S1979" s="0" t="s">
        <v>21</v>
      </c>
      <c r="T1979" s="0" t="s">
        <v>104</v>
      </c>
      <c r="W1979" s="0" t="s">
        <v>105</v>
      </c>
    </row>
    <row r="1980" customFormat="false" ht="15" hidden="false" customHeight="false" outlineLevel="0" collapsed="false">
      <c r="A1980" s="0" t="s">
        <v>21</v>
      </c>
      <c r="B1980" s="0" t="s">
        <v>6608</v>
      </c>
      <c r="C1980" s="0" t="s">
        <v>97</v>
      </c>
      <c r="D1980" s="0" t="s">
        <v>6609</v>
      </c>
      <c r="E1980" s="0" t="s">
        <v>6610</v>
      </c>
      <c r="F1980" s="0" t="s">
        <v>6610</v>
      </c>
      <c r="G1980" s="0" t="s">
        <v>6611</v>
      </c>
      <c r="M1980" s="0" t="s">
        <v>100</v>
      </c>
      <c r="N1980" s="0" t="s">
        <v>101</v>
      </c>
      <c r="P1980" s="0" t="s">
        <v>102</v>
      </c>
      <c r="Q1980" s="0" t="s">
        <v>102</v>
      </c>
      <c r="R1980" s="0" t="s">
        <v>113</v>
      </c>
      <c r="S1980" s="0" t="s">
        <v>21</v>
      </c>
      <c r="T1980" s="0" t="s">
        <v>104</v>
      </c>
      <c r="W1980" s="0" t="s">
        <v>105</v>
      </c>
    </row>
    <row r="1981" customFormat="false" ht="15" hidden="false" customHeight="false" outlineLevel="0" collapsed="false">
      <c r="A1981" s="0" t="s">
        <v>21</v>
      </c>
      <c r="B1981" s="0" t="s">
        <v>6612</v>
      </c>
      <c r="C1981" s="0" t="s">
        <v>97</v>
      </c>
      <c r="D1981" s="0" t="s">
        <v>6613</v>
      </c>
      <c r="E1981" s="0" t="s">
        <v>6614</v>
      </c>
      <c r="H1981" s="0" t="s">
        <v>6615</v>
      </c>
      <c r="I1981" s="0" t="s">
        <v>6616</v>
      </c>
      <c r="J1981" s="0" t="s">
        <v>6617</v>
      </c>
      <c r="K1981" s="0" t="s">
        <v>6618</v>
      </c>
      <c r="L1981" s="0" t="s">
        <v>101</v>
      </c>
      <c r="M1981" s="0" t="s">
        <v>6619</v>
      </c>
      <c r="N1981" s="0" t="s">
        <v>101</v>
      </c>
      <c r="P1981" s="0" t="s">
        <v>102</v>
      </c>
      <c r="Q1981" s="0" t="s">
        <v>102</v>
      </c>
      <c r="R1981" s="0" t="s">
        <v>113</v>
      </c>
      <c r="S1981" s="0" t="s">
        <v>21</v>
      </c>
      <c r="T1981" s="0" t="s">
        <v>104</v>
      </c>
      <c r="W1981" s="0" t="s">
        <v>105</v>
      </c>
      <c r="X1981" s="0" t="s">
        <v>6620</v>
      </c>
      <c r="Y1981" s="0" t="s">
        <v>6621</v>
      </c>
    </row>
    <row r="1982" customFormat="false" ht="15" hidden="false" customHeight="false" outlineLevel="0" collapsed="false">
      <c r="A1982" s="0" t="s">
        <v>21</v>
      </c>
      <c r="B1982" s="0" t="s">
        <v>6622</v>
      </c>
      <c r="C1982" s="0" t="s">
        <v>97</v>
      </c>
      <c r="D1982" s="0" t="s">
        <v>6623</v>
      </c>
      <c r="E1982" s="0" t="s">
        <v>6624</v>
      </c>
      <c r="M1982" s="0" t="s">
        <v>136</v>
      </c>
      <c r="N1982" s="0" t="s">
        <v>124</v>
      </c>
      <c r="P1982" s="0" t="s">
        <v>102</v>
      </c>
      <c r="Q1982" s="0" t="s">
        <v>102</v>
      </c>
      <c r="R1982" s="0" t="s">
        <v>113</v>
      </c>
      <c r="S1982" s="0" t="s">
        <v>21</v>
      </c>
      <c r="T1982" s="0" t="s">
        <v>104</v>
      </c>
      <c r="W1982" s="0" t="s">
        <v>105</v>
      </c>
    </row>
    <row r="1983" customFormat="false" ht="15" hidden="false" customHeight="false" outlineLevel="0" collapsed="false">
      <c r="A1983" s="0" t="s">
        <v>21</v>
      </c>
      <c r="B1983" s="0" t="s">
        <v>6625</v>
      </c>
      <c r="C1983" s="0" t="s">
        <v>97</v>
      </c>
      <c r="D1983" s="0" t="s">
        <v>6626</v>
      </c>
      <c r="E1983" s="0" t="s">
        <v>6627</v>
      </c>
      <c r="M1983" s="0" t="s">
        <v>136</v>
      </c>
      <c r="N1983" s="0" t="s">
        <v>124</v>
      </c>
      <c r="P1983" s="0" t="s">
        <v>102</v>
      </c>
      <c r="Q1983" s="0" t="s">
        <v>102</v>
      </c>
      <c r="R1983" s="0" t="s">
        <v>113</v>
      </c>
      <c r="S1983" s="0" t="s">
        <v>21</v>
      </c>
      <c r="T1983" s="0" t="s">
        <v>104</v>
      </c>
      <c r="W1983" s="0" t="s">
        <v>105</v>
      </c>
    </row>
    <row r="1984" customFormat="false" ht="15" hidden="false" customHeight="false" outlineLevel="0" collapsed="false">
      <c r="A1984" s="0" t="s">
        <v>21</v>
      </c>
      <c r="B1984" s="0" t="s">
        <v>6628</v>
      </c>
      <c r="C1984" s="0" t="s">
        <v>97</v>
      </c>
      <c r="D1984" s="0" t="s">
        <v>6629</v>
      </c>
      <c r="E1984" s="0" t="s">
        <v>6630</v>
      </c>
      <c r="M1984" s="0" t="s">
        <v>136</v>
      </c>
      <c r="N1984" s="0" t="s">
        <v>124</v>
      </c>
      <c r="P1984" s="0" t="s">
        <v>102</v>
      </c>
      <c r="Q1984" s="0" t="s">
        <v>102</v>
      </c>
      <c r="R1984" s="0" t="s">
        <v>113</v>
      </c>
      <c r="S1984" s="0" t="s">
        <v>21</v>
      </c>
      <c r="T1984" s="0" t="s">
        <v>104</v>
      </c>
      <c r="W1984" s="0" t="s">
        <v>105</v>
      </c>
    </row>
    <row r="1985" customFormat="false" ht="15" hidden="false" customHeight="false" outlineLevel="0" collapsed="false">
      <c r="A1985" s="0" t="s">
        <v>21</v>
      </c>
      <c r="B1985" s="0" t="s">
        <v>6631</v>
      </c>
      <c r="C1985" s="0" t="s">
        <v>97</v>
      </c>
      <c r="D1985" s="0" t="s">
        <v>6632</v>
      </c>
      <c r="E1985" s="0" t="s">
        <v>6632</v>
      </c>
      <c r="M1985" s="0" t="s">
        <v>136</v>
      </c>
      <c r="N1985" s="0" t="s">
        <v>124</v>
      </c>
      <c r="P1985" s="0" t="s">
        <v>102</v>
      </c>
      <c r="Q1985" s="0" t="s">
        <v>102</v>
      </c>
      <c r="R1985" s="0" t="s">
        <v>131</v>
      </c>
      <c r="S1985" s="0" t="s">
        <v>21</v>
      </c>
      <c r="T1985" s="0" t="s">
        <v>104</v>
      </c>
      <c r="W1985" s="0" t="s">
        <v>105</v>
      </c>
    </row>
    <row r="1986" customFormat="false" ht="15" hidden="false" customHeight="false" outlineLevel="0" collapsed="false">
      <c r="A1986" s="0" t="s">
        <v>21</v>
      </c>
      <c r="B1986" s="0" t="s">
        <v>6633</v>
      </c>
      <c r="C1986" s="0" t="s">
        <v>863</v>
      </c>
      <c r="D1986" s="0" t="s">
        <v>6632</v>
      </c>
      <c r="E1986" s="0" t="s">
        <v>6632</v>
      </c>
      <c r="M1986" s="0" t="s">
        <v>124</v>
      </c>
      <c r="N1986" s="0" t="s">
        <v>124</v>
      </c>
      <c r="P1986" s="0" t="s">
        <v>102</v>
      </c>
      <c r="Q1986" s="0" t="s">
        <v>102</v>
      </c>
      <c r="R1986" s="0" t="s">
        <v>131</v>
      </c>
      <c r="S1986" s="0" t="s">
        <v>21</v>
      </c>
      <c r="T1986" s="0" t="s">
        <v>104</v>
      </c>
      <c r="W1986" s="0" t="s">
        <v>105</v>
      </c>
    </row>
    <row r="1987" customFormat="false" ht="15" hidden="false" customHeight="false" outlineLevel="0" collapsed="false">
      <c r="A1987" s="0" t="s">
        <v>21</v>
      </c>
      <c r="B1987" s="0" t="s">
        <v>6634</v>
      </c>
      <c r="C1987" s="0" t="s">
        <v>97</v>
      </c>
      <c r="D1987" s="0" t="s">
        <v>6635</v>
      </c>
      <c r="E1987" s="0" t="s">
        <v>6636</v>
      </c>
      <c r="M1987" s="0" t="s">
        <v>136</v>
      </c>
      <c r="N1987" s="0" t="s">
        <v>124</v>
      </c>
      <c r="P1987" s="0" t="s">
        <v>102</v>
      </c>
      <c r="Q1987" s="0" t="s">
        <v>102</v>
      </c>
      <c r="R1987" s="0" t="s">
        <v>137</v>
      </c>
      <c r="S1987" s="0" t="s">
        <v>21</v>
      </c>
      <c r="T1987" s="0" t="s">
        <v>104</v>
      </c>
      <c r="W1987" s="0" t="s">
        <v>105</v>
      </c>
    </row>
    <row r="1988" customFormat="false" ht="15" hidden="false" customHeight="false" outlineLevel="0" collapsed="false">
      <c r="A1988" s="0" t="s">
        <v>21</v>
      </c>
      <c r="B1988" s="0" t="s">
        <v>6637</v>
      </c>
      <c r="C1988" s="0" t="s">
        <v>97</v>
      </c>
      <c r="D1988" s="0" t="s">
        <v>6638</v>
      </c>
      <c r="E1988" s="0" t="s">
        <v>6639</v>
      </c>
      <c r="M1988" s="0" t="s">
        <v>136</v>
      </c>
      <c r="N1988" s="0" t="s">
        <v>124</v>
      </c>
      <c r="P1988" s="0" t="s">
        <v>102</v>
      </c>
      <c r="Q1988" s="0" t="s">
        <v>102</v>
      </c>
      <c r="R1988" s="0" t="s">
        <v>144</v>
      </c>
      <c r="S1988" s="0" t="s">
        <v>21</v>
      </c>
      <c r="T1988" s="0" t="s">
        <v>104</v>
      </c>
      <c r="W1988" s="0" t="s">
        <v>105</v>
      </c>
    </row>
    <row r="1989" customFormat="false" ht="15" hidden="false" customHeight="false" outlineLevel="0" collapsed="false">
      <c r="A1989" s="0" t="s">
        <v>21</v>
      </c>
      <c r="B1989" s="0" t="s">
        <v>851</v>
      </c>
      <c r="C1989" s="0" t="s">
        <v>110</v>
      </c>
      <c r="D1989" s="0" t="s">
        <v>4146</v>
      </c>
      <c r="E1989" s="0" t="s">
        <v>4682</v>
      </c>
      <c r="F1989" s="0" t="s">
        <v>6640</v>
      </c>
      <c r="H1989" s="0" t="s">
        <v>6641</v>
      </c>
      <c r="I1989" s="0" t="s">
        <v>851</v>
      </c>
      <c r="J1989" s="0" t="s">
        <v>157</v>
      </c>
      <c r="K1989" s="0" t="s">
        <v>852</v>
      </c>
      <c r="L1989" s="0" t="s">
        <v>124</v>
      </c>
      <c r="M1989" s="0" t="s">
        <v>232</v>
      </c>
      <c r="N1989" s="0" t="s">
        <v>124</v>
      </c>
      <c r="P1989" s="0" t="s">
        <v>102</v>
      </c>
      <c r="Q1989" s="0" t="s">
        <v>102</v>
      </c>
      <c r="R1989" s="0" t="s">
        <v>804</v>
      </c>
      <c r="S1989" s="0" t="s">
        <v>21</v>
      </c>
      <c r="T1989" s="0" t="s">
        <v>104</v>
      </c>
      <c r="W1989" s="0" t="s">
        <v>105</v>
      </c>
      <c r="X1989" s="0" t="s">
        <v>6642</v>
      </c>
      <c r="Y1989" s="0" t="s">
        <v>6643</v>
      </c>
      <c r="Z1989" s="0" t="s">
        <v>350</v>
      </c>
    </row>
    <row r="1990" customFormat="false" ht="15" hidden="false" customHeight="false" outlineLevel="0" collapsed="false">
      <c r="A1990" s="0" t="s">
        <v>21</v>
      </c>
      <c r="B1990" s="0" t="s">
        <v>6644</v>
      </c>
      <c r="C1990" s="0" t="s">
        <v>97</v>
      </c>
      <c r="D1990" s="0" t="s">
        <v>4794</v>
      </c>
      <c r="E1990" s="0" t="s">
        <v>6645</v>
      </c>
      <c r="H1990" s="0" t="s">
        <v>654</v>
      </c>
      <c r="I1990" s="0" t="s">
        <v>655</v>
      </c>
      <c r="J1990" s="0" t="s">
        <v>100</v>
      </c>
      <c r="K1990" s="0" t="s">
        <v>168</v>
      </c>
      <c r="L1990" s="0" t="s">
        <v>101</v>
      </c>
      <c r="M1990" s="0" t="s">
        <v>656</v>
      </c>
      <c r="N1990" s="0" t="s">
        <v>101</v>
      </c>
      <c r="P1990" s="0" t="s">
        <v>102</v>
      </c>
      <c r="Q1990" s="0" t="s">
        <v>102</v>
      </c>
      <c r="R1990" s="0" t="s">
        <v>113</v>
      </c>
      <c r="S1990" s="0" t="s">
        <v>21</v>
      </c>
      <c r="T1990" s="0" t="s">
        <v>104</v>
      </c>
      <c r="W1990" s="0" t="s">
        <v>105</v>
      </c>
      <c r="X1990" s="0" t="s">
        <v>658</v>
      </c>
      <c r="Y1990" s="0" t="s">
        <v>659</v>
      </c>
    </row>
    <row r="1991" customFormat="false" ht="15" hidden="false" customHeight="false" outlineLevel="0" collapsed="false">
      <c r="A1991" s="0" t="s">
        <v>21</v>
      </c>
      <c r="B1991" s="0" t="s">
        <v>6646</v>
      </c>
      <c r="C1991" s="0" t="s">
        <v>6647</v>
      </c>
      <c r="D1991" s="0" t="s">
        <v>6648</v>
      </c>
      <c r="E1991" s="0" t="s">
        <v>6649</v>
      </c>
      <c r="G1991" s="0" t="s">
        <v>6650</v>
      </c>
      <c r="H1991" s="0" t="s">
        <v>6651</v>
      </c>
      <c r="I1991" s="0" t="s">
        <v>100</v>
      </c>
      <c r="M1991" s="0" t="s">
        <v>442</v>
      </c>
      <c r="N1991" s="0" t="s">
        <v>101</v>
      </c>
      <c r="P1991" s="0" t="s">
        <v>102</v>
      </c>
      <c r="Q1991" s="0" t="s">
        <v>102</v>
      </c>
      <c r="R1991" s="0" t="s">
        <v>137</v>
      </c>
      <c r="S1991" s="0" t="s">
        <v>21</v>
      </c>
      <c r="T1991" s="0" t="s">
        <v>104</v>
      </c>
      <c r="W1991" s="0" t="s">
        <v>105</v>
      </c>
    </row>
    <row r="1992" customFormat="false" ht="15" hidden="false" customHeight="false" outlineLevel="0" collapsed="false">
      <c r="A1992" s="0" t="s">
        <v>21</v>
      </c>
      <c r="B1992" s="0" t="s">
        <v>6652</v>
      </c>
      <c r="C1992" s="0" t="s">
        <v>97</v>
      </c>
      <c r="D1992" s="0" t="s">
        <v>6653</v>
      </c>
      <c r="E1992" s="0" t="s">
        <v>6653</v>
      </c>
      <c r="M1992" s="0" t="s">
        <v>442</v>
      </c>
      <c r="N1992" s="0" t="s">
        <v>101</v>
      </c>
      <c r="P1992" s="0" t="s">
        <v>102</v>
      </c>
      <c r="Q1992" s="0" t="s">
        <v>102</v>
      </c>
      <c r="R1992" s="0" t="s">
        <v>131</v>
      </c>
      <c r="S1992" s="0" t="s">
        <v>21</v>
      </c>
      <c r="T1992" s="0" t="s">
        <v>104</v>
      </c>
      <c r="W1992" s="0" t="s">
        <v>105</v>
      </c>
    </row>
    <row r="1993" customFormat="false" ht="15" hidden="false" customHeight="false" outlineLevel="0" collapsed="false">
      <c r="A1993" s="0" t="s">
        <v>21</v>
      </c>
      <c r="B1993" s="0" t="s">
        <v>6654</v>
      </c>
      <c r="C1993" s="0" t="s">
        <v>97</v>
      </c>
      <c r="D1993" s="0" t="s">
        <v>2352</v>
      </c>
      <c r="E1993" s="0" t="s">
        <v>6655</v>
      </c>
      <c r="H1993" s="0" t="s">
        <v>654</v>
      </c>
      <c r="I1993" s="0" t="s">
        <v>655</v>
      </c>
      <c r="J1993" s="0" t="s">
        <v>100</v>
      </c>
      <c r="K1993" s="0" t="s">
        <v>168</v>
      </c>
      <c r="L1993" s="0" t="s">
        <v>101</v>
      </c>
      <c r="M1993" s="0" t="s">
        <v>656</v>
      </c>
      <c r="N1993" s="0" t="s">
        <v>101</v>
      </c>
      <c r="P1993" s="0" t="s">
        <v>102</v>
      </c>
      <c r="Q1993" s="0" t="s">
        <v>102</v>
      </c>
      <c r="R1993" s="0" t="s">
        <v>113</v>
      </c>
      <c r="S1993" s="0" t="s">
        <v>21</v>
      </c>
      <c r="T1993" s="0" t="s">
        <v>104</v>
      </c>
      <c r="W1993" s="0" t="s">
        <v>105</v>
      </c>
      <c r="X1993" s="0" t="s">
        <v>658</v>
      </c>
      <c r="Y1993" s="0" t="s">
        <v>659</v>
      </c>
    </row>
    <row r="1994" customFormat="false" ht="15" hidden="false" customHeight="false" outlineLevel="0" collapsed="false">
      <c r="A1994" s="0" t="s">
        <v>21</v>
      </c>
      <c r="B1994" s="0" t="s">
        <v>6656</v>
      </c>
      <c r="C1994" s="0" t="s">
        <v>97</v>
      </c>
      <c r="D1994" s="0" t="s">
        <v>6657</v>
      </c>
      <c r="E1994" s="0" t="s">
        <v>6658</v>
      </c>
      <c r="G1994" s="0" t="s">
        <v>6659</v>
      </c>
      <c r="H1994" s="0" t="s">
        <v>654</v>
      </c>
      <c r="I1994" s="0" t="s">
        <v>655</v>
      </c>
      <c r="J1994" s="0" t="s">
        <v>100</v>
      </c>
      <c r="K1994" s="0" t="s">
        <v>168</v>
      </c>
      <c r="L1994" s="0" t="s">
        <v>101</v>
      </c>
      <c r="M1994" s="0" t="s">
        <v>656</v>
      </c>
      <c r="N1994" s="0" t="s">
        <v>101</v>
      </c>
      <c r="P1994" s="0" t="s">
        <v>102</v>
      </c>
      <c r="Q1994" s="0" t="s">
        <v>102</v>
      </c>
      <c r="R1994" s="0" t="s">
        <v>131</v>
      </c>
      <c r="S1994" s="0" t="s">
        <v>21</v>
      </c>
      <c r="T1994" s="0" t="s">
        <v>104</v>
      </c>
      <c r="W1994" s="0" t="s">
        <v>105</v>
      </c>
      <c r="X1994" s="0" t="s">
        <v>658</v>
      </c>
      <c r="Y1994" s="0" t="s">
        <v>659</v>
      </c>
    </row>
    <row r="1995" customFormat="false" ht="15" hidden="false" customHeight="false" outlineLevel="0" collapsed="false">
      <c r="A1995" s="0" t="s">
        <v>21</v>
      </c>
      <c r="B1995" s="0" t="s">
        <v>6660</v>
      </c>
      <c r="C1995" s="0" t="s">
        <v>97</v>
      </c>
      <c r="D1995" s="0" t="s">
        <v>6661</v>
      </c>
      <c r="E1995" s="0" t="s">
        <v>6662</v>
      </c>
      <c r="H1995" s="0" t="s">
        <v>654</v>
      </c>
      <c r="I1995" s="0" t="s">
        <v>655</v>
      </c>
      <c r="J1995" s="0" t="s">
        <v>100</v>
      </c>
      <c r="K1995" s="0" t="s">
        <v>168</v>
      </c>
      <c r="L1995" s="0" t="s">
        <v>101</v>
      </c>
      <c r="M1995" s="0" t="s">
        <v>656</v>
      </c>
      <c r="N1995" s="0" t="s">
        <v>101</v>
      </c>
      <c r="P1995" s="0" t="s">
        <v>102</v>
      </c>
      <c r="Q1995" s="0" t="s">
        <v>102</v>
      </c>
      <c r="R1995" s="0" t="s">
        <v>113</v>
      </c>
      <c r="S1995" s="0" t="s">
        <v>21</v>
      </c>
      <c r="T1995" s="0" t="s">
        <v>104</v>
      </c>
      <c r="W1995" s="0" t="s">
        <v>105</v>
      </c>
      <c r="X1995" s="0" t="s">
        <v>658</v>
      </c>
      <c r="Y1995" s="0" t="s">
        <v>659</v>
      </c>
    </row>
    <row r="1996" customFormat="false" ht="15" hidden="false" customHeight="false" outlineLevel="0" collapsed="false">
      <c r="A1996" s="0" t="s">
        <v>21</v>
      </c>
      <c r="B1996" s="0" t="s">
        <v>6663</v>
      </c>
      <c r="C1996" s="0" t="s">
        <v>97</v>
      </c>
      <c r="D1996" s="0" t="s">
        <v>6664</v>
      </c>
      <c r="E1996" s="0" t="s">
        <v>6665</v>
      </c>
      <c r="M1996" s="0" t="s">
        <v>100</v>
      </c>
      <c r="N1996" s="0" t="s">
        <v>101</v>
      </c>
      <c r="P1996" s="0" t="s">
        <v>102</v>
      </c>
      <c r="Q1996" s="0" t="s">
        <v>102</v>
      </c>
      <c r="R1996" s="0" t="s">
        <v>113</v>
      </c>
      <c r="S1996" s="0" t="s">
        <v>21</v>
      </c>
      <c r="T1996" s="0" t="s">
        <v>104</v>
      </c>
      <c r="W1996" s="0" t="s">
        <v>105</v>
      </c>
    </row>
    <row r="1997" customFormat="false" ht="15" hidden="false" customHeight="false" outlineLevel="0" collapsed="false">
      <c r="A1997" s="0" t="s">
        <v>21</v>
      </c>
      <c r="B1997" s="0" t="s">
        <v>6666</v>
      </c>
      <c r="C1997" s="0" t="s">
        <v>97</v>
      </c>
      <c r="D1997" s="0" t="s">
        <v>6667</v>
      </c>
      <c r="E1997" s="0" t="s">
        <v>6667</v>
      </c>
      <c r="M1997" s="0" t="s">
        <v>442</v>
      </c>
      <c r="N1997" s="0" t="s">
        <v>101</v>
      </c>
      <c r="P1997" s="0" t="s">
        <v>102</v>
      </c>
      <c r="Q1997" s="0" t="s">
        <v>102</v>
      </c>
      <c r="R1997" s="0" t="s">
        <v>131</v>
      </c>
      <c r="S1997" s="0" t="s">
        <v>21</v>
      </c>
      <c r="T1997" s="0" t="s">
        <v>104</v>
      </c>
      <c r="W1997" s="0" t="s">
        <v>105</v>
      </c>
    </row>
    <row r="1998" customFormat="false" ht="15" hidden="false" customHeight="false" outlineLevel="0" collapsed="false">
      <c r="A1998" s="0" t="s">
        <v>21</v>
      </c>
      <c r="B1998" s="0" t="s">
        <v>6668</v>
      </c>
      <c r="C1998" s="0" t="s">
        <v>97</v>
      </c>
      <c r="D1998" s="0" t="s">
        <v>6669</v>
      </c>
      <c r="E1998" s="0" t="s">
        <v>6670</v>
      </c>
      <c r="G1998" s="0" t="s">
        <v>6671</v>
      </c>
      <c r="H1998" s="0" t="s">
        <v>654</v>
      </c>
      <c r="I1998" s="0" t="s">
        <v>655</v>
      </c>
      <c r="J1998" s="0" t="s">
        <v>100</v>
      </c>
      <c r="K1998" s="0" t="s">
        <v>168</v>
      </c>
      <c r="L1998" s="0" t="s">
        <v>101</v>
      </c>
      <c r="M1998" s="0" t="s">
        <v>656</v>
      </c>
      <c r="N1998" s="0" t="s">
        <v>101</v>
      </c>
      <c r="P1998" s="0" t="s">
        <v>102</v>
      </c>
      <c r="Q1998" s="0" t="s">
        <v>102</v>
      </c>
      <c r="R1998" s="0" t="s">
        <v>131</v>
      </c>
      <c r="S1998" s="0" t="s">
        <v>21</v>
      </c>
      <c r="T1998" s="0" t="s">
        <v>104</v>
      </c>
      <c r="W1998" s="0" t="s">
        <v>105</v>
      </c>
      <c r="X1998" s="0" t="s">
        <v>658</v>
      </c>
      <c r="Y1998" s="0" t="s">
        <v>659</v>
      </c>
    </row>
    <row r="1999" customFormat="false" ht="15" hidden="false" customHeight="false" outlineLevel="0" collapsed="false">
      <c r="A1999" s="0" t="s">
        <v>21</v>
      </c>
      <c r="B1999" s="0" t="s">
        <v>6672</v>
      </c>
      <c r="C1999" s="0" t="s">
        <v>97</v>
      </c>
      <c r="D1999" s="0" t="s">
        <v>6673</v>
      </c>
      <c r="E1999" s="0" t="s">
        <v>6674</v>
      </c>
      <c r="M1999" s="0" t="s">
        <v>136</v>
      </c>
      <c r="N1999" s="0" t="s">
        <v>124</v>
      </c>
      <c r="P1999" s="0" t="s">
        <v>102</v>
      </c>
      <c r="Q1999" s="0" t="s">
        <v>102</v>
      </c>
      <c r="R1999" s="0" t="s">
        <v>131</v>
      </c>
      <c r="S1999" s="0" t="s">
        <v>21</v>
      </c>
      <c r="T1999" s="0" t="s">
        <v>104</v>
      </c>
      <c r="W1999" s="0" t="s">
        <v>105</v>
      </c>
    </row>
    <row r="2000" customFormat="false" ht="15" hidden="false" customHeight="false" outlineLevel="0" collapsed="false">
      <c r="A2000" s="0" t="s">
        <v>21</v>
      </c>
      <c r="B2000" s="0" t="s">
        <v>6675</v>
      </c>
      <c r="C2000" s="0" t="s">
        <v>97</v>
      </c>
      <c r="D2000" s="0" t="s">
        <v>6676</v>
      </c>
      <c r="E2000" s="0" t="s">
        <v>6677</v>
      </c>
      <c r="M2000" s="0" t="s">
        <v>136</v>
      </c>
      <c r="N2000" s="0" t="s">
        <v>124</v>
      </c>
      <c r="P2000" s="0" t="s">
        <v>102</v>
      </c>
      <c r="Q2000" s="0" t="s">
        <v>102</v>
      </c>
      <c r="R2000" s="0" t="s">
        <v>144</v>
      </c>
      <c r="S2000" s="0" t="s">
        <v>21</v>
      </c>
      <c r="T2000" s="0" t="s">
        <v>104</v>
      </c>
      <c r="W2000" s="0" t="s">
        <v>105</v>
      </c>
    </row>
    <row r="2001" customFormat="false" ht="15" hidden="false" customHeight="false" outlineLevel="0" collapsed="false">
      <c r="A2001" s="0" t="s">
        <v>21</v>
      </c>
      <c r="B2001" s="0" t="s">
        <v>6678</v>
      </c>
      <c r="C2001" s="0" t="s">
        <v>97</v>
      </c>
      <c r="D2001" s="0" t="s">
        <v>6679</v>
      </c>
      <c r="E2001" s="0" t="s">
        <v>6680</v>
      </c>
      <c r="M2001" s="0" t="s">
        <v>136</v>
      </c>
      <c r="N2001" s="0" t="s">
        <v>124</v>
      </c>
      <c r="P2001" s="0" t="s">
        <v>102</v>
      </c>
      <c r="Q2001" s="0" t="s">
        <v>102</v>
      </c>
      <c r="R2001" s="0" t="s">
        <v>131</v>
      </c>
      <c r="S2001" s="0" t="s">
        <v>21</v>
      </c>
      <c r="T2001" s="0" t="s">
        <v>104</v>
      </c>
      <c r="W2001" s="0" t="s">
        <v>105</v>
      </c>
    </row>
    <row r="2002" customFormat="false" ht="28.35" hidden="false" customHeight="false" outlineLevel="0" collapsed="false">
      <c r="A2002" s="0" t="s">
        <v>21</v>
      </c>
      <c r="B2002" s="0" t="s">
        <v>6681</v>
      </c>
      <c r="C2002" s="0" t="s">
        <v>97</v>
      </c>
      <c r="D2002" s="0" t="s">
        <v>6682</v>
      </c>
      <c r="E2002" s="0" t="s">
        <v>764</v>
      </c>
      <c r="G2002" s="9" t="s">
        <v>6683</v>
      </c>
      <c r="H2002" s="0" t="s">
        <v>6684</v>
      </c>
      <c r="I2002" s="0" t="s">
        <v>1771</v>
      </c>
      <c r="J2002" s="0" t="s">
        <v>275</v>
      </c>
      <c r="K2002" s="0" t="s">
        <v>1772</v>
      </c>
      <c r="L2002" s="0" t="s">
        <v>124</v>
      </c>
      <c r="M2002" s="0" t="s">
        <v>6685</v>
      </c>
      <c r="N2002" s="0" t="s">
        <v>124</v>
      </c>
      <c r="P2002" s="0" t="s">
        <v>102</v>
      </c>
      <c r="Q2002" s="0" t="s">
        <v>102</v>
      </c>
      <c r="R2002" s="0" t="s">
        <v>131</v>
      </c>
      <c r="S2002" s="0" t="s">
        <v>21</v>
      </c>
      <c r="T2002" s="0" t="s">
        <v>104</v>
      </c>
      <c r="W2002" s="0" t="s">
        <v>105</v>
      </c>
      <c r="X2002" s="0" t="s">
        <v>6686</v>
      </c>
      <c r="Y2002" s="0" t="s">
        <v>6687</v>
      </c>
      <c r="Z2002" s="0" t="s">
        <v>4354</v>
      </c>
    </row>
    <row r="2003" customFormat="false" ht="28.35" hidden="false" customHeight="false" outlineLevel="0" collapsed="false">
      <c r="A2003" s="0" t="s">
        <v>21</v>
      </c>
      <c r="B2003" s="0" t="s">
        <v>6681</v>
      </c>
      <c r="C2003" s="0" t="s">
        <v>97</v>
      </c>
      <c r="D2003" s="0" t="s">
        <v>6682</v>
      </c>
      <c r="E2003" s="0" t="s">
        <v>764</v>
      </c>
      <c r="G2003" s="9" t="s">
        <v>6683</v>
      </c>
      <c r="H2003" s="0" t="s">
        <v>6684</v>
      </c>
      <c r="I2003" s="0" t="s">
        <v>1771</v>
      </c>
      <c r="J2003" s="0" t="s">
        <v>275</v>
      </c>
      <c r="K2003" s="0" t="s">
        <v>1772</v>
      </c>
      <c r="L2003" s="0" t="s">
        <v>124</v>
      </c>
      <c r="M2003" s="0" t="s">
        <v>6685</v>
      </c>
      <c r="N2003" s="0" t="s">
        <v>124</v>
      </c>
      <c r="P2003" s="0" t="s">
        <v>180</v>
      </c>
      <c r="Q2003" s="0" t="s">
        <v>6688</v>
      </c>
      <c r="R2003" s="0" t="s">
        <v>6689</v>
      </c>
      <c r="S2003" s="0" t="s">
        <v>21</v>
      </c>
      <c r="T2003" s="0" t="s">
        <v>104</v>
      </c>
      <c r="W2003" s="0" t="s">
        <v>183</v>
      </c>
      <c r="X2003" s="0" t="s">
        <v>6686</v>
      </c>
      <c r="Y2003" s="0" t="s">
        <v>6687</v>
      </c>
      <c r="Z2003" s="0" t="s">
        <v>4354</v>
      </c>
    </row>
    <row r="2004" customFormat="false" ht="15" hidden="false" customHeight="false" outlineLevel="0" collapsed="false">
      <c r="A2004" s="0" t="s">
        <v>21</v>
      </c>
      <c r="B2004" s="0" t="s">
        <v>6690</v>
      </c>
      <c r="C2004" s="0" t="s">
        <v>97</v>
      </c>
      <c r="D2004" s="0" t="s">
        <v>6691</v>
      </c>
      <c r="E2004" s="0" t="s">
        <v>6691</v>
      </c>
      <c r="M2004" s="0" t="s">
        <v>136</v>
      </c>
      <c r="N2004" s="0" t="s">
        <v>124</v>
      </c>
      <c r="P2004" s="0" t="s">
        <v>102</v>
      </c>
      <c r="Q2004" s="0" t="s">
        <v>102</v>
      </c>
      <c r="R2004" s="0" t="s">
        <v>131</v>
      </c>
      <c r="S2004" s="0" t="s">
        <v>21</v>
      </c>
      <c r="T2004" s="0" t="s">
        <v>104</v>
      </c>
      <c r="W2004" s="0" t="s">
        <v>105</v>
      </c>
    </row>
    <row r="2005" customFormat="false" ht="15" hidden="false" customHeight="false" outlineLevel="0" collapsed="false">
      <c r="A2005" s="0" t="s">
        <v>21</v>
      </c>
      <c r="B2005" s="0" t="s">
        <v>6692</v>
      </c>
      <c r="C2005" s="0" t="s">
        <v>97</v>
      </c>
      <c r="D2005" s="0" t="s">
        <v>6682</v>
      </c>
      <c r="E2005" s="0" t="s">
        <v>2641</v>
      </c>
      <c r="G2005" s="0" t="s">
        <v>6693</v>
      </c>
      <c r="H2005" s="0" t="s">
        <v>6694</v>
      </c>
      <c r="I2005" s="0" t="s">
        <v>1704</v>
      </c>
      <c r="J2005" s="0" t="s">
        <v>275</v>
      </c>
      <c r="K2005" s="0" t="s">
        <v>1705</v>
      </c>
      <c r="L2005" s="0" t="s">
        <v>124</v>
      </c>
      <c r="M2005" s="0" t="s">
        <v>178</v>
      </c>
      <c r="N2005" s="0" t="s">
        <v>124</v>
      </c>
      <c r="P2005" s="0" t="s">
        <v>102</v>
      </c>
      <c r="Q2005" s="0" t="s">
        <v>102</v>
      </c>
      <c r="R2005" s="0" t="s">
        <v>131</v>
      </c>
      <c r="S2005" s="0" t="s">
        <v>21</v>
      </c>
      <c r="T2005" s="0" t="s">
        <v>104</v>
      </c>
      <c r="W2005" s="0" t="s">
        <v>105</v>
      </c>
      <c r="X2005" s="0" t="s">
        <v>6695</v>
      </c>
      <c r="Y2005" s="0" t="s">
        <v>6696</v>
      </c>
      <c r="Z2005" s="0" t="s">
        <v>6697</v>
      </c>
    </row>
    <row r="2006" customFormat="false" ht="15" hidden="false" customHeight="false" outlineLevel="0" collapsed="false">
      <c r="A2006" s="0" t="s">
        <v>21</v>
      </c>
      <c r="B2006" s="0" t="s">
        <v>6692</v>
      </c>
      <c r="C2006" s="0" t="s">
        <v>97</v>
      </c>
      <c r="D2006" s="0" t="s">
        <v>6682</v>
      </c>
      <c r="E2006" s="0" t="s">
        <v>2641</v>
      </c>
      <c r="G2006" s="0" t="s">
        <v>6693</v>
      </c>
      <c r="H2006" s="0" t="s">
        <v>6694</v>
      </c>
      <c r="I2006" s="0" t="s">
        <v>1704</v>
      </c>
      <c r="J2006" s="0" t="s">
        <v>275</v>
      </c>
      <c r="K2006" s="0" t="s">
        <v>1705</v>
      </c>
      <c r="L2006" s="0" t="s">
        <v>124</v>
      </c>
      <c r="M2006" s="0" t="s">
        <v>178</v>
      </c>
      <c r="N2006" s="0" t="s">
        <v>124</v>
      </c>
      <c r="P2006" s="0" t="s">
        <v>180</v>
      </c>
      <c r="Q2006" s="0" t="s">
        <v>6688</v>
      </c>
      <c r="R2006" s="0" t="s">
        <v>6698</v>
      </c>
      <c r="S2006" s="0" t="s">
        <v>21</v>
      </c>
      <c r="T2006" s="0" t="s">
        <v>104</v>
      </c>
      <c r="W2006" s="0" t="s">
        <v>183</v>
      </c>
      <c r="X2006" s="0" t="s">
        <v>6695</v>
      </c>
      <c r="Y2006" s="0" t="s">
        <v>6696</v>
      </c>
      <c r="Z2006" s="0" t="s">
        <v>6697</v>
      </c>
    </row>
    <row r="2007" customFormat="false" ht="15" hidden="false" customHeight="false" outlineLevel="0" collapsed="false">
      <c r="A2007" s="0" t="s">
        <v>21</v>
      </c>
      <c r="B2007" s="0" t="s">
        <v>6699</v>
      </c>
      <c r="C2007" s="0" t="s">
        <v>97</v>
      </c>
      <c r="D2007" s="0" t="s">
        <v>6700</v>
      </c>
      <c r="E2007" s="0" t="s">
        <v>6700</v>
      </c>
      <c r="M2007" s="0" t="s">
        <v>136</v>
      </c>
      <c r="N2007" s="0" t="s">
        <v>124</v>
      </c>
      <c r="P2007" s="0" t="s">
        <v>102</v>
      </c>
      <c r="Q2007" s="0" t="s">
        <v>102</v>
      </c>
      <c r="R2007" s="0" t="s">
        <v>131</v>
      </c>
      <c r="S2007" s="0" t="s">
        <v>21</v>
      </c>
      <c r="T2007" s="0" t="s">
        <v>104</v>
      </c>
      <c r="W2007" s="0" t="s">
        <v>105</v>
      </c>
    </row>
    <row r="2008" customFormat="false" ht="15" hidden="false" customHeight="false" outlineLevel="0" collapsed="false">
      <c r="A2008" s="0" t="s">
        <v>21</v>
      </c>
      <c r="B2008" s="0" t="s">
        <v>6701</v>
      </c>
      <c r="C2008" s="0" t="s">
        <v>110</v>
      </c>
      <c r="D2008" s="0" t="s">
        <v>6682</v>
      </c>
      <c r="E2008" s="0" t="s">
        <v>6702</v>
      </c>
      <c r="H2008" s="0" t="s">
        <v>6703</v>
      </c>
      <c r="I2008" s="0" t="s">
        <v>6704</v>
      </c>
      <c r="J2008" s="0" t="s">
        <v>178</v>
      </c>
      <c r="K2008" s="0" t="s">
        <v>6705</v>
      </c>
      <c r="M2008" s="0" t="s">
        <v>178</v>
      </c>
      <c r="N2008" s="0" t="s">
        <v>124</v>
      </c>
      <c r="P2008" s="0" t="s">
        <v>102</v>
      </c>
      <c r="Q2008" s="0" t="s">
        <v>102</v>
      </c>
      <c r="R2008" s="0" t="s">
        <v>131</v>
      </c>
      <c r="S2008" s="0" t="s">
        <v>21</v>
      </c>
      <c r="T2008" s="0" t="s">
        <v>104</v>
      </c>
      <c r="W2008" s="0" t="s">
        <v>105</v>
      </c>
    </row>
    <row r="2009" customFormat="false" ht="15" hidden="false" customHeight="false" outlineLevel="0" collapsed="false">
      <c r="A2009" s="0" t="s">
        <v>21</v>
      </c>
      <c r="B2009" s="0" t="s">
        <v>6701</v>
      </c>
      <c r="C2009" s="0" t="s">
        <v>110</v>
      </c>
      <c r="D2009" s="0" t="s">
        <v>6682</v>
      </c>
      <c r="E2009" s="0" t="s">
        <v>6702</v>
      </c>
      <c r="H2009" s="0" t="s">
        <v>6703</v>
      </c>
      <c r="I2009" s="0" t="s">
        <v>6704</v>
      </c>
      <c r="J2009" s="0" t="s">
        <v>178</v>
      </c>
      <c r="K2009" s="0" t="s">
        <v>6705</v>
      </c>
      <c r="M2009" s="0" t="s">
        <v>178</v>
      </c>
      <c r="N2009" s="0" t="s">
        <v>124</v>
      </c>
      <c r="P2009" s="0" t="s">
        <v>180</v>
      </c>
      <c r="Q2009" s="0" t="s">
        <v>6688</v>
      </c>
      <c r="R2009" s="0" t="s">
        <v>6689</v>
      </c>
      <c r="S2009" s="0" t="s">
        <v>21</v>
      </c>
      <c r="T2009" s="0" t="s">
        <v>104</v>
      </c>
      <c r="W2009" s="0" t="s">
        <v>183</v>
      </c>
    </row>
    <row r="2010" customFormat="false" ht="15" hidden="false" customHeight="false" outlineLevel="0" collapsed="false">
      <c r="A2010" s="0" t="s">
        <v>21</v>
      </c>
      <c r="B2010" s="0" t="s">
        <v>6706</v>
      </c>
      <c r="C2010" s="0" t="s">
        <v>110</v>
      </c>
      <c r="D2010" s="0" t="s">
        <v>6682</v>
      </c>
      <c r="E2010" s="0" t="s">
        <v>6707</v>
      </c>
      <c r="H2010" s="0" t="s">
        <v>1687</v>
      </c>
      <c r="I2010" s="0" t="s">
        <v>1688</v>
      </c>
      <c r="J2010" s="0" t="s">
        <v>178</v>
      </c>
      <c r="K2010" s="0" t="s">
        <v>1689</v>
      </c>
      <c r="M2010" s="0" t="s">
        <v>178</v>
      </c>
      <c r="N2010" s="0" t="s">
        <v>124</v>
      </c>
      <c r="P2010" s="0" t="s">
        <v>130</v>
      </c>
      <c r="Q2010" s="0" t="s">
        <v>130</v>
      </c>
      <c r="R2010" s="0" t="s">
        <v>131</v>
      </c>
      <c r="S2010" s="0" t="s">
        <v>21</v>
      </c>
      <c r="T2010" s="0" t="s">
        <v>104</v>
      </c>
      <c r="W2010" s="0" t="s">
        <v>105</v>
      </c>
    </row>
    <row r="2011" customFormat="false" ht="15" hidden="false" customHeight="false" outlineLevel="0" collapsed="false">
      <c r="A2011" s="0" t="s">
        <v>21</v>
      </c>
      <c r="B2011" s="0" t="s">
        <v>6708</v>
      </c>
      <c r="C2011" s="0" t="s">
        <v>110</v>
      </c>
      <c r="D2011" s="0" t="s">
        <v>6682</v>
      </c>
      <c r="E2011" s="0" t="s">
        <v>6709</v>
      </c>
      <c r="H2011" s="0" t="s">
        <v>6710</v>
      </c>
      <c r="I2011" s="0" t="s">
        <v>6711</v>
      </c>
      <c r="J2011" s="0" t="s">
        <v>178</v>
      </c>
      <c r="K2011" s="0" t="s">
        <v>6712</v>
      </c>
      <c r="M2011" s="0" t="s">
        <v>178</v>
      </c>
      <c r="N2011" s="0" t="s">
        <v>124</v>
      </c>
      <c r="P2011" s="0" t="s">
        <v>130</v>
      </c>
      <c r="Q2011" s="0" t="s">
        <v>130</v>
      </c>
      <c r="R2011" s="0" t="s">
        <v>131</v>
      </c>
      <c r="S2011" s="0" t="s">
        <v>21</v>
      </c>
      <c r="T2011" s="0" t="s">
        <v>104</v>
      </c>
      <c r="W2011" s="0" t="s">
        <v>105</v>
      </c>
    </row>
    <row r="2012" customFormat="false" ht="15" hidden="false" customHeight="false" outlineLevel="0" collapsed="false">
      <c r="A2012" s="0" t="s">
        <v>21</v>
      </c>
      <c r="B2012" s="0" t="s">
        <v>6713</v>
      </c>
      <c r="C2012" s="0" t="s">
        <v>110</v>
      </c>
      <c r="D2012" s="0" t="s">
        <v>6682</v>
      </c>
      <c r="E2012" s="0" t="s">
        <v>6714</v>
      </c>
      <c r="H2012" s="0" t="s">
        <v>6715</v>
      </c>
      <c r="I2012" s="0" t="s">
        <v>6716</v>
      </c>
      <c r="J2012" s="0" t="s">
        <v>178</v>
      </c>
      <c r="K2012" s="0" t="s">
        <v>6717</v>
      </c>
      <c r="M2012" s="0" t="s">
        <v>178</v>
      </c>
      <c r="N2012" s="0" t="s">
        <v>124</v>
      </c>
      <c r="P2012" s="0" t="s">
        <v>130</v>
      </c>
      <c r="Q2012" s="0" t="s">
        <v>130</v>
      </c>
      <c r="R2012" s="0" t="s">
        <v>131</v>
      </c>
      <c r="S2012" s="0" t="s">
        <v>21</v>
      </c>
      <c r="T2012" s="0" t="s">
        <v>104</v>
      </c>
      <c r="W2012" s="0" t="s">
        <v>105</v>
      </c>
    </row>
    <row r="2013" customFormat="false" ht="15" hidden="false" customHeight="false" outlineLevel="0" collapsed="false">
      <c r="A2013" s="0" t="s">
        <v>21</v>
      </c>
      <c r="B2013" s="0" t="s">
        <v>6718</v>
      </c>
      <c r="C2013" s="0" t="s">
        <v>110</v>
      </c>
      <c r="D2013" s="0" t="s">
        <v>6682</v>
      </c>
      <c r="E2013" s="0" t="s">
        <v>6719</v>
      </c>
      <c r="H2013" s="0" t="s">
        <v>6720</v>
      </c>
      <c r="I2013" s="0" t="s">
        <v>1765</v>
      </c>
      <c r="J2013" s="0" t="s">
        <v>178</v>
      </c>
      <c r="K2013" s="0" t="s">
        <v>1767</v>
      </c>
      <c r="M2013" s="0" t="s">
        <v>178</v>
      </c>
      <c r="N2013" s="0" t="s">
        <v>124</v>
      </c>
      <c r="P2013" s="0" t="s">
        <v>130</v>
      </c>
      <c r="Q2013" s="0" t="s">
        <v>130</v>
      </c>
      <c r="R2013" s="0" t="s">
        <v>131</v>
      </c>
      <c r="S2013" s="0" t="s">
        <v>21</v>
      </c>
      <c r="T2013" s="0" t="s">
        <v>104</v>
      </c>
      <c r="W2013" s="0" t="s">
        <v>105</v>
      </c>
    </row>
    <row r="2014" customFormat="false" ht="15" hidden="false" customHeight="false" outlineLevel="0" collapsed="false">
      <c r="A2014" s="0" t="s">
        <v>21</v>
      </c>
      <c r="B2014" s="0" t="s">
        <v>6721</v>
      </c>
      <c r="C2014" s="0" t="s">
        <v>110</v>
      </c>
      <c r="D2014" s="0" t="s">
        <v>6682</v>
      </c>
      <c r="E2014" s="0" t="s">
        <v>6722</v>
      </c>
      <c r="H2014" s="0" t="s">
        <v>6723</v>
      </c>
      <c r="I2014" s="0" t="s">
        <v>1771</v>
      </c>
      <c r="J2014" s="0" t="s">
        <v>275</v>
      </c>
      <c r="K2014" s="0" t="s">
        <v>1772</v>
      </c>
      <c r="M2014" s="0" t="s">
        <v>178</v>
      </c>
      <c r="N2014" s="0" t="s">
        <v>124</v>
      </c>
      <c r="P2014" s="0" t="s">
        <v>180</v>
      </c>
      <c r="Q2014" s="0" t="s">
        <v>6688</v>
      </c>
      <c r="R2014" s="0" t="s">
        <v>6689</v>
      </c>
      <c r="S2014" s="0" t="s">
        <v>21</v>
      </c>
      <c r="T2014" s="0" t="s">
        <v>104</v>
      </c>
      <c r="W2014" s="0" t="s">
        <v>183</v>
      </c>
    </row>
    <row r="2015" customFormat="false" ht="15" hidden="false" customHeight="false" outlineLevel="0" collapsed="false">
      <c r="A2015" s="0" t="s">
        <v>21</v>
      </c>
      <c r="B2015" s="0" t="s">
        <v>6721</v>
      </c>
      <c r="C2015" s="0" t="s">
        <v>110</v>
      </c>
      <c r="D2015" s="0" t="s">
        <v>6682</v>
      </c>
      <c r="E2015" s="0" t="s">
        <v>6722</v>
      </c>
      <c r="H2015" s="0" t="s">
        <v>6723</v>
      </c>
      <c r="I2015" s="0" t="s">
        <v>1771</v>
      </c>
      <c r="J2015" s="0" t="s">
        <v>275</v>
      </c>
      <c r="K2015" s="0" t="s">
        <v>1772</v>
      </c>
      <c r="M2015" s="0" t="s">
        <v>178</v>
      </c>
      <c r="N2015" s="0" t="s">
        <v>124</v>
      </c>
      <c r="P2015" s="0" t="s">
        <v>130</v>
      </c>
      <c r="Q2015" s="0" t="s">
        <v>130</v>
      </c>
      <c r="R2015" s="0" t="s">
        <v>131</v>
      </c>
      <c r="S2015" s="0" t="s">
        <v>21</v>
      </c>
      <c r="T2015" s="0" t="s">
        <v>104</v>
      </c>
      <c r="W2015" s="0" t="s">
        <v>105</v>
      </c>
    </row>
    <row r="2016" customFormat="false" ht="15" hidden="false" customHeight="false" outlineLevel="0" collapsed="false">
      <c r="A2016" s="0" t="s">
        <v>21</v>
      </c>
      <c r="B2016" s="0" t="s">
        <v>6724</v>
      </c>
      <c r="C2016" s="0" t="s">
        <v>110</v>
      </c>
      <c r="D2016" s="0" t="s">
        <v>6682</v>
      </c>
      <c r="E2016" s="0" t="s">
        <v>6725</v>
      </c>
      <c r="H2016" s="0" t="s">
        <v>6726</v>
      </c>
      <c r="I2016" s="0" t="s">
        <v>6727</v>
      </c>
      <c r="J2016" s="0" t="s">
        <v>178</v>
      </c>
      <c r="K2016" s="0" t="s">
        <v>6728</v>
      </c>
      <c r="M2016" s="0" t="s">
        <v>178</v>
      </c>
      <c r="N2016" s="0" t="s">
        <v>124</v>
      </c>
      <c r="P2016" s="0" t="s">
        <v>102</v>
      </c>
      <c r="Q2016" s="0" t="s">
        <v>102</v>
      </c>
      <c r="R2016" s="0" t="s">
        <v>131</v>
      </c>
      <c r="S2016" s="0" t="s">
        <v>21</v>
      </c>
      <c r="T2016" s="0" t="s">
        <v>104</v>
      </c>
      <c r="W2016" s="0" t="s">
        <v>105</v>
      </c>
    </row>
    <row r="2017" customFormat="false" ht="15" hidden="false" customHeight="false" outlineLevel="0" collapsed="false">
      <c r="A2017" s="0" t="s">
        <v>21</v>
      </c>
      <c r="B2017" s="0" t="s">
        <v>6724</v>
      </c>
      <c r="C2017" s="0" t="s">
        <v>110</v>
      </c>
      <c r="D2017" s="0" t="s">
        <v>6682</v>
      </c>
      <c r="E2017" s="0" t="s">
        <v>6725</v>
      </c>
      <c r="H2017" s="0" t="s">
        <v>6726</v>
      </c>
      <c r="I2017" s="0" t="s">
        <v>6727</v>
      </c>
      <c r="J2017" s="0" t="s">
        <v>178</v>
      </c>
      <c r="K2017" s="0" t="s">
        <v>6728</v>
      </c>
      <c r="M2017" s="0" t="s">
        <v>178</v>
      </c>
      <c r="N2017" s="0" t="s">
        <v>124</v>
      </c>
      <c r="P2017" s="0" t="s">
        <v>180</v>
      </c>
      <c r="Q2017" s="0" t="s">
        <v>6688</v>
      </c>
      <c r="R2017" s="0" t="s">
        <v>6689</v>
      </c>
      <c r="S2017" s="0" t="s">
        <v>21</v>
      </c>
      <c r="T2017" s="0" t="s">
        <v>104</v>
      </c>
      <c r="W2017" s="0" t="s">
        <v>183</v>
      </c>
    </row>
    <row r="2018" customFormat="false" ht="15" hidden="false" customHeight="false" outlineLevel="0" collapsed="false">
      <c r="A2018" s="0" t="s">
        <v>21</v>
      </c>
      <c r="B2018" s="0" t="s">
        <v>6729</v>
      </c>
      <c r="C2018" s="0" t="s">
        <v>110</v>
      </c>
      <c r="D2018" s="0" t="s">
        <v>6682</v>
      </c>
      <c r="E2018" s="0" t="s">
        <v>6730</v>
      </c>
      <c r="H2018" s="0" t="s">
        <v>6731</v>
      </c>
      <c r="I2018" s="0" t="s">
        <v>6732</v>
      </c>
      <c r="J2018" s="0" t="s">
        <v>178</v>
      </c>
      <c r="K2018" s="0" t="s">
        <v>6733</v>
      </c>
      <c r="M2018" s="0" t="s">
        <v>178</v>
      </c>
      <c r="N2018" s="0" t="s">
        <v>124</v>
      </c>
      <c r="P2018" s="0" t="s">
        <v>102</v>
      </c>
      <c r="Q2018" s="0" t="s">
        <v>102</v>
      </c>
      <c r="R2018" s="0" t="s">
        <v>131</v>
      </c>
      <c r="S2018" s="0" t="s">
        <v>21</v>
      </c>
      <c r="T2018" s="0" t="s">
        <v>104</v>
      </c>
      <c r="W2018" s="0" t="s">
        <v>105</v>
      </c>
    </row>
    <row r="2019" customFormat="false" ht="15" hidden="false" customHeight="false" outlineLevel="0" collapsed="false">
      <c r="A2019" s="0" t="s">
        <v>21</v>
      </c>
      <c r="B2019" s="0" t="s">
        <v>6729</v>
      </c>
      <c r="C2019" s="0" t="s">
        <v>110</v>
      </c>
      <c r="D2019" s="0" t="s">
        <v>6682</v>
      </c>
      <c r="E2019" s="0" t="s">
        <v>6730</v>
      </c>
      <c r="H2019" s="0" t="s">
        <v>6731</v>
      </c>
      <c r="I2019" s="0" t="s">
        <v>6732</v>
      </c>
      <c r="J2019" s="0" t="s">
        <v>178</v>
      </c>
      <c r="K2019" s="0" t="s">
        <v>6733</v>
      </c>
      <c r="M2019" s="0" t="s">
        <v>178</v>
      </c>
      <c r="N2019" s="0" t="s">
        <v>124</v>
      </c>
      <c r="P2019" s="0" t="s">
        <v>180</v>
      </c>
      <c r="Q2019" s="0" t="s">
        <v>6688</v>
      </c>
      <c r="R2019" s="0" t="s">
        <v>6689</v>
      </c>
      <c r="S2019" s="0" t="s">
        <v>21</v>
      </c>
      <c r="T2019" s="0" t="s">
        <v>104</v>
      </c>
      <c r="W2019" s="0" t="s">
        <v>183</v>
      </c>
    </row>
    <row r="2020" customFormat="false" ht="15" hidden="false" customHeight="false" outlineLevel="0" collapsed="false">
      <c r="A2020" s="0" t="s">
        <v>21</v>
      </c>
      <c r="B2020" s="0" t="s">
        <v>6734</v>
      </c>
      <c r="C2020" s="0" t="s">
        <v>110</v>
      </c>
      <c r="D2020" s="0" t="s">
        <v>6682</v>
      </c>
      <c r="E2020" s="0" t="s">
        <v>6735</v>
      </c>
      <c r="H2020" s="0" t="s">
        <v>6736</v>
      </c>
      <c r="I2020" s="0" t="s">
        <v>6737</v>
      </c>
      <c r="J2020" s="0" t="s">
        <v>178</v>
      </c>
      <c r="K2020" s="0" t="s">
        <v>6738</v>
      </c>
      <c r="M2020" s="0" t="s">
        <v>178</v>
      </c>
      <c r="N2020" s="0" t="s">
        <v>124</v>
      </c>
      <c r="P2020" s="0" t="s">
        <v>180</v>
      </c>
      <c r="Q2020" s="0" t="s">
        <v>6688</v>
      </c>
      <c r="R2020" s="0" t="s">
        <v>6689</v>
      </c>
      <c r="S2020" s="0" t="s">
        <v>21</v>
      </c>
      <c r="T2020" s="0" t="s">
        <v>104</v>
      </c>
      <c r="W2020" s="0" t="s">
        <v>183</v>
      </c>
    </row>
    <row r="2021" customFormat="false" ht="15" hidden="false" customHeight="false" outlineLevel="0" collapsed="false">
      <c r="A2021" s="0" t="s">
        <v>21</v>
      </c>
      <c r="B2021" s="0" t="s">
        <v>6734</v>
      </c>
      <c r="C2021" s="0" t="s">
        <v>110</v>
      </c>
      <c r="D2021" s="0" t="s">
        <v>6682</v>
      </c>
      <c r="E2021" s="0" t="s">
        <v>6735</v>
      </c>
      <c r="H2021" s="0" t="s">
        <v>6736</v>
      </c>
      <c r="I2021" s="0" t="s">
        <v>6737</v>
      </c>
      <c r="J2021" s="0" t="s">
        <v>178</v>
      </c>
      <c r="K2021" s="0" t="s">
        <v>6738</v>
      </c>
      <c r="M2021" s="0" t="s">
        <v>178</v>
      </c>
      <c r="N2021" s="0" t="s">
        <v>124</v>
      </c>
      <c r="P2021" s="0" t="s">
        <v>130</v>
      </c>
      <c r="Q2021" s="0" t="s">
        <v>130</v>
      </c>
      <c r="R2021" s="0" t="s">
        <v>131</v>
      </c>
      <c r="S2021" s="0" t="s">
        <v>21</v>
      </c>
      <c r="T2021" s="0" t="s">
        <v>104</v>
      </c>
      <c r="W2021" s="0" t="s">
        <v>105</v>
      </c>
    </row>
    <row r="2022" customFormat="false" ht="15" hidden="false" customHeight="false" outlineLevel="0" collapsed="false">
      <c r="A2022" s="0" t="s">
        <v>21</v>
      </c>
      <c r="B2022" s="0" t="s">
        <v>6739</v>
      </c>
      <c r="C2022" s="0" t="s">
        <v>110</v>
      </c>
      <c r="D2022" s="0" t="s">
        <v>6682</v>
      </c>
      <c r="E2022" s="0" t="s">
        <v>6740</v>
      </c>
      <c r="H2022" s="0" t="s">
        <v>6741</v>
      </c>
      <c r="I2022" s="0" t="s">
        <v>6742</v>
      </c>
      <c r="J2022" s="0" t="s">
        <v>178</v>
      </c>
      <c r="K2022" s="0" t="s">
        <v>6743</v>
      </c>
      <c r="M2022" s="0" t="s">
        <v>178</v>
      </c>
      <c r="N2022" s="0" t="s">
        <v>124</v>
      </c>
      <c r="P2022" s="0" t="s">
        <v>180</v>
      </c>
      <c r="Q2022" s="0" t="s">
        <v>6688</v>
      </c>
      <c r="R2022" s="0" t="s">
        <v>6689</v>
      </c>
      <c r="S2022" s="0" t="s">
        <v>21</v>
      </c>
      <c r="T2022" s="0" t="s">
        <v>104</v>
      </c>
      <c r="W2022" s="0" t="s">
        <v>183</v>
      </c>
    </row>
    <row r="2023" customFormat="false" ht="15" hidden="false" customHeight="false" outlineLevel="0" collapsed="false">
      <c r="A2023" s="0" t="s">
        <v>21</v>
      </c>
      <c r="B2023" s="0" t="s">
        <v>6739</v>
      </c>
      <c r="C2023" s="0" t="s">
        <v>110</v>
      </c>
      <c r="D2023" s="0" t="s">
        <v>6682</v>
      </c>
      <c r="E2023" s="0" t="s">
        <v>6740</v>
      </c>
      <c r="H2023" s="0" t="s">
        <v>6741</v>
      </c>
      <c r="I2023" s="0" t="s">
        <v>6742</v>
      </c>
      <c r="J2023" s="0" t="s">
        <v>178</v>
      </c>
      <c r="K2023" s="0" t="s">
        <v>6743</v>
      </c>
      <c r="M2023" s="0" t="s">
        <v>178</v>
      </c>
      <c r="N2023" s="0" t="s">
        <v>124</v>
      </c>
      <c r="P2023" s="0" t="s">
        <v>130</v>
      </c>
      <c r="Q2023" s="0" t="s">
        <v>130</v>
      </c>
      <c r="R2023" s="0" t="s">
        <v>131</v>
      </c>
      <c r="S2023" s="0" t="s">
        <v>21</v>
      </c>
      <c r="T2023" s="0" t="s">
        <v>104</v>
      </c>
      <c r="W2023" s="0" t="s">
        <v>105</v>
      </c>
    </row>
    <row r="2024" customFormat="false" ht="15" hidden="false" customHeight="false" outlineLevel="0" collapsed="false">
      <c r="A2024" s="0" t="s">
        <v>21</v>
      </c>
      <c r="B2024" s="0" t="s">
        <v>6744</v>
      </c>
      <c r="C2024" s="0" t="s">
        <v>110</v>
      </c>
      <c r="D2024" s="0" t="s">
        <v>6682</v>
      </c>
      <c r="E2024" s="0" t="s">
        <v>6745</v>
      </c>
      <c r="H2024" s="0" t="s">
        <v>6746</v>
      </c>
      <c r="I2024" s="0" t="s">
        <v>6747</v>
      </c>
      <c r="J2024" s="0" t="s">
        <v>178</v>
      </c>
      <c r="K2024" s="0" t="s">
        <v>6748</v>
      </c>
      <c r="M2024" s="0" t="s">
        <v>178</v>
      </c>
      <c r="N2024" s="0" t="s">
        <v>124</v>
      </c>
      <c r="P2024" s="0" t="s">
        <v>130</v>
      </c>
      <c r="Q2024" s="0" t="s">
        <v>130</v>
      </c>
      <c r="R2024" s="0" t="s">
        <v>131</v>
      </c>
      <c r="S2024" s="0" t="s">
        <v>21</v>
      </c>
      <c r="T2024" s="0" t="s">
        <v>104</v>
      </c>
      <c r="W2024" s="0" t="s">
        <v>105</v>
      </c>
    </row>
    <row r="2025" customFormat="false" ht="15" hidden="false" customHeight="false" outlineLevel="0" collapsed="false">
      <c r="A2025" s="0" t="s">
        <v>21</v>
      </c>
      <c r="B2025" s="0" t="s">
        <v>6749</v>
      </c>
      <c r="C2025" s="0" t="s">
        <v>110</v>
      </c>
      <c r="D2025" s="0" t="s">
        <v>6682</v>
      </c>
      <c r="E2025" s="0" t="s">
        <v>6750</v>
      </c>
      <c r="H2025" s="0" t="s">
        <v>6751</v>
      </c>
      <c r="I2025" s="0" t="s">
        <v>6752</v>
      </c>
      <c r="J2025" s="0" t="s">
        <v>178</v>
      </c>
      <c r="K2025" s="0" t="s">
        <v>6753</v>
      </c>
      <c r="M2025" s="0" t="s">
        <v>178</v>
      </c>
      <c r="N2025" s="0" t="s">
        <v>124</v>
      </c>
      <c r="P2025" s="0" t="s">
        <v>180</v>
      </c>
      <c r="Q2025" s="0" t="s">
        <v>6688</v>
      </c>
      <c r="R2025" s="0" t="s">
        <v>6689</v>
      </c>
      <c r="S2025" s="0" t="s">
        <v>21</v>
      </c>
      <c r="T2025" s="0" t="s">
        <v>104</v>
      </c>
      <c r="W2025" s="0" t="s">
        <v>183</v>
      </c>
    </row>
    <row r="2026" customFormat="false" ht="15" hidden="false" customHeight="false" outlineLevel="0" collapsed="false">
      <c r="A2026" s="0" t="s">
        <v>21</v>
      </c>
      <c r="B2026" s="0" t="s">
        <v>6749</v>
      </c>
      <c r="C2026" s="0" t="s">
        <v>110</v>
      </c>
      <c r="D2026" s="0" t="s">
        <v>6682</v>
      </c>
      <c r="E2026" s="0" t="s">
        <v>6750</v>
      </c>
      <c r="H2026" s="0" t="s">
        <v>6751</v>
      </c>
      <c r="I2026" s="0" t="s">
        <v>6752</v>
      </c>
      <c r="J2026" s="0" t="s">
        <v>178</v>
      </c>
      <c r="K2026" s="0" t="s">
        <v>6753</v>
      </c>
      <c r="M2026" s="0" t="s">
        <v>178</v>
      </c>
      <c r="N2026" s="0" t="s">
        <v>124</v>
      </c>
      <c r="P2026" s="0" t="s">
        <v>130</v>
      </c>
      <c r="Q2026" s="0" t="s">
        <v>130</v>
      </c>
      <c r="R2026" s="0" t="s">
        <v>131</v>
      </c>
      <c r="S2026" s="0" t="s">
        <v>21</v>
      </c>
      <c r="T2026" s="0" t="s">
        <v>104</v>
      </c>
      <c r="W2026" s="0" t="s">
        <v>105</v>
      </c>
    </row>
    <row r="2027" customFormat="false" ht="15" hidden="false" customHeight="false" outlineLevel="0" collapsed="false">
      <c r="A2027" s="0" t="s">
        <v>21</v>
      </c>
      <c r="B2027" s="0" t="s">
        <v>6754</v>
      </c>
      <c r="C2027" s="0" t="s">
        <v>110</v>
      </c>
      <c r="D2027" s="0" t="s">
        <v>6682</v>
      </c>
      <c r="E2027" s="0" t="s">
        <v>6755</v>
      </c>
      <c r="H2027" s="0" t="s">
        <v>6756</v>
      </c>
      <c r="I2027" s="0" t="s">
        <v>6496</v>
      </c>
      <c r="J2027" s="0" t="s">
        <v>178</v>
      </c>
      <c r="K2027" s="0" t="s">
        <v>6497</v>
      </c>
      <c r="M2027" s="0" t="s">
        <v>178</v>
      </c>
      <c r="N2027" s="0" t="s">
        <v>124</v>
      </c>
      <c r="P2027" s="0" t="s">
        <v>180</v>
      </c>
      <c r="Q2027" s="0" t="s">
        <v>6688</v>
      </c>
      <c r="R2027" s="0" t="s">
        <v>6689</v>
      </c>
      <c r="S2027" s="0" t="s">
        <v>21</v>
      </c>
      <c r="T2027" s="0" t="s">
        <v>104</v>
      </c>
      <c r="W2027" s="0" t="s">
        <v>183</v>
      </c>
    </row>
    <row r="2028" customFormat="false" ht="15" hidden="false" customHeight="false" outlineLevel="0" collapsed="false">
      <c r="A2028" s="0" t="s">
        <v>21</v>
      </c>
      <c r="B2028" s="0" t="s">
        <v>6754</v>
      </c>
      <c r="C2028" s="0" t="s">
        <v>110</v>
      </c>
      <c r="D2028" s="0" t="s">
        <v>6682</v>
      </c>
      <c r="E2028" s="0" t="s">
        <v>6755</v>
      </c>
      <c r="H2028" s="0" t="s">
        <v>6756</v>
      </c>
      <c r="I2028" s="0" t="s">
        <v>6496</v>
      </c>
      <c r="J2028" s="0" t="s">
        <v>178</v>
      </c>
      <c r="K2028" s="0" t="s">
        <v>6497</v>
      </c>
      <c r="M2028" s="0" t="s">
        <v>178</v>
      </c>
      <c r="N2028" s="0" t="s">
        <v>124</v>
      </c>
      <c r="P2028" s="0" t="s">
        <v>130</v>
      </c>
      <c r="Q2028" s="0" t="s">
        <v>130</v>
      </c>
      <c r="R2028" s="0" t="s">
        <v>131</v>
      </c>
      <c r="S2028" s="0" t="s">
        <v>21</v>
      </c>
      <c r="T2028" s="0" t="s">
        <v>104</v>
      </c>
      <c r="W2028" s="0" t="s">
        <v>105</v>
      </c>
    </row>
    <row r="2029" customFormat="false" ht="15" hidden="false" customHeight="false" outlineLevel="0" collapsed="false">
      <c r="A2029" s="0" t="s">
        <v>21</v>
      </c>
      <c r="B2029" s="0" t="s">
        <v>6757</v>
      </c>
      <c r="C2029" s="0" t="s">
        <v>110</v>
      </c>
      <c r="D2029" s="0" t="s">
        <v>6682</v>
      </c>
      <c r="E2029" s="0" t="s">
        <v>6758</v>
      </c>
      <c r="H2029" s="0" t="s">
        <v>6759</v>
      </c>
      <c r="I2029" s="0" t="s">
        <v>6760</v>
      </c>
      <c r="J2029" s="0" t="s">
        <v>178</v>
      </c>
      <c r="K2029" s="0" t="s">
        <v>6761</v>
      </c>
      <c r="M2029" s="0" t="s">
        <v>178</v>
      </c>
      <c r="N2029" s="0" t="s">
        <v>124</v>
      </c>
      <c r="P2029" s="0" t="s">
        <v>102</v>
      </c>
      <c r="Q2029" s="0" t="s">
        <v>102</v>
      </c>
      <c r="R2029" s="0" t="s">
        <v>131</v>
      </c>
      <c r="S2029" s="0" t="s">
        <v>21</v>
      </c>
      <c r="T2029" s="0" t="s">
        <v>104</v>
      </c>
      <c r="W2029" s="0" t="s">
        <v>105</v>
      </c>
    </row>
    <row r="2030" customFormat="false" ht="15" hidden="false" customHeight="false" outlineLevel="0" collapsed="false">
      <c r="A2030" s="0" t="s">
        <v>21</v>
      </c>
      <c r="B2030" s="0" t="s">
        <v>6757</v>
      </c>
      <c r="C2030" s="0" t="s">
        <v>110</v>
      </c>
      <c r="D2030" s="0" t="s">
        <v>6682</v>
      </c>
      <c r="E2030" s="0" t="s">
        <v>6758</v>
      </c>
      <c r="H2030" s="0" t="s">
        <v>6759</v>
      </c>
      <c r="I2030" s="0" t="s">
        <v>6760</v>
      </c>
      <c r="J2030" s="0" t="s">
        <v>178</v>
      </c>
      <c r="K2030" s="0" t="s">
        <v>6761</v>
      </c>
      <c r="M2030" s="0" t="s">
        <v>178</v>
      </c>
      <c r="N2030" s="0" t="s">
        <v>124</v>
      </c>
      <c r="P2030" s="0" t="s">
        <v>180</v>
      </c>
      <c r="Q2030" s="0" t="s">
        <v>6688</v>
      </c>
      <c r="R2030" s="0" t="s">
        <v>6689</v>
      </c>
      <c r="S2030" s="0" t="s">
        <v>21</v>
      </c>
      <c r="T2030" s="0" t="s">
        <v>104</v>
      </c>
      <c r="W2030" s="0" t="s">
        <v>183</v>
      </c>
    </row>
    <row r="2031" customFormat="false" ht="15" hidden="false" customHeight="false" outlineLevel="0" collapsed="false">
      <c r="A2031" s="0" t="s">
        <v>21</v>
      </c>
      <c r="B2031" s="0" t="s">
        <v>6762</v>
      </c>
      <c r="C2031" s="0" t="s">
        <v>110</v>
      </c>
      <c r="D2031" s="0" t="s">
        <v>6682</v>
      </c>
      <c r="E2031" s="0" t="s">
        <v>6763</v>
      </c>
      <c r="H2031" s="0" t="s">
        <v>6764</v>
      </c>
      <c r="I2031" s="0" t="s">
        <v>6765</v>
      </c>
      <c r="J2031" s="0" t="s">
        <v>178</v>
      </c>
      <c r="K2031" s="0" t="s">
        <v>6766</v>
      </c>
      <c r="M2031" s="0" t="s">
        <v>178</v>
      </c>
      <c r="N2031" s="0" t="s">
        <v>124</v>
      </c>
      <c r="P2031" s="0" t="s">
        <v>130</v>
      </c>
      <c r="Q2031" s="0" t="s">
        <v>130</v>
      </c>
      <c r="R2031" s="0" t="s">
        <v>131</v>
      </c>
      <c r="S2031" s="0" t="s">
        <v>21</v>
      </c>
      <c r="T2031" s="0" t="s">
        <v>104</v>
      </c>
      <c r="W2031" s="0" t="s">
        <v>105</v>
      </c>
    </row>
    <row r="2032" customFormat="false" ht="15" hidden="false" customHeight="false" outlineLevel="0" collapsed="false">
      <c r="A2032" s="0" t="s">
        <v>21</v>
      </c>
      <c r="B2032" s="0" t="s">
        <v>6767</v>
      </c>
      <c r="C2032" s="0" t="s">
        <v>110</v>
      </c>
      <c r="D2032" s="0" t="s">
        <v>6682</v>
      </c>
      <c r="E2032" s="0" t="s">
        <v>6768</v>
      </c>
      <c r="H2032" s="0" t="s">
        <v>6769</v>
      </c>
      <c r="I2032" s="0" t="s">
        <v>6521</v>
      </c>
      <c r="J2032" s="0" t="s">
        <v>178</v>
      </c>
      <c r="K2032" s="0" t="s">
        <v>6770</v>
      </c>
      <c r="M2032" s="0" t="s">
        <v>178</v>
      </c>
      <c r="N2032" s="0" t="s">
        <v>124</v>
      </c>
      <c r="P2032" s="0" t="s">
        <v>180</v>
      </c>
      <c r="Q2032" s="0" t="s">
        <v>6688</v>
      </c>
      <c r="R2032" s="0" t="s">
        <v>6689</v>
      </c>
      <c r="S2032" s="0" t="s">
        <v>21</v>
      </c>
      <c r="T2032" s="0" t="s">
        <v>104</v>
      </c>
      <c r="W2032" s="0" t="s">
        <v>183</v>
      </c>
    </row>
    <row r="2033" customFormat="false" ht="15" hidden="false" customHeight="false" outlineLevel="0" collapsed="false">
      <c r="A2033" s="0" t="s">
        <v>21</v>
      </c>
      <c r="B2033" s="0" t="s">
        <v>6767</v>
      </c>
      <c r="C2033" s="0" t="s">
        <v>110</v>
      </c>
      <c r="D2033" s="0" t="s">
        <v>6682</v>
      </c>
      <c r="E2033" s="0" t="s">
        <v>6768</v>
      </c>
      <c r="H2033" s="0" t="s">
        <v>6769</v>
      </c>
      <c r="I2033" s="0" t="s">
        <v>6521</v>
      </c>
      <c r="J2033" s="0" t="s">
        <v>178</v>
      </c>
      <c r="K2033" s="0" t="s">
        <v>6770</v>
      </c>
      <c r="M2033" s="0" t="s">
        <v>178</v>
      </c>
      <c r="N2033" s="0" t="s">
        <v>124</v>
      </c>
      <c r="P2033" s="0" t="s">
        <v>130</v>
      </c>
      <c r="Q2033" s="0" t="s">
        <v>130</v>
      </c>
      <c r="R2033" s="0" t="s">
        <v>131</v>
      </c>
      <c r="S2033" s="0" t="s">
        <v>21</v>
      </c>
      <c r="T2033" s="0" t="s">
        <v>104</v>
      </c>
      <c r="W2033" s="0" t="s">
        <v>105</v>
      </c>
    </row>
    <row r="2034" customFormat="false" ht="15" hidden="false" customHeight="false" outlineLevel="0" collapsed="false">
      <c r="A2034" s="0" t="s">
        <v>21</v>
      </c>
      <c r="B2034" s="0" t="s">
        <v>6771</v>
      </c>
      <c r="C2034" s="0" t="s">
        <v>110</v>
      </c>
      <c r="D2034" s="0" t="s">
        <v>6682</v>
      </c>
      <c r="E2034" s="0" t="s">
        <v>6772</v>
      </c>
      <c r="H2034" s="0" t="s">
        <v>6773</v>
      </c>
      <c r="I2034" s="0" t="s">
        <v>1671</v>
      </c>
      <c r="J2034" s="0" t="s">
        <v>178</v>
      </c>
      <c r="K2034" s="0" t="s">
        <v>1672</v>
      </c>
      <c r="M2034" s="0" t="s">
        <v>178</v>
      </c>
      <c r="N2034" s="0" t="s">
        <v>124</v>
      </c>
      <c r="P2034" s="0" t="s">
        <v>102</v>
      </c>
      <c r="Q2034" s="0" t="s">
        <v>102</v>
      </c>
      <c r="R2034" s="0" t="s">
        <v>131</v>
      </c>
      <c r="S2034" s="0" t="s">
        <v>21</v>
      </c>
      <c r="T2034" s="0" t="s">
        <v>104</v>
      </c>
      <c r="W2034" s="0" t="s">
        <v>105</v>
      </c>
    </row>
    <row r="2035" customFormat="false" ht="15" hidden="false" customHeight="false" outlineLevel="0" collapsed="false">
      <c r="A2035" s="0" t="s">
        <v>21</v>
      </c>
      <c r="B2035" s="0" t="s">
        <v>6771</v>
      </c>
      <c r="C2035" s="0" t="s">
        <v>110</v>
      </c>
      <c r="D2035" s="0" t="s">
        <v>6682</v>
      </c>
      <c r="E2035" s="0" t="s">
        <v>6772</v>
      </c>
      <c r="H2035" s="0" t="s">
        <v>6773</v>
      </c>
      <c r="I2035" s="0" t="s">
        <v>1671</v>
      </c>
      <c r="J2035" s="0" t="s">
        <v>178</v>
      </c>
      <c r="K2035" s="0" t="s">
        <v>1672</v>
      </c>
      <c r="M2035" s="0" t="s">
        <v>178</v>
      </c>
      <c r="N2035" s="0" t="s">
        <v>124</v>
      </c>
      <c r="P2035" s="0" t="s">
        <v>180</v>
      </c>
      <c r="Q2035" s="0" t="s">
        <v>6688</v>
      </c>
      <c r="R2035" s="0" t="s">
        <v>6698</v>
      </c>
      <c r="S2035" s="0" t="s">
        <v>21</v>
      </c>
      <c r="T2035" s="0" t="s">
        <v>104</v>
      </c>
      <c r="W2035" s="0" t="s">
        <v>183</v>
      </c>
    </row>
    <row r="2036" customFormat="false" ht="15" hidden="false" customHeight="false" outlineLevel="0" collapsed="false">
      <c r="A2036" s="0" t="s">
        <v>21</v>
      </c>
      <c r="B2036" s="0" t="s">
        <v>6774</v>
      </c>
      <c r="C2036" s="0" t="s">
        <v>110</v>
      </c>
      <c r="D2036" s="0" t="s">
        <v>6682</v>
      </c>
      <c r="E2036" s="0" t="s">
        <v>6775</v>
      </c>
      <c r="H2036" s="0" t="s">
        <v>6776</v>
      </c>
      <c r="I2036" s="0" t="s">
        <v>6777</v>
      </c>
      <c r="J2036" s="0" t="s">
        <v>178</v>
      </c>
      <c r="K2036" s="0" t="s">
        <v>1705</v>
      </c>
      <c r="M2036" s="0" t="s">
        <v>178</v>
      </c>
      <c r="N2036" s="0" t="s">
        <v>124</v>
      </c>
      <c r="P2036" s="0" t="s">
        <v>102</v>
      </c>
      <c r="Q2036" s="0" t="s">
        <v>102</v>
      </c>
      <c r="R2036" s="0" t="s">
        <v>131</v>
      </c>
      <c r="S2036" s="0" t="s">
        <v>21</v>
      </c>
      <c r="T2036" s="0" t="s">
        <v>104</v>
      </c>
      <c r="W2036" s="0" t="s">
        <v>105</v>
      </c>
    </row>
    <row r="2037" customFormat="false" ht="15" hidden="false" customHeight="false" outlineLevel="0" collapsed="false">
      <c r="A2037" s="0" t="s">
        <v>21</v>
      </c>
      <c r="B2037" s="0" t="s">
        <v>6774</v>
      </c>
      <c r="C2037" s="0" t="s">
        <v>110</v>
      </c>
      <c r="D2037" s="0" t="s">
        <v>6682</v>
      </c>
      <c r="E2037" s="0" t="s">
        <v>6775</v>
      </c>
      <c r="H2037" s="0" t="s">
        <v>6776</v>
      </c>
      <c r="I2037" s="0" t="s">
        <v>6777</v>
      </c>
      <c r="J2037" s="0" t="s">
        <v>178</v>
      </c>
      <c r="K2037" s="0" t="s">
        <v>1705</v>
      </c>
      <c r="M2037" s="0" t="s">
        <v>178</v>
      </c>
      <c r="N2037" s="0" t="s">
        <v>124</v>
      </c>
      <c r="P2037" s="0" t="s">
        <v>180</v>
      </c>
      <c r="Q2037" s="0" t="s">
        <v>6688</v>
      </c>
      <c r="R2037" s="0" t="s">
        <v>6698</v>
      </c>
      <c r="S2037" s="0" t="s">
        <v>21</v>
      </c>
      <c r="T2037" s="0" t="s">
        <v>104</v>
      </c>
      <c r="W2037" s="0" t="s">
        <v>183</v>
      </c>
    </row>
    <row r="2038" customFormat="false" ht="15" hidden="false" customHeight="false" outlineLevel="0" collapsed="false">
      <c r="A2038" s="0" t="s">
        <v>21</v>
      </c>
      <c r="B2038" s="0" t="s">
        <v>6778</v>
      </c>
      <c r="C2038" s="0" t="s">
        <v>110</v>
      </c>
      <c r="D2038" s="0" t="s">
        <v>6682</v>
      </c>
      <c r="E2038" s="0" t="s">
        <v>6779</v>
      </c>
      <c r="H2038" s="0" t="s">
        <v>6780</v>
      </c>
      <c r="I2038" s="0" t="s">
        <v>6781</v>
      </c>
      <c r="J2038" s="0" t="s">
        <v>178</v>
      </c>
      <c r="K2038" s="0" t="s">
        <v>1723</v>
      </c>
      <c r="M2038" s="0" t="s">
        <v>178</v>
      </c>
      <c r="N2038" s="0" t="s">
        <v>124</v>
      </c>
      <c r="P2038" s="0" t="s">
        <v>102</v>
      </c>
      <c r="Q2038" s="0" t="s">
        <v>102</v>
      </c>
      <c r="R2038" s="0" t="s">
        <v>131</v>
      </c>
      <c r="S2038" s="0" t="s">
        <v>21</v>
      </c>
      <c r="T2038" s="0" t="s">
        <v>104</v>
      </c>
      <c r="W2038" s="0" t="s">
        <v>105</v>
      </c>
    </row>
    <row r="2039" customFormat="false" ht="15" hidden="false" customHeight="false" outlineLevel="0" collapsed="false">
      <c r="A2039" s="0" t="s">
        <v>21</v>
      </c>
      <c r="B2039" s="0" t="s">
        <v>6778</v>
      </c>
      <c r="C2039" s="0" t="s">
        <v>110</v>
      </c>
      <c r="D2039" s="0" t="s">
        <v>6682</v>
      </c>
      <c r="E2039" s="0" t="s">
        <v>6779</v>
      </c>
      <c r="H2039" s="0" t="s">
        <v>6780</v>
      </c>
      <c r="I2039" s="0" t="s">
        <v>6781</v>
      </c>
      <c r="J2039" s="0" t="s">
        <v>178</v>
      </c>
      <c r="K2039" s="0" t="s">
        <v>1723</v>
      </c>
      <c r="M2039" s="0" t="s">
        <v>178</v>
      </c>
      <c r="N2039" s="0" t="s">
        <v>124</v>
      </c>
      <c r="P2039" s="0" t="s">
        <v>180</v>
      </c>
      <c r="Q2039" s="0" t="s">
        <v>6688</v>
      </c>
      <c r="R2039" s="0" t="s">
        <v>6698</v>
      </c>
      <c r="S2039" s="0" t="s">
        <v>21</v>
      </c>
      <c r="T2039" s="0" t="s">
        <v>104</v>
      </c>
      <c r="W2039" s="0" t="s">
        <v>183</v>
      </c>
    </row>
    <row r="2040" customFormat="false" ht="15" hidden="false" customHeight="false" outlineLevel="0" collapsed="false">
      <c r="A2040" s="0" t="s">
        <v>21</v>
      </c>
      <c r="B2040" s="0" t="s">
        <v>6782</v>
      </c>
      <c r="C2040" s="0" t="s">
        <v>110</v>
      </c>
      <c r="D2040" s="0" t="s">
        <v>6682</v>
      </c>
      <c r="E2040" s="0" t="s">
        <v>6783</v>
      </c>
      <c r="H2040" s="0" t="s">
        <v>6784</v>
      </c>
      <c r="I2040" s="0" t="s">
        <v>6785</v>
      </c>
      <c r="J2040" s="0" t="s">
        <v>178</v>
      </c>
      <c r="K2040" s="0" t="s">
        <v>1697</v>
      </c>
      <c r="M2040" s="0" t="s">
        <v>178</v>
      </c>
      <c r="N2040" s="0" t="s">
        <v>124</v>
      </c>
      <c r="P2040" s="0" t="s">
        <v>102</v>
      </c>
      <c r="Q2040" s="0" t="s">
        <v>102</v>
      </c>
      <c r="R2040" s="0" t="s">
        <v>131</v>
      </c>
      <c r="S2040" s="0" t="s">
        <v>21</v>
      </c>
      <c r="T2040" s="0" t="s">
        <v>104</v>
      </c>
      <c r="W2040" s="0" t="s">
        <v>105</v>
      </c>
    </row>
    <row r="2041" customFormat="false" ht="15" hidden="false" customHeight="false" outlineLevel="0" collapsed="false">
      <c r="A2041" s="0" t="s">
        <v>21</v>
      </c>
      <c r="B2041" s="0" t="s">
        <v>6782</v>
      </c>
      <c r="C2041" s="0" t="s">
        <v>110</v>
      </c>
      <c r="D2041" s="0" t="s">
        <v>6682</v>
      </c>
      <c r="E2041" s="0" t="s">
        <v>6783</v>
      </c>
      <c r="H2041" s="0" t="s">
        <v>6784</v>
      </c>
      <c r="I2041" s="0" t="s">
        <v>6785</v>
      </c>
      <c r="J2041" s="0" t="s">
        <v>178</v>
      </c>
      <c r="K2041" s="0" t="s">
        <v>1697</v>
      </c>
      <c r="M2041" s="0" t="s">
        <v>178</v>
      </c>
      <c r="N2041" s="0" t="s">
        <v>124</v>
      </c>
      <c r="P2041" s="0" t="s">
        <v>180</v>
      </c>
      <c r="Q2041" s="0" t="s">
        <v>6688</v>
      </c>
      <c r="R2041" s="0" t="s">
        <v>6698</v>
      </c>
      <c r="S2041" s="0" t="s">
        <v>21</v>
      </c>
      <c r="T2041" s="0" t="s">
        <v>104</v>
      </c>
      <c r="W2041" s="0" t="s">
        <v>183</v>
      </c>
    </row>
    <row r="2042" customFormat="false" ht="15" hidden="false" customHeight="false" outlineLevel="0" collapsed="false">
      <c r="A2042" s="0" t="s">
        <v>21</v>
      </c>
      <c r="B2042" s="0" t="s">
        <v>6786</v>
      </c>
      <c r="C2042" s="0" t="s">
        <v>110</v>
      </c>
      <c r="D2042" s="0" t="s">
        <v>6682</v>
      </c>
      <c r="E2042" s="0" t="s">
        <v>6787</v>
      </c>
      <c r="H2042" s="0" t="s">
        <v>6788</v>
      </c>
      <c r="I2042" s="0" t="s">
        <v>1834</v>
      </c>
      <c r="J2042" s="0" t="s">
        <v>178</v>
      </c>
      <c r="K2042" s="0" t="s">
        <v>1835</v>
      </c>
      <c r="M2042" s="0" t="s">
        <v>178</v>
      </c>
      <c r="N2042" s="0" t="s">
        <v>124</v>
      </c>
      <c r="P2042" s="0" t="s">
        <v>102</v>
      </c>
      <c r="Q2042" s="0" t="s">
        <v>102</v>
      </c>
      <c r="R2042" s="0" t="s">
        <v>131</v>
      </c>
      <c r="S2042" s="0" t="s">
        <v>21</v>
      </c>
      <c r="T2042" s="0" t="s">
        <v>104</v>
      </c>
      <c r="W2042" s="0" t="s">
        <v>105</v>
      </c>
    </row>
    <row r="2043" customFormat="false" ht="15" hidden="false" customHeight="false" outlineLevel="0" collapsed="false">
      <c r="A2043" s="0" t="s">
        <v>21</v>
      </c>
      <c r="B2043" s="0" t="s">
        <v>6786</v>
      </c>
      <c r="C2043" s="0" t="s">
        <v>110</v>
      </c>
      <c r="D2043" s="0" t="s">
        <v>6682</v>
      </c>
      <c r="E2043" s="0" t="s">
        <v>6787</v>
      </c>
      <c r="H2043" s="0" t="s">
        <v>6788</v>
      </c>
      <c r="I2043" s="0" t="s">
        <v>1834</v>
      </c>
      <c r="J2043" s="0" t="s">
        <v>178</v>
      </c>
      <c r="K2043" s="0" t="s">
        <v>1835</v>
      </c>
      <c r="M2043" s="0" t="s">
        <v>178</v>
      </c>
      <c r="N2043" s="0" t="s">
        <v>124</v>
      </c>
      <c r="P2043" s="0" t="s">
        <v>180</v>
      </c>
      <c r="Q2043" s="0" t="s">
        <v>6688</v>
      </c>
      <c r="R2043" s="0" t="s">
        <v>6698</v>
      </c>
      <c r="S2043" s="0" t="s">
        <v>21</v>
      </c>
      <c r="T2043" s="0" t="s">
        <v>104</v>
      </c>
      <c r="W2043" s="0" t="s">
        <v>183</v>
      </c>
    </row>
    <row r="2044" customFormat="false" ht="15" hidden="false" customHeight="false" outlineLevel="0" collapsed="false">
      <c r="A2044" s="0" t="s">
        <v>21</v>
      </c>
      <c r="B2044" s="0" t="s">
        <v>6789</v>
      </c>
      <c r="C2044" s="0" t="s">
        <v>110</v>
      </c>
      <c r="D2044" s="0" t="s">
        <v>6682</v>
      </c>
      <c r="E2044" s="0" t="s">
        <v>6790</v>
      </c>
      <c r="H2044" s="0" t="s">
        <v>6791</v>
      </c>
      <c r="I2044" s="0" t="s">
        <v>1834</v>
      </c>
      <c r="J2044" s="0" t="s">
        <v>178</v>
      </c>
      <c r="K2044" s="0" t="s">
        <v>1835</v>
      </c>
      <c r="M2044" s="0" t="s">
        <v>178</v>
      </c>
      <c r="N2044" s="0" t="s">
        <v>124</v>
      </c>
      <c r="P2044" s="0" t="s">
        <v>102</v>
      </c>
      <c r="Q2044" s="0" t="s">
        <v>102</v>
      </c>
      <c r="R2044" s="0" t="s">
        <v>131</v>
      </c>
      <c r="S2044" s="0" t="s">
        <v>21</v>
      </c>
      <c r="T2044" s="0" t="s">
        <v>104</v>
      </c>
      <c r="W2044" s="0" t="s">
        <v>105</v>
      </c>
    </row>
    <row r="2045" customFormat="false" ht="15" hidden="false" customHeight="false" outlineLevel="0" collapsed="false">
      <c r="A2045" s="0" t="s">
        <v>21</v>
      </c>
      <c r="B2045" s="0" t="s">
        <v>6789</v>
      </c>
      <c r="C2045" s="0" t="s">
        <v>110</v>
      </c>
      <c r="D2045" s="0" t="s">
        <v>6682</v>
      </c>
      <c r="E2045" s="0" t="s">
        <v>6790</v>
      </c>
      <c r="H2045" s="0" t="s">
        <v>6791</v>
      </c>
      <c r="I2045" s="0" t="s">
        <v>1834</v>
      </c>
      <c r="J2045" s="0" t="s">
        <v>178</v>
      </c>
      <c r="K2045" s="0" t="s">
        <v>1835</v>
      </c>
      <c r="M2045" s="0" t="s">
        <v>178</v>
      </c>
      <c r="N2045" s="0" t="s">
        <v>124</v>
      </c>
      <c r="P2045" s="0" t="s">
        <v>180</v>
      </c>
      <c r="Q2045" s="0" t="s">
        <v>6688</v>
      </c>
      <c r="R2045" s="0" t="s">
        <v>6698</v>
      </c>
      <c r="S2045" s="0" t="s">
        <v>21</v>
      </c>
      <c r="T2045" s="0" t="s">
        <v>104</v>
      </c>
      <c r="W2045" s="0" t="s">
        <v>183</v>
      </c>
    </row>
    <row r="2046" customFormat="false" ht="15" hidden="false" customHeight="false" outlineLevel="0" collapsed="false">
      <c r="A2046" s="0" t="s">
        <v>21</v>
      </c>
      <c r="B2046" s="0" t="s">
        <v>6792</v>
      </c>
      <c r="C2046" s="0" t="s">
        <v>110</v>
      </c>
      <c r="D2046" s="0" t="s">
        <v>6682</v>
      </c>
      <c r="E2046" s="0" t="s">
        <v>6793</v>
      </c>
      <c r="H2046" s="0" t="s">
        <v>6794</v>
      </c>
      <c r="I2046" s="0" t="s">
        <v>6795</v>
      </c>
      <c r="J2046" s="0" t="s">
        <v>178</v>
      </c>
      <c r="K2046" s="0" t="s">
        <v>1442</v>
      </c>
      <c r="M2046" s="0" t="s">
        <v>178</v>
      </c>
      <c r="N2046" s="0" t="s">
        <v>124</v>
      </c>
      <c r="P2046" s="0" t="s">
        <v>102</v>
      </c>
      <c r="Q2046" s="0" t="s">
        <v>102</v>
      </c>
      <c r="R2046" s="0" t="s">
        <v>131</v>
      </c>
      <c r="S2046" s="0" t="s">
        <v>21</v>
      </c>
      <c r="T2046" s="0" t="s">
        <v>104</v>
      </c>
      <c r="W2046" s="0" t="s">
        <v>105</v>
      </c>
    </row>
    <row r="2047" customFormat="false" ht="15" hidden="false" customHeight="false" outlineLevel="0" collapsed="false">
      <c r="A2047" s="0" t="s">
        <v>21</v>
      </c>
      <c r="B2047" s="0" t="s">
        <v>6792</v>
      </c>
      <c r="C2047" s="0" t="s">
        <v>110</v>
      </c>
      <c r="D2047" s="0" t="s">
        <v>6682</v>
      </c>
      <c r="E2047" s="0" t="s">
        <v>6793</v>
      </c>
      <c r="H2047" s="0" t="s">
        <v>6794</v>
      </c>
      <c r="I2047" s="0" t="s">
        <v>6795</v>
      </c>
      <c r="J2047" s="0" t="s">
        <v>178</v>
      </c>
      <c r="K2047" s="0" t="s">
        <v>1442</v>
      </c>
      <c r="M2047" s="0" t="s">
        <v>178</v>
      </c>
      <c r="N2047" s="0" t="s">
        <v>124</v>
      </c>
      <c r="P2047" s="0" t="s">
        <v>180</v>
      </c>
      <c r="Q2047" s="0" t="s">
        <v>6688</v>
      </c>
      <c r="R2047" s="0" t="s">
        <v>6698</v>
      </c>
      <c r="S2047" s="0" t="s">
        <v>21</v>
      </c>
      <c r="T2047" s="0" t="s">
        <v>104</v>
      </c>
      <c r="W2047" s="0" t="s">
        <v>183</v>
      </c>
    </row>
    <row r="2048" customFormat="false" ht="15" hidden="false" customHeight="false" outlineLevel="0" collapsed="false">
      <c r="A2048" s="0" t="s">
        <v>21</v>
      </c>
      <c r="B2048" s="0" t="s">
        <v>6796</v>
      </c>
      <c r="C2048" s="0" t="s">
        <v>110</v>
      </c>
      <c r="D2048" s="0" t="s">
        <v>6682</v>
      </c>
      <c r="E2048" s="0" t="s">
        <v>6797</v>
      </c>
      <c r="H2048" s="0" t="s">
        <v>6798</v>
      </c>
      <c r="I2048" s="0" t="s">
        <v>1910</v>
      </c>
      <c r="J2048" s="0" t="s">
        <v>178</v>
      </c>
      <c r="K2048" s="0" t="s">
        <v>1911</v>
      </c>
      <c r="M2048" s="0" t="s">
        <v>178</v>
      </c>
      <c r="N2048" s="0" t="s">
        <v>124</v>
      </c>
      <c r="P2048" s="0" t="s">
        <v>102</v>
      </c>
      <c r="Q2048" s="0" t="s">
        <v>102</v>
      </c>
      <c r="R2048" s="0" t="s">
        <v>131</v>
      </c>
      <c r="S2048" s="0" t="s">
        <v>21</v>
      </c>
      <c r="T2048" s="0" t="s">
        <v>104</v>
      </c>
      <c r="W2048" s="0" t="s">
        <v>105</v>
      </c>
    </row>
    <row r="2049" customFormat="false" ht="15" hidden="false" customHeight="false" outlineLevel="0" collapsed="false">
      <c r="A2049" s="0" t="s">
        <v>21</v>
      </c>
      <c r="B2049" s="0" t="s">
        <v>6796</v>
      </c>
      <c r="C2049" s="0" t="s">
        <v>110</v>
      </c>
      <c r="D2049" s="0" t="s">
        <v>6682</v>
      </c>
      <c r="E2049" s="0" t="s">
        <v>6797</v>
      </c>
      <c r="H2049" s="0" t="s">
        <v>6798</v>
      </c>
      <c r="I2049" s="0" t="s">
        <v>1910</v>
      </c>
      <c r="J2049" s="0" t="s">
        <v>178</v>
      </c>
      <c r="K2049" s="0" t="s">
        <v>1911</v>
      </c>
      <c r="M2049" s="0" t="s">
        <v>178</v>
      </c>
      <c r="N2049" s="0" t="s">
        <v>124</v>
      </c>
      <c r="P2049" s="0" t="s">
        <v>180</v>
      </c>
      <c r="Q2049" s="0" t="s">
        <v>6688</v>
      </c>
      <c r="R2049" s="0" t="s">
        <v>6698</v>
      </c>
      <c r="S2049" s="0" t="s">
        <v>21</v>
      </c>
      <c r="T2049" s="0" t="s">
        <v>104</v>
      </c>
      <c r="W2049" s="0" t="s">
        <v>183</v>
      </c>
    </row>
    <row r="2050" customFormat="false" ht="15" hidden="false" customHeight="false" outlineLevel="0" collapsed="false">
      <c r="A2050" s="0" t="s">
        <v>21</v>
      </c>
      <c r="B2050" s="0" t="s">
        <v>6799</v>
      </c>
      <c r="C2050" s="0" t="s">
        <v>110</v>
      </c>
      <c r="D2050" s="0" t="s">
        <v>6682</v>
      </c>
      <c r="E2050" s="0" t="s">
        <v>6800</v>
      </c>
      <c r="H2050" s="0" t="s">
        <v>6801</v>
      </c>
      <c r="I2050" s="0" t="s">
        <v>1681</v>
      </c>
      <c r="J2050" s="0" t="s">
        <v>178</v>
      </c>
      <c r="K2050" s="0" t="s">
        <v>6802</v>
      </c>
      <c r="M2050" s="0" t="s">
        <v>178</v>
      </c>
      <c r="N2050" s="0" t="s">
        <v>124</v>
      </c>
      <c r="P2050" s="0" t="s">
        <v>102</v>
      </c>
      <c r="Q2050" s="0" t="s">
        <v>102</v>
      </c>
      <c r="R2050" s="0" t="s">
        <v>131</v>
      </c>
      <c r="S2050" s="0" t="s">
        <v>21</v>
      </c>
      <c r="T2050" s="0" t="s">
        <v>104</v>
      </c>
      <c r="W2050" s="0" t="s">
        <v>105</v>
      </c>
    </row>
    <row r="2051" customFormat="false" ht="15" hidden="false" customHeight="false" outlineLevel="0" collapsed="false">
      <c r="A2051" s="0" t="s">
        <v>21</v>
      </c>
      <c r="B2051" s="0" t="s">
        <v>6799</v>
      </c>
      <c r="C2051" s="0" t="s">
        <v>110</v>
      </c>
      <c r="D2051" s="0" t="s">
        <v>6682</v>
      </c>
      <c r="E2051" s="0" t="s">
        <v>6800</v>
      </c>
      <c r="H2051" s="0" t="s">
        <v>6801</v>
      </c>
      <c r="I2051" s="0" t="s">
        <v>1681</v>
      </c>
      <c r="J2051" s="0" t="s">
        <v>178</v>
      </c>
      <c r="K2051" s="0" t="s">
        <v>6802</v>
      </c>
      <c r="M2051" s="0" t="s">
        <v>178</v>
      </c>
      <c r="N2051" s="0" t="s">
        <v>124</v>
      </c>
      <c r="P2051" s="0" t="s">
        <v>180</v>
      </c>
      <c r="Q2051" s="0" t="s">
        <v>6688</v>
      </c>
      <c r="R2051" s="0" t="s">
        <v>6698</v>
      </c>
      <c r="S2051" s="0" t="s">
        <v>21</v>
      </c>
      <c r="T2051" s="0" t="s">
        <v>104</v>
      </c>
      <c r="W2051" s="0" t="s">
        <v>183</v>
      </c>
    </row>
    <row r="2052" customFormat="false" ht="15" hidden="false" customHeight="false" outlineLevel="0" collapsed="false">
      <c r="A2052" s="0" t="s">
        <v>21</v>
      </c>
      <c r="B2052" s="0" t="s">
        <v>6803</v>
      </c>
      <c r="C2052" s="0" t="s">
        <v>110</v>
      </c>
      <c r="D2052" s="0" t="s">
        <v>6804</v>
      </c>
      <c r="E2052" s="0" t="s">
        <v>6805</v>
      </c>
      <c r="H2052" s="0" t="s">
        <v>6806</v>
      </c>
      <c r="I2052" s="0" t="s">
        <v>6803</v>
      </c>
      <c r="J2052" s="0" t="s">
        <v>122</v>
      </c>
      <c r="K2052" s="0" t="s">
        <v>3625</v>
      </c>
      <c r="L2052" s="0" t="s">
        <v>124</v>
      </c>
      <c r="M2052" s="0" t="s">
        <v>121</v>
      </c>
      <c r="N2052" s="0" t="s">
        <v>124</v>
      </c>
      <c r="P2052" s="0" t="s">
        <v>102</v>
      </c>
      <c r="Q2052" s="0" t="s">
        <v>102</v>
      </c>
      <c r="R2052" s="0" t="s">
        <v>113</v>
      </c>
      <c r="S2052" s="0" t="s">
        <v>21</v>
      </c>
      <c r="T2052" s="0" t="s">
        <v>104</v>
      </c>
      <c r="W2052" s="0" t="s">
        <v>105</v>
      </c>
      <c r="X2052" s="0" t="s">
        <v>6807</v>
      </c>
      <c r="Y2052" s="0" t="s">
        <v>6808</v>
      </c>
      <c r="Z2052" s="0" t="s">
        <v>134</v>
      </c>
    </row>
    <row r="2053" customFormat="false" ht="15" hidden="false" customHeight="false" outlineLevel="0" collapsed="false">
      <c r="A2053" s="0" t="s">
        <v>21</v>
      </c>
      <c r="B2053" s="0" t="s">
        <v>6809</v>
      </c>
      <c r="C2053" s="0" t="s">
        <v>97</v>
      </c>
      <c r="D2053" s="0" t="s">
        <v>6810</v>
      </c>
      <c r="E2053" s="0" t="s">
        <v>6811</v>
      </c>
      <c r="M2053" s="0" t="s">
        <v>136</v>
      </c>
      <c r="N2053" s="0" t="s">
        <v>124</v>
      </c>
      <c r="P2053" s="0" t="s">
        <v>102</v>
      </c>
      <c r="Q2053" s="0" t="s">
        <v>102</v>
      </c>
      <c r="R2053" s="0" t="s">
        <v>144</v>
      </c>
      <c r="S2053" s="0" t="s">
        <v>21</v>
      </c>
      <c r="T2053" s="0" t="s">
        <v>104</v>
      </c>
      <c r="W2053" s="0" t="s">
        <v>105</v>
      </c>
    </row>
    <row r="2054" customFormat="false" ht="15" hidden="false" customHeight="false" outlineLevel="0" collapsed="false">
      <c r="A2054" s="0" t="s">
        <v>21</v>
      </c>
      <c r="B2054" s="0" t="s">
        <v>6812</v>
      </c>
      <c r="C2054" s="0" t="s">
        <v>97</v>
      </c>
      <c r="D2054" s="0" t="s">
        <v>6813</v>
      </c>
      <c r="E2054" s="0" t="s">
        <v>6814</v>
      </c>
      <c r="M2054" s="0" t="s">
        <v>136</v>
      </c>
      <c r="N2054" s="0" t="s">
        <v>124</v>
      </c>
      <c r="P2054" s="0" t="s">
        <v>102</v>
      </c>
      <c r="Q2054" s="0" t="s">
        <v>102</v>
      </c>
      <c r="R2054" s="0" t="s">
        <v>144</v>
      </c>
      <c r="S2054" s="0" t="s">
        <v>21</v>
      </c>
      <c r="T2054" s="0" t="s">
        <v>104</v>
      </c>
      <c r="W2054" s="0" t="s">
        <v>105</v>
      </c>
    </row>
    <row r="2055" customFormat="false" ht="15" hidden="false" customHeight="false" outlineLevel="0" collapsed="false">
      <c r="A2055" s="0" t="s">
        <v>21</v>
      </c>
      <c r="B2055" s="0" t="s">
        <v>6815</v>
      </c>
      <c r="C2055" s="0" t="s">
        <v>97</v>
      </c>
      <c r="D2055" s="0" t="s">
        <v>6816</v>
      </c>
      <c r="E2055" s="0" t="s">
        <v>6817</v>
      </c>
      <c r="M2055" s="0" t="s">
        <v>136</v>
      </c>
      <c r="N2055" s="0" t="s">
        <v>124</v>
      </c>
      <c r="P2055" s="0" t="s">
        <v>102</v>
      </c>
      <c r="Q2055" s="0" t="s">
        <v>102</v>
      </c>
      <c r="R2055" s="0" t="s">
        <v>144</v>
      </c>
      <c r="S2055" s="0" t="s">
        <v>21</v>
      </c>
      <c r="T2055" s="0" t="s">
        <v>104</v>
      </c>
      <c r="W2055" s="0" t="s">
        <v>105</v>
      </c>
    </row>
    <row r="2056" customFormat="false" ht="15" hidden="false" customHeight="false" outlineLevel="0" collapsed="false">
      <c r="A2056" s="0" t="s">
        <v>21</v>
      </c>
      <c r="B2056" s="0" t="s">
        <v>6818</v>
      </c>
      <c r="C2056" s="0" t="s">
        <v>97</v>
      </c>
      <c r="D2056" s="0" t="s">
        <v>6819</v>
      </c>
      <c r="E2056" s="0" t="s">
        <v>6820</v>
      </c>
      <c r="M2056" s="0" t="s">
        <v>136</v>
      </c>
      <c r="N2056" s="0" t="s">
        <v>124</v>
      </c>
      <c r="P2056" s="0" t="s">
        <v>102</v>
      </c>
      <c r="Q2056" s="0" t="s">
        <v>102</v>
      </c>
      <c r="R2056" s="0" t="s">
        <v>131</v>
      </c>
      <c r="S2056" s="0" t="s">
        <v>21</v>
      </c>
      <c r="T2056" s="0" t="s">
        <v>104</v>
      </c>
      <c r="W2056" s="0" t="s">
        <v>105</v>
      </c>
    </row>
    <row r="2057" customFormat="false" ht="15" hidden="false" customHeight="false" outlineLevel="0" collapsed="false">
      <c r="A2057" s="0" t="s">
        <v>21</v>
      </c>
      <c r="B2057" s="0" t="s">
        <v>6821</v>
      </c>
      <c r="C2057" s="0" t="s">
        <v>97</v>
      </c>
      <c r="D2057" s="0" t="s">
        <v>4739</v>
      </c>
      <c r="E2057" s="0" t="s">
        <v>6822</v>
      </c>
      <c r="H2057" s="0" t="s">
        <v>654</v>
      </c>
      <c r="I2057" s="0" t="s">
        <v>655</v>
      </c>
      <c r="J2057" s="0" t="s">
        <v>100</v>
      </c>
      <c r="K2057" s="0" t="s">
        <v>168</v>
      </c>
      <c r="L2057" s="0" t="s">
        <v>101</v>
      </c>
      <c r="M2057" s="0" t="s">
        <v>656</v>
      </c>
      <c r="N2057" s="0" t="s">
        <v>101</v>
      </c>
      <c r="P2057" s="0" t="s">
        <v>102</v>
      </c>
      <c r="Q2057" s="0" t="s">
        <v>102</v>
      </c>
      <c r="R2057" s="0" t="s">
        <v>131</v>
      </c>
      <c r="S2057" s="0" t="s">
        <v>21</v>
      </c>
      <c r="T2057" s="0" t="s">
        <v>104</v>
      </c>
      <c r="W2057" s="0" t="s">
        <v>105</v>
      </c>
      <c r="X2057" s="0" t="s">
        <v>658</v>
      </c>
      <c r="Y2057" s="0" t="s">
        <v>659</v>
      </c>
    </row>
    <row r="2058" customFormat="false" ht="15" hidden="false" customHeight="false" outlineLevel="0" collapsed="false">
      <c r="A2058" s="0" t="s">
        <v>21</v>
      </c>
      <c r="B2058" s="0" t="s">
        <v>6823</v>
      </c>
      <c r="C2058" s="0" t="s">
        <v>97</v>
      </c>
      <c r="D2058" s="0" t="s">
        <v>6824</v>
      </c>
      <c r="E2058" s="0" t="s">
        <v>6824</v>
      </c>
      <c r="M2058" s="0" t="s">
        <v>442</v>
      </c>
      <c r="N2058" s="0" t="s">
        <v>101</v>
      </c>
      <c r="P2058" s="0" t="s">
        <v>102</v>
      </c>
      <c r="Q2058" s="0" t="s">
        <v>102</v>
      </c>
      <c r="R2058" s="0" t="s">
        <v>131</v>
      </c>
      <c r="S2058" s="0" t="s">
        <v>21</v>
      </c>
      <c r="T2058" s="0" t="s">
        <v>104</v>
      </c>
      <c r="W2058" s="0" t="s">
        <v>105</v>
      </c>
    </row>
    <row r="2059" customFormat="false" ht="15" hidden="false" customHeight="false" outlineLevel="0" collapsed="false">
      <c r="A2059" s="0" t="s">
        <v>21</v>
      </c>
      <c r="B2059" s="0" t="s">
        <v>6825</v>
      </c>
      <c r="C2059" s="0" t="s">
        <v>4319</v>
      </c>
      <c r="M2059" s="0" t="s">
        <v>247</v>
      </c>
      <c r="N2059" s="0" t="s">
        <v>124</v>
      </c>
      <c r="P2059" s="0" t="s">
        <v>130</v>
      </c>
      <c r="Q2059" s="0" t="s">
        <v>130</v>
      </c>
      <c r="R2059" s="0" t="s">
        <v>144</v>
      </c>
      <c r="S2059" s="0" t="s">
        <v>21</v>
      </c>
      <c r="T2059" s="0" t="s">
        <v>104</v>
      </c>
      <c r="W2059" s="0" t="s">
        <v>105</v>
      </c>
    </row>
    <row r="2060" customFormat="false" ht="15" hidden="false" customHeight="false" outlineLevel="0" collapsed="false">
      <c r="A2060" s="0" t="s">
        <v>21</v>
      </c>
      <c r="B2060" s="0" t="s">
        <v>6826</v>
      </c>
      <c r="C2060" s="0" t="s">
        <v>97</v>
      </c>
      <c r="D2060" s="0" t="s">
        <v>6827</v>
      </c>
      <c r="E2060" s="0" t="s">
        <v>6828</v>
      </c>
      <c r="M2060" s="0" t="s">
        <v>136</v>
      </c>
      <c r="N2060" s="0" t="s">
        <v>124</v>
      </c>
      <c r="P2060" s="0" t="s">
        <v>102</v>
      </c>
      <c r="Q2060" s="0" t="s">
        <v>102</v>
      </c>
      <c r="R2060" s="0" t="s">
        <v>144</v>
      </c>
      <c r="S2060" s="0" t="s">
        <v>21</v>
      </c>
      <c r="T2060" s="0" t="s">
        <v>104</v>
      </c>
      <c r="W2060" s="0" t="s">
        <v>105</v>
      </c>
    </row>
    <row r="2061" customFormat="false" ht="15" hidden="false" customHeight="false" outlineLevel="0" collapsed="false">
      <c r="A2061" s="0" t="s">
        <v>21</v>
      </c>
      <c r="B2061" s="0" t="s">
        <v>6829</v>
      </c>
      <c r="C2061" s="0" t="s">
        <v>97</v>
      </c>
      <c r="D2061" s="0" t="s">
        <v>6830</v>
      </c>
      <c r="E2061" s="0" t="s">
        <v>6831</v>
      </c>
      <c r="M2061" s="0" t="s">
        <v>136</v>
      </c>
      <c r="N2061" s="0" t="s">
        <v>124</v>
      </c>
      <c r="P2061" s="0" t="s">
        <v>102</v>
      </c>
      <c r="Q2061" s="0" t="s">
        <v>102</v>
      </c>
      <c r="R2061" s="0" t="s">
        <v>144</v>
      </c>
      <c r="S2061" s="0" t="s">
        <v>21</v>
      </c>
      <c r="T2061" s="0" t="s">
        <v>104</v>
      </c>
      <c r="W2061" s="0" t="s">
        <v>105</v>
      </c>
    </row>
    <row r="2062" customFormat="false" ht="15" hidden="false" customHeight="false" outlineLevel="0" collapsed="false">
      <c r="A2062" s="0" t="s">
        <v>21</v>
      </c>
      <c r="B2062" s="0" t="s">
        <v>6832</v>
      </c>
      <c r="C2062" s="0" t="s">
        <v>97</v>
      </c>
      <c r="D2062" s="0" t="s">
        <v>6833</v>
      </c>
      <c r="E2062" s="0" t="s">
        <v>6834</v>
      </c>
      <c r="M2062" s="0" t="s">
        <v>136</v>
      </c>
      <c r="N2062" s="0" t="s">
        <v>124</v>
      </c>
      <c r="P2062" s="0" t="s">
        <v>102</v>
      </c>
      <c r="Q2062" s="0" t="s">
        <v>102</v>
      </c>
      <c r="R2062" s="0" t="s">
        <v>144</v>
      </c>
      <c r="S2062" s="0" t="s">
        <v>21</v>
      </c>
      <c r="T2062" s="0" t="s">
        <v>104</v>
      </c>
      <c r="W2062" s="0" t="s">
        <v>105</v>
      </c>
    </row>
    <row r="2063" customFormat="false" ht="15" hidden="false" customHeight="false" outlineLevel="0" collapsed="false">
      <c r="A2063" s="0" t="s">
        <v>21</v>
      </c>
      <c r="B2063" s="0" t="s">
        <v>6835</v>
      </c>
      <c r="C2063" s="0" t="s">
        <v>97</v>
      </c>
      <c r="D2063" s="0" t="s">
        <v>6836</v>
      </c>
      <c r="E2063" s="0" t="s">
        <v>6837</v>
      </c>
      <c r="M2063" s="0" t="s">
        <v>136</v>
      </c>
      <c r="N2063" s="0" t="s">
        <v>124</v>
      </c>
      <c r="P2063" s="0" t="s">
        <v>102</v>
      </c>
      <c r="Q2063" s="0" t="s">
        <v>102</v>
      </c>
      <c r="R2063" s="0" t="s">
        <v>144</v>
      </c>
      <c r="S2063" s="0" t="s">
        <v>21</v>
      </c>
      <c r="T2063" s="0" t="s">
        <v>104</v>
      </c>
      <c r="W2063" s="0" t="s">
        <v>105</v>
      </c>
    </row>
    <row r="2064" customFormat="false" ht="15" hidden="false" customHeight="false" outlineLevel="0" collapsed="false">
      <c r="A2064" s="0" t="s">
        <v>21</v>
      </c>
      <c r="B2064" s="0" t="s">
        <v>6838</v>
      </c>
      <c r="C2064" s="0" t="s">
        <v>97</v>
      </c>
      <c r="D2064" s="0" t="s">
        <v>6839</v>
      </c>
      <c r="E2064" s="0" t="s">
        <v>6840</v>
      </c>
      <c r="M2064" s="0" t="s">
        <v>136</v>
      </c>
      <c r="N2064" s="0" t="s">
        <v>124</v>
      </c>
      <c r="P2064" s="0" t="s">
        <v>102</v>
      </c>
      <c r="Q2064" s="0" t="s">
        <v>102</v>
      </c>
      <c r="R2064" s="0" t="s">
        <v>144</v>
      </c>
      <c r="S2064" s="0" t="s">
        <v>21</v>
      </c>
      <c r="T2064" s="0" t="s">
        <v>104</v>
      </c>
      <c r="W2064" s="0" t="s">
        <v>105</v>
      </c>
    </row>
    <row r="2065" customFormat="false" ht="15" hidden="false" customHeight="false" outlineLevel="0" collapsed="false">
      <c r="A2065" s="0" t="s">
        <v>21</v>
      </c>
      <c r="B2065" s="0" t="s">
        <v>6841</v>
      </c>
      <c r="C2065" s="0" t="s">
        <v>97</v>
      </c>
      <c r="D2065" s="0" t="s">
        <v>6842</v>
      </c>
      <c r="E2065" s="0" t="s">
        <v>6843</v>
      </c>
      <c r="M2065" s="0" t="s">
        <v>136</v>
      </c>
      <c r="N2065" s="0" t="s">
        <v>124</v>
      </c>
      <c r="P2065" s="0" t="s">
        <v>102</v>
      </c>
      <c r="Q2065" s="0" t="s">
        <v>102</v>
      </c>
      <c r="R2065" s="0" t="s">
        <v>144</v>
      </c>
      <c r="S2065" s="0" t="s">
        <v>21</v>
      </c>
      <c r="T2065" s="0" t="s">
        <v>104</v>
      </c>
      <c r="W2065" s="0" t="s">
        <v>105</v>
      </c>
    </row>
    <row r="2066" customFormat="false" ht="15" hidden="false" customHeight="false" outlineLevel="0" collapsed="false">
      <c r="A2066" s="0" t="s">
        <v>21</v>
      </c>
      <c r="B2066" s="0" t="s">
        <v>6844</v>
      </c>
      <c r="C2066" s="0" t="s">
        <v>97</v>
      </c>
      <c r="D2066" s="0" t="s">
        <v>6845</v>
      </c>
      <c r="E2066" s="0" t="s">
        <v>6846</v>
      </c>
      <c r="M2066" s="0" t="s">
        <v>136</v>
      </c>
      <c r="N2066" s="0" t="s">
        <v>124</v>
      </c>
      <c r="P2066" s="0" t="s">
        <v>102</v>
      </c>
      <c r="Q2066" s="0" t="s">
        <v>102</v>
      </c>
      <c r="R2066" s="0" t="s">
        <v>144</v>
      </c>
      <c r="S2066" s="0" t="s">
        <v>21</v>
      </c>
      <c r="T2066" s="0" t="s">
        <v>104</v>
      </c>
      <c r="W2066" s="0" t="s">
        <v>105</v>
      </c>
    </row>
    <row r="2067" customFormat="false" ht="15" hidden="false" customHeight="false" outlineLevel="0" collapsed="false">
      <c r="A2067" s="0" t="s">
        <v>21</v>
      </c>
      <c r="B2067" s="0" t="s">
        <v>6847</v>
      </c>
      <c r="C2067" s="0" t="s">
        <v>97</v>
      </c>
      <c r="D2067" s="0" t="s">
        <v>6848</v>
      </c>
      <c r="E2067" s="0" t="s">
        <v>6849</v>
      </c>
      <c r="H2067" s="0" t="s">
        <v>654</v>
      </c>
      <c r="I2067" s="0" t="s">
        <v>655</v>
      </c>
      <c r="J2067" s="0" t="s">
        <v>100</v>
      </c>
      <c r="K2067" s="0" t="s">
        <v>168</v>
      </c>
      <c r="L2067" s="0" t="s">
        <v>101</v>
      </c>
      <c r="M2067" s="0" t="s">
        <v>656</v>
      </c>
      <c r="N2067" s="0" t="s">
        <v>101</v>
      </c>
      <c r="P2067" s="0" t="s">
        <v>102</v>
      </c>
      <c r="Q2067" s="0" t="s">
        <v>102</v>
      </c>
      <c r="R2067" s="0" t="s">
        <v>144</v>
      </c>
      <c r="S2067" s="0" t="s">
        <v>21</v>
      </c>
      <c r="T2067" s="0" t="s">
        <v>104</v>
      </c>
      <c r="W2067" s="0" t="s">
        <v>105</v>
      </c>
      <c r="X2067" s="0" t="s">
        <v>658</v>
      </c>
      <c r="Y2067" s="0" t="s">
        <v>659</v>
      </c>
    </row>
    <row r="2068" customFormat="false" ht="15" hidden="false" customHeight="false" outlineLevel="0" collapsed="false">
      <c r="A2068" s="0" t="s">
        <v>21</v>
      </c>
      <c r="B2068" s="0" t="s">
        <v>6850</v>
      </c>
      <c r="C2068" s="0" t="s">
        <v>97</v>
      </c>
      <c r="D2068" s="0" t="s">
        <v>6851</v>
      </c>
      <c r="E2068" s="0" t="s">
        <v>6852</v>
      </c>
      <c r="H2068" s="0" t="s">
        <v>654</v>
      </c>
      <c r="I2068" s="0" t="s">
        <v>655</v>
      </c>
      <c r="J2068" s="0" t="s">
        <v>100</v>
      </c>
      <c r="K2068" s="0" t="s">
        <v>168</v>
      </c>
      <c r="L2068" s="0" t="s">
        <v>101</v>
      </c>
      <c r="M2068" s="0" t="s">
        <v>656</v>
      </c>
      <c r="N2068" s="0" t="s">
        <v>101</v>
      </c>
      <c r="P2068" s="0" t="s">
        <v>102</v>
      </c>
      <c r="Q2068" s="0" t="s">
        <v>102</v>
      </c>
      <c r="R2068" s="0" t="s">
        <v>113</v>
      </c>
      <c r="S2068" s="0" t="s">
        <v>21</v>
      </c>
      <c r="T2068" s="0" t="s">
        <v>104</v>
      </c>
      <c r="W2068" s="0" t="s">
        <v>105</v>
      </c>
      <c r="X2068" s="0" t="s">
        <v>658</v>
      </c>
      <c r="Y2068" s="0" t="s">
        <v>659</v>
      </c>
    </row>
    <row r="2069" customFormat="false" ht="15" hidden="false" customHeight="false" outlineLevel="0" collapsed="false">
      <c r="A2069" s="0" t="s">
        <v>21</v>
      </c>
      <c r="B2069" s="0" t="s">
        <v>6853</v>
      </c>
      <c r="C2069" s="0" t="s">
        <v>97</v>
      </c>
      <c r="D2069" s="0" t="s">
        <v>6854</v>
      </c>
      <c r="E2069" s="0" t="s">
        <v>6855</v>
      </c>
      <c r="M2069" s="0" t="s">
        <v>136</v>
      </c>
      <c r="N2069" s="0" t="s">
        <v>124</v>
      </c>
      <c r="P2069" s="0" t="s">
        <v>102</v>
      </c>
      <c r="Q2069" s="0" t="s">
        <v>102</v>
      </c>
      <c r="R2069" s="0" t="s">
        <v>131</v>
      </c>
      <c r="S2069" s="0" t="s">
        <v>21</v>
      </c>
      <c r="T2069" s="0" t="s">
        <v>104</v>
      </c>
      <c r="W2069" s="0" t="s">
        <v>105</v>
      </c>
    </row>
    <row r="2070" customFormat="false" ht="15" hidden="false" customHeight="false" outlineLevel="0" collapsed="false">
      <c r="A2070" s="0" t="s">
        <v>21</v>
      </c>
      <c r="B2070" s="0" t="s">
        <v>6856</v>
      </c>
      <c r="C2070" s="0" t="s">
        <v>97</v>
      </c>
      <c r="D2070" s="0" t="s">
        <v>6857</v>
      </c>
      <c r="E2070" s="0" t="s">
        <v>6858</v>
      </c>
      <c r="F2070" s="0" t="s">
        <v>6859</v>
      </c>
      <c r="H2070" s="0" t="s">
        <v>654</v>
      </c>
      <c r="I2070" s="0" t="s">
        <v>655</v>
      </c>
      <c r="J2070" s="0" t="s">
        <v>100</v>
      </c>
      <c r="K2070" s="0" t="s">
        <v>168</v>
      </c>
      <c r="L2070" s="0" t="s">
        <v>101</v>
      </c>
      <c r="M2070" s="0" t="s">
        <v>656</v>
      </c>
      <c r="N2070" s="0" t="s">
        <v>101</v>
      </c>
      <c r="P2070" s="0" t="s">
        <v>102</v>
      </c>
      <c r="Q2070" s="0" t="s">
        <v>102</v>
      </c>
      <c r="R2070" s="0" t="s">
        <v>131</v>
      </c>
      <c r="S2070" s="0" t="s">
        <v>21</v>
      </c>
      <c r="T2070" s="0" t="s">
        <v>104</v>
      </c>
      <c r="W2070" s="0" t="s">
        <v>105</v>
      </c>
      <c r="X2070" s="0" t="s">
        <v>658</v>
      </c>
      <c r="Y2070" s="0" t="s">
        <v>659</v>
      </c>
    </row>
    <row r="2071" customFormat="false" ht="15" hidden="false" customHeight="false" outlineLevel="0" collapsed="false">
      <c r="A2071" s="0" t="s">
        <v>21</v>
      </c>
      <c r="B2071" s="0" t="s">
        <v>6860</v>
      </c>
      <c r="C2071" s="0" t="s">
        <v>97</v>
      </c>
      <c r="D2071" s="0" t="s">
        <v>6861</v>
      </c>
      <c r="E2071" s="0" t="s">
        <v>6862</v>
      </c>
      <c r="H2071" s="0" t="s">
        <v>654</v>
      </c>
      <c r="I2071" s="0" t="s">
        <v>655</v>
      </c>
      <c r="J2071" s="0" t="s">
        <v>100</v>
      </c>
      <c r="K2071" s="0" t="s">
        <v>168</v>
      </c>
      <c r="L2071" s="0" t="s">
        <v>101</v>
      </c>
      <c r="M2071" s="0" t="s">
        <v>656</v>
      </c>
      <c r="N2071" s="0" t="s">
        <v>101</v>
      </c>
      <c r="P2071" s="0" t="s">
        <v>102</v>
      </c>
      <c r="Q2071" s="0" t="s">
        <v>102</v>
      </c>
      <c r="R2071" s="0" t="s">
        <v>131</v>
      </c>
      <c r="S2071" s="0" t="s">
        <v>21</v>
      </c>
      <c r="T2071" s="0" t="s">
        <v>104</v>
      </c>
      <c r="W2071" s="0" t="s">
        <v>105</v>
      </c>
      <c r="X2071" s="0" t="s">
        <v>658</v>
      </c>
      <c r="Y2071" s="0" t="s">
        <v>659</v>
      </c>
    </row>
    <row r="2072" customFormat="false" ht="15" hidden="false" customHeight="false" outlineLevel="0" collapsed="false">
      <c r="A2072" s="0" t="s">
        <v>21</v>
      </c>
      <c r="B2072" s="0" t="s">
        <v>6863</v>
      </c>
      <c r="C2072" s="0" t="s">
        <v>97</v>
      </c>
      <c r="D2072" s="0" t="s">
        <v>6864</v>
      </c>
      <c r="E2072" s="0" t="s">
        <v>929</v>
      </c>
      <c r="M2072" s="0" t="s">
        <v>136</v>
      </c>
      <c r="N2072" s="0" t="s">
        <v>124</v>
      </c>
      <c r="P2072" s="0" t="s">
        <v>102</v>
      </c>
      <c r="Q2072" s="0" t="s">
        <v>102</v>
      </c>
      <c r="R2072" s="0" t="s">
        <v>137</v>
      </c>
      <c r="S2072" s="0" t="s">
        <v>21</v>
      </c>
      <c r="T2072" s="0" t="s">
        <v>104</v>
      </c>
      <c r="W2072" s="0" t="s">
        <v>105</v>
      </c>
    </row>
    <row r="2073" customFormat="false" ht="15" hidden="false" customHeight="false" outlineLevel="0" collapsed="false">
      <c r="A2073" s="0" t="s">
        <v>21</v>
      </c>
      <c r="B2073" s="0" t="s">
        <v>6865</v>
      </c>
      <c r="C2073" s="0" t="s">
        <v>97</v>
      </c>
      <c r="D2073" s="0" t="s">
        <v>6866</v>
      </c>
      <c r="E2073" s="0" t="s">
        <v>6866</v>
      </c>
      <c r="M2073" s="0" t="s">
        <v>442</v>
      </c>
      <c r="N2073" s="0" t="s">
        <v>101</v>
      </c>
      <c r="P2073" s="0" t="s">
        <v>102</v>
      </c>
      <c r="Q2073" s="0" t="s">
        <v>102</v>
      </c>
      <c r="R2073" s="0" t="s">
        <v>131</v>
      </c>
      <c r="S2073" s="0" t="s">
        <v>21</v>
      </c>
      <c r="T2073" s="0" t="s">
        <v>104</v>
      </c>
      <c r="W2073" s="0" t="s">
        <v>105</v>
      </c>
    </row>
    <row r="2074" customFormat="false" ht="15" hidden="false" customHeight="false" outlineLevel="0" collapsed="false">
      <c r="A2074" s="0" t="s">
        <v>21</v>
      </c>
      <c r="B2074" s="0" t="s">
        <v>6867</v>
      </c>
      <c r="C2074" s="0" t="s">
        <v>97</v>
      </c>
      <c r="D2074" s="0" t="s">
        <v>1174</v>
      </c>
      <c r="E2074" s="0" t="s">
        <v>6868</v>
      </c>
      <c r="H2074" s="0" t="s">
        <v>1177</v>
      </c>
      <c r="I2074" s="0" t="s">
        <v>1178</v>
      </c>
      <c r="J2074" s="0" t="s">
        <v>1178</v>
      </c>
      <c r="K2074" s="0" t="s">
        <v>525</v>
      </c>
      <c r="L2074" s="0" t="s">
        <v>101</v>
      </c>
      <c r="M2074" s="0" t="s">
        <v>1178</v>
      </c>
      <c r="N2074" s="0" t="s">
        <v>101</v>
      </c>
      <c r="P2074" s="0" t="s">
        <v>102</v>
      </c>
      <c r="Q2074" s="0" t="s">
        <v>102</v>
      </c>
      <c r="R2074" s="0" t="s">
        <v>113</v>
      </c>
      <c r="S2074" s="0" t="s">
        <v>21</v>
      </c>
      <c r="T2074" s="0" t="s">
        <v>104</v>
      </c>
      <c r="W2074" s="0" t="s">
        <v>105</v>
      </c>
      <c r="X2074" s="0" t="s">
        <v>6869</v>
      </c>
      <c r="Y2074" s="0" t="s">
        <v>6870</v>
      </c>
    </row>
    <row r="2075" customFormat="false" ht="15" hidden="false" customHeight="false" outlineLevel="0" collapsed="false">
      <c r="A2075" s="0" t="s">
        <v>21</v>
      </c>
      <c r="B2075" s="0" t="s">
        <v>6871</v>
      </c>
      <c r="C2075" s="0" t="s">
        <v>97</v>
      </c>
      <c r="D2075" s="0" t="s">
        <v>469</v>
      </c>
      <c r="E2075" s="0" t="s">
        <v>6872</v>
      </c>
      <c r="M2075" s="0" t="s">
        <v>136</v>
      </c>
      <c r="N2075" s="0" t="s">
        <v>124</v>
      </c>
      <c r="P2075" s="0" t="s">
        <v>102</v>
      </c>
      <c r="Q2075" s="0" t="s">
        <v>102</v>
      </c>
      <c r="R2075" s="0" t="s">
        <v>131</v>
      </c>
      <c r="S2075" s="0" t="s">
        <v>21</v>
      </c>
      <c r="T2075" s="0" t="s">
        <v>104</v>
      </c>
      <c r="W2075" s="0" t="s">
        <v>105</v>
      </c>
    </row>
    <row r="2076" customFormat="false" ht="15" hidden="false" customHeight="false" outlineLevel="0" collapsed="false">
      <c r="A2076" s="0" t="s">
        <v>21</v>
      </c>
      <c r="B2076" s="0" t="s">
        <v>6873</v>
      </c>
      <c r="C2076" s="0" t="s">
        <v>97</v>
      </c>
      <c r="D2076" s="0" t="s">
        <v>6874</v>
      </c>
      <c r="E2076" s="0" t="s">
        <v>6875</v>
      </c>
      <c r="M2076" s="0" t="s">
        <v>136</v>
      </c>
      <c r="N2076" s="0" t="s">
        <v>124</v>
      </c>
      <c r="P2076" s="0" t="s">
        <v>102</v>
      </c>
      <c r="Q2076" s="0" t="s">
        <v>102</v>
      </c>
      <c r="R2076" s="0" t="s">
        <v>131</v>
      </c>
      <c r="S2076" s="0" t="s">
        <v>21</v>
      </c>
      <c r="T2076" s="0" t="s">
        <v>104</v>
      </c>
      <c r="W2076" s="0" t="s">
        <v>105</v>
      </c>
    </row>
    <row r="2077" customFormat="false" ht="15" hidden="false" customHeight="false" outlineLevel="0" collapsed="false">
      <c r="A2077" s="0" t="s">
        <v>21</v>
      </c>
      <c r="B2077" s="0" t="s">
        <v>6876</v>
      </c>
      <c r="C2077" s="0" t="s">
        <v>97</v>
      </c>
      <c r="D2077" s="0" t="s">
        <v>6877</v>
      </c>
      <c r="E2077" s="0" t="s">
        <v>6878</v>
      </c>
      <c r="M2077" s="0" t="s">
        <v>136</v>
      </c>
      <c r="N2077" s="0" t="s">
        <v>124</v>
      </c>
      <c r="P2077" s="0" t="s">
        <v>102</v>
      </c>
      <c r="Q2077" s="0" t="s">
        <v>102</v>
      </c>
      <c r="R2077" s="0" t="s">
        <v>131</v>
      </c>
      <c r="S2077" s="0" t="s">
        <v>21</v>
      </c>
      <c r="T2077" s="0" t="s">
        <v>104</v>
      </c>
      <c r="W2077" s="0" t="s">
        <v>105</v>
      </c>
    </row>
    <row r="2078" customFormat="false" ht="15" hidden="false" customHeight="false" outlineLevel="0" collapsed="false">
      <c r="A2078" s="0" t="s">
        <v>21</v>
      </c>
      <c r="B2078" s="0" t="s">
        <v>6879</v>
      </c>
      <c r="C2078" s="0" t="s">
        <v>97</v>
      </c>
      <c r="D2078" s="0" t="s">
        <v>6880</v>
      </c>
      <c r="E2078" s="0" t="s">
        <v>6881</v>
      </c>
      <c r="M2078" s="0" t="s">
        <v>136</v>
      </c>
      <c r="N2078" s="0" t="s">
        <v>124</v>
      </c>
      <c r="P2078" s="0" t="s">
        <v>102</v>
      </c>
      <c r="Q2078" s="0" t="s">
        <v>102</v>
      </c>
      <c r="R2078" s="0" t="s">
        <v>144</v>
      </c>
      <c r="S2078" s="0" t="s">
        <v>21</v>
      </c>
      <c r="T2078" s="0" t="s">
        <v>104</v>
      </c>
      <c r="W2078" s="0" t="s">
        <v>105</v>
      </c>
    </row>
    <row r="2079" customFormat="false" ht="15" hidden="false" customHeight="false" outlineLevel="0" collapsed="false">
      <c r="A2079" s="0" t="s">
        <v>21</v>
      </c>
      <c r="B2079" s="0" t="s">
        <v>6882</v>
      </c>
      <c r="C2079" s="0" t="s">
        <v>4295</v>
      </c>
      <c r="D2079" s="0" t="s">
        <v>6883</v>
      </c>
      <c r="M2079" s="0" t="s">
        <v>6347</v>
      </c>
      <c r="N2079" s="0" t="s">
        <v>124</v>
      </c>
      <c r="P2079" s="0" t="s">
        <v>130</v>
      </c>
      <c r="Q2079" s="0" t="s">
        <v>130</v>
      </c>
      <c r="R2079" s="0" t="s">
        <v>144</v>
      </c>
      <c r="S2079" s="0" t="s">
        <v>21</v>
      </c>
      <c r="T2079" s="0" t="s">
        <v>104</v>
      </c>
      <c r="W2079" s="0" t="s">
        <v>105</v>
      </c>
    </row>
    <row r="2080" customFormat="false" ht="15" hidden="false" customHeight="false" outlineLevel="0" collapsed="false">
      <c r="A2080" s="0" t="s">
        <v>21</v>
      </c>
      <c r="B2080" s="0" t="s">
        <v>6884</v>
      </c>
      <c r="C2080" s="0" t="s">
        <v>97</v>
      </c>
      <c r="D2080" s="0" t="s">
        <v>6885</v>
      </c>
      <c r="E2080" s="0" t="s">
        <v>6886</v>
      </c>
      <c r="M2080" s="0" t="s">
        <v>136</v>
      </c>
      <c r="N2080" s="0" t="s">
        <v>124</v>
      </c>
      <c r="P2080" s="0" t="s">
        <v>102</v>
      </c>
      <c r="Q2080" s="0" t="s">
        <v>102</v>
      </c>
      <c r="R2080" s="0" t="s">
        <v>113</v>
      </c>
      <c r="S2080" s="0" t="s">
        <v>21</v>
      </c>
      <c r="T2080" s="0" t="s">
        <v>104</v>
      </c>
      <c r="W2080" s="0" t="s">
        <v>105</v>
      </c>
    </row>
    <row r="2081" customFormat="false" ht="15" hidden="false" customHeight="false" outlineLevel="0" collapsed="false">
      <c r="A2081" s="0" t="s">
        <v>21</v>
      </c>
      <c r="B2081" s="0" t="s">
        <v>6887</v>
      </c>
      <c r="C2081" s="0" t="s">
        <v>110</v>
      </c>
      <c r="D2081" s="0" t="s">
        <v>6888</v>
      </c>
      <c r="E2081" s="0" t="s">
        <v>6888</v>
      </c>
      <c r="F2081" s="0" t="s">
        <v>2745</v>
      </c>
      <c r="G2081" s="0" t="s">
        <v>6889</v>
      </c>
      <c r="M2081" s="0" t="s">
        <v>178</v>
      </c>
      <c r="N2081" s="0" t="s">
        <v>124</v>
      </c>
      <c r="P2081" s="0" t="s">
        <v>102</v>
      </c>
      <c r="Q2081" s="0" t="s">
        <v>102</v>
      </c>
      <c r="R2081" s="0" t="s">
        <v>113</v>
      </c>
      <c r="S2081" s="0" t="s">
        <v>21</v>
      </c>
      <c r="T2081" s="0" t="s">
        <v>104</v>
      </c>
      <c r="W2081" s="0" t="s">
        <v>105</v>
      </c>
    </row>
    <row r="2082" customFormat="false" ht="15" hidden="false" customHeight="false" outlineLevel="0" collapsed="false">
      <c r="A2082" s="0" t="s">
        <v>21</v>
      </c>
      <c r="B2082" s="0" t="s">
        <v>6890</v>
      </c>
      <c r="C2082" s="0" t="s">
        <v>97</v>
      </c>
      <c r="D2082" s="0" t="s">
        <v>6891</v>
      </c>
      <c r="E2082" s="0" t="s">
        <v>6892</v>
      </c>
      <c r="M2082" s="0" t="s">
        <v>136</v>
      </c>
      <c r="N2082" s="0" t="s">
        <v>124</v>
      </c>
      <c r="P2082" s="0" t="s">
        <v>102</v>
      </c>
      <c r="Q2082" s="0" t="s">
        <v>102</v>
      </c>
      <c r="R2082" s="0" t="s">
        <v>131</v>
      </c>
      <c r="S2082" s="0" t="s">
        <v>21</v>
      </c>
      <c r="T2082" s="0" t="s">
        <v>104</v>
      </c>
      <c r="W2082" s="0" t="s">
        <v>105</v>
      </c>
    </row>
    <row r="2083" customFormat="false" ht="15" hidden="false" customHeight="false" outlineLevel="0" collapsed="false">
      <c r="A2083" s="0" t="s">
        <v>21</v>
      </c>
      <c r="B2083" s="0" t="s">
        <v>6893</v>
      </c>
      <c r="C2083" s="0" t="s">
        <v>97</v>
      </c>
      <c r="D2083" s="0" t="s">
        <v>5157</v>
      </c>
      <c r="E2083" s="0" t="s">
        <v>6894</v>
      </c>
      <c r="M2083" s="0" t="s">
        <v>136</v>
      </c>
      <c r="N2083" s="0" t="s">
        <v>124</v>
      </c>
      <c r="P2083" s="0" t="s">
        <v>102</v>
      </c>
      <c r="Q2083" s="0" t="s">
        <v>102</v>
      </c>
      <c r="R2083" s="0" t="s">
        <v>131</v>
      </c>
      <c r="S2083" s="0" t="s">
        <v>21</v>
      </c>
      <c r="T2083" s="0" t="s">
        <v>104</v>
      </c>
      <c r="W2083" s="0" t="s">
        <v>105</v>
      </c>
    </row>
    <row r="2084" customFormat="false" ht="15" hidden="false" customHeight="false" outlineLevel="0" collapsed="false">
      <c r="A2084" s="0" t="s">
        <v>21</v>
      </c>
      <c r="B2084" s="0" t="s">
        <v>6895</v>
      </c>
      <c r="C2084" s="0" t="s">
        <v>97</v>
      </c>
      <c r="D2084" s="0" t="s">
        <v>6896</v>
      </c>
      <c r="E2084" s="0" t="s">
        <v>6897</v>
      </c>
      <c r="H2084" s="0" t="s">
        <v>654</v>
      </c>
      <c r="I2084" s="0" t="s">
        <v>655</v>
      </c>
      <c r="J2084" s="0" t="s">
        <v>100</v>
      </c>
      <c r="K2084" s="0" t="s">
        <v>168</v>
      </c>
      <c r="L2084" s="0" t="s">
        <v>101</v>
      </c>
      <c r="M2084" s="0" t="s">
        <v>656</v>
      </c>
      <c r="N2084" s="0" t="s">
        <v>101</v>
      </c>
      <c r="P2084" s="0" t="s">
        <v>102</v>
      </c>
      <c r="Q2084" s="0" t="s">
        <v>102</v>
      </c>
      <c r="R2084" s="0" t="s">
        <v>113</v>
      </c>
      <c r="S2084" s="0" t="s">
        <v>21</v>
      </c>
      <c r="T2084" s="0" t="s">
        <v>104</v>
      </c>
      <c r="W2084" s="0" t="s">
        <v>105</v>
      </c>
      <c r="X2084" s="0" t="s">
        <v>658</v>
      </c>
      <c r="Y2084" s="0" t="s">
        <v>659</v>
      </c>
    </row>
    <row r="2085" customFormat="false" ht="15" hidden="false" customHeight="false" outlineLevel="0" collapsed="false">
      <c r="A2085" s="0" t="s">
        <v>21</v>
      </c>
      <c r="B2085" s="0" t="s">
        <v>6711</v>
      </c>
      <c r="C2085" s="0" t="s">
        <v>674</v>
      </c>
      <c r="D2085" s="0" t="s">
        <v>6898</v>
      </c>
      <c r="E2085" s="0" t="s">
        <v>6899</v>
      </c>
      <c r="H2085" s="0" t="s">
        <v>6900</v>
      </c>
      <c r="I2085" s="0" t="s">
        <v>6711</v>
      </c>
      <c r="J2085" s="0" t="s">
        <v>275</v>
      </c>
      <c r="K2085" s="0" t="s">
        <v>6901</v>
      </c>
      <c r="L2085" s="0" t="s">
        <v>124</v>
      </c>
      <c r="M2085" s="0" t="s">
        <v>178</v>
      </c>
      <c r="N2085" s="0" t="s">
        <v>124</v>
      </c>
      <c r="P2085" s="0" t="s">
        <v>102</v>
      </c>
      <c r="Q2085" s="0" t="s">
        <v>102</v>
      </c>
      <c r="R2085" s="0" t="s">
        <v>113</v>
      </c>
      <c r="S2085" s="0" t="s">
        <v>21</v>
      </c>
      <c r="T2085" s="0" t="s">
        <v>104</v>
      </c>
      <c r="W2085" s="0" t="s">
        <v>105</v>
      </c>
      <c r="X2085" s="0" t="s">
        <v>6902</v>
      </c>
      <c r="Y2085" s="0" t="s">
        <v>6903</v>
      </c>
      <c r="Z2085" s="0" t="s">
        <v>134</v>
      </c>
    </row>
    <row r="2086" customFormat="false" ht="15" hidden="false" customHeight="false" outlineLevel="0" collapsed="false">
      <c r="A2086" s="0" t="s">
        <v>21</v>
      </c>
      <c r="B2086" s="0" t="s">
        <v>6711</v>
      </c>
      <c r="C2086" s="0" t="s">
        <v>674</v>
      </c>
      <c r="D2086" s="0" t="s">
        <v>6898</v>
      </c>
      <c r="E2086" s="0" t="s">
        <v>6899</v>
      </c>
      <c r="H2086" s="0" t="s">
        <v>6900</v>
      </c>
      <c r="I2086" s="0" t="s">
        <v>6711</v>
      </c>
      <c r="J2086" s="0" t="s">
        <v>275</v>
      </c>
      <c r="K2086" s="0" t="s">
        <v>6901</v>
      </c>
      <c r="L2086" s="0" t="s">
        <v>124</v>
      </c>
      <c r="M2086" s="0" t="s">
        <v>178</v>
      </c>
      <c r="N2086" s="0" t="s">
        <v>124</v>
      </c>
      <c r="P2086" s="0" t="s">
        <v>4272</v>
      </c>
      <c r="Q2086" s="0" t="s">
        <v>6335</v>
      </c>
      <c r="R2086" s="0" t="s">
        <v>6904</v>
      </c>
      <c r="S2086" s="0" t="s">
        <v>21</v>
      </c>
      <c r="T2086" s="0" t="s">
        <v>104</v>
      </c>
      <c r="W2086" s="0" t="s">
        <v>183</v>
      </c>
      <c r="X2086" s="0" t="s">
        <v>6902</v>
      </c>
      <c r="Y2086" s="0" t="s">
        <v>6903</v>
      </c>
      <c r="Z2086" s="0" t="s">
        <v>134</v>
      </c>
    </row>
    <row r="2087" customFormat="false" ht="15" hidden="false" customHeight="false" outlineLevel="0" collapsed="false">
      <c r="A2087" s="0" t="s">
        <v>21</v>
      </c>
      <c r="B2087" s="0" t="s">
        <v>6905</v>
      </c>
      <c r="C2087" s="0" t="s">
        <v>97</v>
      </c>
      <c r="D2087" s="0" t="s">
        <v>6906</v>
      </c>
      <c r="E2087" s="0" t="s">
        <v>6906</v>
      </c>
      <c r="M2087" s="0" t="s">
        <v>136</v>
      </c>
      <c r="N2087" s="0" t="s">
        <v>124</v>
      </c>
      <c r="P2087" s="0" t="s">
        <v>102</v>
      </c>
      <c r="Q2087" s="0" t="s">
        <v>102</v>
      </c>
      <c r="R2087" s="0" t="s">
        <v>131</v>
      </c>
      <c r="S2087" s="0" t="s">
        <v>21</v>
      </c>
      <c r="T2087" s="0" t="s">
        <v>104</v>
      </c>
      <c r="W2087" s="0" t="s">
        <v>105</v>
      </c>
    </row>
    <row r="2088" customFormat="false" ht="15" hidden="false" customHeight="false" outlineLevel="0" collapsed="false">
      <c r="A2088" s="0" t="s">
        <v>21</v>
      </c>
      <c r="B2088" s="0" t="s">
        <v>6907</v>
      </c>
      <c r="C2088" s="0" t="s">
        <v>97</v>
      </c>
      <c r="D2088" s="0" t="s">
        <v>6908</v>
      </c>
      <c r="E2088" s="0" t="s">
        <v>6909</v>
      </c>
      <c r="M2088" s="0" t="s">
        <v>136</v>
      </c>
      <c r="N2088" s="0" t="s">
        <v>124</v>
      </c>
      <c r="P2088" s="0" t="s">
        <v>102</v>
      </c>
      <c r="Q2088" s="0" t="s">
        <v>102</v>
      </c>
      <c r="R2088" s="0" t="s">
        <v>131</v>
      </c>
      <c r="S2088" s="0" t="s">
        <v>21</v>
      </c>
      <c r="T2088" s="0" t="s">
        <v>104</v>
      </c>
      <c r="W2088" s="0" t="s">
        <v>105</v>
      </c>
    </row>
    <row r="2089" customFormat="false" ht="15" hidden="false" customHeight="false" outlineLevel="0" collapsed="false">
      <c r="A2089" s="0" t="s">
        <v>21</v>
      </c>
      <c r="B2089" s="0" t="s">
        <v>6910</v>
      </c>
      <c r="C2089" s="0" t="s">
        <v>97</v>
      </c>
      <c r="D2089" s="0" t="s">
        <v>6911</v>
      </c>
      <c r="E2089" s="0" t="s">
        <v>6912</v>
      </c>
      <c r="M2089" s="0" t="s">
        <v>136</v>
      </c>
      <c r="N2089" s="0" t="s">
        <v>124</v>
      </c>
      <c r="P2089" s="0" t="s">
        <v>102</v>
      </c>
      <c r="Q2089" s="0" t="s">
        <v>102</v>
      </c>
      <c r="R2089" s="0" t="s">
        <v>131</v>
      </c>
      <c r="S2089" s="0" t="s">
        <v>21</v>
      </c>
      <c r="T2089" s="0" t="s">
        <v>104</v>
      </c>
      <c r="W2089" s="0" t="s">
        <v>105</v>
      </c>
    </row>
    <row r="2090" customFormat="false" ht="15" hidden="false" customHeight="false" outlineLevel="0" collapsed="false">
      <c r="A2090" s="0" t="s">
        <v>21</v>
      </c>
      <c r="B2090" s="0" t="s">
        <v>6913</v>
      </c>
      <c r="C2090" s="0" t="s">
        <v>97</v>
      </c>
      <c r="D2090" s="0" t="s">
        <v>6914</v>
      </c>
      <c r="E2090" s="0" t="s">
        <v>6915</v>
      </c>
      <c r="M2090" s="0" t="s">
        <v>136</v>
      </c>
      <c r="N2090" s="0" t="s">
        <v>124</v>
      </c>
      <c r="P2090" s="0" t="s">
        <v>102</v>
      </c>
      <c r="Q2090" s="0" t="s">
        <v>102</v>
      </c>
      <c r="R2090" s="0" t="s">
        <v>131</v>
      </c>
      <c r="S2090" s="0" t="s">
        <v>21</v>
      </c>
      <c r="T2090" s="0" t="s">
        <v>104</v>
      </c>
      <c r="W2090" s="0" t="s">
        <v>105</v>
      </c>
    </row>
    <row r="2091" customFormat="false" ht="15" hidden="false" customHeight="false" outlineLevel="0" collapsed="false">
      <c r="A2091" s="0" t="s">
        <v>21</v>
      </c>
      <c r="B2091" s="0" t="s">
        <v>6916</v>
      </c>
      <c r="C2091" s="0" t="s">
        <v>97</v>
      </c>
      <c r="D2091" s="0" t="s">
        <v>6917</v>
      </c>
      <c r="E2091" s="0" t="s">
        <v>6918</v>
      </c>
      <c r="M2091" s="0" t="s">
        <v>136</v>
      </c>
      <c r="N2091" s="0" t="s">
        <v>124</v>
      </c>
      <c r="P2091" s="0" t="s">
        <v>102</v>
      </c>
      <c r="Q2091" s="0" t="s">
        <v>102</v>
      </c>
      <c r="R2091" s="0" t="s">
        <v>131</v>
      </c>
      <c r="S2091" s="0" t="s">
        <v>21</v>
      </c>
      <c r="T2091" s="0" t="s">
        <v>104</v>
      </c>
      <c r="W2091" s="0" t="s">
        <v>105</v>
      </c>
    </row>
    <row r="2092" customFormat="false" ht="15" hidden="false" customHeight="false" outlineLevel="0" collapsed="false">
      <c r="A2092" s="0" t="s">
        <v>21</v>
      </c>
      <c r="B2092" s="0" t="s">
        <v>6919</v>
      </c>
      <c r="C2092" s="0" t="s">
        <v>97</v>
      </c>
      <c r="D2092" s="0" t="s">
        <v>483</v>
      </c>
      <c r="E2092" s="0" t="s">
        <v>484</v>
      </c>
      <c r="M2092" s="0" t="s">
        <v>136</v>
      </c>
      <c r="N2092" s="0" t="s">
        <v>124</v>
      </c>
      <c r="P2092" s="0" t="s">
        <v>102</v>
      </c>
      <c r="Q2092" s="0" t="s">
        <v>102</v>
      </c>
      <c r="R2092" s="0" t="s">
        <v>131</v>
      </c>
      <c r="S2092" s="0" t="s">
        <v>21</v>
      </c>
      <c r="T2092" s="0" t="s">
        <v>104</v>
      </c>
      <c r="W2092" s="0" t="s">
        <v>105</v>
      </c>
    </row>
    <row r="2093" customFormat="false" ht="15" hidden="false" customHeight="false" outlineLevel="0" collapsed="false">
      <c r="A2093" s="0" t="s">
        <v>21</v>
      </c>
      <c r="B2093" s="0" t="s">
        <v>6920</v>
      </c>
      <c r="C2093" s="0" t="s">
        <v>97</v>
      </c>
      <c r="D2093" s="0" t="s">
        <v>487</v>
      </c>
      <c r="E2093" s="0" t="s">
        <v>487</v>
      </c>
      <c r="H2093" s="0" t="s">
        <v>6921</v>
      </c>
      <c r="I2093" s="0" t="s">
        <v>6922</v>
      </c>
      <c r="J2093" s="0" t="s">
        <v>245</v>
      </c>
      <c r="K2093" s="0" t="s">
        <v>4550</v>
      </c>
      <c r="L2093" s="0" t="s">
        <v>124</v>
      </c>
      <c r="M2093" s="0" t="s">
        <v>247</v>
      </c>
      <c r="N2093" s="0" t="s">
        <v>124</v>
      </c>
      <c r="P2093" s="0" t="s">
        <v>1044</v>
      </c>
      <c r="Q2093" s="0" t="s">
        <v>1044</v>
      </c>
      <c r="R2093" s="0" t="s">
        <v>248</v>
      </c>
      <c r="S2093" s="0" t="s">
        <v>21</v>
      </c>
      <c r="T2093" s="0" t="s">
        <v>104</v>
      </c>
      <c r="U2093" s="0" t="s">
        <v>368</v>
      </c>
      <c r="W2093" s="0" t="s">
        <v>105</v>
      </c>
      <c r="X2093" s="0" t="s">
        <v>6923</v>
      </c>
      <c r="Y2093" s="0" t="s">
        <v>6924</v>
      </c>
      <c r="Z2093" s="0" t="s">
        <v>134</v>
      </c>
    </row>
    <row r="2094" customFormat="false" ht="15" hidden="false" customHeight="false" outlineLevel="0" collapsed="false">
      <c r="A2094" s="0" t="s">
        <v>21</v>
      </c>
      <c r="B2094" s="0" t="s">
        <v>6925</v>
      </c>
      <c r="C2094" s="0" t="s">
        <v>97</v>
      </c>
      <c r="D2094" s="0" t="s">
        <v>6926</v>
      </c>
      <c r="E2094" s="0" t="s">
        <v>6927</v>
      </c>
      <c r="M2094" s="0" t="s">
        <v>136</v>
      </c>
      <c r="N2094" s="0" t="s">
        <v>124</v>
      </c>
      <c r="P2094" s="0" t="s">
        <v>102</v>
      </c>
      <c r="Q2094" s="0" t="s">
        <v>102</v>
      </c>
      <c r="R2094" s="0" t="s">
        <v>144</v>
      </c>
      <c r="S2094" s="0" t="s">
        <v>21</v>
      </c>
      <c r="T2094" s="0" t="s">
        <v>104</v>
      </c>
      <c r="W2094" s="0" t="s">
        <v>105</v>
      </c>
    </row>
    <row r="2095" customFormat="false" ht="15" hidden="false" customHeight="false" outlineLevel="0" collapsed="false">
      <c r="A2095" s="0" t="s">
        <v>21</v>
      </c>
      <c r="B2095" s="0" t="s">
        <v>6928</v>
      </c>
      <c r="C2095" s="0" t="s">
        <v>97</v>
      </c>
      <c r="D2095" s="0" t="s">
        <v>6929</v>
      </c>
      <c r="E2095" s="0" t="s">
        <v>6930</v>
      </c>
      <c r="M2095" s="0" t="s">
        <v>136</v>
      </c>
      <c r="N2095" s="0" t="s">
        <v>124</v>
      </c>
      <c r="P2095" s="0" t="s">
        <v>102</v>
      </c>
      <c r="Q2095" s="0" t="s">
        <v>102</v>
      </c>
      <c r="R2095" s="0" t="s">
        <v>131</v>
      </c>
      <c r="S2095" s="0" t="s">
        <v>21</v>
      </c>
      <c r="T2095" s="0" t="s">
        <v>104</v>
      </c>
      <c r="W2095" s="0" t="s">
        <v>105</v>
      </c>
    </row>
    <row r="2096" customFormat="false" ht="15" hidden="false" customHeight="false" outlineLevel="0" collapsed="false">
      <c r="A2096" s="0" t="s">
        <v>21</v>
      </c>
      <c r="B2096" s="0" t="s">
        <v>6931</v>
      </c>
      <c r="C2096" s="0" t="s">
        <v>97</v>
      </c>
      <c r="D2096" s="0" t="s">
        <v>6932</v>
      </c>
      <c r="E2096" s="0" t="s">
        <v>6933</v>
      </c>
      <c r="M2096" s="0" t="s">
        <v>136</v>
      </c>
      <c r="N2096" s="0" t="s">
        <v>124</v>
      </c>
      <c r="P2096" s="0" t="s">
        <v>102</v>
      </c>
      <c r="Q2096" s="0" t="s">
        <v>102</v>
      </c>
      <c r="R2096" s="0" t="s">
        <v>144</v>
      </c>
      <c r="S2096" s="0" t="s">
        <v>21</v>
      </c>
      <c r="T2096" s="0" t="s">
        <v>104</v>
      </c>
      <c r="W2096" s="0" t="s">
        <v>105</v>
      </c>
    </row>
    <row r="2097" customFormat="false" ht="15" hidden="false" customHeight="false" outlineLevel="0" collapsed="false">
      <c r="A2097" s="0" t="s">
        <v>21</v>
      </c>
      <c r="B2097" s="0" t="s">
        <v>6934</v>
      </c>
      <c r="C2097" s="0" t="s">
        <v>97</v>
      </c>
      <c r="D2097" s="0" t="s">
        <v>6935</v>
      </c>
      <c r="E2097" s="0" t="s">
        <v>6936</v>
      </c>
      <c r="M2097" s="0" t="s">
        <v>136</v>
      </c>
      <c r="N2097" s="0" t="s">
        <v>124</v>
      </c>
      <c r="P2097" s="0" t="s">
        <v>102</v>
      </c>
      <c r="Q2097" s="0" t="s">
        <v>102</v>
      </c>
      <c r="R2097" s="0" t="s">
        <v>131</v>
      </c>
      <c r="S2097" s="0" t="s">
        <v>21</v>
      </c>
      <c r="T2097" s="0" t="s">
        <v>104</v>
      </c>
      <c r="W2097" s="0" t="s">
        <v>105</v>
      </c>
    </row>
    <row r="2098" customFormat="false" ht="15" hidden="false" customHeight="false" outlineLevel="0" collapsed="false">
      <c r="A2098" s="0" t="s">
        <v>21</v>
      </c>
      <c r="B2098" s="0" t="s">
        <v>6937</v>
      </c>
      <c r="C2098" s="0" t="s">
        <v>97</v>
      </c>
      <c r="D2098" s="0" t="s">
        <v>487</v>
      </c>
      <c r="E2098" s="0" t="s">
        <v>488</v>
      </c>
      <c r="M2098" s="0" t="s">
        <v>136</v>
      </c>
      <c r="N2098" s="0" t="s">
        <v>124</v>
      </c>
      <c r="P2098" s="0" t="s">
        <v>102</v>
      </c>
      <c r="Q2098" s="0" t="s">
        <v>102</v>
      </c>
      <c r="R2098" s="0" t="s">
        <v>131</v>
      </c>
      <c r="S2098" s="0" t="s">
        <v>21</v>
      </c>
      <c r="T2098" s="0" t="s">
        <v>104</v>
      </c>
      <c r="W2098" s="0" t="s">
        <v>105</v>
      </c>
    </row>
    <row r="2099" customFormat="false" ht="15" hidden="false" customHeight="false" outlineLevel="0" collapsed="false">
      <c r="A2099" s="0" t="s">
        <v>21</v>
      </c>
      <c r="B2099" s="0" t="s">
        <v>6938</v>
      </c>
      <c r="C2099" s="0" t="s">
        <v>4295</v>
      </c>
      <c r="M2099" s="0" t="s">
        <v>232</v>
      </c>
      <c r="N2099" s="0" t="s">
        <v>124</v>
      </c>
      <c r="P2099" s="0" t="s">
        <v>130</v>
      </c>
      <c r="Q2099" s="0" t="s">
        <v>130</v>
      </c>
      <c r="R2099" s="0" t="s">
        <v>144</v>
      </c>
      <c r="S2099" s="0" t="s">
        <v>21</v>
      </c>
      <c r="T2099" s="0" t="s">
        <v>104</v>
      </c>
      <c r="W2099" s="0" t="s">
        <v>105</v>
      </c>
    </row>
    <row r="2100" customFormat="false" ht="15" hidden="false" customHeight="false" outlineLevel="0" collapsed="false">
      <c r="A2100" s="0" t="s">
        <v>21</v>
      </c>
      <c r="B2100" s="0" t="s">
        <v>6939</v>
      </c>
      <c r="C2100" s="0" t="s">
        <v>4295</v>
      </c>
      <c r="M2100" s="0" t="s">
        <v>232</v>
      </c>
      <c r="N2100" s="0" t="s">
        <v>124</v>
      </c>
      <c r="P2100" s="0" t="s">
        <v>130</v>
      </c>
      <c r="Q2100" s="0" t="s">
        <v>130</v>
      </c>
      <c r="R2100" s="0" t="s">
        <v>144</v>
      </c>
      <c r="S2100" s="0" t="s">
        <v>21</v>
      </c>
      <c r="T2100" s="0" t="s">
        <v>104</v>
      </c>
      <c r="W2100" s="0" t="s">
        <v>105</v>
      </c>
    </row>
    <row r="2101" customFormat="false" ht="15" hidden="false" customHeight="false" outlineLevel="0" collapsed="false">
      <c r="A2101" s="0" t="s">
        <v>21</v>
      </c>
      <c r="B2101" s="0" t="s">
        <v>6940</v>
      </c>
      <c r="C2101" s="0" t="s">
        <v>4295</v>
      </c>
      <c r="M2101" s="0" t="s">
        <v>232</v>
      </c>
      <c r="N2101" s="0" t="s">
        <v>124</v>
      </c>
      <c r="P2101" s="0" t="s">
        <v>130</v>
      </c>
      <c r="Q2101" s="0" t="s">
        <v>130</v>
      </c>
      <c r="R2101" s="0" t="s">
        <v>144</v>
      </c>
      <c r="S2101" s="0" t="s">
        <v>21</v>
      </c>
      <c r="T2101" s="0" t="s">
        <v>104</v>
      </c>
      <c r="W2101" s="0" t="s">
        <v>105</v>
      </c>
    </row>
    <row r="2102" customFormat="false" ht="15" hidden="false" customHeight="false" outlineLevel="0" collapsed="false">
      <c r="A2102" s="0" t="s">
        <v>21</v>
      </c>
      <c r="B2102" s="0" t="s">
        <v>6941</v>
      </c>
      <c r="C2102" s="0" t="s">
        <v>4295</v>
      </c>
      <c r="M2102" s="0" t="s">
        <v>232</v>
      </c>
      <c r="N2102" s="0" t="s">
        <v>124</v>
      </c>
      <c r="P2102" s="0" t="s">
        <v>130</v>
      </c>
      <c r="Q2102" s="0" t="s">
        <v>130</v>
      </c>
      <c r="R2102" s="0" t="s">
        <v>144</v>
      </c>
      <c r="S2102" s="0" t="s">
        <v>21</v>
      </c>
      <c r="T2102" s="0" t="s">
        <v>104</v>
      </c>
      <c r="W2102" s="0" t="s">
        <v>105</v>
      </c>
    </row>
    <row r="2103" customFormat="false" ht="15" hidden="false" customHeight="false" outlineLevel="0" collapsed="false">
      <c r="A2103" s="0" t="s">
        <v>21</v>
      </c>
      <c r="B2103" s="0" t="s">
        <v>6942</v>
      </c>
      <c r="C2103" s="0" t="s">
        <v>4295</v>
      </c>
      <c r="M2103" s="0" t="s">
        <v>232</v>
      </c>
      <c r="N2103" s="0" t="s">
        <v>124</v>
      </c>
      <c r="P2103" s="0" t="s">
        <v>130</v>
      </c>
      <c r="Q2103" s="0" t="s">
        <v>130</v>
      </c>
      <c r="R2103" s="0" t="s">
        <v>144</v>
      </c>
      <c r="S2103" s="0" t="s">
        <v>21</v>
      </c>
      <c r="T2103" s="0" t="s">
        <v>104</v>
      </c>
      <c r="W2103" s="0" t="s">
        <v>105</v>
      </c>
    </row>
    <row r="2104" customFormat="false" ht="15" hidden="false" customHeight="false" outlineLevel="0" collapsed="false">
      <c r="A2104" s="0" t="s">
        <v>21</v>
      </c>
      <c r="B2104" s="0" t="s">
        <v>6943</v>
      </c>
      <c r="C2104" s="0" t="s">
        <v>97</v>
      </c>
      <c r="D2104" s="0" t="s">
        <v>6944</v>
      </c>
      <c r="E2104" s="0" t="s">
        <v>6945</v>
      </c>
      <c r="H2104" s="0" t="s">
        <v>654</v>
      </c>
      <c r="I2104" s="0" t="s">
        <v>655</v>
      </c>
      <c r="J2104" s="0" t="s">
        <v>100</v>
      </c>
      <c r="K2104" s="0" t="s">
        <v>168</v>
      </c>
      <c r="L2104" s="0" t="s">
        <v>101</v>
      </c>
      <c r="M2104" s="0" t="s">
        <v>656</v>
      </c>
      <c r="N2104" s="0" t="s">
        <v>101</v>
      </c>
      <c r="P2104" s="0" t="s">
        <v>102</v>
      </c>
      <c r="Q2104" s="0" t="s">
        <v>102</v>
      </c>
      <c r="R2104" s="0" t="s">
        <v>113</v>
      </c>
      <c r="S2104" s="0" t="s">
        <v>21</v>
      </c>
      <c r="T2104" s="0" t="s">
        <v>104</v>
      </c>
      <c r="W2104" s="0" t="s">
        <v>105</v>
      </c>
      <c r="X2104" s="0" t="s">
        <v>658</v>
      </c>
      <c r="Y2104" s="0" t="s">
        <v>659</v>
      </c>
    </row>
    <row r="2105" customFormat="false" ht="15" hidden="false" customHeight="false" outlineLevel="0" collapsed="false">
      <c r="A2105" s="0" t="s">
        <v>21</v>
      </c>
      <c r="B2105" s="0" t="s">
        <v>6946</v>
      </c>
      <c r="C2105" s="0" t="s">
        <v>97</v>
      </c>
      <c r="D2105" s="0" t="s">
        <v>6947</v>
      </c>
      <c r="E2105" s="0" t="s">
        <v>6948</v>
      </c>
      <c r="H2105" s="0" t="s">
        <v>654</v>
      </c>
      <c r="I2105" s="0" t="s">
        <v>655</v>
      </c>
      <c r="J2105" s="0" t="s">
        <v>100</v>
      </c>
      <c r="K2105" s="0" t="s">
        <v>168</v>
      </c>
      <c r="L2105" s="0" t="s">
        <v>101</v>
      </c>
      <c r="M2105" s="0" t="s">
        <v>656</v>
      </c>
      <c r="N2105" s="0" t="s">
        <v>101</v>
      </c>
      <c r="P2105" s="0" t="s">
        <v>102</v>
      </c>
      <c r="Q2105" s="0" t="s">
        <v>102</v>
      </c>
      <c r="R2105" s="0" t="s">
        <v>113</v>
      </c>
      <c r="S2105" s="0" t="s">
        <v>21</v>
      </c>
      <c r="T2105" s="0" t="s">
        <v>104</v>
      </c>
      <c r="W2105" s="0" t="s">
        <v>105</v>
      </c>
      <c r="X2105" s="0" t="s">
        <v>658</v>
      </c>
      <c r="Y2105" s="0" t="s">
        <v>659</v>
      </c>
    </row>
    <row r="2106" customFormat="false" ht="15" hidden="false" customHeight="false" outlineLevel="0" collapsed="false">
      <c r="A2106" s="0" t="s">
        <v>21</v>
      </c>
      <c r="B2106" s="0" t="s">
        <v>6949</v>
      </c>
      <c r="C2106" s="0" t="s">
        <v>97</v>
      </c>
      <c r="D2106" s="0" t="s">
        <v>6950</v>
      </c>
      <c r="E2106" s="0" t="s">
        <v>6951</v>
      </c>
      <c r="M2106" s="0" t="s">
        <v>100</v>
      </c>
      <c r="N2106" s="0" t="s">
        <v>101</v>
      </c>
      <c r="P2106" s="0" t="s">
        <v>102</v>
      </c>
      <c r="Q2106" s="0" t="s">
        <v>102</v>
      </c>
      <c r="R2106" s="0" t="s">
        <v>113</v>
      </c>
      <c r="S2106" s="0" t="s">
        <v>21</v>
      </c>
      <c r="T2106" s="0" t="s">
        <v>104</v>
      </c>
      <c r="W2106" s="0" t="s">
        <v>105</v>
      </c>
    </row>
    <row r="2107" customFormat="false" ht="15" hidden="false" customHeight="false" outlineLevel="0" collapsed="false">
      <c r="A2107" s="0" t="s">
        <v>21</v>
      </c>
      <c r="B2107" s="0" t="s">
        <v>6952</v>
      </c>
      <c r="C2107" s="0" t="s">
        <v>6953</v>
      </c>
      <c r="D2107" s="0" t="s">
        <v>493</v>
      </c>
      <c r="E2107" s="0" t="s">
        <v>6954</v>
      </c>
      <c r="F2107" s="0" t="s">
        <v>6955</v>
      </c>
      <c r="H2107" s="0" t="s">
        <v>6956</v>
      </c>
      <c r="I2107" s="0" t="s">
        <v>497</v>
      </c>
      <c r="J2107" s="0" t="s">
        <v>497</v>
      </c>
      <c r="K2107" s="0" t="s">
        <v>449</v>
      </c>
      <c r="L2107" s="0" t="s">
        <v>101</v>
      </c>
      <c r="M2107" s="0" t="s">
        <v>497</v>
      </c>
      <c r="N2107" s="0" t="s">
        <v>101</v>
      </c>
      <c r="P2107" s="0" t="s">
        <v>499</v>
      </c>
      <c r="Q2107" s="0" t="s">
        <v>499</v>
      </c>
      <c r="R2107" s="0" t="s">
        <v>499</v>
      </c>
      <c r="S2107" s="0" t="s">
        <v>21</v>
      </c>
      <c r="T2107" s="0" t="s">
        <v>104</v>
      </c>
      <c r="W2107" s="0" t="s">
        <v>183</v>
      </c>
      <c r="X2107" s="0" t="s">
        <v>6957</v>
      </c>
      <c r="Y2107" s="0" t="s">
        <v>6958</v>
      </c>
    </row>
    <row r="2108" customFormat="false" ht="15" hidden="false" customHeight="false" outlineLevel="0" collapsed="false">
      <c r="A2108" s="0" t="s">
        <v>21</v>
      </c>
      <c r="B2108" s="0" t="s">
        <v>6952</v>
      </c>
      <c r="C2108" s="0" t="s">
        <v>6953</v>
      </c>
      <c r="D2108" s="0" t="s">
        <v>493</v>
      </c>
      <c r="E2108" s="0" t="s">
        <v>6954</v>
      </c>
      <c r="F2108" s="0" t="s">
        <v>6955</v>
      </c>
      <c r="H2108" s="0" t="s">
        <v>6956</v>
      </c>
      <c r="I2108" s="0" t="s">
        <v>497</v>
      </c>
      <c r="J2108" s="0" t="s">
        <v>497</v>
      </c>
      <c r="K2108" s="0" t="s">
        <v>449</v>
      </c>
      <c r="L2108" s="0" t="s">
        <v>101</v>
      </c>
      <c r="M2108" s="0" t="s">
        <v>497</v>
      </c>
      <c r="N2108" s="0" t="s">
        <v>101</v>
      </c>
      <c r="P2108" s="0" t="s">
        <v>102</v>
      </c>
      <c r="Q2108" s="0" t="s">
        <v>102</v>
      </c>
      <c r="R2108" s="0" t="s">
        <v>113</v>
      </c>
      <c r="S2108" s="0" t="s">
        <v>21</v>
      </c>
      <c r="T2108" s="0" t="s">
        <v>104</v>
      </c>
      <c r="W2108" s="0" t="s">
        <v>105</v>
      </c>
      <c r="X2108" s="0" t="s">
        <v>6957</v>
      </c>
      <c r="Y2108" s="0" t="s">
        <v>6958</v>
      </c>
    </row>
    <row r="2109" customFormat="false" ht="15" hidden="false" customHeight="false" outlineLevel="0" collapsed="false">
      <c r="A2109" s="0" t="s">
        <v>21</v>
      </c>
      <c r="B2109" s="0" t="s">
        <v>6959</v>
      </c>
      <c r="C2109" s="0" t="s">
        <v>6953</v>
      </c>
      <c r="D2109" s="0" t="s">
        <v>507</v>
      </c>
      <c r="E2109" s="0" t="s">
        <v>6960</v>
      </c>
      <c r="H2109" s="0" t="s">
        <v>6961</v>
      </c>
      <c r="I2109" s="0" t="s">
        <v>510</v>
      </c>
      <c r="J2109" s="0" t="s">
        <v>510</v>
      </c>
      <c r="K2109" s="0" t="s">
        <v>457</v>
      </c>
      <c r="L2109" s="0" t="s">
        <v>101</v>
      </c>
      <c r="M2109" s="0" t="s">
        <v>437</v>
      </c>
      <c r="N2109" s="0" t="s">
        <v>101</v>
      </c>
      <c r="P2109" s="0" t="s">
        <v>499</v>
      </c>
      <c r="Q2109" s="0" t="s">
        <v>499</v>
      </c>
      <c r="R2109" s="0" t="s">
        <v>499</v>
      </c>
      <c r="S2109" s="0" t="s">
        <v>21</v>
      </c>
      <c r="T2109" s="0" t="s">
        <v>104</v>
      </c>
      <c r="W2109" s="0" t="s">
        <v>183</v>
      </c>
      <c r="X2109" s="0" t="s">
        <v>6962</v>
      </c>
      <c r="Y2109" s="0" t="s">
        <v>6963</v>
      </c>
    </row>
    <row r="2110" customFormat="false" ht="15" hidden="false" customHeight="false" outlineLevel="0" collapsed="false">
      <c r="A2110" s="0" t="s">
        <v>21</v>
      </c>
      <c r="B2110" s="0" t="s">
        <v>6959</v>
      </c>
      <c r="C2110" s="0" t="s">
        <v>6953</v>
      </c>
      <c r="D2110" s="0" t="s">
        <v>507</v>
      </c>
      <c r="E2110" s="0" t="s">
        <v>6960</v>
      </c>
      <c r="H2110" s="0" t="s">
        <v>6961</v>
      </c>
      <c r="I2110" s="0" t="s">
        <v>510</v>
      </c>
      <c r="J2110" s="0" t="s">
        <v>510</v>
      </c>
      <c r="K2110" s="0" t="s">
        <v>457</v>
      </c>
      <c r="L2110" s="0" t="s">
        <v>101</v>
      </c>
      <c r="M2110" s="0" t="s">
        <v>437</v>
      </c>
      <c r="N2110" s="0" t="s">
        <v>101</v>
      </c>
      <c r="P2110" s="0" t="s">
        <v>102</v>
      </c>
      <c r="Q2110" s="0" t="s">
        <v>102</v>
      </c>
      <c r="R2110" s="0" t="s">
        <v>113</v>
      </c>
      <c r="S2110" s="0" t="s">
        <v>21</v>
      </c>
      <c r="T2110" s="0" t="s">
        <v>104</v>
      </c>
      <c r="W2110" s="0" t="s">
        <v>105</v>
      </c>
      <c r="X2110" s="0" t="s">
        <v>6962</v>
      </c>
      <c r="Y2110" s="0" t="s">
        <v>6963</v>
      </c>
    </row>
    <row r="2111" customFormat="false" ht="15" hidden="false" customHeight="false" outlineLevel="0" collapsed="false">
      <c r="A2111" s="0" t="s">
        <v>21</v>
      </c>
      <c r="B2111" s="0" t="s">
        <v>6964</v>
      </c>
      <c r="C2111" s="0" t="s">
        <v>6953</v>
      </c>
      <c r="D2111" s="0" t="s">
        <v>516</v>
      </c>
      <c r="E2111" s="0" t="s">
        <v>6965</v>
      </c>
      <c r="H2111" s="0" t="s">
        <v>6966</v>
      </c>
      <c r="I2111" s="0" t="s">
        <v>6066</v>
      </c>
      <c r="J2111" s="0" t="s">
        <v>398</v>
      </c>
      <c r="K2111" s="0" t="s">
        <v>498</v>
      </c>
      <c r="L2111" s="0" t="s">
        <v>101</v>
      </c>
      <c r="M2111" s="0" t="s">
        <v>398</v>
      </c>
      <c r="N2111" s="0" t="s">
        <v>101</v>
      </c>
      <c r="P2111" s="0" t="s">
        <v>499</v>
      </c>
      <c r="Q2111" s="0" t="s">
        <v>499</v>
      </c>
      <c r="R2111" s="0" t="s">
        <v>499</v>
      </c>
      <c r="S2111" s="0" t="s">
        <v>21</v>
      </c>
      <c r="T2111" s="0" t="s">
        <v>104</v>
      </c>
      <c r="W2111" s="0" t="s">
        <v>183</v>
      </c>
      <c r="X2111" s="0" t="s">
        <v>6967</v>
      </c>
      <c r="Y2111" s="0" t="s">
        <v>6968</v>
      </c>
    </row>
    <row r="2112" customFormat="false" ht="15" hidden="false" customHeight="false" outlineLevel="0" collapsed="false">
      <c r="A2112" s="0" t="s">
        <v>21</v>
      </c>
      <c r="B2112" s="0" t="s">
        <v>6964</v>
      </c>
      <c r="C2112" s="0" t="s">
        <v>6953</v>
      </c>
      <c r="D2112" s="0" t="s">
        <v>516</v>
      </c>
      <c r="E2112" s="0" t="s">
        <v>6965</v>
      </c>
      <c r="H2112" s="0" t="s">
        <v>6966</v>
      </c>
      <c r="I2112" s="0" t="s">
        <v>6066</v>
      </c>
      <c r="J2112" s="0" t="s">
        <v>398</v>
      </c>
      <c r="K2112" s="0" t="s">
        <v>498</v>
      </c>
      <c r="L2112" s="0" t="s">
        <v>101</v>
      </c>
      <c r="M2112" s="0" t="s">
        <v>398</v>
      </c>
      <c r="N2112" s="0" t="s">
        <v>101</v>
      </c>
      <c r="P2112" s="0" t="s">
        <v>102</v>
      </c>
      <c r="Q2112" s="0" t="s">
        <v>102</v>
      </c>
      <c r="R2112" s="0" t="s">
        <v>113</v>
      </c>
      <c r="S2112" s="0" t="s">
        <v>21</v>
      </c>
      <c r="T2112" s="0" t="s">
        <v>104</v>
      </c>
      <c r="W2112" s="0" t="s">
        <v>105</v>
      </c>
      <c r="X2112" s="0" t="s">
        <v>6967</v>
      </c>
      <c r="Y2112" s="0" t="s">
        <v>6968</v>
      </c>
    </row>
    <row r="2113" customFormat="false" ht="15" hidden="false" customHeight="false" outlineLevel="0" collapsed="false">
      <c r="A2113" s="0" t="s">
        <v>21</v>
      </c>
      <c r="B2113" s="0" t="s">
        <v>6969</v>
      </c>
      <c r="C2113" s="0" t="s">
        <v>6953</v>
      </c>
      <c r="D2113" s="0" t="s">
        <v>522</v>
      </c>
      <c r="E2113" s="0" t="s">
        <v>6970</v>
      </c>
      <c r="H2113" s="0" t="s">
        <v>6971</v>
      </c>
      <c r="I2113" s="0" t="s">
        <v>6972</v>
      </c>
      <c r="J2113" s="0" t="s">
        <v>447</v>
      </c>
      <c r="K2113" s="0" t="s">
        <v>5496</v>
      </c>
      <c r="L2113" s="0" t="s">
        <v>101</v>
      </c>
      <c r="M2113" s="0" t="s">
        <v>447</v>
      </c>
      <c r="N2113" s="0" t="s">
        <v>101</v>
      </c>
      <c r="P2113" s="0" t="s">
        <v>499</v>
      </c>
      <c r="Q2113" s="0" t="s">
        <v>499</v>
      </c>
      <c r="R2113" s="0" t="s">
        <v>499</v>
      </c>
      <c r="S2113" s="0" t="s">
        <v>21</v>
      </c>
      <c r="T2113" s="0" t="s">
        <v>104</v>
      </c>
      <c r="W2113" s="0" t="s">
        <v>183</v>
      </c>
      <c r="X2113" s="0" t="s">
        <v>6973</v>
      </c>
      <c r="Y2113" s="0" t="s">
        <v>6974</v>
      </c>
    </row>
    <row r="2114" customFormat="false" ht="15" hidden="false" customHeight="false" outlineLevel="0" collapsed="false">
      <c r="A2114" s="0" t="s">
        <v>21</v>
      </c>
      <c r="B2114" s="0" t="s">
        <v>6969</v>
      </c>
      <c r="C2114" s="0" t="s">
        <v>6953</v>
      </c>
      <c r="D2114" s="0" t="s">
        <v>522</v>
      </c>
      <c r="E2114" s="0" t="s">
        <v>6970</v>
      </c>
      <c r="H2114" s="0" t="s">
        <v>6971</v>
      </c>
      <c r="I2114" s="0" t="s">
        <v>6972</v>
      </c>
      <c r="J2114" s="0" t="s">
        <v>447</v>
      </c>
      <c r="K2114" s="0" t="s">
        <v>5496</v>
      </c>
      <c r="L2114" s="0" t="s">
        <v>101</v>
      </c>
      <c r="M2114" s="0" t="s">
        <v>447</v>
      </c>
      <c r="N2114" s="0" t="s">
        <v>101</v>
      </c>
      <c r="P2114" s="0" t="s">
        <v>102</v>
      </c>
      <c r="Q2114" s="0" t="s">
        <v>102</v>
      </c>
      <c r="R2114" s="0" t="s">
        <v>113</v>
      </c>
      <c r="S2114" s="0" t="s">
        <v>21</v>
      </c>
      <c r="T2114" s="0" t="s">
        <v>104</v>
      </c>
      <c r="W2114" s="0" t="s">
        <v>105</v>
      </c>
      <c r="X2114" s="0" t="s">
        <v>6973</v>
      </c>
      <c r="Y2114" s="0" t="s">
        <v>6974</v>
      </c>
    </row>
    <row r="2115" customFormat="false" ht="15" hidden="false" customHeight="false" outlineLevel="0" collapsed="false">
      <c r="A2115" s="0" t="s">
        <v>21</v>
      </c>
      <c r="B2115" s="0" t="s">
        <v>6975</v>
      </c>
      <c r="C2115" s="0" t="s">
        <v>97</v>
      </c>
      <c r="D2115" s="0" t="s">
        <v>6976</v>
      </c>
      <c r="E2115" s="0" t="s">
        <v>6977</v>
      </c>
      <c r="M2115" s="0" t="s">
        <v>136</v>
      </c>
      <c r="N2115" s="0" t="s">
        <v>124</v>
      </c>
      <c r="P2115" s="0" t="s">
        <v>102</v>
      </c>
      <c r="Q2115" s="0" t="s">
        <v>102</v>
      </c>
      <c r="R2115" s="0" t="s">
        <v>113</v>
      </c>
      <c r="S2115" s="0" t="s">
        <v>21</v>
      </c>
      <c r="T2115" s="0" t="s">
        <v>104</v>
      </c>
      <c r="W2115" s="0" t="s">
        <v>105</v>
      </c>
    </row>
    <row r="2116" customFormat="false" ht="28.35" hidden="false" customHeight="false" outlineLevel="0" collapsed="false">
      <c r="A2116" s="0" t="s">
        <v>21</v>
      </c>
      <c r="B2116" s="0" t="s">
        <v>6978</v>
      </c>
      <c r="C2116" s="0" t="s">
        <v>863</v>
      </c>
      <c r="D2116" s="0" t="s">
        <v>6979</v>
      </c>
      <c r="E2116" s="0" t="s">
        <v>6980</v>
      </c>
      <c r="G2116" s="9" t="s">
        <v>6981</v>
      </c>
      <c r="H2116" s="0" t="s">
        <v>6982</v>
      </c>
      <c r="I2116" s="0" t="s">
        <v>6983</v>
      </c>
      <c r="J2116" s="0" t="s">
        <v>254</v>
      </c>
      <c r="K2116" s="0" t="s">
        <v>757</v>
      </c>
      <c r="L2116" s="0" t="s">
        <v>124</v>
      </c>
      <c r="M2116" s="0" t="s">
        <v>208</v>
      </c>
      <c r="N2116" s="0" t="s">
        <v>124</v>
      </c>
      <c r="P2116" s="0" t="s">
        <v>499</v>
      </c>
      <c r="Q2116" s="0" t="s">
        <v>499</v>
      </c>
      <c r="R2116" s="0" t="s">
        <v>499</v>
      </c>
      <c r="S2116" s="0" t="s">
        <v>21</v>
      </c>
      <c r="T2116" s="0" t="s">
        <v>104</v>
      </c>
      <c r="W2116" s="0" t="s">
        <v>183</v>
      </c>
      <c r="X2116" s="0" t="s">
        <v>758</v>
      </c>
      <c r="Y2116" s="0" t="s">
        <v>759</v>
      </c>
      <c r="Z2116" s="0" t="s">
        <v>195</v>
      </c>
    </row>
    <row r="2117" customFormat="false" ht="28.35" hidden="false" customHeight="false" outlineLevel="0" collapsed="false">
      <c r="A2117" s="0" t="s">
        <v>21</v>
      </c>
      <c r="B2117" s="0" t="s">
        <v>6978</v>
      </c>
      <c r="C2117" s="0" t="s">
        <v>863</v>
      </c>
      <c r="D2117" s="0" t="s">
        <v>6979</v>
      </c>
      <c r="E2117" s="0" t="s">
        <v>6980</v>
      </c>
      <c r="G2117" s="9" t="s">
        <v>6981</v>
      </c>
      <c r="H2117" s="0" t="s">
        <v>6982</v>
      </c>
      <c r="I2117" s="0" t="s">
        <v>6983</v>
      </c>
      <c r="J2117" s="0" t="s">
        <v>254</v>
      </c>
      <c r="K2117" s="0" t="s">
        <v>757</v>
      </c>
      <c r="L2117" s="0" t="s">
        <v>124</v>
      </c>
      <c r="M2117" s="0" t="s">
        <v>208</v>
      </c>
      <c r="N2117" s="0" t="s">
        <v>124</v>
      </c>
      <c r="P2117" s="0" t="s">
        <v>130</v>
      </c>
      <c r="Q2117" s="0" t="s">
        <v>130</v>
      </c>
      <c r="R2117" s="0" t="s">
        <v>113</v>
      </c>
      <c r="S2117" s="0" t="s">
        <v>21</v>
      </c>
      <c r="T2117" s="0" t="s">
        <v>104</v>
      </c>
      <c r="W2117" s="0" t="s">
        <v>105</v>
      </c>
      <c r="X2117" s="0" t="s">
        <v>758</v>
      </c>
      <c r="Y2117" s="0" t="s">
        <v>759</v>
      </c>
      <c r="Z2117" s="0" t="s">
        <v>195</v>
      </c>
    </row>
    <row r="2118" customFormat="false" ht="15" hidden="false" customHeight="false" outlineLevel="0" collapsed="false">
      <c r="A2118" s="0" t="s">
        <v>21</v>
      </c>
      <c r="B2118" s="0" t="s">
        <v>6984</v>
      </c>
      <c r="C2118" s="0" t="s">
        <v>97</v>
      </c>
      <c r="D2118" s="0" t="s">
        <v>6985</v>
      </c>
      <c r="E2118" s="0" t="s">
        <v>6986</v>
      </c>
      <c r="M2118" s="0" t="s">
        <v>136</v>
      </c>
      <c r="N2118" s="0" t="s">
        <v>124</v>
      </c>
      <c r="P2118" s="0" t="s">
        <v>1044</v>
      </c>
      <c r="Q2118" s="0" t="s">
        <v>1044</v>
      </c>
      <c r="R2118" s="0" t="s">
        <v>103</v>
      </c>
      <c r="S2118" s="0" t="s">
        <v>21</v>
      </c>
      <c r="T2118" s="0" t="s">
        <v>104</v>
      </c>
      <c r="W2118" s="0" t="s">
        <v>105</v>
      </c>
    </row>
    <row r="2119" customFormat="false" ht="28.35" hidden="false" customHeight="false" outlineLevel="0" collapsed="false">
      <c r="A2119" s="0" t="s">
        <v>21</v>
      </c>
      <c r="B2119" s="0" t="s">
        <v>6987</v>
      </c>
      <c r="C2119" s="0" t="s">
        <v>6988</v>
      </c>
      <c r="D2119" s="0" t="s">
        <v>6989</v>
      </c>
      <c r="E2119" s="0" t="s">
        <v>6990</v>
      </c>
      <c r="G2119" s="9" t="s">
        <v>6991</v>
      </c>
      <c r="H2119" s="0" t="s">
        <v>6992</v>
      </c>
      <c r="I2119" s="0" t="s">
        <v>1186</v>
      </c>
      <c r="J2119" s="0" t="s">
        <v>1187</v>
      </c>
      <c r="K2119" s="0" t="s">
        <v>533</v>
      </c>
      <c r="M2119" s="0" t="s">
        <v>1187</v>
      </c>
      <c r="N2119" s="0" t="s">
        <v>101</v>
      </c>
      <c r="P2119" s="0" t="s">
        <v>102</v>
      </c>
      <c r="Q2119" s="0" t="s">
        <v>102</v>
      </c>
      <c r="R2119" s="0" t="s">
        <v>131</v>
      </c>
      <c r="S2119" s="0" t="s">
        <v>21</v>
      </c>
      <c r="T2119" s="0" t="s">
        <v>104</v>
      </c>
      <c r="W2119" s="0" t="s">
        <v>105</v>
      </c>
    </row>
    <row r="2120" customFormat="false" ht="15" hidden="false" customHeight="false" outlineLevel="0" collapsed="false">
      <c r="A2120" s="0" t="s">
        <v>21</v>
      </c>
      <c r="B2120" s="0" t="s">
        <v>6993</v>
      </c>
      <c r="C2120" s="0" t="s">
        <v>97</v>
      </c>
      <c r="D2120" s="0" t="s">
        <v>6994</v>
      </c>
      <c r="E2120" s="0" t="s">
        <v>6995</v>
      </c>
      <c r="G2120" s="0" t="s">
        <v>6996</v>
      </c>
      <c r="H2120" s="0" t="s">
        <v>654</v>
      </c>
      <c r="I2120" s="0" t="s">
        <v>655</v>
      </c>
      <c r="J2120" s="0" t="s">
        <v>100</v>
      </c>
      <c r="K2120" s="0" t="s">
        <v>168</v>
      </c>
      <c r="L2120" s="0" t="s">
        <v>101</v>
      </c>
      <c r="M2120" s="0" t="s">
        <v>656</v>
      </c>
      <c r="N2120" s="0" t="s">
        <v>101</v>
      </c>
      <c r="P2120" s="0" t="s">
        <v>102</v>
      </c>
      <c r="Q2120" s="0" t="s">
        <v>102</v>
      </c>
      <c r="R2120" s="0" t="s">
        <v>131</v>
      </c>
      <c r="S2120" s="0" t="s">
        <v>21</v>
      </c>
      <c r="T2120" s="0" t="s">
        <v>104</v>
      </c>
      <c r="W2120" s="0" t="s">
        <v>105</v>
      </c>
      <c r="X2120" s="0" t="s">
        <v>658</v>
      </c>
      <c r="Y2120" s="0" t="s">
        <v>659</v>
      </c>
    </row>
    <row r="2121" customFormat="false" ht="15" hidden="false" customHeight="false" outlineLevel="0" collapsed="false">
      <c r="A2121" s="0" t="s">
        <v>21</v>
      </c>
      <c r="B2121" s="0" t="s">
        <v>6997</v>
      </c>
      <c r="C2121" s="0" t="s">
        <v>97</v>
      </c>
      <c r="D2121" s="0" t="s">
        <v>6998</v>
      </c>
      <c r="E2121" s="0" t="s">
        <v>6999</v>
      </c>
      <c r="M2121" s="0" t="s">
        <v>136</v>
      </c>
      <c r="N2121" s="0" t="s">
        <v>124</v>
      </c>
      <c r="P2121" s="0" t="s">
        <v>102</v>
      </c>
      <c r="Q2121" s="0" t="s">
        <v>102</v>
      </c>
      <c r="R2121" s="0" t="s">
        <v>144</v>
      </c>
      <c r="S2121" s="0" t="s">
        <v>21</v>
      </c>
      <c r="T2121" s="0" t="s">
        <v>104</v>
      </c>
      <c r="W2121" s="0" t="s">
        <v>105</v>
      </c>
    </row>
    <row r="2122" customFormat="false" ht="15" hidden="false" customHeight="false" outlineLevel="0" collapsed="false">
      <c r="A2122" s="0" t="s">
        <v>21</v>
      </c>
      <c r="B2122" s="0" t="s">
        <v>7000</v>
      </c>
      <c r="C2122" s="0" t="s">
        <v>97</v>
      </c>
      <c r="D2122" s="0" t="s">
        <v>7001</v>
      </c>
      <c r="E2122" s="0" t="s">
        <v>7002</v>
      </c>
      <c r="M2122" s="0" t="s">
        <v>136</v>
      </c>
      <c r="N2122" s="0" t="s">
        <v>124</v>
      </c>
      <c r="P2122" s="0" t="s">
        <v>102</v>
      </c>
      <c r="Q2122" s="0" t="s">
        <v>102</v>
      </c>
      <c r="R2122" s="0" t="s">
        <v>144</v>
      </c>
      <c r="S2122" s="0" t="s">
        <v>21</v>
      </c>
      <c r="T2122" s="0" t="s">
        <v>104</v>
      </c>
      <c r="W2122" s="0" t="s">
        <v>105</v>
      </c>
    </row>
    <row r="2123" customFormat="false" ht="15" hidden="false" customHeight="false" outlineLevel="0" collapsed="false">
      <c r="A2123" s="0" t="s">
        <v>21</v>
      </c>
      <c r="B2123" s="0" t="s">
        <v>7003</v>
      </c>
      <c r="C2123" s="0" t="s">
        <v>97</v>
      </c>
      <c r="D2123" s="0" t="s">
        <v>7004</v>
      </c>
      <c r="E2123" s="0" t="s">
        <v>7005</v>
      </c>
      <c r="M2123" s="0" t="s">
        <v>136</v>
      </c>
      <c r="N2123" s="0" t="s">
        <v>124</v>
      </c>
      <c r="P2123" s="0" t="s">
        <v>102</v>
      </c>
      <c r="Q2123" s="0" t="s">
        <v>102</v>
      </c>
      <c r="R2123" s="0" t="s">
        <v>144</v>
      </c>
      <c r="S2123" s="0" t="s">
        <v>21</v>
      </c>
      <c r="T2123" s="0" t="s">
        <v>104</v>
      </c>
      <c r="W2123" s="0" t="s">
        <v>105</v>
      </c>
    </row>
    <row r="2124" customFormat="false" ht="15" hidden="false" customHeight="false" outlineLevel="0" collapsed="false">
      <c r="A2124" s="0" t="s">
        <v>21</v>
      </c>
      <c r="B2124" s="0" t="s">
        <v>7006</v>
      </c>
      <c r="C2124" s="0" t="s">
        <v>97</v>
      </c>
      <c r="D2124" s="0" t="s">
        <v>7007</v>
      </c>
      <c r="E2124" s="0" t="s">
        <v>7008</v>
      </c>
      <c r="M2124" s="0" t="s">
        <v>136</v>
      </c>
      <c r="N2124" s="0" t="s">
        <v>124</v>
      </c>
      <c r="P2124" s="0" t="s">
        <v>102</v>
      </c>
      <c r="Q2124" s="0" t="s">
        <v>102</v>
      </c>
      <c r="R2124" s="0" t="s">
        <v>131</v>
      </c>
      <c r="S2124" s="0" t="s">
        <v>21</v>
      </c>
      <c r="T2124" s="0" t="s">
        <v>104</v>
      </c>
      <c r="W2124" s="0" t="s">
        <v>105</v>
      </c>
    </row>
    <row r="2125" customFormat="false" ht="15" hidden="false" customHeight="false" outlineLevel="0" collapsed="false">
      <c r="A2125" s="0" t="s">
        <v>21</v>
      </c>
      <c r="B2125" s="0" t="s">
        <v>7009</v>
      </c>
      <c r="C2125" s="0" t="s">
        <v>97</v>
      </c>
      <c r="D2125" s="0" t="s">
        <v>7010</v>
      </c>
      <c r="E2125" s="0" t="s">
        <v>7011</v>
      </c>
      <c r="M2125" s="0" t="s">
        <v>136</v>
      </c>
      <c r="N2125" s="0" t="s">
        <v>124</v>
      </c>
      <c r="P2125" s="0" t="s">
        <v>102</v>
      </c>
      <c r="Q2125" s="0" t="s">
        <v>102</v>
      </c>
      <c r="R2125" s="0" t="s">
        <v>131</v>
      </c>
      <c r="S2125" s="0" t="s">
        <v>21</v>
      </c>
      <c r="T2125" s="0" t="s">
        <v>104</v>
      </c>
      <c r="W2125" s="0" t="s">
        <v>105</v>
      </c>
    </row>
    <row r="2126" customFormat="false" ht="15" hidden="false" customHeight="false" outlineLevel="0" collapsed="false">
      <c r="A2126" s="0" t="s">
        <v>21</v>
      </c>
      <c r="B2126" s="0" t="s">
        <v>7012</v>
      </c>
      <c r="C2126" s="0" t="s">
        <v>97</v>
      </c>
      <c r="D2126" s="0" t="s">
        <v>7013</v>
      </c>
      <c r="E2126" s="0" t="s">
        <v>7014</v>
      </c>
      <c r="M2126" s="0" t="s">
        <v>136</v>
      </c>
      <c r="N2126" s="0" t="s">
        <v>124</v>
      </c>
      <c r="P2126" s="0" t="s">
        <v>102</v>
      </c>
      <c r="Q2126" s="0" t="s">
        <v>102</v>
      </c>
      <c r="R2126" s="0" t="s">
        <v>131</v>
      </c>
      <c r="S2126" s="0" t="s">
        <v>21</v>
      </c>
      <c r="T2126" s="0" t="s">
        <v>104</v>
      </c>
      <c r="W2126" s="0" t="s">
        <v>105</v>
      </c>
    </row>
    <row r="2127" customFormat="false" ht="15" hidden="false" customHeight="false" outlineLevel="0" collapsed="false">
      <c r="A2127" s="0" t="s">
        <v>21</v>
      </c>
      <c r="B2127" s="0" t="s">
        <v>7015</v>
      </c>
      <c r="C2127" s="0" t="s">
        <v>97</v>
      </c>
      <c r="D2127" s="0" t="s">
        <v>7016</v>
      </c>
      <c r="E2127" s="0" t="s">
        <v>7017</v>
      </c>
      <c r="M2127" s="0" t="s">
        <v>136</v>
      </c>
      <c r="N2127" s="0" t="s">
        <v>124</v>
      </c>
      <c r="P2127" s="0" t="s">
        <v>102</v>
      </c>
      <c r="Q2127" s="0" t="s">
        <v>102</v>
      </c>
      <c r="R2127" s="0" t="s">
        <v>131</v>
      </c>
      <c r="S2127" s="0" t="s">
        <v>21</v>
      </c>
      <c r="T2127" s="0" t="s">
        <v>104</v>
      </c>
      <c r="W2127" s="0" t="s">
        <v>105</v>
      </c>
    </row>
    <row r="2128" customFormat="false" ht="15" hidden="false" customHeight="false" outlineLevel="0" collapsed="false">
      <c r="A2128" s="0" t="s">
        <v>21</v>
      </c>
      <c r="B2128" s="0" t="s">
        <v>7018</v>
      </c>
      <c r="C2128" s="0" t="s">
        <v>97</v>
      </c>
      <c r="D2128" s="0" t="s">
        <v>7019</v>
      </c>
      <c r="E2128" s="0" t="s">
        <v>7020</v>
      </c>
      <c r="M2128" s="0" t="s">
        <v>100</v>
      </c>
      <c r="N2128" s="0" t="s">
        <v>101</v>
      </c>
      <c r="P2128" s="0" t="s">
        <v>102</v>
      </c>
      <c r="Q2128" s="0" t="s">
        <v>102</v>
      </c>
      <c r="R2128" s="0" t="s">
        <v>131</v>
      </c>
      <c r="S2128" s="0" t="s">
        <v>21</v>
      </c>
      <c r="T2128" s="0" t="s">
        <v>104</v>
      </c>
      <c r="W2128" s="0" t="s">
        <v>105</v>
      </c>
    </row>
    <row r="2129" customFormat="false" ht="15" hidden="false" customHeight="false" outlineLevel="0" collapsed="false">
      <c r="A2129" s="0" t="s">
        <v>21</v>
      </c>
      <c r="B2129" s="0" t="s">
        <v>7021</v>
      </c>
      <c r="C2129" s="0" t="s">
        <v>7022</v>
      </c>
      <c r="D2129" s="0" t="s">
        <v>4782</v>
      </c>
      <c r="E2129" s="0" t="s">
        <v>4782</v>
      </c>
      <c r="M2129" s="0" t="s">
        <v>398</v>
      </c>
      <c r="N2129" s="0" t="s">
        <v>101</v>
      </c>
      <c r="P2129" s="0" t="s">
        <v>102</v>
      </c>
      <c r="Q2129" s="0" t="s">
        <v>102</v>
      </c>
      <c r="R2129" s="0" t="s">
        <v>113</v>
      </c>
      <c r="S2129" s="0" t="s">
        <v>21</v>
      </c>
      <c r="T2129" s="0" t="s">
        <v>104</v>
      </c>
      <c r="W2129" s="0" t="s">
        <v>105</v>
      </c>
    </row>
    <row r="2130" customFormat="false" ht="15" hidden="false" customHeight="false" outlineLevel="0" collapsed="false">
      <c r="A2130" s="0" t="s">
        <v>21</v>
      </c>
      <c r="B2130" s="0" t="s">
        <v>7023</v>
      </c>
      <c r="C2130" s="0" t="s">
        <v>97</v>
      </c>
      <c r="D2130" s="0" t="s">
        <v>7024</v>
      </c>
      <c r="E2130" s="0" t="s">
        <v>7025</v>
      </c>
      <c r="M2130" s="0" t="s">
        <v>656</v>
      </c>
      <c r="N2130" s="0" t="s">
        <v>101</v>
      </c>
      <c r="P2130" s="0" t="s">
        <v>102</v>
      </c>
      <c r="Q2130" s="0" t="s">
        <v>102</v>
      </c>
      <c r="R2130" s="0" t="s">
        <v>113</v>
      </c>
      <c r="S2130" s="0" t="s">
        <v>21</v>
      </c>
      <c r="T2130" s="0" t="s">
        <v>104</v>
      </c>
      <c r="W2130" s="0" t="s">
        <v>105</v>
      </c>
    </row>
    <row r="2131" customFormat="false" ht="15" hidden="false" customHeight="false" outlineLevel="0" collapsed="false">
      <c r="A2131" s="0" t="s">
        <v>21</v>
      </c>
      <c r="B2131" s="0" t="s">
        <v>7026</v>
      </c>
      <c r="C2131" s="0" t="s">
        <v>97</v>
      </c>
      <c r="D2131" s="0" t="s">
        <v>7027</v>
      </c>
      <c r="E2131" s="0" t="s">
        <v>7028</v>
      </c>
      <c r="H2131" s="0" t="s">
        <v>654</v>
      </c>
      <c r="I2131" s="0" t="s">
        <v>655</v>
      </c>
      <c r="J2131" s="0" t="s">
        <v>100</v>
      </c>
      <c r="K2131" s="0" t="s">
        <v>168</v>
      </c>
      <c r="L2131" s="0" t="s">
        <v>101</v>
      </c>
      <c r="M2131" s="0" t="s">
        <v>656</v>
      </c>
      <c r="N2131" s="0" t="s">
        <v>101</v>
      </c>
      <c r="P2131" s="0" t="s">
        <v>102</v>
      </c>
      <c r="Q2131" s="0" t="s">
        <v>102</v>
      </c>
      <c r="R2131" s="0" t="s">
        <v>113</v>
      </c>
      <c r="S2131" s="0" t="s">
        <v>21</v>
      </c>
      <c r="T2131" s="0" t="s">
        <v>104</v>
      </c>
      <c r="W2131" s="0" t="s">
        <v>105</v>
      </c>
      <c r="X2131" s="0" t="s">
        <v>658</v>
      </c>
      <c r="Y2131" s="0" t="s">
        <v>659</v>
      </c>
    </row>
    <row r="2132" customFormat="false" ht="15" hidden="false" customHeight="false" outlineLevel="0" collapsed="false">
      <c r="A2132" s="0" t="s">
        <v>21</v>
      </c>
      <c r="B2132" s="0" t="s">
        <v>7029</v>
      </c>
      <c r="C2132" s="0" t="s">
        <v>97</v>
      </c>
      <c r="D2132" s="0" t="s">
        <v>7030</v>
      </c>
      <c r="E2132" s="0" t="s">
        <v>7031</v>
      </c>
      <c r="M2132" s="0" t="s">
        <v>100</v>
      </c>
      <c r="N2132" s="0" t="s">
        <v>101</v>
      </c>
      <c r="P2132" s="0" t="s">
        <v>102</v>
      </c>
      <c r="Q2132" s="0" t="s">
        <v>102</v>
      </c>
      <c r="R2132" s="0" t="s">
        <v>113</v>
      </c>
      <c r="S2132" s="0" t="s">
        <v>21</v>
      </c>
      <c r="T2132" s="0" t="s">
        <v>104</v>
      </c>
      <c r="W2132" s="0" t="s">
        <v>105</v>
      </c>
    </row>
    <row r="2133" customFormat="false" ht="15" hidden="false" customHeight="false" outlineLevel="0" collapsed="false">
      <c r="A2133" s="0" t="s">
        <v>21</v>
      </c>
      <c r="B2133" s="0" t="s">
        <v>7032</v>
      </c>
      <c r="C2133" s="0" t="s">
        <v>97</v>
      </c>
      <c r="E2133" s="0" t="s">
        <v>7033</v>
      </c>
      <c r="G2133" s="0" t="s">
        <v>7034</v>
      </c>
      <c r="H2133" s="0" t="s">
        <v>7035</v>
      </c>
      <c r="I2133" s="0" t="s">
        <v>7036</v>
      </c>
      <c r="J2133" s="0" t="s">
        <v>208</v>
      </c>
      <c r="K2133" s="0" t="s">
        <v>942</v>
      </c>
      <c r="L2133" s="0" t="s">
        <v>124</v>
      </c>
      <c r="M2133" s="0" t="s">
        <v>208</v>
      </c>
      <c r="N2133" s="0" t="s">
        <v>124</v>
      </c>
      <c r="P2133" s="0" t="s">
        <v>1044</v>
      </c>
      <c r="Q2133" s="0" t="s">
        <v>1044</v>
      </c>
      <c r="R2133" s="0" t="s">
        <v>103</v>
      </c>
      <c r="S2133" s="0" t="s">
        <v>21</v>
      </c>
      <c r="T2133" s="0" t="s">
        <v>104</v>
      </c>
      <c r="W2133" s="0" t="s">
        <v>105</v>
      </c>
      <c r="X2133" s="0" t="s">
        <v>7037</v>
      </c>
      <c r="Y2133" s="0" t="s">
        <v>7038</v>
      </c>
      <c r="Z2133" s="0" t="s">
        <v>350</v>
      </c>
    </row>
    <row r="2134" customFormat="false" ht="15" hidden="false" customHeight="false" outlineLevel="0" collapsed="false">
      <c r="A2134" s="0" t="s">
        <v>21</v>
      </c>
      <c r="B2134" s="0" t="s">
        <v>7039</v>
      </c>
      <c r="C2134" s="0" t="s">
        <v>97</v>
      </c>
      <c r="D2134" s="0" t="s">
        <v>7040</v>
      </c>
      <c r="E2134" s="0" t="s">
        <v>7041</v>
      </c>
      <c r="M2134" s="0" t="s">
        <v>100</v>
      </c>
      <c r="N2134" s="0" t="s">
        <v>101</v>
      </c>
      <c r="P2134" s="0" t="s">
        <v>102</v>
      </c>
      <c r="Q2134" s="0" t="s">
        <v>102</v>
      </c>
      <c r="R2134" s="0" t="s">
        <v>144</v>
      </c>
      <c r="S2134" s="0" t="s">
        <v>21</v>
      </c>
      <c r="T2134" s="0" t="s">
        <v>104</v>
      </c>
      <c r="W2134" s="0" t="s">
        <v>105</v>
      </c>
    </row>
    <row r="2135" customFormat="false" ht="15" hidden="false" customHeight="false" outlineLevel="0" collapsed="false">
      <c r="A2135" s="0" t="s">
        <v>21</v>
      </c>
      <c r="B2135" s="0" t="s">
        <v>7042</v>
      </c>
      <c r="C2135" s="0" t="s">
        <v>97</v>
      </c>
      <c r="D2135" s="0" t="s">
        <v>7043</v>
      </c>
      <c r="E2135" s="0" t="s">
        <v>7044</v>
      </c>
      <c r="H2135" s="0" t="s">
        <v>654</v>
      </c>
      <c r="I2135" s="0" t="s">
        <v>655</v>
      </c>
      <c r="J2135" s="0" t="s">
        <v>100</v>
      </c>
      <c r="K2135" s="0" t="s">
        <v>168</v>
      </c>
      <c r="L2135" s="0" t="s">
        <v>101</v>
      </c>
      <c r="M2135" s="0" t="s">
        <v>656</v>
      </c>
      <c r="N2135" s="0" t="s">
        <v>101</v>
      </c>
      <c r="P2135" s="0" t="s">
        <v>102</v>
      </c>
      <c r="Q2135" s="0" t="s">
        <v>102</v>
      </c>
      <c r="R2135" s="0" t="s">
        <v>144</v>
      </c>
      <c r="S2135" s="0" t="s">
        <v>21</v>
      </c>
      <c r="T2135" s="0" t="s">
        <v>104</v>
      </c>
      <c r="W2135" s="0" t="s">
        <v>105</v>
      </c>
      <c r="X2135" s="0" t="s">
        <v>658</v>
      </c>
      <c r="Y2135" s="0" t="s">
        <v>659</v>
      </c>
    </row>
    <row r="2136" customFormat="false" ht="15" hidden="false" customHeight="false" outlineLevel="0" collapsed="false">
      <c r="A2136" s="0" t="s">
        <v>21</v>
      </c>
      <c r="B2136" s="0" t="s">
        <v>7045</v>
      </c>
      <c r="C2136" s="0" t="s">
        <v>97</v>
      </c>
      <c r="D2136" s="0" t="s">
        <v>7040</v>
      </c>
      <c r="E2136" s="0" t="s">
        <v>7046</v>
      </c>
      <c r="H2136" s="0" t="s">
        <v>654</v>
      </c>
      <c r="I2136" s="0" t="s">
        <v>655</v>
      </c>
      <c r="J2136" s="0" t="s">
        <v>100</v>
      </c>
      <c r="K2136" s="0" t="s">
        <v>168</v>
      </c>
      <c r="L2136" s="0" t="s">
        <v>101</v>
      </c>
      <c r="M2136" s="0" t="s">
        <v>656</v>
      </c>
      <c r="N2136" s="0" t="s">
        <v>101</v>
      </c>
      <c r="P2136" s="0" t="s">
        <v>102</v>
      </c>
      <c r="Q2136" s="0" t="s">
        <v>102</v>
      </c>
      <c r="R2136" s="0" t="s">
        <v>144</v>
      </c>
      <c r="S2136" s="0" t="s">
        <v>21</v>
      </c>
      <c r="T2136" s="0" t="s">
        <v>104</v>
      </c>
      <c r="W2136" s="0" t="s">
        <v>105</v>
      </c>
      <c r="X2136" s="0" t="s">
        <v>658</v>
      </c>
      <c r="Y2136" s="0" t="s">
        <v>659</v>
      </c>
    </row>
    <row r="2137" customFormat="false" ht="15" hidden="false" customHeight="false" outlineLevel="0" collapsed="false">
      <c r="A2137" s="0" t="s">
        <v>21</v>
      </c>
      <c r="B2137" s="0" t="s">
        <v>7047</v>
      </c>
      <c r="C2137" s="0" t="s">
        <v>97</v>
      </c>
      <c r="D2137" s="0" t="s">
        <v>7048</v>
      </c>
      <c r="E2137" s="0" t="s">
        <v>7049</v>
      </c>
      <c r="H2137" s="0" t="s">
        <v>654</v>
      </c>
      <c r="I2137" s="0" t="s">
        <v>655</v>
      </c>
      <c r="J2137" s="0" t="s">
        <v>100</v>
      </c>
      <c r="K2137" s="0" t="s">
        <v>168</v>
      </c>
      <c r="L2137" s="0" t="s">
        <v>101</v>
      </c>
      <c r="M2137" s="0" t="s">
        <v>656</v>
      </c>
      <c r="N2137" s="0" t="s">
        <v>101</v>
      </c>
      <c r="P2137" s="0" t="s">
        <v>102</v>
      </c>
      <c r="Q2137" s="0" t="s">
        <v>102</v>
      </c>
      <c r="R2137" s="0" t="s">
        <v>144</v>
      </c>
      <c r="S2137" s="0" t="s">
        <v>21</v>
      </c>
      <c r="T2137" s="0" t="s">
        <v>104</v>
      </c>
      <c r="W2137" s="0" t="s">
        <v>105</v>
      </c>
      <c r="X2137" s="0" t="s">
        <v>658</v>
      </c>
      <c r="Y2137" s="0" t="s">
        <v>659</v>
      </c>
    </row>
    <row r="2138" customFormat="false" ht="15" hidden="false" customHeight="false" outlineLevel="0" collapsed="false">
      <c r="A2138" s="0" t="s">
        <v>21</v>
      </c>
      <c r="B2138" s="0" t="s">
        <v>7050</v>
      </c>
      <c r="C2138" s="0" t="s">
        <v>97</v>
      </c>
      <c r="D2138" s="0" t="s">
        <v>7051</v>
      </c>
      <c r="E2138" s="0" t="s">
        <v>7052</v>
      </c>
      <c r="H2138" s="0" t="s">
        <v>654</v>
      </c>
      <c r="I2138" s="0" t="s">
        <v>655</v>
      </c>
      <c r="J2138" s="0" t="s">
        <v>100</v>
      </c>
      <c r="K2138" s="0" t="s">
        <v>168</v>
      </c>
      <c r="L2138" s="0" t="s">
        <v>101</v>
      </c>
      <c r="M2138" s="0" t="s">
        <v>656</v>
      </c>
      <c r="N2138" s="0" t="s">
        <v>101</v>
      </c>
      <c r="P2138" s="0" t="s">
        <v>102</v>
      </c>
      <c r="Q2138" s="0" t="s">
        <v>102</v>
      </c>
      <c r="R2138" s="0" t="s">
        <v>144</v>
      </c>
      <c r="S2138" s="0" t="s">
        <v>21</v>
      </c>
      <c r="T2138" s="0" t="s">
        <v>104</v>
      </c>
      <c r="W2138" s="0" t="s">
        <v>105</v>
      </c>
      <c r="X2138" s="0" t="s">
        <v>658</v>
      </c>
      <c r="Y2138" s="0" t="s">
        <v>659</v>
      </c>
    </row>
    <row r="2139" customFormat="false" ht="15" hidden="false" customHeight="false" outlineLevel="0" collapsed="false">
      <c r="A2139" s="0" t="s">
        <v>21</v>
      </c>
      <c r="B2139" s="0" t="s">
        <v>7053</v>
      </c>
      <c r="C2139" s="0" t="s">
        <v>97</v>
      </c>
      <c r="D2139" s="0" t="s">
        <v>7054</v>
      </c>
      <c r="E2139" s="0" t="s">
        <v>7055</v>
      </c>
      <c r="H2139" s="0" t="s">
        <v>654</v>
      </c>
      <c r="I2139" s="0" t="s">
        <v>655</v>
      </c>
      <c r="J2139" s="0" t="s">
        <v>100</v>
      </c>
      <c r="K2139" s="0" t="s">
        <v>168</v>
      </c>
      <c r="L2139" s="0" t="s">
        <v>101</v>
      </c>
      <c r="M2139" s="0" t="s">
        <v>656</v>
      </c>
      <c r="N2139" s="0" t="s">
        <v>101</v>
      </c>
      <c r="P2139" s="0" t="s">
        <v>102</v>
      </c>
      <c r="Q2139" s="0" t="s">
        <v>102</v>
      </c>
      <c r="R2139" s="0" t="s">
        <v>144</v>
      </c>
      <c r="S2139" s="0" t="s">
        <v>21</v>
      </c>
      <c r="T2139" s="0" t="s">
        <v>104</v>
      </c>
      <c r="W2139" s="0" t="s">
        <v>105</v>
      </c>
      <c r="X2139" s="0" t="s">
        <v>658</v>
      </c>
      <c r="Y2139" s="0" t="s">
        <v>659</v>
      </c>
    </row>
    <row r="2140" customFormat="false" ht="15" hidden="false" customHeight="false" outlineLevel="0" collapsed="false">
      <c r="A2140" s="0" t="s">
        <v>21</v>
      </c>
      <c r="B2140" s="0" t="s">
        <v>7056</v>
      </c>
      <c r="C2140" s="0" t="s">
        <v>97</v>
      </c>
      <c r="D2140" s="0" t="s">
        <v>7057</v>
      </c>
      <c r="E2140" s="0" t="s">
        <v>7058</v>
      </c>
      <c r="H2140" s="0" t="s">
        <v>654</v>
      </c>
      <c r="I2140" s="0" t="s">
        <v>655</v>
      </c>
      <c r="J2140" s="0" t="s">
        <v>100</v>
      </c>
      <c r="K2140" s="0" t="s">
        <v>168</v>
      </c>
      <c r="L2140" s="0" t="s">
        <v>101</v>
      </c>
      <c r="M2140" s="0" t="s">
        <v>656</v>
      </c>
      <c r="N2140" s="0" t="s">
        <v>101</v>
      </c>
      <c r="P2140" s="0" t="s">
        <v>102</v>
      </c>
      <c r="Q2140" s="0" t="s">
        <v>102</v>
      </c>
      <c r="R2140" s="0" t="s">
        <v>113</v>
      </c>
      <c r="S2140" s="0" t="s">
        <v>21</v>
      </c>
      <c r="T2140" s="0" t="s">
        <v>104</v>
      </c>
      <c r="W2140" s="0" t="s">
        <v>105</v>
      </c>
      <c r="X2140" s="0" t="s">
        <v>658</v>
      </c>
      <c r="Y2140" s="0" t="s">
        <v>659</v>
      </c>
    </row>
    <row r="2141" customFormat="false" ht="15" hidden="false" customHeight="false" outlineLevel="0" collapsed="false">
      <c r="A2141" s="0" t="s">
        <v>21</v>
      </c>
      <c r="B2141" s="0" t="s">
        <v>7059</v>
      </c>
      <c r="C2141" s="0" t="s">
        <v>97</v>
      </c>
      <c r="D2141" s="0" t="s">
        <v>7060</v>
      </c>
      <c r="E2141" s="0" t="s">
        <v>7061</v>
      </c>
      <c r="M2141" s="0" t="s">
        <v>136</v>
      </c>
      <c r="N2141" s="0" t="s">
        <v>124</v>
      </c>
      <c r="P2141" s="0" t="s">
        <v>102</v>
      </c>
      <c r="Q2141" s="0" t="s">
        <v>102</v>
      </c>
      <c r="R2141" s="0" t="s">
        <v>113</v>
      </c>
      <c r="S2141" s="0" t="s">
        <v>21</v>
      </c>
      <c r="T2141" s="0" t="s">
        <v>104</v>
      </c>
      <c r="W2141" s="0" t="s">
        <v>105</v>
      </c>
    </row>
    <row r="2142" customFormat="false" ht="15" hidden="false" customHeight="false" outlineLevel="0" collapsed="false">
      <c r="A2142" s="0" t="s">
        <v>21</v>
      </c>
      <c r="B2142" s="0" t="s">
        <v>7062</v>
      </c>
      <c r="C2142" s="0" t="s">
        <v>97</v>
      </c>
      <c r="D2142" s="0" t="s">
        <v>7063</v>
      </c>
      <c r="E2142" s="0" t="s">
        <v>7064</v>
      </c>
      <c r="M2142" s="0" t="s">
        <v>136</v>
      </c>
      <c r="N2142" s="0" t="s">
        <v>124</v>
      </c>
      <c r="P2142" s="0" t="s">
        <v>102</v>
      </c>
      <c r="Q2142" s="0" t="s">
        <v>102</v>
      </c>
      <c r="R2142" s="0" t="s">
        <v>144</v>
      </c>
      <c r="S2142" s="0" t="s">
        <v>21</v>
      </c>
      <c r="T2142" s="0" t="s">
        <v>104</v>
      </c>
      <c r="W2142" s="0" t="s">
        <v>105</v>
      </c>
    </row>
    <row r="2143" customFormat="false" ht="15" hidden="false" customHeight="false" outlineLevel="0" collapsed="false">
      <c r="A2143" s="0" t="s">
        <v>21</v>
      </c>
      <c r="B2143" s="0" t="s">
        <v>7065</v>
      </c>
      <c r="C2143" s="0" t="s">
        <v>97</v>
      </c>
      <c r="D2143" s="0" t="s">
        <v>7066</v>
      </c>
      <c r="E2143" s="0" t="s">
        <v>7067</v>
      </c>
      <c r="M2143" s="0" t="s">
        <v>136</v>
      </c>
      <c r="N2143" s="0" t="s">
        <v>124</v>
      </c>
      <c r="P2143" s="0" t="s">
        <v>102</v>
      </c>
      <c r="Q2143" s="0" t="s">
        <v>102</v>
      </c>
      <c r="R2143" s="0" t="s">
        <v>113</v>
      </c>
      <c r="S2143" s="0" t="s">
        <v>21</v>
      </c>
      <c r="T2143" s="0" t="s">
        <v>104</v>
      </c>
      <c r="W2143" s="0" t="s">
        <v>105</v>
      </c>
    </row>
    <row r="2144" customFormat="false" ht="15" hidden="false" customHeight="false" outlineLevel="0" collapsed="false">
      <c r="A2144" s="0" t="s">
        <v>21</v>
      </c>
      <c r="B2144" s="0" t="s">
        <v>7068</v>
      </c>
      <c r="C2144" s="0" t="s">
        <v>97</v>
      </c>
      <c r="D2144" s="0" t="s">
        <v>7069</v>
      </c>
      <c r="E2144" s="0" t="s">
        <v>7070</v>
      </c>
      <c r="M2144" s="0" t="s">
        <v>136</v>
      </c>
      <c r="N2144" s="0" t="s">
        <v>124</v>
      </c>
      <c r="P2144" s="0" t="s">
        <v>102</v>
      </c>
      <c r="Q2144" s="0" t="s">
        <v>102</v>
      </c>
      <c r="R2144" s="0" t="s">
        <v>144</v>
      </c>
      <c r="S2144" s="0" t="s">
        <v>21</v>
      </c>
      <c r="T2144" s="0" t="s">
        <v>104</v>
      </c>
      <c r="W2144" s="0" t="s">
        <v>105</v>
      </c>
    </row>
    <row r="2145" customFormat="false" ht="15" hidden="false" customHeight="false" outlineLevel="0" collapsed="false">
      <c r="A2145" s="0" t="s">
        <v>21</v>
      </c>
      <c r="B2145" s="0" t="s">
        <v>7071</v>
      </c>
      <c r="C2145" s="0" t="s">
        <v>7072</v>
      </c>
      <c r="M2145" s="0" t="s">
        <v>208</v>
      </c>
      <c r="N2145" s="0" t="s">
        <v>124</v>
      </c>
      <c r="P2145" s="0" t="s">
        <v>130</v>
      </c>
      <c r="Q2145" s="0" t="s">
        <v>130</v>
      </c>
      <c r="R2145" s="0" t="s">
        <v>144</v>
      </c>
      <c r="S2145" s="0" t="s">
        <v>21</v>
      </c>
      <c r="T2145" s="0" t="s">
        <v>104</v>
      </c>
      <c r="W2145" s="0" t="s">
        <v>105</v>
      </c>
    </row>
    <row r="2146" customFormat="false" ht="15" hidden="false" customHeight="false" outlineLevel="0" collapsed="false">
      <c r="A2146" s="0" t="s">
        <v>21</v>
      </c>
      <c r="B2146" s="0" t="s">
        <v>7073</v>
      </c>
      <c r="C2146" s="0" t="s">
        <v>97</v>
      </c>
      <c r="D2146" s="0" t="s">
        <v>7074</v>
      </c>
      <c r="E2146" s="0" t="s">
        <v>7075</v>
      </c>
      <c r="M2146" s="0" t="s">
        <v>136</v>
      </c>
      <c r="N2146" s="0" t="s">
        <v>124</v>
      </c>
      <c r="P2146" s="0" t="s">
        <v>102</v>
      </c>
      <c r="Q2146" s="0" t="s">
        <v>102</v>
      </c>
      <c r="R2146" s="0" t="s">
        <v>144</v>
      </c>
      <c r="S2146" s="0" t="s">
        <v>21</v>
      </c>
      <c r="T2146" s="0" t="s">
        <v>104</v>
      </c>
      <c r="W2146" s="0" t="s">
        <v>105</v>
      </c>
    </row>
    <row r="2147" customFormat="false" ht="15" hidden="false" customHeight="false" outlineLevel="0" collapsed="false">
      <c r="A2147" s="0" t="s">
        <v>21</v>
      </c>
      <c r="B2147" s="0" t="s">
        <v>7076</v>
      </c>
      <c r="C2147" s="0" t="s">
        <v>97</v>
      </c>
      <c r="D2147" s="0" t="s">
        <v>7077</v>
      </c>
      <c r="E2147" s="0" t="s">
        <v>7078</v>
      </c>
      <c r="M2147" s="0" t="s">
        <v>136</v>
      </c>
      <c r="N2147" s="0" t="s">
        <v>124</v>
      </c>
      <c r="P2147" s="0" t="s">
        <v>102</v>
      </c>
      <c r="Q2147" s="0" t="s">
        <v>102</v>
      </c>
      <c r="R2147" s="0" t="s">
        <v>131</v>
      </c>
      <c r="S2147" s="0" t="s">
        <v>21</v>
      </c>
      <c r="T2147" s="0" t="s">
        <v>104</v>
      </c>
      <c r="W2147" s="0" t="s">
        <v>105</v>
      </c>
    </row>
    <row r="2148" customFormat="false" ht="15" hidden="false" customHeight="false" outlineLevel="0" collapsed="false">
      <c r="A2148" s="0" t="s">
        <v>21</v>
      </c>
      <c r="B2148" s="0" t="s">
        <v>7079</v>
      </c>
      <c r="C2148" s="0" t="s">
        <v>97</v>
      </c>
      <c r="D2148" s="0" t="s">
        <v>7080</v>
      </c>
      <c r="E2148" s="0" t="s">
        <v>7081</v>
      </c>
      <c r="M2148" s="0" t="s">
        <v>136</v>
      </c>
      <c r="N2148" s="0" t="s">
        <v>124</v>
      </c>
      <c r="P2148" s="0" t="s">
        <v>102</v>
      </c>
      <c r="Q2148" s="0" t="s">
        <v>102</v>
      </c>
      <c r="R2148" s="0" t="s">
        <v>144</v>
      </c>
      <c r="S2148" s="0" t="s">
        <v>21</v>
      </c>
      <c r="T2148" s="0" t="s">
        <v>104</v>
      </c>
      <c r="W2148" s="0" t="s">
        <v>105</v>
      </c>
    </row>
    <row r="2149" customFormat="false" ht="15" hidden="false" customHeight="false" outlineLevel="0" collapsed="false">
      <c r="A2149" s="0" t="s">
        <v>21</v>
      </c>
      <c r="B2149" s="0" t="s">
        <v>7082</v>
      </c>
      <c r="C2149" s="0" t="s">
        <v>97</v>
      </c>
      <c r="D2149" s="0" t="s">
        <v>7083</v>
      </c>
      <c r="E2149" s="0" t="s">
        <v>7084</v>
      </c>
      <c r="M2149" s="0" t="s">
        <v>136</v>
      </c>
      <c r="N2149" s="0" t="s">
        <v>124</v>
      </c>
      <c r="P2149" s="0" t="s">
        <v>102</v>
      </c>
      <c r="Q2149" s="0" t="s">
        <v>102</v>
      </c>
      <c r="R2149" s="0" t="s">
        <v>144</v>
      </c>
      <c r="S2149" s="0" t="s">
        <v>21</v>
      </c>
      <c r="T2149" s="0" t="s">
        <v>104</v>
      </c>
      <c r="W2149" s="0" t="s">
        <v>105</v>
      </c>
    </row>
    <row r="2150" customFormat="false" ht="15" hidden="false" customHeight="false" outlineLevel="0" collapsed="false">
      <c r="A2150" s="0" t="s">
        <v>21</v>
      </c>
      <c r="B2150" s="0" t="s">
        <v>7085</v>
      </c>
      <c r="C2150" s="0" t="s">
        <v>97</v>
      </c>
      <c r="D2150" s="0" t="s">
        <v>7086</v>
      </c>
      <c r="E2150" s="0" t="s">
        <v>7087</v>
      </c>
      <c r="M2150" s="0" t="s">
        <v>100</v>
      </c>
      <c r="N2150" s="0" t="s">
        <v>101</v>
      </c>
      <c r="P2150" s="0" t="s">
        <v>102</v>
      </c>
      <c r="Q2150" s="0" t="s">
        <v>102</v>
      </c>
      <c r="R2150" s="0" t="s">
        <v>131</v>
      </c>
      <c r="S2150" s="0" t="s">
        <v>21</v>
      </c>
      <c r="T2150" s="0" t="s">
        <v>104</v>
      </c>
      <c r="W2150" s="0" t="s">
        <v>105</v>
      </c>
    </row>
    <row r="2151" customFormat="false" ht="15" hidden="false" customHeight="false" outlineLevel="0" collapsed="false">
      <c r="A2151" s="0" t="s">
        <v>21</v>
      </c>
      <c r="B2151" s="0" t="s">
        <v>7088</v>
      </c>
      <c r="C2151" s="0" t="s">
        <v>97</v>
      </c>
      <c r="D2151" s="0" t="s">
        <v>7089</v>
      </c>
      <c r="E2151" s="0" t="s">
        <v>7090</v>
      </c>
      <c r="M2151" s="0" t="s">
        <v>136</v>
      </c>
      <c r="N2151" s="0" t="s">
        <v>124</v>
      </c>
      <c r="P2151" s="0" t="s">
        <v>102</v>
      </c>
      <c r="Q2151" s="0" t="s">
        <v>102</v>
      </c>
      <c r="R2151" s="0" t="s">
        <v>113</v>
      </c>
      <c r="S2151" s="0" t="s">
        <v>21</v>
      </c>
      <c r="T2151" s="0" t="s">
        <v>104</v>
      </c>
      <c r="W2151" s="0" t="s">
        <v>105</v>
      </c>
    </row>
    <row r="2152" customFormat="false" ht="15" hidden="false" customHeight="false" outlineLevel="0" collapsed="false">
      <c r="A2152" s="0" t="s">
        <v>21</v>
      </c>
      <c r="B2152" s="0" t="s">
        <v>7091</v>
      </c>
      <c r="C2152" s="0" t="s">
        <v>97</v>
      </c>
      <c r="D2152" s="0" t="s">
        <v>7092</v>
      </c>
      <c r="E2152" s="0" t="s">
        <v>7093</v>
      </c>
      <c r="M2152" s="0" t="s">
        <v>100</v>
      </c>
      <c r="N2152" s="0" t="s">
        <v>101</v>
      </c>
      <c r="P2152" s="0" t="s">
        <v>102</v>
      </c>
      <c r="Q2152" s="0" t="s">
        <v>102</v>
      </c>
      <c r="R2152" s="0" t="s">
        <v>131</v>
      </c>
      <c r="S2152" s="0" t="s">
        <v>21</v>
      </c>
      <c r="T2152" s="0" t="s">
        <v>104</v>
      </c>
      <c r="W2152" s="0" t="s">
        <v>105</v>
      </c>
    </row>
    <row r="2153" customFormat="false" ht="15" hidden="false" customHeight="false" outlineLevel="0" collapsed="false">
      <c r="A2153" s="0" t="s">
        <v>21</v>
      </c>
      <c r="B2153" s="0" t="s">
        <v>7094</v>
      </c>
      <c r="C2153" s="0" t="s">
        <v>97</v>
      </c>
      <c r="D2153" s="0" t="s">
        <v>7095</v>
      </c>
      <c r="E2153" s="0" t="s">
        <v>7096</v>
      </c>
      <c r="M2153" s="0" t="s">
        <v>136</v>
      </c>
      <c r="N2153" s="0" t="s">
        <v>124</v>
      </c>
      <c r="P2153" s="0" t="s">
        <v>102</v>
      </c>
      <c r="Q2153" s="0" t="s">
        <v>102</v>
      </c>
      <c r="R2153" s="0" t="s">
        <v>131</v>
      </c>
      <c r="S2153" s="0" t="s">
        <v>21</v>
      </c>
      <c r="T2153" s="0" t="s">
        <v>104</v>
      </c>
      <c r="W2153" s="0" t="s">
        <v>105</v>
      </c>
    </row>
    <row r="2154" customFormat="false" ht="15" hidden="false" customHeight="false" outlineLevel="0" collapsed="false">
      <c r="A2154" s="0" t="s">
        <v>21</v>
      </c>
      <c r="B2154" s="0" t="s">
        <v>7097</v>
      </c>
      <c r="C2154" s="0" t="s">
        <v>7098</v>
      </c>
      <c r="D2154" s="0" t="s">
        <v>7099</v>
      </c>
      <c r="E2154" s="0" t="s">
        <v>7100</v>
      </c>
      <c r="F2154" s="0" t="s">
        <v>5706</v>
      </c>
      <c r="H2154" s="0" t="s">
        <v>7101</v>
      </c>
      <c r="I2154" s="0" t="s">
        <v>7102</v>
      </c>
      <c r="J2154" s="0" t="s">
        <v>245</v>
      </c>
      <c r="K2154" s="0" t="s">
        <v>7103</v>
      </c>
      <c r="L2154" s="0" t="s">
        <v>124</v>
      </c>
      <c r="M2154" s="0" t="s">
        <v>247</v>
      </c>
      <c r="N2154" s="0" t="s">
        <v>124</v>
      </c>
      <c r="P2154" s="0" t="s">
        <v>102</v>
      </c>
      <c r="Q2154" s="0" t="s">
        <v>102</v>
      </c>
      <c r="R2154" s="0" t="s">
        <v>131</v>
      </c>
      <c r="S2154" s="0" t="s">
        <v>21</v>
      </c>
      <c r="T2154" s="0" t="s">
        <v>104</v>
      </c>
      <c r="W2154" s="0" t="s">
        <v>105</v>
      </c>
      <c r="X2154" s="0" t="s">
        <v>7104</v>
      </c>
      <c r="Y2154" s="0" t="s">
        <v>7105</v>
      </c>
      <c r="Z2154" s="0" t="s">
        <v>195</v>
      </c>
      <c r="AB2154" s="0" t="s">
        <v>7106</v>
      </c>
    </row>
    <row r="2155" customFormat="false" ht="15" hidden="false" customHeight="false" outlineLevel="0" collapsed="false">
      <c r="A2155" s="0" t="s">
        <v>21</v>
      </c>
      <c r="B2155" s="0" t="s">
        <v>7107</v>
      </c>
      <c r="C2155" s="0" t="s">
        <v>97</v>
      </c>
      <c r="D2155" s="0" t="s">
        <v>7108</v>
      </c>
      <c r="E2155" s="0" t="s">
        <v>7109</v>
      </c>
      <c r="M2155" s="0" t="s">
        <v>100</v>
      </c>
      <c r="N2155" s="0" t="s">
        <v>101</v>
      </c>
      <c r="P2155" s="0" t="s">
        <v>102</v>
      </c>
      <c r="Q2155" s="0" t="s">
        <v>102</v>
      </c>
      <c r="R2155" s="0" t="s">
        <v>144</v>
      </c>
      <c r="S2155" s="0" t="s">
        <v>21</v>
      </c>
      <c r="T2155" s="0" t="s">
        <v>104</v>
      </c>
      <c r="W2155" s="0" t="s">
        <v>105</v>
      </c>
    </row>
    <row r="2156" customFormat="false" ht="15" hidden="false" customHeight="false" outlineLevel="0" collapsed="false">
      <c r="A2156" s="0" t="s">
        <v>21</v>
      </c>
      <c r="B2156" s="0" t="s">
        <v>7110</v>
      </c>
      <c r="C2156" s="0" t="s">
        <v>97</v>
      </c>
      <c r="D2156" s="0" t="s">
        <v>7111</v>
      </c>
      <c r="E2156" s="0" t="s">
        <v>7112</v>
      </c>
      <c r="M2156" s="0" t="s">
        <v>100</v>
      </c>
      <c r="N2156" s="0" t="s">
        <v>101</v>
      </c>
      <c r="P2156" s="0" t="s">
        <v>102</v>
      </c>
      <c r="Q2156" s="0" t="s">
        <v>102</v>
      </c>
      <c r="R2156" s="0" t="s">
        <v>144</v>
      </c>
      <c r="S2156" s="0" t="s">
        <v>21</v>
      </c>
      <c r="T2156" s="0" t="s">
        <v>104</v>
      </c>
      <c r="W2156" s="0" t="s">
        <v>105</v>
      </c>
    </row>
    <row r="2157" customFormat="false" ht="15" hidden="false" customHeight="false" outlineLevel="0" collapsed="false">
      <c r="A2157" s="0" t="s">
        <v>21</v>
      </c>
      <c r="B2157" s="0" t="s">
        <v>7113</v>
      </c>
      <c r="C2157" s="0" t="s">
        <v>97</v>
      </c>
      <c r="D2157" s="0" t="s">
        <v>7114</v>
      </c>
      <c r="E2157" s="0" t="s">
        <v>7115</v>
      </c>
      <c r="H2157" s="0" t="s">
        <v>7116</v>
      </c>
      <c r="I2157" s="0" t="s">
        <v>655</v>
      </c>
      <c r="J2157" s="0" t="s">
        <v>7117</v>
      </c>
      <c r="K2157" s="0" t="s">
        <v>7118</v>
      </c>
      <c r="L2157" s="0" t="s">
        <v>101</v>
      </c>
      <c r="M2157" s="0" t="s">
        <v>656</v>
      </c>
      <c r="N2157" s="0" t="s">
        <v>101</v>
      </c>
      <c r="P2157" s="0" t="s">
        <v>102</v>
      </c>
      <c r="Q2157" s="0" t="s">
        <v>102</v>
      </c>
      <c r="R2157" s="0" t="s">
        <v>144</v>
      </c>
      <c r="S2157" s="0" t="s">
        <v>21</v>
      </c>
      <c r="T2157" s="0" t="s">
        <v>104</v>
      </c>
      <c r="W2157" s="0" t="s">
        <v>105</v>
      </c>
      <c r="X2157" s="0" t="s">
        <v>658</v>
      </c>
      <c r="Y2157" s="0" t="s">
        <v>659</v>
      </c>
    </row>
    <row r="2158" customFormat="false" ht="15" hidden="false" customHeight="false" outlineLevel="0" collapsed="false">
      <c r="A2158" s="0" t="s">
        <v>21</v>
      </c>
      <c r="B2158" s="0" t="s">
        <v>7119</v>
      </c>
      <c r="C2158" s="0" t="s">
        <v>97</v>
      </c>
      <c r="D2158" s="0" t="s">
        <v>7120</v>
      </c>
      <c r="E2158" s="0" t="s">
        <v>7121</v>
      </c>
      <c r="M2158" s="0" t="s">
        <v>136</v>
      </c>
      <c r="N2158" s="0" t="s">
        <v>124</v>
      </c>
      <c r="P2158" s="0" t="s">
        <v>102</v>
      </c>
      <c r="Q2158" s="0" t="s">
        <v>102</v>
      </c>
      <c r="R2158" s="0" t="s">
        <v>131</v>
      </c>
      <c r="S2158" s="0" t="s">
        <v>21</v>
      </c>
      <c r="T2158" s="0" t="s">
        <v>104</v>
      </c>
      <c r="W2158" s="0" t="s">
        <v>105</v>
      </c>
    </row>
    <row r="2159" customFormat="false" ht="15" hidden="false" customHeight="false" outlineLevel="0" collapsed="false">
      <c r="A2159" s="0" t="s">
        <v>21</v>
      </c>
      <c r="B2159" s="0" t="s">
        <v>7122</v>
      </c>
      <c r="C2159" s="0" t="s">
        <v>97</v>
      </c>
      <c r="D2159" s="0" t="s">
        <v>7123</v>
      </c>
      <c r="E2159" s="0" t="s">
        <v>7123</v>
      </c>
      <c r="M2159" s="0" t="s">
        <v>442</v>
      </c>
      <c r="N2159" s="0" t="s">
        <v>101</v>
      </c>
      <c r="P2159" s="0" t="s">
        <v>102</v>
      </c>
      <c r="Q2159" s="0" t="s">
        <v>102</v>
      </c>
      <c r="R2159" s="0" t="s">
        <v>131</v>
      </c>
      <c r="S2159" s="0" t="s">
        <v>21</v>
      </c>
      <c r="T2159" s="0" t="s">
        <v>104</v>
      </c>
      <c r="W2159" s="0" t="s">
        <v>105</v>
      </c>
    </row>
    <row r="2160" customFormat="false" ht="15" hidden="false" customHeight="false" outlineLevel="0" collapsed="false">
      <c r="A2160" s="0" t="s">
        <v>21</v>
      </c>
      <c r="B2160" s="0" t="s">
        <v>7124</v>
      </c>
      <c r="C2160" s="0" t="s">
        <v>174</v>
      </c>
      <c r="D2160" s="0" t="s">
        <v>7125</v>
      </c>
      <c r="E2160" s="0" t="s">
        <v>5931</v>
      </c>
      <c r="M2160" s="0" t="s">
        <v>100</v>
      </c>
      <c r="N2160" s="0" t="s">
        <v>101</v>
      </c>
      <c r="P2160" s="0" t="s">
        <v>102</v>
      </c>
      <c r="Q2160" s="0" t="s">
        <v>102</v>
      </c>
      <c r="R2160" s="0" t="s">
        <v>144</v>
      </c>
      <c r="S2160" s="0" t="s">
        <v>21</v>
      </c>
      <c r="T2160" s="0" t="s">
        <v>104</v>
      </c>
      <c r="W2160" s="0" t="s">
        <v>105</v>
      </c>
    </row>
    <row r="2161" customFormat="false" ht="15" hidden="false" customHeight="false" outlineLevel="0" collapsed="false">
      <c r="A2161" s="0" t="s">
        <v>21</v>
      </c>
      <c r="B2161" s="0" t="s">
        <v>7126</v>
      </c>
      <c r="C2161" s="0" t="s">
        <v>97</v>
      </c>
      <c r="D2161" s="0" t="s">
        <v>7127</v>
      </c>
      <c r="E2161" s="0" t="s">
        <v>7128</v>
      </c>
      <c r="M2161" s="0" t="s">
        <v>656</v>
      </c>
      <c r="N2161" s="0" t="s">
        <v>101</v>
      </c>
      <c r="P2161" s="0" t="s">
        <v>102</v>
      </c>
      <c r="Q2161" s="0" t="s">
        <v>102</v>
      </c>
      <c r="R2161" s="0" t="s">
        <v>113</v>
      </c>
      <c r="S2161" s="0" t="s">
        <v>21</v>
      </c>
      <c r="T2161" s="0" t="s">
        <v>104</v>
      </c>
      <c r="W2161" s="0" t="s">
        <v>105</v>
      </c>
    </row>
    <row r="2162" customFormat="false" ht="15" hidden="false" customHeight="false" outlineLevel="0" collapsed="false">
      <c r="A2162" s="0" t="s">
        <v>21</v>
      </c>
      <c r="B2162" s="0" t="s">
        <v>7129</v>
      </c>
      <c r="C2162" s="0" t="s">
        <v>97</v>
      </c>
      <c r="D2162" s="0" t="s">
        <v>7130</v>
      </c>
      <c r="E2162" s="0" t="s">
        <v>7131</v>
      </c>
      <c r="M2162" s="0" t="s">
        <v>136</v>
      </c>
      <c r="N2162" s="0" t="s">
        <v>124</v>
      </c>
      <c r="P2162" s="0" t="s">
        <v>102</v>
      </c>
      <c r="Q2162" s="0" t="s">
        <v>102</v>
      </c>
      <c r="R2162" s="0" t="s">
        <v>113</v>
      </c>
      <c r="S2162" s="0" t="s">
        <v>21</v>
      </c>
      <c r="T2162" s="0" t="s">
        <v>104</v>
      </c>
      <c r="W2162" s="0" t="s">
        <v>105</v>
      </c>
    </row>
    <row r="2163" customFormat="false" ht="15" hidden="false" customHeight="false" outlineLevel="0" collapsed="false">
      <c r="A2163" s="0" t="s">
        <v>21</v>
      </c>
      <c r="B2163" s="0" t="s">
        <v>7132</v>
      </c>
      <c r="C2163" s="0" t="s">
        <v>97</v>
      </c>
      <c r="D2163" s="0" t="s">
        <v>7133</v>
      </c>
      <c r="E2163" s="0" t="s">
        <v>7134</v>
      </c>
      <c r="M2163" s="0" t="s">
        <v>136</v>
      </c>
      <c r="N2163" s="0" t="s">
        <v>124</v>
      </c>
      <c r="P2163" s="0" t="s">
        <v>102</v>
      </c>
      <c r="Q2163" s="0" t="s">
        <v>102</v>
      </c>
      <c r="R2163" s="0" t="s">
        <v>113</v>
      </c>
      <c r="S2163" s="0" t="s">
        <v>21</v>
      </c>
      <c r="T2163" s="0" t="s">
        <v>104</v>
      </c>
      <c r="W2163" s="0" t="s">
        <v>105</v>
      </c>
    </row>
    <row r="2164" customFormat="false" ht="15" hidden="false" customHeight="false" outlineLevel="0" collapsed="false">
      <c r="A2164" s="0" t="s">
        <v>21</v>
      </c>
      <c r="B2164" s="0" t="s">
        <v>7135</v>
      </c>
      <c r="C2164" s="0" t="s">
        <v>97</v>
      </c>
      <c r="D2164" s="0" t="s">
        <v>7136</v>
      </c>
      <c r="E2164" s="0" t="s">
        <v>7137</v>
      </c>
      <c r="M2164" s="0" t="s">
        <v>136</v>
      </c>
      <c r="N2164" s="0" t="s">
        <v>124</v>
      </c>
      <c r="P2164" s="0" t="s">
        <v>102</v>
      </c>
      <c r="Q2164" s="0" t="s">
        <v>102</v>
      </c>
      <c r="R2164" s="0" t="s">
        <v>144</v>
      </c>
      <c r="S2164" s="0" t="s">
        <v>21</v>
      </c>
      <c r="T2164" s="0" t="s">
        <v>104</v>
      </c>
      <c r="W2164" s="0" t="s">
        <v>105</v>
      </c>
    </row>
    <row r="2165" customFormat="false" ht="15" hidden="false" customHeight="false" outlineLevel="0" collapsed="false">
      <c r="A2165" s="0" t="s">
        <v>21</v>
      </c>
      <c r="B2165" s="0" t="s">
        <v>7138</v>
      </c>
      <c r="C2165" s="0" t="s">
        <v>97</v>
      </c>
      <c r="D2165" s="0" t="s">
        <v>7139</v>
      </c>
      <c r="E2165" s="0" t="s">
        <v>7140</v>
      </c>
      <c r="M2165" s="0" t="s">
        <v>136</v>
      </c>
      <c r="N2165" s="0" t="s">
        <v>124</v>
      </c>
      <c r="P2165" s="0" t="s">
        <v>102</v>
      </c>
      <c r="Q2165" s="0" t="s">
        <v>102</v>
      </c>
      <c r="R2165" s="0" t="s">
        <v>144</v>
      </c>
      <c r="S2165" s="0" t="s">
        <v>21</v>
      </c>
      <c r="T2165" s="0" t="s">
        <v>104</v>
      </c>
      <c r="W2165" s="0" t="s">
        <v>105</v>
      </c>
    </row>
    <row r="2166" customFormat="false" ht="15" hidden="false" customHeight="false" outlineLevel="0" collapsed="false">
      <c r="A2166" s="0" t="s">
        <v>21</v>
      </c>
      <c r="B2166" s="0" t="s">
        <v>7141</v>
      </c>
      <c r="C2166" s="0" t="s">
        <v>97</v>
      </c>
      <c r="D2166" s="0" t="s">
        <v>7142</v>
      </c>
      <c r="E2166" s="0" t="s">
        <v>7143</v>
      </c>
      <c r="M2166" s="0" t="s">
        <v>136</v>
      </c>
      <c r="N2166" s="0" t="s">
        <v>124</v>
      </c>
      <c r="P2166" s="0" t="s">
        <v>102</v>
      </c>
      <c r="Q2166" s="0" t="s">
        <v>102</v>
      </c>
      <c r="R2166" s="0" t="s">
        <v>144</v>
      </c>
      <c r="S2166" s="0" t="s">
        <v>21</v>
      </c>
      <c r="T2166" s="0" t="s">
        <v>104</v>
      </c>
      <c r="W2166" s="0" t="s">
        <v>105</v>
      </c>
    </row>
    <row r="2167" customFormat="false" ht="15" hidden="false" customHeight="false" outlineLevel="0" collapsed="false">
      <c r="A2167" s="0" t="s">
        <v>21</v>
      </c>
      <c r="B2167" s="0" t="s">
        <v>7144</v>
      </c>
      <c r="C2167" s="0" t="s">
        <v>97</v>
      </c>
      <c r="D2167" s="0" t="s">
        <v>7145</v>
      </c>
      <c r="E2167" s="0" t="s">
        <v>7146</v>
      </c>
      <c r="M2167" s="0" t="s">
        <v>136</v>
      </c>
      <c r="N2167" s="0" t="s">
        <v>124</v>
      </c>
      <c r="P2167" s="0" t="s">
        <v>102</v>
      </c>
      <c r="Q2167" s="0" t="s">
        <v>102</v>
      </c>
      <c r="R2167" s="0" t="s">
        <v>131</v>
      </c>
      <c r="S2167" s="0" t="s">
        <v>21</v>
      </c>
      <c r="T2167" s="0" t="s">
        <v>104</v>
      </c>
      <c r="W2167" s="0" t="s">
        <v>105</v>
      </c>
    </row>
    <row r="2168" customFormat="false" ht="15" hidden="false" customHeight="false" outlineLevel="0" collapsed="false">
      <c r="A2168" s="0" t="s">
        <v>21</v>
      </c>
      <c r="B2168" s="0" t="s">
        <v>7147</v>
      </c>
      <c r="C2168" s="0" t="s">
        <v>97</v>
      </c>
      <c r="D2168" s="0" t="s">
        <v>7148</v>
      </c>
      <c r="E2168" s="0" t="s">
        <v>7149</v>
      </c>
      <c r="M2168" s="0" t="s">
        <v>136</v>
      </c>
      <c r="N2168" s="0" t="s">
        <v>124</v>
      </c>
      <c r="P2168" s="0" t="s">
        <v>102</v>
      </c>
      <c r="Q2168" s="0" t="s">
        <v>102</v>
      </c>
      <c r="R2168" s="0" t="s">
        <v>144</v>
      </c>
      <c r="S2168" s="0" t="s">
        <v>21</v>
      </c>
      <c r="T2168" s="0" t="s">
        <v>104</v>
      </c>
      <c r="W2168" s="0" t="s">
        <v>105</v>
      </c>
    </row>
    <row r="2169" customFormat="false" ht="15" hidden="false" customHeight="false" outlineLevel="0" collapsed="false">
      <c r="A2169" s="0" t="s">
        <v>21</v>
      </c>
      <c r="B2169" s="0" t="s">
        <v>7150</v>
      </c>
      <c r="C2169" s="0" t="s">
        <v>661</v>
      </c>
      <c r="D2169" s="0" t="s">
        <v>7151</v>
      </c>
      <c r="E2169" s="0" t="s">
        <v>7152</v>
      </c>
      <c r="G2169" s="0" t="s">
        <v>7153</v>
      </c>
      <c r="M2169" s="0" t="s">
        <v>178</v>
      </c>
      <c r="N2169" s="0" t="s">
        <v>124</v>
      </c>
      <c r="P2169" s="0" t="s">
        <v>130</v>
      </c>
      <c r="Q2169" s="0" t="s">
        <v>130</v>
      </c>
      <c r="R2169" s="0" t="s">
        <v>804</v>
      </c>
      <c r="S2169" s="0" t="s">
        <v>21</v>
      </c>
      <c r="T2169" s="0" t="s">
        <v>104</v>
      </c>
      <c r="V2169" s="0" t="s">
        <v>7154</v>
      </c>
      <c r="W2169" s="0" t="s">
        <v>105</v>
      </c>
    </row>
    <row r="2170" customFormat="false" ht="15" hidden="false" customHeight="false" outlineLevel="0" collapsed="false">
      <c r="A2170" s="0" t="s">
        <v>21</v>
      </c>
      <c r="B2170" s="0" t="s">
        <v>7155</v>
      </c>
      <c r="C2170" s="0" t="s">
        <v>110</v>
      </c>
      <c r="D2170" s="0" t="s">
        <v>7151</v>
      </c>
      <c r="E2170" s="0" t="s">
        <v>7151</v>
      </c>
      <c r="M2170" s="0" t="s">
        <v>598</v>
      </c>
      <c r="N2170" s="0" t="s">
        <v>124</v>
      </c>
      <c r="P2170" s="0" t="s">
        <v>102</v>
      </c>
      <c r="Q2170" s="0" t="s">
        <v>102</v>
      </c>
      <c r="R2170" s="0" t="s">
        <v>804</v>
      </c>
      <c r="S2170" s="0" t="s">
        <v>21</v>
      </c>
      <c r="T2170" s="0" t="s">
        <v>104</v>
      </c>
      <c r="W2170" s="0" t="s">
        <v>105</v>
      </c>
    </row>
    <row r="2171" customFormat="false" ht="15" hidden="false" customHeight="false" outlineLevel="0" collapsed="false">
      <c r="A2171" s="0" t="s">
        <v>21</v>
      </c>
      <c r="B2171" s="0" t="s">
        <v>7156</v>
      </c>
      <c r="C2171" s="0" t="s">
        <v>97</v>
      </c>
      <c r="D2171" s="0" t="s">
        <v>7157</v>
      </c>
      <c r="E2171" s="0" t="s">
        <v>7158</v>
      </c>
      <c r="H2171" s="0" t="s">
        <v>7159</v>
      </c>
      <c r="I2171" s="0" t="s">
        <v>7160</v>
      </c>
      <c r="J2171" s="0" t="s">
        <v>456</v>
      </c>
      <c r="K2171" s="0" t="s">
        <v>648</v>
      </c>
      <c r="L2171" s="0" t="s">
        <v>101</v>
      </c>
      <c r="M2171" s="0" t="s">
        <v>456</v>
      </c>
      <c r="N2171" s="0" t="s">
        <v>101</v>
      </c>
      <c r="P2171" s="0" t="s">
        <v>102</v>
      </c>
      <c r="Q2171" s="0" t="s">
        <v>102</v>
      </c>
      <c r="R2171" s="0" t="s">
        <v>113</v>
      </c>
      <c r="S2171" s="0" t="s">
        <v>21</v>
      </c>
      <c r="T2171" s="0" t="s">
        <v>104</v>
      </c>
      <c r="W2171" s="0" t="s">
        <v>105</v>
      </c>
      <c r="X2171" s="0" t="s">
        <v>7161</v>
      </c>
      <c r="Y2171" s="0" t="s">
        <v>7162</v>
      </c>
    </row>
    <row r="2172" customFormat="false" ht="15" hidden="false" customHeight="false" outlineLevel="0" collapsed="false">
      <c r="A2172" s="0" t="s">
        <v>21</v>
      </c>
      <c r="B2172" s="0" t="s">
        <v>7163</v>
      </c>
      <c r="C2172" s="0" t="s">
        <v>2145</v>
      </c>
      <c r="D2172" s="0" t="s">
        <v>7164</v>
      </c>
      <c r="E2172" s="0" t="s">
        <v>7165</v>
      </c>
      <c r="G2172" s="0" t="s">
        <v>7166</v>
      </c>
      <c r="M2172" s="0" t="s">
        <v>398</v>
      </c>
      <c r="N2172" s="0" t="s">
        <v>101</v>
      </c>
      <c r="P2172" s="0" t="s">
        <v>130</v>
      </c>
      <c r="Q2172" s="0" t="s">
        <v>130</v>
      </c>
      <c r="R2172" s="0" t="s">
        <v>113</v>
      </c>
      <c r="S2172" s="0" t="s">
        <v>21</v>
      </c>
      <c r="T2172" s="0" t="s">
        <v>104</v>
      </c>
      <c r="W2172" s="0" t="s">
        <v>105</v>
      </c>
    </row>
    <row r="2173" customFormat="false" ht="15" hidden="false" customHeight="false" outlineLevel="0" collapsed="false">
      <c r="A2173" s="0" t="s">
        <v>21</v>
      </c>
      <c r="B2173" s="0" t="s">
        <v>7167</v>
      </c>
      <c r="C2173" s="0" t="s">
        <v>97</v>
      </c>
      <c r="D2173" s="0" t="s">
        <v>7168</v>
      </c>
      <c r="E2173" s="0" t="s">
        <v>7169</v>
      </c>
      <c r="M2173" s="0" t="s">
        <v>136</v>
      </c>
      <c r="N2173" s="0" t="s">
        <v>124</v>
      </c>
      <c r="P2173" s="0" t="s">
        <v>102</v>
      </c>
      <c r="Q2173" s="0" t="s">
        <v>102</v>
      </c>
      <c r="R2173" s="0" t="s">
        <v>144</v>
      </c>
      <c r="S2173" s="0" t="s">
        <v>21</v>
      </c>
      <c r="T2173" s="0" t="s">
        <v>104</v>
      </c>
      <c r="W2173" s="0" t="s">
        <v>105</v>
      </c>
    </row>
    <row r="2174" customFormat="false" ht="15" hidden="false" customHeight="false" outlineLevel="0" collapsed="false">
      <c r="A2174" s="0" t="s">
        <v>21</v>
      </c>
      <c r="B2174" s="0" t="s">
        <v>7170</v>
      </c>
      <c r="C2174" s="0" t="s">
        <v>97</v>
      </c>
      <c r="D2174" s="0" t="s">
        <v>7171</v>
      </c>
      <c r="E2174" s="0" t="s">
        <v>7172</v>
      </c>
      <c r="M2174" s="0" t="s">
        <v>136</v>
      </c>
      <c r="N2174" s="0" t="s">
        <v>124</v>
      </c>
      <c r="P2174" s="0" t="s">
        <v>102</v>
      </c>
      <c r="Q2174" s="0" t="s">
        <v>102</v>
      </c>
      <c r="R2174" s="0" t="s">
        <v>144</v>
      </c>
      <c r="S2174" s="0" t="s">
        <v>21</v>
      </c>
      <c r="T2174" s="0" t="s">
        <v>104</v>
      </c>
      <c r="W2174" s="0" t="s">
        <v>105</v>
      </c>
    </row>
    <row r="2175" customFormat="false" ht="15" hidden="false" customHeight="false" outlineLevel="0" collapsed="false">
      <c r="A2175" s="0" t="s">
        <v>21</v>
      </c>
      <c r="B2175" s="0" t="s">
        <v>7173</v>
      </c>
      <c r="C2175" s="0" t="s">
        <v>97</v>
      </c>
      <c r="D2175" s="0" t="s">
        <v>7174</v>
      </c>
      <c r="E2175" s="0" t="s">
        <v>7175</v>
      </c>
      <c r="M2175" s="0" t="s">
        <v>136</v>
      </c>
      <c r="N2175" s="0" t="s">
        <v>124</v>
      </c>
      <c r="P2175" s="0" t="s">
        <v>102</v>
      </c>
      <c r="Q2175" s="0" t="s">
        <v>102</v>
      </c>
      <c r="R2175" s="0" t="s">
        <v>144</v>
      </c>
      <c r="S2175" s="0" t="s">
        <v>21</v>
      </c>
      <c r="T2175" s="0" t="s">
        <v>104</v>
      </c>
      <c r="W2175" s="0" t="s">
        <v>105</v>
      </c>
    </row>
    <row r="2176" customFormat="false" ht="15" hidden="false" customHeight="false" outlineLevel="0" collapsed="false">
      <c r="A2176" s="0" t="s">
        <v>21</v>
      </c>
      <c r="B2176" s="0" t="s">
        <v>7176</v>
      </c>
      <c r="C2176" s="0" t="s">
        <v>97</v>
      </c>
      <c r="D2176" s="0" t="s">
        <v>7177</v>
      </c>
      <c r="E2176" s="0" t="s">
        <v>7178</v>
      </c>
      <c r="M2176" s="0" t="s">
        <v>136</v>
      </c>
      <c r="N2176" s="0" t="s">
        <v>124</v>
      </c>
      <c r="P2176" s="0" t="s">
        <v>102</v>
      </c>
      <c r="Q2176" s="0" t="s">
        <v>102</v>
      </c>
      <c r="R2176" s="0" t="s">
        <v>144</v>
      </c>
      <c r="S2176" s="0" t="s">
        <v>21</v>
      </c>
      <c r="T2176" s="0" t="s">
        <v>104</v>
      </c>
      <c r="W2176" s="0" t="s">
        <v>105</v>
      </c>
    </row>
    <row r="2177" customFormat="false" ht="15" hidden="false" customHeight="false" outlineLevel="0" collapsed="false">
      <c r="A2177" s="0" t="s">
        <v>21</v>
      </c>
      <c r="B2177" s="0" t="s">
        <v>7179</v>
      </c>
      <c r="C2177" s="0" t="s">
        <v>97</v>
      </c>
      <c r="D2177" s="0" t="s">
        <v>7180</v>
      </c>
      <c r="E2177" s="0" t="s">
        <v>7181</v>
      </c>
      <c r="M2177" s="0" t="s">
        <v>136</v>
      </c>
      <c r="N2177" s="0" t="s">
        <v>124</v>
      </c>
      <c r="P2177" s="0" t="s">
        <v>102</v>
      </c>
      <c r="Q2177" s="0" t="s">
        <v>102</v>
      </c>
      <c r="R2177" s="0" t="s">
        <v>144</v>
      </c>
      <c r="S2177" s="0" t="s">
        <v>21</v>
      </c>
      <c r="T2177" s="0" t="s">
        <v>104</v>
      </c>
      <c r="W2177" s="0" t="s">
        <v>105</v>
      </c>
    </row>
    <row r="2178" customFormat="false" ht="15" hidden="false" customHeight="false" outlineLevel="0" collapsed="false">
      <c r="A2178" s="0" t="s">
        <v>21</v>
      </c>
      <c r="B2178" s="0" t="s">
        <v>7182</v>
      </c>
      <c r="C2178" s="0" t="s">
        <v>97</v>
      </c>
      <c r="D2178" s="0" t="s">
        <v>7183</v>
      </c>
      <c r="E2178" s="0" t="s">
        <v>7184</v>
      </c>
      <c r="M2178" s="0" t="s">
        <v>136</v>
      </c>
      <c r="N2178" s="0" t="s">
        <v>124</v>
      </c>
      <c r="P2178" s="0" t="s">
        <v>102</v>
      </c>
      <c r="Q2178" s="0" t="s">
        <v>102</v>
      </c>
      <c r="R2178" s="0" t="s">
        <v>144</v>
      </c>
      <c r="S2178" s="0" t="s">
        <v>21</v>
      </c>
      <c r="T2178" s="0" t="s">
        <v>104</v>
      </c>
      <c r="W2178" s="0" t="s">
        <v>105</v>
      </c>
    </row>
    <row r="2179" customFormat="false" ht="15" hidden="false" customHeight="false" outlineLevel="0" collapsed="false">
      <c r="A2179" s="0" t="s">
        <v>21</v>
      </c>
      <c r="B2179" s="0" t="s">
        <v>7185</v>
      </c>
      <c r="C2179" s="0" t="s">
        <v>97</v>
      </c>
      <c r="D2179" s="0" t="s">
        <v>7186</v>
      </c>
      <c r="E2179" s="0" t="s">
        <v>7187</v>
      </c>
      <c r="M2179" s="0" t="s">
        <v>136</v>
      </c>
      <c r="N2179" s="0" t="s">
        <v>124</v>
      </c>
      <c r="P2179" s="0" t="s">
        <v>102</v>
      </c>
      <c r="Q2179" s="0" t="s">
        <v>102</v>
      </c>
      <c r="R2179" s="0" t="s">
        <v>144</v>
      </c>
      <c r="S2179" s="0" t="s">
        <v>21</v>
      </c>
      <c r="T2179" s="0" t="s">
        <v>104</v>
      </c>
      <c r="W2179" s="0" t="s">
        <v>105</v>
      </c>
    </row>
    <row r="2180" customFormat="false" ht="15" hidden="false" customHeight="false" outlineLevel="0" collapsed="false">
      <c r="A2180" s="0" t="s">
        <v>21</v>
      </c>
      <c r="B2180" s="0" t="s">
        <v>244</v>
      </c>
      <c r="C2180" s="0" t="s">
        <v>139</v>
      </c>
      <c r="D2180" s="0" t="s">
        <v>7188</v>
      </c>
      <c r="E2180" s="0" t="s">
        <v>7189</v>
      </c>
      <c r="F2180" s="0" t="s">
        <v>7190</v>
      </c>
      <c r="G2180" s="0" t="s">
        <v>7190</v>
      </c>
      <c r="M2180" s="0" t="s">
        <v>247</v>
      </c>
      <c r="N2180" s="0" t="s">
        <v>124</v>
      </c>
      <c r="P2180" s="0" t="s">
        <v>102</v>
      </c>
      <c r="Q2180" s="0" t="s">
        <v>102</v>
      </c>
      <c r="R2180" s="0" t="s">
        <v>137</v>
      </c>
      <c r="S2180" s="0" t="s">
        <v>21</v>
      </c>
      <c r="T2180" s="0" t="s">
        <v>104</v>
      </c>
      <c r="W2180" s="0" t="s">
        <v>105</v>
      </c>
    </row>
    <row r="2181" customFormat="false" ht="15" hidden="false" customHeight="false" outlineLevel="0" collapsed="false">
      <c r="A2181" s="0" t="s">
        <v>21</v>
      </c>
      <c r="B2181" s="0" t="s">
        <v>7191</v>
      </c>
      <c r="C2181" s="0" t="s">
        <v>110</v>
      </c>
      <c r="D2181" s="0" t="s">
        <v>7192</v>
      </c>
      <c r="E2181" s="0" t="s">
        <v>7193</v>
      </c>
      <c r="F2181" s="0" t="s">
        <v>5698</v>
      </c>
      <c r="H2181" s="0" t="s">
        <v>908</v>
      </c>
      <c r="I2181" s="0" t="s">
        <v>244</v>
      </c>
      <c r="J2181" s="0" t="s">
        <v>245</v>
      </c>
      <c r="K2181" s="0" t="s">
        <v>246</v>
      </c>
      <c r="L2181" s="0" t="s">
        <v>124</v>
      </c>
      <c r="M2181" s="0" t="s">
        <v>247</v>
      </c>
      <c r="N2181" s="0" t="s">
        <v>124</v>
      </c>
      <c r="P2181" s="0" t="s">
        <v>233</v>
      </c>
      <c r="Q2181" s="0" t="s">
        <v>233</v>
      </c>
      <c r="R2181" s="0" t="s">
        <v>233</v>
      </c>
      <c r="S2181" s="0" t="s">
        <v>21</v>
      </c>
      <c r="T2181" s="0" t="s">
        <v>104</v>
      </c>
      <c r="W2181" s="0" t="s">
        <v>183</v>
      </c>
      <c r="X2181" s="0" t="s">
        <v>7194</v>
      </c>
      <c r="Y2181" s="0" t="s">
        <v>7195</v>
      </c>
      <c r="Z2181" s="0" t="s">
        <v>195</v>
      </c>
    </row>
    <row r="2182" customFormat="false" ht="15" hidden="false" customHeight="false" outlineLevel="0" collapsed="false">
      <c r="A2182" s="0" t="s">
        <v>21</v>
      </c>
      <c r="B2182" s="0" t="s">
        <v>7191</v>
      </c>
      <c r="C2182" s="0" t="s">
        <v>110</v>
      </c>
      <c r="D2182" s="0" t="s">
        <v>7192</v>
      </c>
      <c r="E2182" s="0" t="s">
        <v>7193</v>
      </c>
      <c r="F2182" s="0" t="s">
        <v>5698</v>
      </c>
      <c r="H2182" s="0" t="s">
        <v>908</v>
      </c>
      <c r="I2182" s="0" t="s">
        <v>244</v>
      </c>
      <c r="J2182" s="0" t="s">
        <v>245</v>
      </c>
      <c r="K2182" s="0" t="s">
        <v>246</v>
      </c>
      <c r="L2182" s="0" t="s">
        <v>124</v>
      </c>
      <c r="M2182" s="0" t="s">
        <v>247</v>
      </c>
      <c r="N2182" s="0" t="s">
        <v>124</v>
      </c>
      <c r="P2182" s="0" t="s">
        <v>102</v>
      </c>
      <c r="Q2182" s="0" t="s">
        <v>102</v>
      </c>
      <c r="R2182" s="0" t="s">
        <v>234</v>
      </c>
      <c r="S2182" s="0" t="s">
        <v>21</v>
      </c>
      <c r="T2182" s="0" t="s">
        <v>104</v>
      </c>
      <c r="V2182" s="0" t="s">
        <v>235</v>
      </c>
      <c r="W2182" s="0" t="s">
        <v>105</v>
      </c>
      <c r="X2182" s="0" t="s">
        <v>7194</v>
      </c>
      <c r="Y2182" s="0" t="s">
        <v>7195</v>
      </c>
      <c r="Z2182" s="0" t="s">
        <v>195</v>
      </c>
    </row>
    <row r="2183" customFormat="false" ht="15" hidden="false" customHeight="false" outlineLevel="0" collapsed="false">
      <c r="A2183" s="0" t="s">
        <v>21</v>
      </c>
      <c r="B2183" s="0" t="s">
        <v>7191</v>
      </c>
      <c r="C2183" s="0" t="s">
        <v>110</v>
      </c>
      <c r="D2183" s="0" t="s">
        <v>7192</v>
      </c>
      <c r="E2183" s="0" t="s">
        <v>7193</v>
      </c>
      <c r="F2183" s="0" t="s">
        <v>5698</v>
      </c>
      <c r="H2183" s="0" t="s">
        <v>908</v>
      </c>
      <c r="I2183" s="0" t="s">
        <v>244</v>
      </c>
      <c r="J2183" s="0" t="s">
        <v>245</v>
      </c>
      <c r="K2183" s="0" t="s">
        <v>246</v>
      </c>
      <c r="L2183" s="0" t="s">
        <v>124</v>
      </c>
      <c r="M2183" s="0" t="s">
        <v>247</v>
      </c>
      <c r="N2183" s="0" t="s">
        <v>124</v>
      </c>
      <c r="P2183" s="0" t="s">
        <v>236</v>
      </c>
      <c r="Q2183" s="0" t="s">
        <v>236</v>
      </c>
      <c r="R2183" s="0" t="s">
        <v>237</v>
      </c>
      <c r="S2183" s="0" t="s">
        <v>21</v>
      </c>
      <c r="T2183" s="0" t="s">
        <v>104</v>
      </c>
      <c r="U2183" s="0" t="s">
        <v>238</v>
      </c>
      <c r="W2183" s="0" t="s">
        <v>105</v>
      </c>
      <c r="X2183" s="0" t="s">
        <v>7194</v>
      </c>
      <c r="Y2183" s="0" t="s">
        <v>7195</v>
      </c>
      <c r="Z2183" s="0" t="s">
        <v>195</v>
      </c>
    </row>
    <row r="2184" customFormat="false" ht="15" hidden="false" customHeight="false" outlineLevel="0" collapsed="false">
      <c r="A2184" s="0" t="s">
        <v>21</v>
      </c>
      <c r="B2184" s="0" t="s">
        <v>7196</v>
      </c>
      <c r="C2184" s="0" t="s">
        <v>97</v>
      </c>
      <c r="D2184" s="0" t="s">
        <v>7197</v>
      </c>
      <c r="E2184" s="0" t="s">
        <v>7198</v>
      </c>
      <c r="M2184" s="0" t="s">
        <v>136</v>
      </c>
      <c r="N2184" s="0" t="s">
        <v>124</v>
      </c>
      <c r="P2184" s="0" t="s">
        <v>102</v>
      </c>
      <c r="Q2184" s="0" t="s">
        <v>102</v>
      </c>
      <c r="R2184" s="0" t="s">
        <v>113</v>
      </c>
      <c r="S2184" s="0" t="s">
        <v>21</v>
      </c>
      <c r="T2184" s="0" t="s">
        <v>104</v>
      </c>
      <c r="W2184" s="0" t="s">
        <v>105</v>
      </c>
    </row>
    <row r="2185" customFormat="false" ht="15" hidden="false" customHeight="false" outlineLevel="0" collapsed="false">
      <c r="A2185" s="0" t="s">
        <v>21</v>
      </c>
      <c r="B2185" s="0" t="s">
        <v>7199</v>
      </c>
      <c r="C2185" s="0" t="s">
        <v>7200</v>
      </c>
      <c r="D2185" s="0" t="s">
        <v>7197</v>
      </c>
      <c r="E2185" s="0" t="s">
        <v>7201</v>
      </c>
      <c r="H2185" s="0" t="s">
        <v>7202</v>
      </c>
      <c r="I2185" s="0" t="s">
        <v>7203</v>
      </c>
      <c r="J2185" s="0" t="s">
        <v>245</v>
      </c>
      <c r="K2185" s="0" t="s">
        <v>7204</v>
      </c>
      <c r="L2185" s="0" t="s">
        <v>124</v>
      </c>
      <c r="M2185" s="0" t="s">
        <v>247</v>
      </c>
      <c r="N2185" s="0" t="s">
        <v>124</v>
      </c>
      <c r="P2185" s="0" t="s">
        <v>102</v>
      </c>
      <c r="Q2185" s="0" t="s">
        <v>102</v>
      </c>
      <c r="R2185" s="0" t="s">
        <v>113</v>
      </c>
      <c r="S2185" s="0" t="s">
        <v>21</v>
      </c>
      <c r="T2185" s="0" t="s">
        <v>104</v>
      </c>
      <c r="W2185" s="0" t="s">
        <v>105</v>
      </c>
      <c r="X2185" s="0" t="s">
        <v>7205</v>
      </c>
      <c r="Y2185" s="0" t="s">
        <v>7206</v>
      </c>
      <c r="Z2185" s="0" t="s">
        <v>382</v>
      </c>
    </row>
    <row r="2186" customFormat="false" ht="15" hidden="false" customHeight="false" outlineLevel="0" collapsed="false">
      <c r="A2186" s="0" t="s">
        <v>21</v>
      </c>
      <c r="B2186" s="0" t="s">
        <v>7207</v>
      </c>
      <c r="C2186" s="0" t="s">
        <v>97</v>
      </c>
      <c r="D2186" s="0" t="s">
        <v>7208</v>
      </c>
      <c r="E2186" s="0" t="s">
        <v>7209</v>
      </c>
      <c r="G2186" s="0" t="s">
        <v>7210</v>
      </c>
      <c r="M2186" s="0" t="s">
        <v>511</v>
      </c>
      <c r="N2186" s="0" t="s">
        <v>101</v>
      </c>
      <c r="P2186" s="0" t="s">
        <v>102</v>
      </c>
      <c r="Q2186" s="0" t="s">
        <v>102</v>
      </c>
      <c r="R2186" s="0" t="s">
        <v>113</v>
      </c>
      <c r="S2186" s="0" t="s">
        <v>21</v>
      </c>
      <c r="T2186" s="0" t="s">
        <v>104</v>
      </c>
      <c r="W2186" s="0" t="s">
        <v>105</v>
      </c>
    </row>
    <row r="2187" customFormat="false" ht="15" hidden="false" customHeight="false" outlineLevel="0" collapsed="false">
      <c r="A2187" s="0" t="s">
        <v>21</v>
      </c>
      <c r="B2187" s="0" t="s">
        <v>7211</v>
      </c>
      <c r="C2187" s="0" t="s">
        <v>97</v>
      </c>
      <c r="D2187" s="0" t="s">
        <v>7212</v>
      </c>
      <c r="E2187" s="0" t="s">
        <v>7213</v>
      </c>
      <c r="H2187" s="0" t="s">
        <v>654</v>
      </c>
      <c r="I2187" s="0" t="s">
        <v>655</v>
      </c>
      <c r="J2187" s="0" t="s">
        <v>100</v>
      </c>
      <c r="K2187" s="0" t="s">
        <v>168</v>
      </c>
      <c r="L2187" s="0" t="s">
        <v>101</v>
      </c>
      <c r="M2187" s="0" t="s">
        <v>656</v>
      </c>
      <c r="N2187" s="0" t="s">
        <v>101</v>
      </c>
      <c r="P2187" s="0" t="s">
        <v>102</v>
      </c>
      <c r="Q2187" s="0" t="s">
        <v>102</v>
      </c>
      <c r="R2187" s="0" t="s">
        <v>113</v>
      </c>
      <c r="S2187" s="0" t="s">
        <v>21</v>
      </c>
      <c r="T2187" s="0" t="s">
        <v>104</v>
      </c>
      <c r="W2187" s="0" t="s">
        <v>105</v>
      </c>
      <c r="X2187" s="0" t="s">
        <v>658</v>
      </c>
      <c r="Y2187" s="0" t="s">
        <v>659</v>
      </c>
    </row>
    <row r="2188" customFormat="false" ht="15" hidden="false" customHeight="false" outlineLevel="0" collapsed="false">
      <c r="A2188" s="0" t="s">
        <v>21</v>
      </c>
      <c r="B2188" s="0" t="s">
        <v>7214</v>
      </c>
      <c r="C2188" s="0" t="s">
        <v>97</v>
      </c>
      <c r="D2188" s="0" t="s">
        <v>7215</v>
      </c>
      <c r="E2188" s="0" t="s">
        <v>7216</v>
      </c>
      <c r="M2188" s="0" t="s">
        <v>100</v>
      </c>
      <c r="N2188" s="0" t="s">
        <v>101</v>
      </c>
      <c r="P2188" s="0" t="s">
        <v>102</v>
      </c>
      <c r="Q2188" s="0" t="s">
        <v>102</v>
      </c>
      <c r="R2188" s="0" t="s">
        <v>113</v>
      </c>
      <c r="S2188" s="0" t="s">
        <v>21</v>
      </c>
      <c r="T2188" s="0" t="s">
        <v>104</v>
      </c>
      <c r="W2188" s="0" t="s">
        <v>105</v>
      </c>
    </row>
    <row r="2189" customFormat="false" ht="15" hidden="false" customHeight="false" outlineLevel="0" collapsed="false">
      <c r="A2189" s="0" t="s">
        <v>21</v>
      </c>
      <c r="B2189" s="0" t="s">
        <v>7217</v>
      </c>
      <c r="C2189" s="0" t="s">
        <v>97</v>
      </c>
      <c r="D2189" s="0" t="s">
        <v>7218</v>
      </c>
      <c r="E2189" s="0" t="s">
        <v>7219</v>
      </c>
      <c r="M2189" s="0" t="s">
        <v>511</v>
      </c>
      <c r="N2189" s="0" t="s">
        <v>101</v>
      </c>
      <c r="P2189" s="0" t="s">
        <v>102</v>
      </c>
      <c r="Q2189" s="0" t="s">
        <v>102</v>
      </c>
      <c r="R2189" s="0" t="s">
        <v>144</v>
      </c>
      <c r="S2189" s="0" t="s">
        <v>21</v>
      </c>
      <c r="T2189" s="0" t="s">
        <v>104</v>
      </c>
      <c r="W2189" s="0" t="s">
        <v>105</v>
      </c>
    </row>
    <row r="2190" customFormat="false" ht="15" hidden="false" customHeight="false" outlineLevel="0" collapsed="false">
      <c r="A2190" s="0" t="s">
        <v>21</v>
      </c>
      <c r="B2190" s="0" t="s">
        <v>7220</v>
      </c>
      <c r="C2190" s="0" t="s">
        <v>97</v>
      </c>
      <c r="D2190" s="0" t="s">
        <v>7221</v>
      </c>
      <c r="E2190" s="0" t="s">
        <v>7222</v>
      </c>
      <c r="M2190" s="0" t="s">
        <v>136</v>
      </c>
      <c r="N2190" s="0" t="s">
        <v>124</v>
      </c>
      <c r="P2190" s="0" t="s">
        <v>102</v>
      </c>
      <c r="Q2190" s="0" t="s">
        <v>102</v>
      </c>
      <c r="R2190" s="0" t="s">
        <v>144</v>
      </c>
      <c r="S2190" s="0" t="s">
        <v>21</v>
      </c>
      <c r="T2190" s="0" t="s">
        <v>104</v>
      </c>
      <c r="W2190" s="0" t="s">
        <v>105</v>
      </c>
    </row>
    <row r="2191" customFormat="false" ht="15" hidden="false" customHeight="false" outlineLevel="0" collapsed="false">
      <c r="A2191" s="0" t="s">
        <v>21</v>
      </c>
      <c r="B2191" s="0" t="s">
        <v>7223</v>
      </c>
      <c r="C2191" s="0" t="s">
        <v>97</v>
      </c>
      <c r="D2191" s="0" t="s">
        <v>7224</v>
      </c>
      <c r="E2191" s="0" t="s">
        <v>7225</v>
      </c>
      <c r="M2191" s="0" t="s">
        <v>136</v>
      </c>
      <c r="N2191" s="0" t="s">
        <v>124</v>
      </c>
      <c r="P2191" s="0" t="s">
        <v>102</v>
      </c>
      <c r="Q2191" s="0" t="s">
        <v>102</v>
      </c>
      <c r="R2191" s="0" t="s">
        <v>144</v>
      </c>
      <c r="S2191" s="0" t="s">
        <v>21</v>
      </c>
      <c r="T2191" s="0" t="s">
        <v>104</v>
      </c>
      <c r="W2191" s="0" t="s">
        <v>105</v>
      </c>
    </row>
    <row r="2192" customFormat="false" ht="15" hidden="false" customHeight="false" outlineLevel="0" collapsed="false">
      <c r="A2192" s="0" t="s">
        <v>21</v>
      </c>
      <c r="B2192" s="0" t="s">
        <v>7226</v>
      </c>
      <c r="C2192" s="0" t="s">
        <v>97</v>
      </c>
      <c r="D2192" s="0" t="s">
        <v>7227</v>
      </c>
      <c r="E2192" s="0" t="s">
        <v>7228</v>
      </c>
      <c r="M2192" s="0" t="s">
        <v>136</v>
      </c>
      <c r="N2192" s="0" t="s">
        <v>124</v>
      </c>
      <c r="P2192" s="0" t="s">
        <v>102</v>
      </c>
      <c r="Q2192" s="0" t="s">
        <v>102</v>
      </c>
      <c r="R2192" s="0" t="s">
        <v>144</v>
      </c>
      <c r="S2192" s="0" t="s">
        <v>21</v>
      </c>
      <c r="T2192" s="0" t="s">
        <v>104</v>
      </c>
      <c r="W2192" s="0" t="s">
        <v>105</v>
      </c>
    </row>
    <row r="2193" customFormat="false" ht="15" hidden="false" customHeight="false" outlineLevel="0" collapsed="false">
      <c r="A2193" s="0" t="s">
        <v>21</v>
      </c>
      <c r="B2193" s="0" t="s">
        <v>7229</v>
      </c>
      <c r="C2193" s="0" t="s">
        <v>97</v>
      </c>
      <c r="D2193" s="0" t="s">
        <v>7230</v>
      </c>
      <c r="E2193" s="0" t="s">
        <v>7231</v>
      </c>
      <c r="M2193" s="0" t="s">
        <v>136</v>
      </c>
      <c r="N2193" s="0" t="s">
        <v>124</v>
      </c>
      <c r="P2193" s="0" t="s">
        <v>102</v>
      </c>
      <c r="Q2193" s="0" t="s">
        <v>102</v>
      </c>
      <c r="R2193" s="0" t="s">
        <v>144</v>
      </c>
      <c r="S2193" s="0" t="s">
        <v>21</v>
      </c>
      <c r="T2193" s="0" t="s">
        <v>104</v>
      </c>
      <c r="W2193" s="0" t="s">
        <v>105</v>
      </c>
    </row>
    <row r="2194" customFormat="false" ht="15" hidden="false" customHeight="false" outlineLevel="0" collapsed="false">
      <c r="A2194" s="0" t="s">
        <v>21</v>
      </c>
      <c r="B2194" s="0" t="s">
        <v>7232</v>
      </c>
      <c r="C2194" s="0" t="s">
        <v>97</v>
      </c>
      <c r="D2194" s="0" t="s">
        <v>7233</v>
      </c>
      <c r="E2194" s="0" t="s">
        <v>7234</v>
      </c>
      <c r="M2194" s="0" t="s">
        <v>136</v>
      </c>
      <c r="N2194" s="0" t="s">
        <v>124</v>
      </c>
      <c r="P2194" s="0" t="s">
        <v>102</v>
      </c>
      <c r="Q2194" s="0" t="s">
        <v>102</v>
      </c>
      <c r="R2194" s="0" t="s">
        <v>144</v>
      </c>
      <c r="S2194" s="0" t="s">
        <v>21</v>
      </c>
      <c r="T2194" s="0" t="s">
        <v>104</v>
      </c>
      <c r="W2194" s="0" t="s">
        <v>105</v>
      </c>
    </row>
    <row r="2195" customFormat="false" ht="15" hidden="false" customHeight="false" outlineLevel="0" collapsed="false">
      <c r="A2195" s="0" t="s">
        <v>21</v>
      </c>
      <c r="B2195" s="0" t="s">
        <v>7235</v>
      </c>
      <c r="C2195" s="0" t="s">
        <v>97</v>
      </c>
      <c r="D2195" s="0" t="s">
        <v>7236</v>
      </c>
      <c r="E2195" s="0" t="s">
        <v>7237</v>
      </c>
      <c r="M2195" s="0" t="s">
        <v>136</v>
      </c>
      <c r="N2195" s="0" t="s">
        <v>124</v>
      </c>
      <c r="P2195" s="0" t="s">
        <v>102</v>
      </c>
      <c r="Q2195" s="0" t="s">
        <v>102</v>
      </c>
      <c r="R2195" s="0" t="s">
        <v>113</v>
      </c>
      <c r="S2195" s="0" t="s">
        <v>21</v>
      </c>
      <c r="T2195" s="0" t="s">
        <v>104</v>
      </c>
      <c r="W2195" s="0" t="s">
        <v>105</v>
      </c>
    </row>
    <row r="2196" customFormat="false" ht="15" hidden="false" customHeight="false" outlineLevel="0" collapsed="false">
      <c r="A2196" s="0" t="s">
        <v>21</v>
      </c>
      <c r="B2196" s="0" t="s">
        <v>7238</v>
      </c>
      <c r="C2196" s="0" t="s">
        <v>97</v>
      </c>
      <c r="D2196" s="0" t="s">
        <v>7239</v>
      </c>
      <c r="E2196" s="0" t="s">
        <v>7240</v>
      </c>
      <c r="H2196" s="0" t="s">
        <v>654</v>
      </c>
      <c r="I2196" s="0" t="s">
        <v>655</v>
      </c>
      <c r="J2196" s="0" t="s">
        <v>100</v>
      </c>
      <c r="K2196" s="0" t="s">
        <v>168</v>
      </c>
      <c r="L2196" s="0" t="s">
        <v>101</v>
      </c>
      <c r="M2196" s="0" t="s">
        <v>656</v>
      </c>
      <c r="N2196" s="0" t="s">
        <v>101</v>
      </c>
      <c r="P2196" s="0" t="s">
        <v>102</v>
      </c>
      <c r="Q2196" s="0" t="s">
        <v>102</v>
      </c>
      <c r="R2196" s="0" t="s">
        <v>144</v>
      </c>
      <c r="S2196" s="0" t="s">
        <v>21</v>
      </c>
      <c r="T2196" s="0" t="s">
        <v>104</v>
      </c>
      <c r="W2196" s="0" t="s">
        <v>105</v>
      </c>
      <c r="X2196" s="0" t="s">
        <v>658</v>
      </c>
      <c r="Y2196" s="0" t="s">
        <v>659</v>
      </c>
    </row>
    <row r="2197" customFormat="false" ht="15" hidden="false" customHeight="false" outlineLevel="0" collapsed="false">
      <c r="A2197" s="0" t="s">
        <v>21</v>
      </c>
      <c r="B2197" s="0" t="s">
        <v>7241</v>
      </c>
      <c r="C2197" s="0" t="s">
        <v>110</v>
      </c>
      <c r="D2197" s="0" t="s">
        <v>7242</v>
      </c>
      <c r="E2197" s="0" t="s">
        <v>599</v>
      </c>
      <c r="F2197" s="0" t="s">
        <v>3606</v>
      </c>
      <c r="H2197" s="0" t="s">
        <v>7243</v>
      </c>
      <c r="I2197" s="0" t="s">
        <v>7244</v>
      </c>
      <c r="J2197" s="0" t="s">
        <v>157</v>
      </c>
      <c r="K2197" s="0" t="s">
        <v>990</v>
      </c>
      <c r="L2197" s="0" t="s">
        <v>124</v>
      </c>
      <c r="M2197" s="0" t="s">
        <v>232</v>
      </c>
      <c r="N2197" s="0" t="s">
        <v>124</v>
      </c>
      <c r="P2197" s="0" t="s">
        <v>102</v>
      </c>
      <c r="Q2197" s="0" t="s">
        <v>102</v>
      </c>
      <c r="R2197" s="0" t="s">
        <v>804</v>
      </c>
      <c r="S2197" s="0" t="s">
        <v>21</v>
      </c>
      <c r="T2197" s="0" t="s">
        <v>104</v>
      </c>
      <c r="W2197" s="0" t="s">
        <v>105</v>
      </c>
      <c r="X2197" s="0" t="s">
        <v>7245</v>
      </c>
      <c r="Y2197" s="0" t="s">
        <v>7246</v>
      </c>
      <c r="Z2197" s="0" t="s">
        <v>350</v>
      </c>
    </row>
    <row r="2198" customFormat="false" ht="15" hidden="false" customHeight="false" outlineLevel="0" collapsed="false">
      <c r="A2198" s="0" t="s">
        <v>21</v>
      </c>
      <c r="B2198" s="0" t="s">
        <v>7247</v>
      </c>
      <c r="C2198" s="0" t="s">
        <v>97</v>
      </c>
      <c r="D2198" s="0" t="s">
        <v>7248</v>
      </c>
      <c r="E2198" s="0" t="s">
        <v>7249</v>
      </c>
      <c r="M2198" s="0" t="s">
        <v>136</v>
      </c>
      <c r="N2198" s="0" t="s">
        <v>124</v>
      </c>
      <c r="P2198" s="0" t="s">
        <v>102</v>
      </c>
      <c r="Q2198" s="0" t="s">
        <v>102</v>
      </c>
      <c r="R2198" s="0" t="s">
        <v>804</v>
      </c>
      <c r="S2198" s="0" t="s">
        <v>21</v>
      </c>
      <c r="T2198" s="0" t="s">
        <v>104</v>
      </c>
      <c r="W2198" s="0" t="s">
        <v>105</v>
      </c>
    </row>
    <row r="2199" customFormat="false" ht="15" hidden="false" customHeight="false" outlineLevel="0" collapsed="false">
      <c r="A2199" s="0" t="s">
        <v>21</v>
      </c>
      <c r="B2199" s="0" t="s">
        <v>7250</v>
      </c>
      <c r="C2199" s="0" t="s">
        <v>97</v>
      </c>
      <c r="D2199" s="0" t="s">
        <v>7242</v>
      </c>
      <c r="E2199" s="0" t="s">
        <v>7251</v>
      </c>
      <c r="M2199" s="0" t="s">
        <v>136</v>
      </c>
      <c r="N2199" s="0" t="s">
        <v>124</v>
      </c>
      <c r="P2199" s="0" t="s">
        <v>102</v>
      </c>
      <c r="Q2199" s="0" t="s">
        <v>102</v>
      </c>
      <c r="R2199" s="0" t="s">
        <v>804</v>
      </c>
      <c r="S2199" s="0" t="s">
        <v>21</v>
      </c>
      <c r="T2199" s="0" t="s">
        <v>104</v>
      </c>
      <c r="W2199" s="0" t="s">
        <v>105</v>
      </c>
    </row>
    <row r="2200" customFormat="false" ht="15" hidden="false" customHeight="false" outlineLevel="0" collapsed="false">
      <c r="A2200" s="0" t="s">
        <v>21</v>
      </c>
      <c r="B2200" s="0" t="s">
        <v>7252</v>
      </c>
      <c r="C2200" s="0" t="s">
        <v>97</v>
      </c>
      <c r="D2200" s="0" t="s">
        <v>7253</v>
      </c>
      <c r="E2200" s="0" t="s">
        <v>7254</v>
      </c>
      <c r="M2200" s="0" t="s">
        <v>136</v>
      </c>
      <c r="N2200" s="0" t="s">
        <v>124</v>
      </c>
      <c r="P2200" s="0" t="s">
        <v>102</v>
      </c>
      <c r="Q2200" s="0" t="s">
        <v>102</v>
      </c>
      <c r="R2200" s="0" t="s">
        <v>144</v>
      </c>
      <c r="S2200" s="0" t="s">
        <v>21</v>
      </c>
      <c r="T2200" s="0" t="s">
        <v>104</v>
      </c>
      <c r="W2200" s="0" t="s">
        <v>105</v>
      </c>
    </row>
    <row r="2201" customFormat="false" ht="15" hidden="false" customHeight="false" outlineLevel="0" collapsed="false">
      <c r="A2201" s="0" t="s">
        <v>21</v>
      </c>
      <c r="B2201" s="0" t="s">
        <v>7255</v>
      </c>
      <c r="C2201" s="0" t="s">
        <v>97</v>
      </c>
      <c r="E2201" s="0" t="s">
        <v>7256</v>
      </c>
      <c r="M2201" s="0" t="s">
        <v>232</v>
      </c>
      <c r="N2201" s="0" t="s">
        <v>124</v>
      </c>
      <c r="P2201" s="0" t="s">
        <v>130</v>
      </c>
      <c r="Q2201" s="0" t="s">
        <v>130</v>
      </c>
      <c r="R2201" s="0" t="s">
        <v>144</v>
      </c>
      <c r="S2201" s="0" t="s">
        <v>21</v>
      </c>
      <c r="T2201" s="0" t="s">
        <v>104</v>
      </c>
      <c r="W2201" s="0" t="s">
        <v>105</v>
      </c>
    </row>
    <row r="2202" customFormat="false" ht="15" hidden="false" customHeight="false" outlineLevel="0" collapsed="false">
      <c r="A2202" s="0" t="s">
        <v>21</v>
      </c>
      <c r="B2202" s="0" t="s">
        <v>7257</v>
      </c>
      <c r="C2202" s="0" t="s">
        <v>97</v>
      </c>
      <c r="D2202" s="0" t="s">
        <v>7258</v>
      </c>
      <c r="E2202" s="0" t="s">
        <v>7259</v>
      </c>
      <c r="M2202" s="0" t="s">
        <v>656</v>
      </c>
      <c r="N2202" s="0" t="s">
        <v>101</v>
      </c>
      <c r="P2202" s="0" t="s">
        <v>102</v>
      </c>
      <c r="Q2202" s="0" t="s">
        <v>102</v>
      </c>
      <c r="R2202" s="0" t="s">
        <v>113</v>
      </c>
      <c r="S2202" s="0" t="s">
        <v>21</v>
      </c>
      <c r="T2202" s="0" t="s">
        <v>104</v>
      </c>
      <c r="W2202" s="0" t="s">
        <v>105</v>
      </c>
    </row>
    <row r="2203" customFormat="false" ht="15" hidden="false" customHeight="false" outlineLevel="0" collapsed="false">
      <c r="A2203" s="0" t="s">
        <v>21</v>
      </c>
      <c r="B2203" s="0" t="s">
        <v>7260</v>
      </c>
      <c r="C2203" s="0" t="s">
        <v>97</v>
      </c>
      <c r="D2203" s="0" t="s">
        <v>7261</v>
      </c>
      <c r="E2203" s="0" t="s">
        <v>7262</v>
      </c>
      <c r="M2203" s="0" t="s">
        <v>136</v>
      </c>
      <c r="N2203" s="0" t="s">
        <v>124</v>
      </c>
      <c r="P2203" s="0" t="s">
        <v>102</v>
      </c>
      <c r="Q2203" s="0" t="s">
        <v>102</v>
      </c>
      <c r="R2203" s="0" t="s">
        <v>144</v>
      </c>
      <c r="S2203" s="0" t="s">
        <v>21</v>
      </c>
      <c r="T2203" s="0" t="s">
        <v>104</v>
      </c>
      <c r="W2203" s="0" t="s">
        <v>105</v>
      </c>
    </row>
    <row r="2204" customFormat="false" ht="15" hidden="false" customHeight="false" outlineLevel="0" collapsed="false">
      <c r="A2204" s="0" t="s">
        <v>21</v>
      </c>
      <c r="B2204" s="0" t="s">
        <v>7263</v>
      </c>
      <c r="C2204" s="0" t="s">
        <v>97</v>
      </c>
      <c r="D2204" s="0" t="s">
        <v>7264</v>
      </c>
      <c r="E2204" s="0" t="s">
        <v>7265</v>
      </c>
      <c r="M2204" s="0" t="s">
        <v>656</v>
      </c>
      <c r="N2204" s="0" t="s">
        <v>101</v>
      </c>
      <c r="P2204" s="0" t="s">
        <v>102</v>
      </c>
      <c r="Q2204" s="0" t="s">
        <v>102</v>
      </c>
      <c r="R2204" s="0" t="s">
        <v>144</v>
      </c>
      <c r="S2204" s="0" t="s">
        <v>21</v>
      </c>
      <c r="T2204" s="0" t="s">
        <v>104</v>
      </c>
      <c r="W2204" s="0" t="s">
        <v>105</v>
      </c>
    </row>
    <row r="2205" customFormat="false" ht="15" hidden="false" customHeight="false" outlineLevel="0" collapsed="false">
      <c r="A2205" s="0" t="s">
        <v>21</v>
      </c>
      <c r="B2205" s="0" t="s">
        <v>7266</v>
      </c>
      <c r="C2205" s="0" t="s">
        <v>97</v>
      </c>
      <c r="D2205" s="0" t="s">
        <v>7264</v>
      </c>
      <c r="E2205" s="0" t="s">
        <v>7267</v>
      </c>
      <c r="M2205" s="0" t="s">
        <v>100</v>
      </c>
      <c r="N2205" s="0" t="s">
        <v>101</v>
      </c>
      <c r="P2205" s="0" t="s">
        <v>102</v>
      </c>
      <c r="Q2205" s="0" t="s">
        <v>102</v>
      </c>
      <c r="R2205" s="0" t="s">
        <v>144</v>
      </c>
      <c r="S2205" s="0" t="s">
        <v>21</v>
      </c>
      <c r="T2205" s="0" t="s">
        <v>104</v>
      </c>
      <c r="W2205" s="0" t="s">
        <v>105</v>
      </c>
    </row>
    <row r="2206" customFormat="false" ht="15" hidden="false" customHeight="false" outlineLevel="0" collapsed="false">
      <c r="A2206" s="0" t="s">
        <v>21</v>
      </c>
      <c r="B2206" s="0" t="s">
        <v>7268</v>
      </c>
      <c r="C2206" s="0" t="s">
        <v>97</v>
      </c>
      <c r="D2206" s="0" t="s">
        <v>7269</v>
      </c>
      <c r="E2206" s="0" t="s">
        <v>7270</v>
      </c>
      <c r="H2206" s="0" t="s">
        <v>7271</v>
      </c>
      <c r="I2206" s="0" t="s">
        <v>7272</v>
      </c>
      <c r="J2206" s="0" t="s">
        <v>437</v>
      </c>
      <c r="K2206" s="0" t="s">
        <v>1639</v>
      </c>
      <c r="L2206" s="0" t="s">
        <v>101</v>
      </c>
      <c r="M2206" s="0" t="s">
        <v>437</v>
      </c>
      <c r="N2206" s="0" t="s">
        <v>101</v>
      </c>
      <c r="P2206" s="0" t="s">
        <v>102</v>
      </c>
      <c r="Q2206" s="0" t="s">
        <v>102</v>
      </c>
      <c r="R2206" s="0" t="s">
        <v>131</v>
      </c>
      <c r="S2206" s="0" t="s">
        <v>21</v>
      </c>
      <c r="T2206" s="0" t="s">
        <v>104</v>
      </c>
      <c r="W2206" s="0" t="s">
        <v>105</v>
      </c>
      <c r="X2206" s="0" t="s">
        <v>7273</v>
      </c>
      <c r="Y2206" s="0" t="s">
        <v>7274</v>
      </c>
    </row>
    <row r="2207" customFormat="false" ht="15" hidden="false" customHeight="false" outlineLevel="0" collapsed="false">
      <c r="A2207" s="0" t="s">
        <v>21</v>
      </c>
      <c r="B2207" s="0" t="s">
        <v>7275</v>
      </c>
      <c r="C2207" s="0" t="s">
        <v>97</v>
      </c>
      <c r="D2207" s="0" t="s">
        <v>7276</v>
      </c>
      <c r="E2207" s="0" t="s">
        <v>7277</v>
      </c>
      <c r="M2207" s="0" t="s">
        <v>136</v>
      </c>
      <c r="N2207" s="0" t="s">
        <v>124</v>
      </c>
      <c r="P2207" s="0" t="s">
        <v>102</v>
      </c>
      <c r="Q2207" s="0" t="s">
        <v>102</v>
      </c>
      <c r="R2207" s="0" t="s">
        <v>144</v>
      </c>
      <c r="S2207" s="0" t="s">
        <v>21</v>
      </c>
      <c r="T2207" s="0" t="s">
        <v>104</v>
      </c>
      <c r="W2207" s="0" t="s">
        <v>105</v>
      </c>
    </row>
    <row r="2208" customFormat="false" ht="15" hidden="false" customHeight="false" outlineLevel="0" collapsed="false">
      <c r="A2208" s="0" t="s">
        <v>21</v>
      </c>
      <c r="B2208" s="0" t="s">
        <v>7278</v>
      </c>
      <c r="C2208" s="0" t="s">
        <v>97</v>
      </c>
      <c r="D2208" s="0" t="s">
        <v>7279</v>
      </c>
      <c r="E2208" s="0" t="s">
        <v>7280</v>
      </c>
      <c r="M2208" s="0" t="s">
        <v>136</v>
      </c>
      <c r="N2208" s="0" t="s">
        <v>124</v>
      </c>
      <c r="P2208" s="0" t="s">
        <v>102</v>
      </c>
      <c r="Q2208" s="0" t="s">
        <v>102</v>
      </c>
      <c r="R2208" s="0" t="s">
        <v>144</v>
      </c>
      <c r="S2208" s="0" t="s">
        <v>21</v>
      </c>
      <c r="T2208" s="0" t="s">
        <v>104</v>
      </c>
      <c r="W2208" s="0" t="s">
        <v>105</v>
      </c>
    </row>
    <row r="2209" customFormat="false" ht="15" hidden="false" customHeight="false" outlineLevel="0" collapsed="false">
      <c r="A2209" s="0" t="s">
        <v>21</v>
      </c>
      <c r="B2209" s="0" t="s">
        <v>7281</v>
      </c>
      <c r="C2209" s="0" t="s">
        <v>110</v>
      </c>
      <c r="D2209" s="0" t="s">
        <v>7282</v>
      </c>
      <c r="H2209" s="0" t="s">
        <v>7283</v>
      </c>
      <c r="I2209" s="0" t="s">
        <v>7281</v>
      </c>
      <c r="J2209" s="0" t="s">
        <v>218</v>
      </c>
      <c r="K2209" s="0" t="s">
        <v>7284</v>
      </c>
      <c r="L2209" s="0" t="s">
        <v>124</v>
      </c>
      <c r="M2209" s="0" t="s">
        <v>232</v>
      </c>
      <c r="N2209" s="0" t="s">
        <v>124</v>
      </c>
      <c r="P2209" s="0" t="s">
        <v>102</v>
      </c>
      <c r="Q2209" s="0" t="s">
        <v>102</v>
      </c>
      <c r="R2209" s="0" t="s">
        <v>113</v>
      </c>
      <c r="S2209" s="0" t="s">
        <v>21</v>
      </c>
      <c r="T2209" s="0" t="s">
        <v>104</v>
      </c>
      <c r="W2209" s="0" t="s">
        <v>105</v>
      </c>
    </row>
    <row r="2210" customFormat="false" ht="15" hidden="false" customHeight="false" outlineLevel="0" collapsed="false">
      <c r="A2210" s="0" t="s">
        <v>21</v>
      </c>
      <c r="B2210" s="0" t="s">
        <v>7281</v>
      </c>
      <c r="C2210" s="0" t="s">
        <v>110</v>
      </c>
      <c r="D2210" s="0" t="s">
        <v>7282</v>
      </c>
      <c r="H2210" s="0" t="s">
        <v>7283</v>
      </c>
      <c r="I2210" s="0" t="s">
        <v>7281</v>
      </c>
      <c r="J2210" s="0" t="s">
        <v>218</v>
      </c>
      <c r="K2210" s="0" t="s">
        <v>7284</v>
      </c>
      <c r="L2210" s="0" t="s">
        <v>124</v>
      </c>
      <c r="M2210" s="0" t="s">
        <v>232</v>
      </c>
      <c r="N2210" s="0" t="s">
        <v>124</v>
      </c>
      <c r="P2210" s="0" t="s">
        <v>4272</v>
      </c>
      <c r="Q2210" s="0" t="s">
        <v>6335</v>
      </c>
      <c r="R2210" s="0" t="s">
        <v>7285</v>
      </c>
      <c r="S2210" s="0" t="s">
        <v>21</v>
      </c>
      <c r="T2210" s="0" t="s">
        <v>104</v>
      </c>
      <c r="W2210" s="0" t="s">
        <v>183</v>
      </c>
    </row>
    <row r="2211" customFormat="false" ht="15" hidden="false" customHeight="false" outlineLevel="0" collapsed="false">
      <c r="A2211" s="0" t="s">
        <v>21</v>
      </c>
      <c r="B2211" s="0" t="s">
        <v>7286</v>
      </c>
      <c r="C2211" s="0" t="s">
        <v>97</v>
      </c>
      <c r="D2211" s="0" t="s">
        <v>7287</v>
      </c>
      <c r="E2211" s="0" t="s">
        <v>7288</v>
      </c>
      <c r="H2211" s="0" t="s">
        <v>654</v>
      </c>
      <c r="I2211" s="0" t="s">
        <v>655</v>
      </c>
      <c r="J2211" s="0" t="s">
        <v>100</v>
      </c>
      <c r="K2211" s="0" t="s">
        <v>168</v>
      </c>
      <c r="L2211" s="0" t="s">
        <v>101</v>
      </c>
      <c r="M2211" s="0" t="s">
        <v>656</v>
      </c>
      <c r="N2211" s="0" t="s">
        <v>101</v>
      </c>
      <c r="P2211" s="0" t="s">
        <v>102</v>
      </c>
      <c r="Q2211" s="0" t="s">
        <v>102</v>
      </c>
      <c r="R2211" s="0" t="s">
        <v>137</v>
      </c>
      <c r="S2211" s="0" t="s">
        <v>21</v>
      </c>
      <c r="T2211" s="0" t="s">
        <v>104</v>
      </c>
      <c r="W2211" s="0" t="s">
        <v>105</v>
      </c>
      <c r="X2211" s="0" t="s">
        <v>658</v>
      </c>
      <c r="Y2211" s="0" t="s">
        <v>659</v>
      </c>
    </row>
    <row r="2212" customFormat="false" ht="15" hidden="false" customHeight="false" outlineLevel="0" collapsed="false">
      <c r="A2212" s="0" t="s">
        <v>21</v>
      </c>
      <c r="B2212" s="0" t="s">
        <v>7289</v>
      </c>
      <c r="C2212" s="0" t="s">
        <v>97</v>
      </c>
      <c r="D2212" s="0" t="s">
        <v>7290</v>
      </c>
      <c r="E2212" s="0" t="s">
        <v>7291</v>
      </c>
      <c r="M2212" s="0" t="s">
        <v>136</v>
      </c>
      <c r="N2212" s="0" t="s">
        <v>124</v>
      </c>
      <c r="P2212" s="0" t="s">
        <v>102</v>
      </c>
      <c r="Q2212" s="0" t="s">
        <v>102</v>
      </c>
      <c r="R2212" s="0" t="s">
        <v>131</v>
      </c>
      <c r="S2212" s="0" t="s">
        <v>21</v>
      </c>
      <c r="T2212" s="0" t="s">
        <v>104</v>
      </c>
      <c r="W2212" s="0" t="s">
        <v>105</v>
      </c>
    </row>
    <row r="2213" customFormat="false" ht="15" hidden="false" customHeight="false" outlineLevel="0" collapsed="false">
      <c r="A2213" s="0" t="s">
        <v>21</v>
      </c>
      <c r="B2213" s="0" t="s">
        <v>7292</v>
      </c>
      <c r="C2213" s="0" t="s">
        <v>97</v>
      </c>
      <c r="D2213" s="0" t="s">
        <v>7293</v>
      </c>
      <c r="E2213" s="0" t="s">
        <v>7294</v>
      </c>
      <c r="G2213" s="0" t="s">
        <v>7295</v>
      </c>
      <c r="H2213" s="0" t="s">
        <v>654</v>
      </c>
      <c r="I2213" s="0" t="s">
        <v>655</v>
      </c>
      <c r="J2213" s="0" t="s">
        <v>100</v>
      </c>
      <c r="K2213" s="0" t="s">
        <v>168</v>
      </c>
      <c r="L2213" s="0" t="s">
        <v>101</v>
      </c>
      <c r="M2213" s="0" t="s">
        <v>656</v>
      </c>
      <c r="N2213" s="0" t="s">
        <v>101</v>
      </c>
      <c r="P2213" s="0" t="s">
        <v>102</v>
      </c>
      <c r="Q2213" s="0" t="s">
        <v>102</v>
      </c>
      <c r="R2213" s="0" t="s">
        <v>144</v>
      </c>
      <c r="S2213" s="0" t="s">
        <v>21</v>
      </c>
      <c r="T2213" s="0" t="s">
        <v>104</v>
      </c>
      <c r="W2213" s="0" t="s">
        <v>105</v>
      </c>
      <c r="X2213" s="0" t="s">
        <v>658</v>
      </c>
      <c r="Y2213" s="0" t="s">
        <v>659</v>
      </c>
    </row>
    <row r="2214" customFormat="false" ht="15" hidden="false" customHeight="false" outlineLevel="0" collapsed="false">
      <c r="A2214" s="0" t="s">
        <v>21</v>
      </c>
      <c r="B2214" s="0" t="s">
        <v>7296</v>
      </c>
      <c r="C2214" s="0" t="s">
        <v>97</v>
      </c>
      <c r="D2214" s="0" t="s">
        <v>7297</v>
      </c>
      <c r="E2214" s="0" t="s">
        <v>7294</v>
      </c>
      <c r="M2214" s="0" t="s">
        <v>100</v>
      </c>
      <c r="N2214" s="0" t="s">
        <v>101</v>
      </c>
      <c r="P2214" s="0" t="s">
        <v>102</v>
      </c>
      <c r="Q2214" s="0" t="s">
        <v>102</v>
      </c>
      <c r="R2214" s="0" t="s">
        <v>144</v>
      </c>
      <c r="S2214" s="0" t="s">
        <v>21</v>
      </c>
      <c r="T2214" s="0" t="s">
        <v>104</v>
      </c>
      <c r="W2214" s="0" t="s">
        <v>105</v>
      </c>
    </row>
    <row r="2215" customFormat="false" ht="15" hidden="false" customHeight="false" outlineLevel="0" collapsed="false">
      <c r="A2215" s="0" t="s">
        <v>21</v>
      </c>
      <c r="B2215" s="0" t="s">
        <v>7298</v>
      </c>
      <c r="C2215" s="0" t="s">
        <v>97</v>
      </c>
      <c r="D2215" s="0" t="s">
        <v>7299</v>
      </c>
      <c r="E2215" s="0" t="s">
        <v>7300</v>
      </c>
      <c r="H2215" s="0" t="s">
        <v>654</v>
      </c>
      <c r="I2215" s="0" t="s">
        <v>655</v>
      </c>
      <c r="J2215" s="0" t="s">
        <v>100</v>
      </c>
      <c r="K2215" s="0" t="s">
        <v>168</v>
      </c>
      <c r="L2215" s="0" t="s">
        <v>101</v>
      </c>
      <c r="M2215" s="0" t="s">
        <v>656</v>
      </c>
      <c r="N2215" s="0" t="s">
        <v>101</v>
      </c>
      <c r="P2215" s="0" t="s">
        <v>102</v>
      </c>
      <c r="Q2215" s="0" t="s">
        <v>102</v>
      </c>
      <c r="R2215" s="0" t="s">
        <v>144</v>
      </c>
      <c r="S2215" s="0" t="s">
        <v>21</v>
      </c>
      <c r="T2215" s="0" t="s">
        <v>104</v>
      </c>
      <c r="W2215" s="0" t="s">
        <v>105</v>
      </c>
      <c r="X2215" s="0" t="s">
        <v>658</v>
      </c>
      <c r="Y2215" s="0" t="s">
        <v>659</v>
      </c>
    </row>
    <row r="2216" customFormat="false" ht="15" hidden="false" customHeight="false" outlineLevel="0" collapsed="false">
      <c r="A2216" s="0" t="s">
        <v>21</v>
      </c>
      <c r="B2216" s="0" t="s">
        <v>7301</v>
      </c>
      <c r="C2216" s="0" t="s">
        <v>97</v>
      </c>
      <c r="D2216" s="0" t="s">
        <v>7302</v>
      </c>
      <c r="E2216" s="0" t="s">
        <v>7303</v>
      </c>
      <c r="H2216" s="0" t="s">
        <v>654</v>
      </c>
      <c r="I2216" s="0" t="s">
        <v>655</v>
      </c>
      <c r="J2216" s="0" t="s">
        <v>100</v>
      </c>
      <c r="K2216" s="0" t="s">
        <v>168</v>
      </c>
      <c r="L2216" s="0" t="s">
        <v>101</v>
      </c>
      <c r="M2216" s="0" t="s">
        <v>656</v>
      </c>
      <c r="N2216" s="0" t="s">
        <v>101</v>
      </c>
      <c r="P2216" s="0" t="s">
        <v>102</v>
      </c>
      <c r="Q2216" s="0" t="s">
        <v>102</v>
      </c>
      <c r="R2216" s="0" t="s">
        <v>113</v>
      </c>
      <c r="S2216" s="0" t="s">
        <v>21</v>
      </c>
      <c r="T2216" s="0" t="s">
        <v>104</v>
      </c>
      <c r="W2216" s="0" t="s">
        <v>105</v>
      </c>
      <c r="X2216" s="0" t="s">
        <v>658</v>
      </c>
      <c r="Y2216" s="0" t="s">
        <v>659</v>
      </c>
    </row>
    <row r="2217" customFormat="false" ht="15" hidden="false" customHeight="false" outlineLevel="0" collapsed="false">
      <c r="A2217" s="0" t="s">
        <v>21</v>
      </c>
      <c r="B2217" s="0" t="s">
        <v>7304</v>
      </c>
      <c r="C2217" s="0" t="s">
        <v>97</v>
      </c>
      <c r="D2217" s="0" t="s">
        <v>7305</v>
      </c>
      <c r="E2217" s="0" t="s">
        <v>7306</v>
      </c>
      <c r="G2217" s="0" t="s">
        <v>7307</v>
      </c>
      <c r="H2217" s="0" t="s">
        <v>654</v>
      </c>
      <c r="I2217" s="0" t="s">
        <v>655</v>
      </c>
      <c r="J2217" s="0" t="s">
        <v>100</v>
      </c>
      <c r="K2217" s="0" t="s">
        <v>168</v>
      </c>
      <c r="L2217" s="0" t="s">
        <v>101</v>
      </c>
      <c r="M2217" s="0" t="s">
        <v>656</v>
      </c>
      <c r="N2217" s="0" t="s">
        <v>101</v>
      </c>
      <c r="P2217" s="0" t="s">
        <v>102</v>
      </c>
      <c r="Q2217" s="0" t="s">
        <v>102</v>
      </c>
      <c r="R2217" s="0" t="s">
        <v>131</v>
      </c>
      <c r="S2217" s="0" t="s">
        <v>21</v>
      </c>
      <c r="T2217" s="0" t="s">
        <v>104</v>
      </c>
      <c r="W2217" s="0" t="s">
        <v>105</v>
      </c>
      <c r="X2217" s="0" t="s">
        <v>658</v>
      </c>
      <c r="Y2217" s="0" t="s">
        <v>659</v>
      </c>
    </row>
    <row r="2218" customFormat="false" ht="15" hidden="false" customHeight="false" outlineLevel="0" collapsed="false">
      <c r="A2218" s="0" t="s">
        <v>21</v>
      </c>
      <c r="B2218" s="0" t="s">
        <v>7308</v>
      </c>
      <c r="C2218" s="0" t="s">
        <v>97</v>
      </c>
      <c r="D2218" s="0" t="s">
        <v>7309</v>
      </c>
      <c r="E2218" s="0" t="s">
        <v>7310</v>
      </c>
      <c r="M2218" s="0" t="s">
        <v>136</v>
      </c>
      <c r="N2218" s="0" t="s">
        <v>124</v>
      </c>
      <c r="P2218" s="0" t="s">
        <v>102</v>
      </c>
      <c r="Q2218" s="0" t="s">
        <v>102</v>
      </c>
      <c r="R2218" s="0" t="s">
        <v>131</v>
      </c>
      <c r="S2218" s="0" t="s">
        <v>21</v>
      </c>
      <c r="T2218" s="0" t="s">
        <v>104</v>
      </c>
      <c r="W2218" s="0" t="s">
        <v>105</v>
      </c>
    </row>
    <row r="2219" customFormat="false" ht="15" hidden="false" customHeight="false" outlineLevel="0" collapsed="false">
      <c r="A2219" s="0" t="s">
        <v>21</v>
      </c>
      <c r="B2219" s="0" t="s">
        <v>7311</v>
      </c>
      <c r="C2219" s="0" t="s">
        <v>97</v>
      </c>
      <c r="D2219" s="0" t="s">
        <v>7312</v>
      </c>
      <c r="E2219" s="0" t="s">
        <v>7313</v>
      </c>
      <c r="G2219" s="0" t="s">
        <v>7314</v>
      </c>
      <c r="H2219" s="0" t="s">
        <v>654</v>
      </c>
      <c r="I2219" s="0" t="s">
        <v>655</v>
      </c>
      <c r="J2219" s="0" t="s">
        <v>100</v>
      </c>
      <c r="K2219" s="0" t="s">
        <v>168</v>
      </c>
      <c r="L2219" s="0" t="s">
        <v>101</v>
      </c>
      <c r="M2219" s="0" t="s">
        <v>656</v>
      </c>
      <c r="N2219" s="0" t="s">
        <v>101</v>
      </c>
      <c r="P2219" s="0" t="s">
        <v>102</v>
      </c>
      <c r="Q2219" s="0" t="s">
        <v>102</v>
      </c>
      <c r="R2219" s="0" t="s">
        <v>144</v>
      </c>
      <c r="S2219" s="0" t="s">
        <v>21</v>
      </c>
      <c r="T2219" s="0" t="s">
        <v>104</v>
      </c>
      <c r="W2219" s="0" t="s">
        <v>105</v>
      </c>
      <c r="X2219" s="0" t="s">
        <v>658</v>
      </c>
      <c r="Y2219" s="0" t="s">
        <v>659</v>
      </c>
    </row>
    <row r="2220" customFormat="false" ht="15" hidden="false" customHeight="false" outlineLevel="0" collapsed="false">
      <c r="A2220" s="0" t="s">
        <v>21</v>
      </c>
      <c r="B2220" s="0" t="s">
        <v>7315</v>
      </c>
      <c r="C2220" s="0" t="s">
        <v>97</v>
      </c>
      <c r="D2220" s="0" t="s">
        <v>7316</v>
      </c>
      <c r="E2220" s="0" t="s">
        <v>7313</v>
      </c>
      <c r="M2220" s="0" t="s">
        <v>100</v>
      </c>
      <c r="N2220" s="0" t="s">
        <v>101</v>
      </c>
      <c r="P2220" s="0" t="s">
        <v>102</v>
      </c>
      <c r="Q2220" s="0" t="s">
        <v>102</v>
      </c>
      <c r="R2220" s="0" t="s">
        <v>144</v>
      </c>
      <c r="S2220" s="0" t="s">
        <v>21</v>
      </c>
      <c r="T2220" s="0" t="s">
        <v>104</v>
      </c>
      <c r="W2220" s="0" t="s">
        <v>105</v>
      </c>
    </row>
    <row r="2221" customFormat="false" ht="15" hidden="false" customHeight="false" outlineLevel="0" collapsed="false">
      <c r="A2221" s="0" t="s">
        <v>21</v>
      </c>
      <c r="B2221" s="0" t="s">
        <v>7317</v>
      </c>
      <c r="C2221" s="0" t="s">
        <v>97</v>
      </c>
      <c r="D2221" s="0" t="s">
        <v>7318</v>
      </c>
      <c r="E2221" s="0" t="s">
        <v>7319</v>
      </c>
      <c r="M2221" s="0" t="s">
        <v>136</v>
      </c>
      <c r="N2221" s="0" t="s">
        <v>124</v>
      </c>
      <c r="P2221" s="0" t="s">
        <v>102</v>
      </c>
      <c r="Q2221" s="0" t="s">
        <v>102</v>
      </c>
      <c r="R2221" s="0" t="s">
        <v>144</v>
      </c>
      <c r="S2221" s="0" t="s">
        <v>21</v>
      </c>
      <c r="T2221" s="0" t="s">
        <v>104</v>
      </c>
      <c r="W2221" s="0" t="s">
        <v>105</v>
      </c>
    </row>
    <row r="2222" customFormat="false" ht="15" hidden="false" customHeight="false" outlineLevel="0" collapsed="false">
      <c r="A2222" s="0" t="s">
        <v>21</v>
      </c>
      <c r="B2222" s="0" t="s">
        <v>7320</v>
      </c>
      <c r="C2222" s="0" t="s">
        <v>97</v>
      </c>
      <c r="D2222" s="0" t="s">
        <v>7321</v>
      </c>
      <c r="E2222" s="0" t="s">
        <v>7322</v>
      </c>
      <c r="M2222" s="0" t="s">
        <v>136</v>
      </c>
      <c r="N2222" s="0" t="s">
        <v>124</v>
      </c>
      <c r="P2222" s="0" t="s">
        <v>102</v>
      </c>
      <c r="Q2222" s="0" t="s">
        <v>102</v>
      </c>
      <c r="R2222" s="0" t="s">
        <v>131</v>
      </c>
      <c r="S2222" s="0" t="s">
        <v>21</v>
      </c>
      <c r="T2222" s="0" t="s">
        <v>104</v>
      </c>
      <c r="W2222" s="0" t="s">
        <v>105</v>
      </c>
    </row>
    <row r="2223" customFormat="false" ht="15" hidden="false" customHeight="false" outlineLevel="0" collapsed="false">
      <c r="A2223" s="0" t="s">
        <v>21</v>
      </c>
      <c r="B2223" s="0" t="s">
        <v>7323</v>
      </c>
      <c r="C2223" s="0" t="s">
        <v>97</v>
      </c>
      <c r="D2223" s="0" t="s">
        <v>7324</v>
      </c>
      <c r="E2223" s="0" t="s">
        <v>7325</v>
      </c>
      <c r="H2223" s="0" t="s">
        <v>654</v>
      </c>
      <c r="I2223" s="0" t="s">
        <v>655</v>
      </c>
      <c r="J2223" s="0" t="s">
        <v>100</v>
      </c>
      <c r="K2223" s="0" t="s">
        <v>168</v>
      </c>
      <c r="L2223" s="0" t="s">
        <v>101</v>
      </c>
      <c r="M2223" s="0" t="s">
        <v>656</v>
      </c>
      <c r="N2223" s="0" t="s">
        <v>101</v>
      </c>
      <c r="P2223" s="0" t="s">
        <v>102</v>
      </c>
      <c r="Q2223" s="0" t="s">
        <v>102</v>
      </c>
      <c r="R2223" s="0" t="s">
        <v>113</v>
      </c>
      <c r="S2223" s="0" t="s">
        <v>21</v>
      </c>
      <c r="T2223" s="0" t="s">
        <v>104</v>
      </c>
      <c r="W2223" s="0" t="s">
        <v>105</v>
      </c>
      <c r="X2223" s="0" t="s">
        <v>658</v>
      </c>
      <c r="Y2223" s="0" t="s">
        <v>659</v>
      </c>
    </row>
    <row r="2224" customFormat="false" ht="15" hidden="false" customHeight="false" outlineLevel="0" collapsed="false">
      <c r="A2224" s="0" t="s">
        <v>21</v>
      </c>
      <c r="B2224" s="0" t="s">
        <v>7326</v>
      </c>
      <c r="C2224" s="0" t="s">
        <v>97</v>
      </c>
      <c r="D2224" s="0" t="s">
        <v>5032</v>
      </c>
      <c r="E2224" s="0" t="s">
        <v>7327</v>
      </c>
      <c r="M2224" s="0" t="s">
        <v>136</v>
      </c>
      <c r="N2224" s="0" t="s">
        <v>124</v>
      </c>
      <c r="P2224" s="0" t="s">
        <v>102</v>
      </c>
      <c r="Q2224" s="0" t="s">
        <v>102</v>
      </c>
      <c r="R2224" s="0" t="s">
        <v>113</v>
      </c>
      <c r="S2224" s="0" t="s">
        <v>21</v>
      </c>
      <c r="T2224" s="0" t="s">
        <v>104</v>
      </c>
      <c r="W2224" s="0" t="s">
        <v>105</v>
      </c>
    </row>
    <row r="2225" customFormat="false" ht="15" hidden="false" customHeight="false" outlineLevel="0" collapsed="false">
      <c r="A2225" s="0" t="s">
        <v>21</v>
      </c>
      <c r="B2225" s="0" t="s">
        <v>7328</v>
      </c>
      <c r="C2225" s="0" t="s">
        <v>97</v>
      </c>
      <c r="D2225" s="0" t="s">
        <v>7329</v>
      </c>
      <c r="E2225" s="0" t="s">
        <v>7330</v>
      </c>
      <c r="M2225" s="0" t="s">
        <v>656</v>
      </c>
      <c r="N2225" s="0" t="s">
        <v>101</v>
      </c>
      <c r="P2225" s="0" t="s">
        <v>102</v>
      </c>
      <c r="Q2225" s="0" t="s">
        <v>102</v>
      </c>
      <c r="R2225" s="0" t="s">
        <v>113</v>
      </c>
      <c r="S2225" s="0" t="s">
        <v>21</v>
      </c>
      <c r="T2225" s="0" t="s">
        <v>104</v>
      </c>
      <c r="W2225" s="0" t="s">
        <v>105</v>
      </c>
    </row>
    <row r="2226" customFormat="false" ht="15" hidden="false" customHeight="false" outlineLevel="0" collapsed="false">
      <c r="A2226" s="0" t="s">
        <v>21</v>
      </c>
      <c r="B2226" s="0" t="s">
        <v>7331</v>
      </c>
      <c r="C2226" s="0" t="s">
        <v>372</v>
      </c>
      <c r="D2226" s="0" t="s">
        <v>7332</v>
      </c>
      <c r="E2226" s="0" t="s">
        <v>7333</v>
      </c>
      <c r="H2226" s="0" t="s">
        <v>7334</v>
      </c>
      <c r="I2226" s="0" t="s">
        <v>7335</v>
      </c>
      <c r="J2226" s="0" t="s">
        <v>437</v>
      </c>
      <c r="K2226" s="0" t="s">
        <v>1179</v>
      </c>
      <c r="L2226" s="0" t="s">
        <v>101</v>
      </c>
      <c r="M2226" s="0" t="s">
        <v>656</v>
      </c>
      <c r="N2226" s="0" t="s">
        <v>101</v>
      </c>
      <c r="P2226" s="0" t="s">
        <v>379</v>
      </c>
      <c r="Q2226" s="0" t="s">
        <v>379</v>
      </c>
      <c r="R2226" s="0" t="s">
        <v>379</v>
      </c>
      <c r="S2226" s="0" t="s">
        <v>21</v>
      </c>
      <c r="T2226" s="0" t="s">
        <v>104</v>
      </c>
      <c r="W2226" s="0" t="s">
        <v>183</v>
      </c>
      <c r="X2226" s="0" t="s">
        <v>658</v>
      </c>
      <c r="Y2226" s="0" t="s">
        <v>659</v>
      </c>
    </row>
    <row r="2227" customFormat="false" ht="15" hidden="false" customHeight="false" outlineLevel="0" collapsed="false">
      <c r="A2227" s="0" t="s">
        <v>21</v>
      </c>
      <c r="B2227" s="0" t="s">
        <v>7331</v>
      </c>
      <c r="C2227" s="0" t="s">
        <v>372</v>
      </c>
      <c r="D2227" s="0" t="s">
        <v>7332</v>
      </c>
      <c r="E2227" s="0" t="s">
        <v>7333</v>
      </c>
      <c r="H2227" s="0" t="s">
        <v>7334</v>
      </c>
      <c r="I2227" s="0" t="s">
        <v>7335</v>
      </c>
      <c r="J2227" s="0" t="s">
        <v>437</v>
      </c>
      <c r="K2227" s="0" t="s">
        <v>1179</v>
      </c>
      <c r="L2227" s="0" t="s">
        <v>101</v>
      </c>
      <c r="M2227" s="0" t="s">
        <v>656</v>
      </c>
      <c r="N2227" s="0" t="s">
        <v>101</v>
      </c>
      <c r="P2227" s="0" t="s">
        <v>102</v>
      </c>
      <c r="Q2227" s="0" t="s">
        <v>102</v>
      </c>
      <c r="R2227" s="0" t="s">
        <v>113</v>
      </c>
      <c r="S2227" s="0" t="s">
        <v>21</v>
      </c>
      <c r="T2227" s="0" t="s">
        <v>104</v>
      </c>
      <c r="W2227" s="0" t="s">
        <v>105</v>
      </c>
      <c r="X2227" s="0" t="s">
        <v>658</v>
      </c>
      <c r="Y2227" s="0" t="s">
        <v>659</v>
      </c>
    </row>
    <row r="2228" customFormat="false" ht="15" hidden="false" customHeight="false" outlineLevel="0" collapsed="false">
      <c r="A2228" s="0" t="s">
        <v>21</v>
      </c>
      <c r="B2228" s="0" t="s">
        <v>7336</v>
      </c>
      <c r="C2228" s="0" t="s">
        <v>97</v>
      </c>
      <c r="D2228" s="0" t="s">
        <v>7337</v>
      </c>
      <c r="E2228" s="0" t="s">
        <v>7337</v>
      </c>
      <c r="M2228" s="0" t="s">
        <v>136</v>
      </c>
      <c r="N2228" s="0" t="s">
        <v>124</v>
      </c>
      <c r="P2228" s="0" t="s">
        <v>130</v>
      </c>
      <c r="Q2228" s="0" t="s">
        <v>130</v>
      </c>
      <c r="R2228" s="0" t="s">
        <v>131</v>
      </c>
      <c r="S2228" s="0" t="s">
        <v>21</v>
      </c>
      <c r="T2228" s="0" t="s">
        <v>104</v>
      </c>
      <c r="W2228" s="0" t="s">
        <v>105</v>
      </c>
    </row>
    <row r="2229" customFormat="false" ht="15" hidden="false" customHeight="false" outlineLevel="0" collapsed="false">
      <c r="A2229" s="0" t="s">
        <v>21</v>
      </c>
      <c r="B2229" s="0" t="s">
        <v>7338</v>
      </c>
      <c r="C2229" s="0" t="s">
        <v>97</v>
      </c>
      <c r="D2229" s="0" t="s">
        <v>7339</v>
      </c>
      <c r="E2229" s="0" t="s">
        <v>7340</v>
      </c>
      <c r="M2229" s="0" t="s">
        <v>136</v>
      </c>
      <c r="N2229" s="0" t="s">
        <v>124</v>
      </c>
      <c r="P2229" s="0" t="s">
        <v>102</v>
      </c>
      <c r="Q2229" s="0" t="s">
        <v>102</v>
      </c>
      <c r="R2229" s="0" t="s">
        <v>131</v>
      </c>
      <c r="S2229" s="0" t="s">
        <v>21</v>
      </c>
      <c r="T2229" s="0" t="s">
        <v>104</v>
      </c>
      <c r="W2229" s="0" t="s">
        <v>105</v>
      </c>
    </row>
    <row r="2230" customFormat="false" ht="15" hidden="false" customHeight="false" outlineLevel="0" collapsed="false">
      <c r="A2230" s="0" t="s">
        <v>21</v>
      </c>
      <c r="B2230" s="0" t="s">
        <v>7341</v>
      </c>
      <c r="C2230" s="0" t="s">
        <v>97</v>
      </c>
      <c r="D2230" s="0" t="s">
        <v>7342</v>
      </c>
      <c r="E2230" s="0" t="s">
        <v>7343</v>
      </c>
      <c r="M2230" s="0" t="s">
        <v>136</v>
      </c>
      <c r="N2230" s="0" t="s">
        <v>124</v>
      </c>
      <c r="P2230" s="0" t="s">
        <v>102</v>
      </c>
      <c r="Q2230" s="0" t="s">
        <v>102</v>
      </c>
      <c r="R2230" s="0" t="s">
        <v>131</v>
      </c>
      <c r="S2230" s="0" t="s">
        <v>21</v>
      </c>
      <c r="T2230" s="0" t="s">
        <v>104</v>
      </c>
      <c r="W2230" s="0" t="s">
        <v>105</v>
      </c>
    </row>
    <row r="2231" customFormat="false" ht="15" hidden="false" customHeight="false" outlineLevel="0" collapsed="false">
      <c r="A2231" s="0" t="s">
        <v>21</v>
      </c>
      <c r="B2231" s="0" t="s">
        <v>7344</v>
      </c>
      <c r="C2231" s="0" t="s">
        <v>97</v>
      </c>
      <c r="D2231" s="0" t="s">
        <v>834</v>
      </c>
      <c r="E2231" s="0" t="s">
        <v>7345</v>
      </c>
      <c r="M2231" s="0" t="s">
        <v>136</v>
      </c>
      <c r="N2231" s="0" t="s">
        <v>124</v>
      </c>
      <c r="P2231" s="0" t="s">
        <v>102</v>
      </c>
      <c r="Q2231" s="0" t="s">
        <v>102</v>
      </c>
      <c r="R2231" s="0" t="s">
        <v>131</v>
      </c>
      <c r="S2231" s="0" t="s">
        <v>21</v>
      </c>
      <c r="T2231" s="0" t="s">
        <v>104</v>
      </c>
      <c r="W2231" s="0" t="s">
        <v>105</v>
      </c>
    </row>
    <row r="2232" customFormat="false" ht="15" hidden="false" customHeight="false" outlineLevel="0" collapsed="false">
      <c r="A2232" s="0" t="s">
        <v>21</v>
      </c>
      <c r="B2232" s="0" t="s">
        <v>7346</v>
      </c>
      <c r="C2232" s="0" t="s">
        <v>97</v>
      </c>
      <c r="D2232" s="0" t="s">
        <v>7347</v>
      </c>
      <c r="E2232" s="0" t="s">
        <v>7348</v>
      </c>
      <c r="M2232" s="0" t="s">
        <v>136</v>
      </c>
      <c r="N2232" s="0" t="s">
        <v>124</v>
      </c>
      <c r="P2232" s="0" t="s">
        <v>102</v>
      </c>
      <c r="Q2232" s="0" t="s">
        <v>102</v>
      </c>
      <c r="R2232" s="0" t="s">
        <v>113</v>
      </c>
      <c r="S2232" s="0" t="s">
        <v>21</v>
      </c>
      <c r="T2232" s="0" t="s">
        <v>104</v>
      </c>
      <c r="W2232" s="0" t="s">
        <v>105</v>
      </c>
    </row>
    <row r="2233" customFormat="false" ht="15" hidden="false" customHeight="false" outlineLevel="0" collapsed="false">
      <c r="A2233" s="0" t="s">
        <v>21</v>
      </c>
      <c r="B2233" s="0" t="s">
        <v>7349</v>
      </c>
      <c r="C2233" s="0" t="s">
        <v>97</v>
      </c>
      <c r="D2233" s="0" t="s">
        <v>7350</v>
      </c>
      <c r="E2233" s="0" t="s">
        <v>7351</v>
      </c>
      <c r="H2233" s="0" t="s">
        <v>654</v>
      </c>
      <c r="I2233" s="0" t="s">
        <v>655</v>
      </c>
      <c r="J2233" s="0" t="s">
        <v>100</v>
      </c>
      <c r="K2233" s="0" t="s">
        <v>168</v>
      </c>
      <c r="L2233" s="0" t="s">
        <v>101</v>
      </c>
      <c r="M2233" s="0" t="s">
        <v>656</v>
      </c>
      <c r="N2233" s="0" t="s">
        <v>101</v>
      </c>
      <c r="P2233" s="0" t="s">
        <v>102</v>
      </c>
      <c r="Q2233" s="0" t="s">
        <v>102</v>
      </c>
      <c r="R2233" s="0" t="s">
        <v>113</v>
      </c>
      <c r="S2233" s="0" t="s">
        <v>21</v>
      </c>
      <c r="T2233" s="0" t="s">
        <v>104</v>
      </c>
      <c r="W2233" s="0" t="s">
        <v>105</v>
      </c>
      <c r="X2233" s="0" t="s">
        <v>658</v>
      </c>
      <c r="Y2233" s="0" t="s">
        <v>659</v>
      </c>
    </row>
    <row r="2234" customFormat="false" ht="15" hidden="false" customHeight="false" outlineLevel="0" collapsed="false">
      <c r="A2234" s="0" t="s">
        <v>21</v>
      </c>
      <c r="B2234" s="0" t="s">
        <v>7352</v>
      </c>
      <c r="C2234" s="0" t="s">
        <v>97</v>
      </c>
      <c r="D2234" s="0" t="s">
        <v>7353</v>
      </c>
      <c r="E2234" s="0" t="s">
        <v>7353</v>
      </c>
      <c r="M2234" s="0" t="s">
        <v>136</v>
      </c>
      <c r="N2234" s="0" t="s">
        <v>124</v>
      </c>
      <c r="P2234" s="0" t="s">
        <v>102</v>
      </c>
      <c r="Q2234" s="0" t="s">
        <v>102</v>
      </c>
      <c r="R2234" s="0" t="s">
        <v>131</v>
      </c>
      <c r="S2234" s="0" t="s">
        <v>21</v>
      </c>
      <c r="T2234" s="0" t="s">
        <v>104</v>
      </c>
      <c r="W2234" s="0" t="s">
        <v>105</v>
      </c>
    </row>
    <row r="2235" customFormat="false" ht="15" hidden="false" customHeight="false" outlineLevel="0" collapsed="false">
      <c r="A2235" s="0" t="s">
        <v>21</v>
      </c>
      <c r="B2235" s="0" t="s">
        <v>7354</v>
      </c>
      <c r="C2235" s="0" t="s">
        <v>97</v>
      </c>
      <c r="D2235" s="0" t="s">
        <v>7353</v>
      </c>
      <c r="E2235" s="0" t="s">
        <v>7355</v>
      </c>
      <c r="G2235" s="0" t="s">
        <v>7356</v>
      </c>
      <c r="H2235" s="0" t="s">
        <v>654</v>
      </c>
      <c r="I2235" s="0" t="s">
        <v>655</v>
      </c>
      <c r="J2235" s="0" t="s">
        <v>100</v>
      </c>
      <c r="K2235" s="0" t="s">
        <v>168</v>
      </c>
      <c r="L2235" s="0" t="s">
        <v>101</v>
      </c>
      <c r="M2235" s="0" t="s">
        <v>656</v>
      </c>
      <c r="N2235" s="0" t="s">
        <v>101</v>
      </c>
      <c r="P2235" s="0" t="s">
        <v>102</v>
      </c>
      <c r="Q2235" s="0" t="s">
        <v>102</v>
      </c>
      <c r="R2235" s="0" t="s">
        <v>131</v>
      </c>
      <c r="S2235" s="0" t="s">
        <v>21</v>
      </c>
      <c r="T2235" s="0" t="s">
        <v>104</v>
      </c>
      <c r="W2235" s="0" t="s">
        <v>105</v>
      </c>
      <c r="X2235" s="0" t="s">
        <v>658</v>
      </c>
      <c r="Y2235" s="0" t="s">
        <v>659</v>
      </c>
    </row>
    <row r="2236" customFormat="false" ht="15" hidden="false" customHeight="false" outlineLevel="0" collapsed="false">
      <c r="A2236" s="0" t="s">
        <v>21</v>
      </c>
      <c r="B2236" s="0" t="s">
        <v>7357</v>
      </c>
      <c r="C2236" s="0" t="s">
        <v>97</v>
      </c>
      <c r="D2236" s="0" t="s">
        <v>7358</v>
      </c>
      <c r="E2236" s="0" t="s">
        <v>7359</v>
      </c>
      <c r="G2236" s="0" t="s">
        <v>7360</v>
      </c>
      <c r="H2236" s="0" t="s">
        <v>654</v>
      </c>
      <c r="I2236" s="0" t="s">
        <v>655</v>
      </c>
      <c r="J2236" s="0" t="s">
        <v>100</v>
      </c>
      <c r="K2236" s="0" t="s">
        <v>168</v>
      </c>
      <c r="L2236" s="0" t="s">
        <v>101</v>
      </c>
      <c r="M2236" s="0" t="s">
        <v>656</v>
      </c>
      <c r="N2236" s="0" t="s">
        <v>101</v>
      </c>
      <c r="P2236" s="0" t="s">
        <v>102</v>
      </c>
      <c r="Q2236" s="0" t="s">
        <v>102</v>
      </c>
      <c r="R2236" s="0" t="s">
        <v>131</v>
      </c>
      <c r="S2236" s="0" t="s">
        <v>21</v>
      </c>
      <c r="T2236" s="0" t="s">
        <v>104</v>
      </c>
      <c r="W2236" s="0" t="s">
        <v>105</v>
      </c>
      <c r="X2236" s="0" t="s">
        <v>658</v>
      </c>
      <c r="Y2236" s="0" t="s">
        <v>659</v>
      </c>
    </row>
    <row r="2237" customFormat="false" ht="15" hidden="false" customHeight="false" outlineLevel="0" collapsed="false">
      <c r="A2237" s="0" t="s">
        <v>21</v>
      </c>
      <c r="B2237" s="0" t="s">
        <v>7361</v>
      </c>
      <c r="C2237" s="0" t="s">
        <v>7362</v>
      </c>
      <c r="D2237" s="0" t="s">
        <v>7363</v>
      </c>
      <c r="E2237" s="0" t="s">
        <v>7364</v>
      </c>
      <c r="G2237" s="0" t="s">
        <v>7365</v>
      </c>
      <c r="M2237" s="0" t="s">
        <v>437</v>
      </c>
      <c r="N2237" s="0" t="s">
        <v>101</v>
      </c>
      <c r="P2237" s="0" t="s">
        <v>102</v>
      </c>
      <c r="Q2237" s="0" t="s">
        <v>102</v>
      </c>
      <c r="R2237" s="0" t="s">
        <v>137</v>
      </c>
      <c r="S2237" s="0" t="s">
        <v>21</v>
      </c>
      <c r="T2237" s="0" t="s">
        <v>104</v>
      </c>
      <c r="W2237" s="0" t="s">
        <v>105</v>
      </c>
    </row>
    <row r="2238" customFormat="false" ht="41.75" hidden="false" customHeight="false" outlineLevel="0" collapsed="false">
      <c r="A2238" s="0" t="s">
        <v>21</v>
      </c>
      <c r="B2238" s="0" t="s">
        <v>7366</v>
      </c>
      <c r="C2238" s="0" t="s">
        <v>7367</v>
      </c>
      <c r="D2238" s="0" t="s">
        <v>7368</v>
      </c>
      <c r="E2238" s="0" t="s">
        <v>7369</v>
      </c>
      <c r="G2238" s="9" t="s">
        <v>7370</v>
      </c>
      <c r="M2238" s="0" t="s">
        <v>437</v>
      </c>
      <c r="N2238" s="0" t="s">
        <v>101</v>
      </c>
      <c r="P2238" s="0" t="s">
        <v>102</v>
      </c>
      <c r="Q2238" s="0" t="s">
        <v>102</v>
      </c>
      <c r="R2238" s="0" t="s">
        <v>113</v>
      </c>
      <c r="S2238" s="0" t="s">
        <v>21</v>
      </c>
      <c r="T2238" s="0" t="s">
        <v>104</v>
      </c>
      <c r="W2238" s="0" t="s">
        <v>105</v>
      </c>
    </row>
    <row r="2239" customFormat="false" ht="15" hidden="false" customHeight="false" outlineLevel="0" collapsed="false">
      <c r="A2239" s="0" t="s">
        <v>21</v>
      </c>
      <c r="B2239" s="0" t="s">
        <v>7371</v>
      </c>
      <c r="C2239" s="0" t="s">
        <v>139</v>
      </c>
      <c r="D2239" s="0" t="s">
        <v>7372</v>
      </c>
      <c r="E2239" s="0" t="s">
        <v>7373</v>
      </c>
      <c r="H2239" s="0" t="s">
        <v>7374</v>
      </c>
      <c r="I2239" s="0" t="s">
        <v>7375</v>
      </c>
      <c r="J2239" s="0" t="s">
        <v>437</v>
      </c>
      <c r="K2239" s="0" t="s">
        <v>1639</v>
      </c>
      <c r="M2239" s="0" t="s">
        <v>437</v>
      </c>
      <c r="N2239" s="0" t="s">
        <v>101</v>
      </c>
      <c r="P2239" s="0" t="s">
        <v>102</v>
      </c>
      <c r="Q2239" s="0" t="s">
        <v>102</v>
      </c>
      <c r="R2239" s="0" t="s">
        <v>137</v>
      </c>
      <c r="S2239" s="0" t="s">
        <v>21</v>
      </c>
      <c r="T2239" s="0" t="s">
        <v>104</v>
      </c>
      <c r="W2239" s="0" t="s">
        <v>105</v>
      </c>
    </row>
    <row r="2240" customFormat="false" ht="15" hidden="false" customHeight="false" outlineLevel="0" collapsed="false">
      <c r="A2240" s="0" t="s">
        <v>21</v>
      </c>
      <c r="B2240" s="0" t="s">
        <v>7376</v>
      </c>
      <c r="C2240" s="0" t="s">
        <v>97</v>
      </c>
      <c r="D2240" s="0" t="s">
        <v>7377</v>
      </c>
      <c r="E2240" s="0" t="s">
        <v>7378</v>
      </c>
      <c r="G2240" s="0" t="s">
        <v>7379</v>
      </c>
      <c r="H2240" s="0" t="s">
        <v>654</v>
      </c>
      <c r="I2240" s="0" t="s">
        <v>655</v>
      </c>
      <c r="J2240" s="0" t="s">
        <v>100</v>
      </c>
      <c r="K2240" s="0" t="s">
        <v>168</v>
      </c>
      <c r="L2240" s="0" t="s">
        <v>101</v>
      </c>
      <c r="M2240" s="0" t="s">
        <v>656</v>
      </c>
      <c r="N2240" s="0" t="s">
        <v>101</v>
      </c>
      <c r="P2240" s="0" t="s">
        <v>102</v>
      </c>
      <c r="Q2240" s="0" t="s">
        <v>102</v>
      </c>
      <c r="R2240" s="0" t="s">
        <v>131</v>
      </c>
      <c r="S2240" s="0" t="s">
        <v>21</v>
      </c>
      <c r="T2240" s="0" t="s">
        <v>104</v>
      </c>
      <c r="W2240" s="0" t="s">
        <v>105</v>
      </c>
      <c r="X2240" s="0" t="s">
        <v>658</v>
      </c>
      <c r="Y2240" s="0" t="s">
        <v>659</v>
      </c>
    </row>
    <row r="2241" customFormat="false" ht="15" hidden="false" customHeight="false" outlineLevel="0" collapsed="false">
      <c r="A2241" s="0" t="s">
        <v>21</v>
      </c>
      <c r="B2241" s="0" t="s">
        <v>7380</v>
      </c>
      <c r="C2241" s="0" t="s">
        <v>97</v>
      </c>
      <c r="D2241" s="0" t="s">
        <v>7381</v>
      </c>
      <c r="E2241" s="0" t="s">
        <v>7382</v>
      </c>
      <c r="G2241" s="0" t="s">
        <v>7383</v>
      </c>
      <c r="H2241" s="0" t="s">
        <v>654</v>
      </c>
      <c r="I2241" s="0" t="s">
        <v>655</v>
      </c>
      <c r="J2241" s="0" t="s">
        <v>100</v>
      </c>
      <c r="K2241" s="0" t="s">
        <v>168</v>
      </c>
      <c r="L2241" s="0" t="s">
        <v>101</v>
      </c>
      <c r="M2241" s="0" t="s">
        <v>656</v>
      </c>
      <c r="N2241" s="0" t="s">
        <v>101</v>
      </c>
      <c r="P2241" s="0" t="s">
        <v>102</v>
      </c>
      <c r="Q2241" s="0" t="s">
        <v>102</v>
      </c>
      <c r="R2241" s="0" t="s">
        <v>131</v>
      </c>
      <c r="S2241" s="0" t="s">
        <v>21</v>
      </c>
      <c r="T2241" s="0" t="s">
        <v>104</v>
      </c>
      <c r="W2241" s="0" t="s">
        <v>105</v>
      </c>
      <c r="X2241" s="0" t="s">
        <v>658</v>
      </c>
      <c r="Y2241" s="0" t="s">
        <v>659</v>
      </c>
    </row>
    <row r="2242" customFormat="false" ht="15" hidden="false" customHeight="false" outlineLevel="0" collapsed="false">
      <c r="A2242" s="0" t="s">
        <v>21</v>
      </c>
      <c r="B2242" s="0" t="s">
        <v>7384</v>
      </c>
      <c r="C2242" s="0" t="s">
        <v>97</v>
      </c>
      <c r="D2242" s="0" t="s">
        <v>1192</v>
      </c>
      <c r="E2242" s="0" t="s">
        <v>7385</v>
      </c>
      <c r="H2242" s="0" t="s">
        <v>7386</v>
      </c>
      <c r="I2242" s="0" t="s">
        <v>7387</v>
      </c>
      <c r="J2242" s="0" t="s">
        <v>437</v>
      </c>
      <c r="K2242" s="0" t="s">
        <v>1179</v>
      </c>
      <c r="L2242" s="0" t="s">
        <v>101</v>
      </c>
      <c r="M2242" s="0" t="s">
        <v>437</v>
      </c>
      <c r="N2242" s="0" t="s">
        <v>101</v>
      </c>
      <c r="P2242" s="0" t="s">
        <v>102</v>
      </c>
      <c r="Q2242" s="0" t="s">
        <v>102</v>
      </c>
      <c r="R2242" s="0" t="s">
        <v>113</v>
      </c>
      <c r="S2242" s="0" t="s">
        <v>21</v>
      </c>
      <c r="T2242" s="0" t="s">
        <v>104</v>
      </c>
      <c r="W2242" s="0" t="s">
        <v>105</v>
      </c>
      <c r="X2242" s="0" t="s">
        <v>7388</v>
      </c>
      <c r="Y2242" s="0" t="s">
        <v>7389</v>
      </c>
    </row>
    <row r="2243" customFormat="false" ht="15" hidden="false" customHeight="false" outlineLevel="0" collapsed="false">
      <c r="A2243" s="0" t="s">
        <v>21</v>
      </c>
      <c r="B2243" s="0" t="s">
        <v>7390</v>
      </c>
      <c r="C2243" s="0" t="s">
        <v>97</v>
      </c>
      <c r="D2243" s="0" t="s">
        <v>7391</v>
      </c>
      <c r="E2243" s="0" t="s">
        <v>7392</v>
      </c>
      <c r="G2243" s="0" t="s">
        <v>7393</v>
      </c>
      <c r="H2243" s="0" t="s">
        <v>654</v>
      </c>
      <c r="I2243" s="0" t="s">
        <v>655</v>
      </c>
      <c r="J2243" s="0" t="s">
        <v>100</v>
      </c>
      <c r="K2243" s="0" t="s">
        <v>168</v>
      </c>
      <c r="L2243" s="0" t="s">
        <v>101</v>
      </c>
      <c r="M2243" s="0" t="s">
        <v>656</v>
      </c>
      <c r="N2243" s="0" t="s">
        <v>101</v>
      </c>
      <c r="P2243" s="0" t="s">
        <v>102</v>
      </c>
      <c r="Q2243" s="0" t="s">
        <v>102</v>
      </c>
      <c r="R2243" s="0" t="s">
        <v>131</v>
      </c>
      <c r="S2243" s="0" t="s">
        <v>21</v>
      </c>
      <c r="T2243" s="0" t="s">
        <v>104</v>
      </c>
      <c r="W2243" s="0" t="s">
        <v>105</v>
      </c>
      <c r="X2243" s="0" t="s">
        <v>658</v>
      </c>
      <c r="Y2243" s="0" t="s">
        <v>659</v>
      </c>
    </row>
    <row r="2244" customFormat="false" ht="15" hidden="false" customHeight="false" outlineLevel="0" collapsed="false">
      <c r="A2244" s="0" t="s">
        <v>21</v>
      </c>
      <c r="B2244" s="0" t="s">
        <v>7394</v>
      </c>
      <c r="C2244" s="0" t="s">
        <v>97</v>
      </c>
      <c r="D2244" s="0" t="s">
        <v>7395</v>
      </c>
      <c r="E2244" s="0" t="s">
        <v>7395</v>
      </c>
      <c r="M2244" s="0" t="s">
        <v>442</v>
      </c>
      <c r="N2244" s="0" t="s">
        <v>101</v>
      </c>
      <c r="P2244" s="0" t="s">
        <v>102</v>
      </c>
      <c r="Q2244" s="0" t="s">
        <v>102</v>
      </c>
      <c r="R2244" s="0" t="s">
        <v>131</v>
      </c>
      <c r="S2244" s="0" t="s">
        <v>21</v>
      </c>
      <c r="T2244" s="0" t="s">
        <v>104</v>
      </c>
      <c r="W2244" s="0" t="s">
        <v>105</v>
      </c>
    </row>
    <row r="2245" customFormat="false" ht="15" hidden="false" customHeight="false" outlineLevel="0" collapsed="false">
      <c r="A2245" s="0" t="s">
        <v>21</v>
      </c>
      <c r="B2245" s="0" t="s">
        <v>7396</v>
      </c>
      <c r="C2245" s="0" t="s">
        <v>97</v>
      </c>
      <c r="D2245" s="0" t="s">
        <v>2356</v>
      </c>
      <c r="E2245" s="0" t="s">
        <v>7397</v>
      </c>
      <c r="H2245" s="0" t="s">
        <v>654</v>
      </c>
      <c r="I2245" s="0" t="s">
        <v>655</v>
      </c>
      <c r="J2245" s="0" t="s">
        <v>100</v>
      </c>
      <c r="K2245" s="0" t="s">
        <v>168</v>
      </c>
      <c r="L2245" s="0" t="s">
        <v>101</v>
      </c>
      <c r="M2245" s="0" t="s">
        <v>656</v>
      </c>
      <c r="N2245" s="0" t="s">
        <v>101</v>
      </c>
      <c r="P2245" s="0" t="s">
        <v>102</v>
      </c>
      <c r="Q2245" s="0" t="s">
        <v>102</v>
      </c>
      <c r="R2245" s="0" t="s">
        <v>113</v>
      </c>
      <c r="S2245" s="0" t="s">
        <v>21</v>
      </c>
      <c r="T2245" s="0" t="s">
        <v>104</v>
      </c>
      <c r="W2245" s="0" t="s">
        <v>105</v>
      </c>
      <c r="X2245" s="0" t="s">
        <v>658</v>
      </c>
      <c r="Y2245" s="0" t="s">
        <v>659</v>
      </c>
    </row>
    <row r="2246" customFormat="false" ht="15" hidden="false" customHeight="false" outlineLevel="0" collapsed="false">
      <c r="A2246" s="0" t="s">
        <v>21</v>
      </c>
      <c r="B2246" s="0" t="s">
        <v>7398</v>
      </c>
      <c r="C2246" s="0" t="s">
        <v>97</v>
      </c>
      <c r="D2246" s="0" t="s">
        <v>7399</v>
      </c>
      <c r="E2246" s="0" t="s">
        <v>7400</v>
      </c>
      <c r="H2246" s="0" t="s">
        <v>654</v>
      </c>
      <c r="I2246" s="0" t="s">
        <v>655</v>
      </c>
      <c r="J2246" s="0" t="s">
        <v>100</v>
      </c>
      <c r="K2246" s="0" t="s">
        <v>168</v>
      </c>
      <c r="L2246" s="0" t="s">
        <v>101</v>
      </c>
      <c r="M2246" s="0" t="s">
        <v>656</v>
      </c>
      <c r="N2246" s="0" t="s">
        <v>101</v>
      </c>
      <c r="P2246" s="0" t="s">
        <v>102</v>
      </c>
      <c r="Q2246" s="0" t="s">
        <v>102</v>
      </c>
      <c r="R2246" s="0" t="s">
        <v>144</v>
      </c>
      <c r="S2246" s="0" t="s">
        <v>21</v>
      </c>
      <c r="T2246" s="0" t="s">
        <v>104</v>
      </c>
      <c r="W2246" s="0" t="s">
        <v>105</v>
      </c>
      <c r="X2246" s="0" t="s">
        <v>658</v>
      </c>
      <c r="Y2246" s="0" t="s">
        <v>659</v>
      </c>
    </row>
    <row r="2247" customFormat="false" ht="15" hidden="false" customHeight="false" outlineLevel="0" collapsed="false">
      <c r="A2247" s="0" t="s">
        <v>21</v>
      </c>
      <c r="B2247" s="0" t="s">
        <v>7401</v>
      </c>
      <c r="C2247" s="0" t="s">
        <v>97</v>
      </c>
      <c r="D2247" s="0" t="s">
        <v>7402</v>
      </c>
      <c r="E2247" s="0" t="s">
        <v>7403</v>
      </c>
      <c r="G2247" s="0" t="s">
        <v>7404</v>
      </c>
      <c r="H2247" s="0" t="s">
        <v>654</v>
      </c>
      <c r="I2247" s="0" t="s">
        <v>655</v>
      </c>
      <c r="J2247" s="0" t="s">
        <v>100</v>
      </c>
      <c r="K2247" s="0" t="s">
        <v>168</v>
      </c>
      <c r="L2247" s="0" t="s">
        <v>101</v>
      </c>
      <c r="M2247" s="0" t="s">
        <v>656</v>
      </c>
      <c r="N2247" s="0" t="s">
        <v>101</v>
      </c>
      <c r="P2247" s="0" t="s">
        <v>102</v>
      </c>
      <c r="Q2247" s="0" t="s">
        <v>102</v>
      </c>
      <c r="R2247" s="0" t="s">
        <v>131</v>
      </c>
      <c r="S2247" s="0" t="s">
        <v>21</v>
      </c>
      <c r="T2247" s="0" t="s">
        <v>104</v>
      </c>
      <c r="W2247" s="0" t="s">
        <v>105</v>
      </c>
      <c r="X2247" s="0" t="s">
        <v>658</v>
      </c>
      <c r="Y2247" s="0" t="s">
        <v>659</v>
      </c>
    </row>
    <row r="2248" customFormat="false" ht="15" hidden="false" customHeight="false" outlineLevel="0" collapsed="false">
      <c r="A2248" s="0" t="s">
        <v>21</v>
      </c>
      <c r="B2248" s="0" t="s">
        <v>7405</v>
      </c>
      <c r="C2248" s="0" t="s">
        <v>97</v>
      </c>
      <c r="D2248" s="0" t="s">
        <v>7406</v>
      </c>
      <c r="E2248" s="0" t="s">
        <v>7406</v>
      </c>
      <c r="F2248" s="0" t="s">
        <v>7406</v>
      </c>
      <c r="M2248" s="0" t="s">
        <v>136</v>
      </c>
      <c r="N2248" s="0" t="s">
        <v>124</v>
      </c>
      <c r="P2248" s="0" t="s">
        <v>102</v>
      </c>
      <c r="Q2248" s="0" t="s">
        <v>102</v>
      </c>
      <c r="R2248" s="0" t="s">
        <v>131</v>
      </c>
      <c r="S2248" s="0" t="s">
        <v>21</v>
      </c>
      <c r="T2248" s="0" t="s">
        <v>104</v>
      </c>
      <c r="W2248" s="0" t="s">
        <v>105</v>
      </c>
    </row>
    <row r="2249" customFormat="false" ht="15" hidden="false" customHeight="false" outlineLevel="0" collapsed="false">
      <c r="A2249" s="0" t="s">
        <v>21</v>
      </c>
      <c r="B2249" s="0" t="s">
        <v>7407</v>
      </c>
      <c r="C2249" s="0" t="s">
        <v>97</v>
      </c>
      <c r="D2249" s="0" t="s">
        <v>7408</v>
      </c>
      <c r="E2249" s="0" t="s">
        <v>7409</v>
      </c>
      <c r="M2249" s="0" t="s">
        <v>656</v>
      </c>
      <c r="N2249" s="0" t="s">
        <v>101</v>
      </c>
      <c r="P2249" s="0" t="s">
        <v>102</v>
      </c>
      <c r="Q2249" s="0" t="s">
        <v>102</v>
      </c>
      <c r="R2249" s="0" t="s">
        <v>144</v>
      </c>
      <c r="S2249" s="0" t="s">
        <v>21</v>
      </c>
      <c r="T2249" s="0" t="s">
        <v>104</v>
      </c>
      <c r="W2249" s="0" t="s">
        <v>105</v>
      </c>
    </row>
    <row r="2250" customFormat="false" ht="15" hidden="false" customHeight="false" outlineLevel="0" collapsed="false">
      <c r="A2250" s="0" t="s">
        <v>21</v>
      </c>
      <c r="B2250" s="0" t="s">
        <v>7410</v>
      </c>
      <c r="C2250" s="0" t="s">
        <v>97</v>
      </c>
      <c r="D2250" s="0" t="s">
        <v>7411</v>
      </c>
      <c r="E2250" s="0" t="s">
        <v>7412</v>
      </c>
      <c r="G2250" s="0" t="s">
        <v>7413</v>
      </c>
      <c r="H2250" s="0" t="s">
        <v>654</v>
      </c>
      <c r="I2250" s="0" t="s">
        <v>655</v>
      </c>
      <c r="J2250" s="0" t="s">
        <v>100</v>
      </c>
      <c r="K2250" s="0" t="s">
        <v>168</v>
      </c>
      <c r="L2250" s="0" t="s">
        <v>101</v>
      </c>
      <c r="M2250" s="0" t="s">
        <v>656</v>
      </c>
      <c r="N2250" s="0" t="s">
        <v>101</v>
      </c>
      <c r="P2250" s="0" t="s">
        <v>102</v>
      </c>
      <c r="Q2250" s="0" t="s">
        <v>102</v>
      </c>
      <c r="R2250" s="0" t="s">
        <v>131</v>
      </c>
      <c r="S2250" s="0" t="s">
        <v>21</v>
      </c>
      <c r="T2250" s="0" t="s">
        <v>104</v>
      </c>
      <c r="W2250" s="0" t="s">
        <v>105</v>
      </c>
      <c r="X2250" s="0" t="s">
        <v>658</v>
      </c>
      <c r="Y2250" s="0" t="s">
        <v>659</v>
      </c>
    </row>
    <row r="2251" customFormat="false" ht="15" hidden="false" customHeight="false" outlineLevel="0" collapsed="false">
      <c r="A2251" s="0" t="s">
        <v>21</v>
      </c>
      <c r="B2251" s="0" t="s">
        <v>7414</v>
      </c>
      <c r="C2251" s="0" t="s">
        <v>97</v>
      </c>
      <c r="D2251" s="0" t="s">
        <v>439</v>
      </c>
      <c r="E2251" s="0" t="s">
        <v>7415</v>
      </c>
      <c r="M2251" s="0" t="s">
        <v>100</v>
      </c>
      <c r="N2251" s="0" t="s">
        <v>101</v>
      </c>
      <c r="P2251" s="0" t="s">
        <v>102</v>
      </c>
      <c r="Q2251" s="0" t="s">
        <v>102</v>
      </c>
      <c r="R2251" s="0" t="s">
        <v>113</v>
      </c>
      <c r="S2251" s="0" t="s">
        <v>21</v>
      </c>
      <c r="T2251" s="0" t="s">
        <v>104</v>
      </c>
      <c r="W2251" s="0" t="s">
        <v>105</v>
      </c>
    </row>
    <row r="2252" customFormat="false" ht="15" hidden="false" customHeight="false" outlineLevel="0" collapsed="false">
      <c r="A2252" s="0" t="s">
        <v>21</v>
      </c>
      <c r="B2252" s="0" t="s">
        <v>7416</v>
      </c>
      <c r="C2252" s="0" t="s">
        <v>97</v>
      </c>
      <c r="D2252" s="0" t="s">
        <v>7417</v>
      </c>
      <c r="E2252" s="0" t="s">
        <v>7417</v>
      </c>
      <c r="M2252" s="0" t="s">
        <v>101</v>
      </c>
      <c r="N2252" s="0" t="s">
        <v>101</v>
      </c>
      <c r="P2252" s="0" t="s">
        <v>102</v>
      </c>
      <c r="Q2252" s="0" t="s">
        <v>102</v>
      </c>
      <c r="R2252" s="0" t="s">
        <v>131</v>
      </c>
      <c r="S2252" s="0" t="s">
        <v>21</v>
      </c>
      <c r="T2252" s="0" t="s">
        <v>104</v>
      </c>
      <c r="W2252" s="0" t="s">
        <v>105</v>
      </c>
    </row>
    <row r="2253" customFormat="false" ht="15" hidden="false" customHeight="false" outlineLevel="0" collapsed="false">
      <c r="A2253" s="0" t="s">
        <v>21</v>
      </c>
      <c r="B2253" s="0" t="s">
        <v>7418</v>
      </c>
      <c r="C2253" s="0" t="s">
        <v>97</v>
      </c>
      <c r="D2253" s="0" t="s">
        <v>7417</v>
      </c>
      <c r="E2253" s="0" t="s">
        <v>7417</v>
      </c>
      <c r="M2253" s="0" t="s">
        <v>101</v>
      </c>
      <c r="N2253" s="0" t="s">
        <v>101</v>
      </c>
      <c r="P2253" s="0" t="s">
        <v>102</v>
      </c>
      <c r="Q2253" s="0" t="s">
        <v>102</v>
      </c>
      <c r="R2253" s="0" t="s">
        <v>131</v>
      </c>
      <c r="S2253" s="0" t="s">
        <v>21</v>
      </c>
      <c r="T2253" s="0" t="s">
        <v>104</v>
      </c>
      <c r="W2253" s="0" t="s">
        <v>105</v>
      </c>
    </row>
    <row r="2254" customFormat="false" ht="15" hidden="false" customHeight="false" outlineLevel="0" collapsed="false">
      <c r="A2254" s="0" t="s">
        <v>21</v>
      </c>
      <c r="B2254" s="0" t="s">
        <v>7419</v>
      </c>
      <c r="C2254" s="0" t="s">
        <v>97</v>
      </c>
      <c r="D2254" s="0" t="s">
        <v>7417</v>
      </c>
      <c r="E2254" s="0" t="s">
        <v>7417</v>
      </c>
      <c r="M2254" s="0" t="s">
        <v>101</v>
      </c>
      <c r="N2254" s="0" t="s">
        <v>101</v>
      </c>
      <c r="P2254" s="0" t="s">
        <v>102</v>
      </c>
      <c r="Q2254" s="0" t="s">
        <v>102</v>
      </c>
      <c r="R2254" s="0" t="s">
        <v>131</v>
      </c>
      <c r="S2254" s="0" t="s">
        <v>21</v>
      </c>
      <c r="T2254" s="0" t="s">
        <v>104</v>
      </c>
      <c r="W2254" s="0" t="s">
        <v>105</v>
      </c>
    </row>
    <row r="2255" customFormat="false" ht="15" hidden="false" customHeight="false" outlineLevel="0" collapsed="false">
      <c r="A2255" s="0" t="s">
        <v>21</v>
      </c>
      <c r="B2255" s="0" t="s">
        <v>7420</v>
      </c>
      <c r="C2255" s="0" t="s">
        <v>110</v>
      </c>
      <c r="D2255" s="0" t="s">
        <v>7421</v>
      </c>
      <c r="E2255" s="0" t="s">
        <v>7421</v>
      </c>
      <c r="M2255" s="0" t="s">
        <v>178</v>
      </c>
      <c r="N2255" s="0" t="s">
        <v>124</v>
      </c>
      <c r="P2255" s="0" t="s">
        <v>102</v>
      </c>
      <c r="Q2255" s="0" t="s">
        <v>102</v>
      </c>
      <c r="R2255" s="0" t="s">
        <v>113</v>
      </c>
      <c r="S2255" s="0" t="s">
        <v>21</v>
      </c>
      <c r="T2255" s="0" t="s">
        <v>104</v>
      </c>
      <c r="W2255" s="0" t="s">
        <v>105</v>
      </c>
    </row>
    <row r="2256" customFormat="false" ht="15" hidden="false" customHeight="false" outlineLevel="0" collapsed="false">
      <c r="A2256" s="0" t="s">
        <v>21</v>
      </c>
      <c r="B2256" s="0" t="s">
        <v>7422</v>
      </c>
      <c r="C2256" s="0" t="s">
        <v>97</v>
      </c>
      <c r="D2256" s="0" t="s">
        <v>7423</v>
      </c>
      <c r="E2256" s="0" t="s">
        <v>7424</v>
      </c>
      <c r="M2256" s="0" t="s">
        <v>136</v>
      </c>
      <c r="N2256" s="0" t="s">
        <v>124</v>
      </c>
      <c r="P2256" s="0" t="s">
        <v>102</v>
      </c>
      <c r="Q2256" s="0" t="s">
        <v>102</v>
      </c>
      <c r="R2256" s="0" t="s">
        <v>144</v>
      </c>
      <c r="S2256" s="0" t="s">
        <v>21</v>
      </c>
      <c r="T2256" s="0" t="s">
        <v>104</v>
      </c>
      <c r="W2256" s="0" t="s">
        <v>105</v>
      </c>
    </row>
    <row r="2257" customFormat="false" ht="15" hidden="false" customHeight="false" outlineLevel="0" collapsed="false">
      <c r="A2257" s="0" t="s">
        <v>21</v>
      </c>
      <c r="B2257" s="0" t="s">
        <v>7425</v>
      </c>
      <c r="C2257" s="0" t="s">
        <v>110</v>
      </c>
      <c r="D2257" s="0" t="s">
        <v>7426</v>
      </c>
      <c r="M2257" s="0" t="s">
        <v>178</v>
      </c>
      <c r="N2257" s="0" t="s">
        <v>124</v>
      </c>
      <c r="P2257" s="0" t="s">
        <v>130</v>
      </c>
      <c r="Q2257" s="0" t="s">
        <v>130</v>
      </c>
      <c r="R2257" s="0" t="s">
        <v>113</v>
      </c>
      <c r="S2257" s="0" t="s">
        <v>21</v>
      </c>
      <c r="T2257" s="0" t="s">
        <v>104</v>
      </c>
      <c r="W2257" s="0" t="s">
        <v>105</v>
      </c>
    </row>
    <row r="2258" customFormat="false" ht="15" hidden="false" customHeight="false" outlineLevel="0" collapsed="false">
      <c r="A2258" s="0" t="s">
        <v>21</v>
      </c>
      <c r="B2258" s="0" t="s">
        <v>7427</v>
      </c>
      <c r="C2258" s="0" t="s">
        <v>97</v>
      </c>
      <c r="D2258" s="0" t="s">
        <v>7428</v>
      </c>
      <c r="E2258" s="0" t="s">
        <v>7429</v>
      </c>
      <c r="M2258" s="0" t="s">
        <v>136</v>
      </c>
      <c r="N2258" s="0" t="s">
        <v>124</v>
      </c>
      <c r="P2258" s="0" t="s">
        <v>102</v>
      </c>
      <c r="Q2258" s="0" t="s">
        <v>102</v>
      </c>
      <c r="R2258" s="0" t="s">
        <v>113</v>
      </c>
      <c r="S2258" s="0" t="s">
        <v>21</v>
      </c>
      <c r="T2258" s="0" t="s">
        <v>104</v>
      </c>
      <c r="W2258" s="0" t="s">
        <v>105</v>
      </c>
    </row>
    <row r="2259" customFormat="false" ht="15" hidden="false" customHeight="false" outlineLevel="0" collapsed="false">
      <c r="A2259" s="0" t="s">
        <v>21</v>
      </c>
      <c r="B2259" s="0" t="s">
        <v>7430</v>
      </c>
      <c r="C2259" s="0" t="s">
        <v>97</v>
      </c>
      <c r="D2259" s="0" t="s">
        <v>7426</v>
      </c>
      <c r="E2259" s="0" t="s">
        <v>7431</v>
      </c>
      <c r="M2259" s="0" t="s">
        <v>136</v>
      </c>
      <c r="N2259" s="0" t="s">
        <v>124</v>
      </c>
      <c r="P2259" s="0" t="s">
        <v>102</v>
      </c>
      <c r="Q2259" s="0" t="s">
        <v>102</v>
      </c>
      <c r="R2259" s="0" t="s">
        <v>113</v>
      </c>
      <c r="S2259" s="0" t="s">
        <v>21</v>
      </c>
      <c r="T2259" s="0" t="s">
        <v>104</v>
      </c>
      <c r="W2259" s="0" t="s">
        <v>105</v>
      </c>
    </row>
    <row r="2260" customFormat="false" ht="15" hidden="false" customHeight="false" outlineLevel="0" collapsed="false">
      <c r="A2260" s="0" t="s">
        <v>21</v>
      </c>
      <c r="B2260" s="0" t="s">
        <v>7432</v>
      </c>
      <c r="C2260" s="0" t="s">
        <v>97</v>
      </c>
      <c r="D2260" s="0" t="s">
        <v>7433</v>
      </c>
      <c r="E2260" s="0" t="s">
        <v>7434</v>
      </c>
      <c r="M2260" s="0" t="s">
        <v>136</v>
      </c>
      <c r="N2260" s="0" t="s">
        <v>124</v>
      </c>
      <c r="P2260" s="0" t="s">
        <v>102</v>
      </c>
      <c r="Q2260" s="0" t="s">
        <v>102</v>
      </c>
      <c r="R2260" s="0" t="s">
        <v>113</v>
      </c>
      <c r="S2260" s="0" t="s">
        <v>21</v>
      </c>
      <c r="T2260" s="0" t="s">
        <v>104</v>
      </c>
      <c r="W2260" s="0" t="s">
        <v>105</v>
      </c>
    </row>
    <row r="2261" customFormat="false" ht="15" hidden="false" customHeight="false" outlineLevel="0" collapsed="false">
      <c r="A2261" s="0" t="s">
        <v>21</v>
      </c>
      <c r="B2261" s="0" t="s">
        <v>7435</v>
      </c>
      <c r="C2261" s="0" t="s">
        <v>97</v>
      </c>
      <c r="D2261" s="0" t="s">
        <v>7436</v>
      </c>
      <c r="E2261" s="0" t="s">
        <v>7437</v>
      </c>
      <c r="M2261" s="0" t="s">
        <v>136</v>
      </c>
      <c r="N2261" s="0" t="s">
        <v>124</v>
      </c>
      <c r="P2261" s="0" t="s">
        <v>102</v>
      </c>
      <c r="Q2261" s="0" t="s">
        <v>102</v>
      </c>
      <c r="R2261" s="0" t="s">
        <v>131</v>
      </c>
      <c r="S2261" s="0" t="s">
        <v>21</v>
      </c>
      <c r="T2261" s="0" t="s">
        <v>104</v>
      </c>
      <c r="W2261" s="0" t="s">
        <v>105</v>
      </c>
    </row>
    <row r="2262" customFormat="false" ht="15" hidden="false" customHeight="false" outlineLevel="0" collapsed="false">
      <c r="A2262" s="0" t="s">
        <v>21</v>
      </c>
      <c r="B2262" s="0" t="s">
        <v>7438</v>
      </c>
      <c r="C2262" s="0" t="s">
        <v>97</v>
      </c>
      <c r="D2262" s="0" t="s">
        <v>7439</v>
      </c>
      <c r="E2262" s="0" t="s">
        <v>7440</v>
      </c>
      <c r="M2262" s="0" t="s">
        <v>136</v>
      </c>
      <c r="N2262" s="0" t="s">
        <v>124</v>
      </c>
      <c r="P2262" s="0" t="s">
        <v>102</v>
      </c>
      <c r="Q2262" s="0" t="s">
        <v>102</v>
      </c>
      <c r="R2262" s="0" t="s">
        <v>131</v>
      </c>
      <c r="S2262" s="0" t="s">
        <v>21</v>
      </c>
      <c r="T2262" s="0" t="s">
        <v>104</v>
      </c>
      <c r="W2262" s="0" t="s">
        <v>105</v>
      </c>
    </row>
    <row r="2263" customFormat="false" ht="15" hidden="false" customHeight="false" outlineLevel="0" collapsed="false">
      <c r="A2263" s="0" t="s">
        <v>21</v>
      </c>
      <c r="B2263" s="0" t="s">
        <v>7441</v>
      </c>
      <c r="C2263" s="0" t="s">
        <v>97</v>
      </c>
      <c r="D2263" s="0" t="s">
        <v>7442</v>
      </c>
      <c r="E2263" s="0" t="s">
        <v>7443</v>
      </c>
      <c r="F2263" s="0" t="s">
        <v>7443</v>
      </c>
      <c r="M2263" s="0" t="s">
        <v>100</v>
      </c>
      <c r="N2263" s="0" t="s">
        <v>101</v>
      </c>
      <c r="P2263" s="0" t="s">
        <v>102</v>
      </c>
      <c r="Q2263" s="0" t="s">
        <v>102</v>
      </c>
      <c r="R2263" s="0" t="s">
        <v>113</v>
      </c>
      <c r="S2263" s="0" t="s">
        <v>21</v>
      </c>
      <c r="T2263" s="0" t="s">
        <v>104</v>
      </c>
      <c r="W2263" s="0" t="s">
        <v>105</v>
      </c>
    </row>
    <row r="2264" customFormat="false" ht="15" hidden="false" customHeight="false" outlineLevel="0" collapsed="false">
      <c r="A2264" s="0" t="s">
        <v>21</v>
      </c>
      <c r="B2264" s="0" t="s">
        <v>7444</v>
      </c>
      <c r="C2264" s="0" t="s">
        <v>97</v>
      </c>
      <c r="M2264" s="0" t="s">
        <v>232</v>
      </c>
      <c r="N2264" s="0" t="s">
        <v>124</v>
      </c>
      <c r="P2264" s="0" t="s">
        <v>102</v>
      </c>
      <c r="Q2264" s="0" t="s">
        <v>102</v>
      </c>
      <c r="R2264" s="0" t="s">
        <v>234</v>
      </c>
      <c r="S2264" s="0" t="s">
        <v>21</v>
      </c>
      <c r="T2264" s="0" t="s">
        <v>104</v>
      </c>
      <c r="W2264" s="0" t="s">
        <v>105</v>
      </c>
    </row>
    <row r="2265" customFormat="false" ht="15" hidden="false" customHeight="false" outlineLevel="0" collapsed="false">
      <c r="A2265" s="0" t="s">
        <v>21</v>
      </c>
      <c r="B2265" s="0" t="s">
        <v>7445</v>
      </c>
      <c r="C2265" s="0" t="s">
        <v>116</v>
      </c>
      <c r="D2265" s="0" t="s">
        <v>7446</v>
      </c>
      <c r="E2265" s="0" t="s">
        <v>7447</v>
      </c>
      <c r="G2265" s="0" t="s">
        <v>7448</v>
      </c>
      <c r="M2265" s="0" t="s">
        <v>7449</v>
      </c>
      <c r="N2265" s="0" t="s">
        <v>7450</v>
      </c>
      <c r="P2265" s="0" t="s">
        <v>102</v>
      </c>
      <c r="Q2265" s="0" t="s">
        <v>102</v>
      </c>
      <c r="R2265" s="0" t="s">
        <v>113</v>
      </c>
      <c r="S2265" s="0" t="s">
        <v>21</v>
      </c>
      <c r="T2265" s="0" t="s">
        <v>104</v>
      </c>
      <c r="W2265" s="0" t="s">
        <v>105</v>
      </c>
      <c r="AB2265" s="0" t="s">
        <v>7451</v>
      </c>
    </row>
    <row r="2266" customFormat="false" ht="15" hidden="false" customHeight="false" outlineLevel="0" collapsed="false">
      <c r="A2266" s="0" t="s">
        <v>21</v>
      </c>
      <c r="B2266" s="0" t="s">
        <v>7452</v>
      </c>
      <c r="C2266" s="0" t="s">
        <v>97</v>
      </c>
      <c r="D2266" s="0" t="s">
        <v>7453</v>
      </c>
      <c r="E2266" s="0" t="s">
        <v>7454</v>
      </c>
      <c r="M2266" s="0" t="s">
        <v>136</v>
      </c>
      <c r="N2266" s="0" t="s">
        <v>124</v>
      </c>
      <c r="P2266" s="0" t="s">
        <v>102</v>
      </c>
      <c r="Q2266" s="0" t="s">
        <v>102</v>
      </c>
      <c r="R2266" s="0" t="s">
        <v>131</v>
      </c>
      <c r="S2266" s="0" t="s">
        <v>21</v>
      </c>
      <c r="T2266" s="0" t="s">
        <v>104</v>
      </c>
      <c r="W2266" s="0" t="s">
        <v>105</v>
      </c>
    </row>
    <row r="2267" customFormat="false" ht="15" hidden="false" customHeight="false" outlineLevel="0" collapsed="false">
      <c r="A2267" s="0" t="s">
        <v>21</v>
      </c>
      <c r="B2267" s="0" t="s">
        <v>7455</v>
      </c>
      <c r="C2267" s="0" t="s">
        <v>97</v>
      </c>
      <c r="D2267" s="0" t="s">
        <v>7456</v>
      </c>
      <c r="E2267" s="0" t="s">
        <v>7457</v>
      </c>
      <c r="M2267" s="0" t="s">
        <v>136</v>
      </c>
      <c r="N2267" s="0" t="s">
        <v>124</v>
      </c>
      <c r="P2267" s="0" t="s">
        <v>102</v>
      </c>
      <c r="Q2267" s="0" t="s">
        <v>102</v>
      </c>
      <c r="R2267" s="0" t="s">
        <v>131</v>
      </c>
      <c r="S2267" s="0" t="s">
        <v>21</v>
      </c>
      <c r="T2267" s="0" t="s">
        <v>104</v>
      </c>
      <c r="W2267" s="0" t="s">
        <v>105</v>
      </c>
    </row>
    <row r="2268" customFormat="false" ht="15" hidden="false" customHeight="false" outlineLevel="0" collapsed="false">
      <c r="A2268" s="0" t="s">
        <v>21</v>
      </c>
      <c r="B2268" s="0" t="s">
        <v>7458</v>
      </c>
      <c r="C2268" s="0" t="s">
        <v>97</v>
      </c>
      <c r="D2268" s="0" t="s">
        <v>7459</v>
      </c>
      <c r="E2268" s="0" t="s">
        <v>7460</v>
      </c>
      <c r="M2268" s="0" t="s">
        <v>100</v>
      </c>
      <c r="N2268" s="0" t="s">
        <v>101</v>
      </c>
      <c r="P2268" s="0" t="s">
        <v>102</v>
      </c>
      <c r="Q2268" s="0" t="s">
        <v>102</v>
      </c>
      <c r="R2268" s="0" t="s">
        <v>113</v>
      </c>
      <c r="S2268" s="0" t="s">
        <v>21</v>
      </c>
      <c r="T2268" s="0" t="s">
        <v>104</v>
      </c>
      <c r="W2268" s="0" t="s">
        <v>105</v>
      </c>
    </row>
    <row r="2269" customFormat="false" ht="15" hidden="false" customHeight="false" outlineLevel="0" collapsed="false">
      <c r="A2269" s="0" t="s">
        <v>21</v>
      </c>
      <c r="B2269" s="0" t="s">
        <v>7461</v>
      </c>
      <c r="C2269" s="0" t="s">
        <v>4319</v>
      </c>
      <c r="M2269" s="0" t="s">
        <v>247</v>
      </c>
      <c r="N2269" s="0" t="s">
        <v>124</v>
      </c>
      <c r="P2269" s="0" t="s">
        <v>130</v>
      </c>
      <c r="Q2269" s="0" t="s">
        <v>130</v>
      </c>
      <c r="R2269" s="0" t="s">
        <v>144</v>
      </c>
      <c r="S2269" s="0" t="s">
        <v>21</v>
      </c>
      <c r="T2269" s="0" t="s">
        <v>104</v>
      </c>
      <c r="W2269" s="0" t="s">
        <v>105</v>
      </c>
    </row>
    <row r="2270" customFormat="false" ht="15" hidden="false" customHeight="false" outlineLevel="0" collapsed="false">
      <c r="A2270" s="0" t="s">
        <v>21</v>
      </c>
      <c r="B2270" s="0" t="s">
        <v>7462</v>
      </c>
      <c r="C2270" s="0" t="s">
        <v>97</v>
      </c>
      <c r="M2270" s="0" t="s">
        <v>232</v>
      </c>
      <c r="N2270" s="0" t="s">
        <v>124</v>
      </c>
      <c r="P2270" s="0" t="s">
        <v>130</v>
      </c>
      <c r="Q2270" s="0" t="s">
        <v>130</v>
      </c>
      <c r="R2270" s="0" t="s">
        <v>144</v>
      </c>
      <c r="S2270" s="0" t="s">
        <v>21</v>
      </c>
      <c r="T2270" s="0" t="s">
        <v>104</v>
      </c>
      <c r="W2270" s="0" t="s">
        <v>105</v>
      </c>
    </row>
    <row r="2271" customFormat="false" ht="15" hidden="false" customHeight="false" outlineLevel="0" collapsed="false">
      <c r="A2271" s="0" t="s">
        <v>21</v>
      </c>
      <c r="B2271" s="0" t="s">
        <v>7463</v>
      </c>
      <c r="C2271" s="0" t="s">
        <v>97</v>
      </c>
      <c r="D2271" s="0" t="s">
        <v>7464</v>
      </c>
      <c r="E2271" s="0" t="s">
        <v>7465</v>
      </c>
      <c r="M2271" s="0" t="s">
        <v>136</v>
      </c>
      <c r="N2271" s="0" t="s">
        <v>124</v>
      </c>
      <c r="P2271" s="0" t="s">
        <v>102</v>
      </c>
      <c r="Q2271" s="0" t="s">
        <v>102</v>
      </c>
      <c r="R2271" s="0" t="s">
        <v>131</v>
      </c>
      <c r="S2271" s="0" t="s">
        <v>21</v>
      </c>
      <c r="T2271" s="0" t="s">
        <v>104</v>
      </c>
      <c r="W2271" s="0" t="s">
        <v>105</v>
      </c>
    </row>
    <row r="2272" customFormat="false" ht="15" hidden="false" customHeight="false" outlineLevel="0" collapsed="false">
      <c r="A2272" s="0" t="s">
        <v>21</v>
      </c>
      <c r="B2272" s="0" t="s">
        <v>7466</v>
      </c>
      <c r="C2272" s="0" t="s">
        <v>931</v>
      </c>
      <c r="D2272" s="0" t="s">
        <v>7467</v>
      </c>
      <c r="E2272" s="0" t="s">
        <v>720</v>
      </c>
      <c r="G2272" s="0" t="s">
        <v>7468</v>
      </c>
      <c r="H2272" s="0" t="s">
        <v>904</v>
      </c>
      <c r="I2272" s="0" t="s">
        <v>598</v>
      </c>
      <c r="J2272" s="0" t="s">
        <v>275</v>
      </c>
      <c r="K2272" s="0" t="s">
        <v>606</v>
      </c>
      <c r="L2272" s="0" t="s">
        <v>124</v>
      </c>
      <c r="M2272" s="0" t="s">
        <v>178</v>
      </c>
      <c r="N2272" s="0" t="s">
        <v>124</v>
      </c>
      <c r="P2272" s="0" t="s">
        <v>102</v>
      </c>
      <c r="Q2272" s="0" t="s">
        <v>102</v>
      </c>
      <c r="R2272" s="0" t="s">
        <v>113</v>
      </c>
      <c r="S2272" s="0" t="s">
        <v>21</v>
      </c>
      <c r="T2272" s="0" t="s">
        <v>104</v>
      </c>
      <c r="W2272" s="0" t="s">
        <v>105</v>
      </c>
      <c r="X2272" s="0" t="s">
        <v>7469</v>
      </c>
      <c r="Y2272" s="0" t="s">
        <v>7470</v>
      </c>
      <c r="Z2272" s="0" t="s">
        <v>195</v>
      </c>
      <c r="AA2272" s="0" t="s">
        <v>7471</v>
      </c>
    </row>
    <row r="2273" customFormat="false" ht="15" hidden="false" customHeight="false" outlineLevel="0" collapsed="false">
      <c r="A2273" s="0" t="s">
        <v>21</v>
      </c>
      <c r="B2273" s="0" t="s">
        <v>7472</v>
      </c>
      <c r="C2273" s="0" t="s">
        <v>97</v>
      </c>
      <c r="D2273" s="0" t="s">
        <v>7473</v>
      </c>
      <c r="E2273" s="0" t="s">
        <v>7474</v>
      </c>
      <c r="M2273" s="0" t="s">
        <v>136</v>
      </c>
      <c r="N2273" s="0" t="s">
        <v>124</v>
      </c>
      <c r="P2273" s="0" t="s">
        <v>102</v>
      </c>
      <c r="Q2273" s="0" t="s">
        <v>102</v>
      </c>
      <c r="R2273" s="0" t="s">
        <v>131</v>
      </c>
      <c r="S2273" s="0" t="s">
        <v>21</v>
      </c>
      <c r="T2273" s="0" t="s">
        <v>104</v>
      </c>
      <c r="W2273" s="0" t="s">
        <v>105</v>
      </c>
    </row>
    <row r="2274" customFormat="false" ht="15" hidden="false" customHeight="false" outlineLevel="0" collapsed="false">
      <c r="A2274" s="0" t="s">
        <v>21</v>
      </c>
      <c r="B2274" s="0" t="s">
        <v>6647</v>
      </c>
      <c r="C2274" s="0" t="s">
        <v>97</v>
      </c>
      <c r="D2274" s="0" t="s">
        <v>7475</v>
      </c>
      <c r="E2274" s="0" t="s">
        <v>7476</v>
      </c>
      <c r="M2274" s="0" t="s">
        <v>100</v>
      </c>
      <c r="N2274" s="0" t="s">
        <v>101</v>
      </c>
      <c r="P2274" s="0" t="s">
        <v>102</v>
      </c>
      <c r="Q2274" s="0" t="s">
        <v>102</v>
      </c>
      <c r="R2274" s="0" t="s">
        <v>131</v>
      </c>
      <c r="S2274" s="0" t="s">
        <v>21</v>
      </c>
      <c r="T2274" s="0" t="s">
        <v>104</v>
      </c>
      <c r="W2274" s="0" t="s">
        <v>105</v>
      </c>
    </row>
    <row r="2275" customFormat="false" ht="15" hidden="false" customHeight="false" outlineLevel="0" collapsed="false">
      <c r="A2275" s="0" t="s">
        <v>21</v>
      </c>
      <c r="B2275" s="0" t="s">
        <v>7477</v>
      </c>
      <c r="C2275" s="0" t="s">
        <v>97</v>
      </c>
      <c r="D2275" s="0" t="s">
        <v>1214</v>
      </c>
      <c r="E2275" s="0" t="s">
        <v>7478</v>
      </c>
      <c r="M2275" s="0" t="s">
        <v>656</v>
      </c>
      <c r="N2275" s="0" t="s">
        <v>101</v>
      </c>
      <c r="P2275" s="0" t="s">
        <v>102</v>
      </c>
      <c r="Q2275" s="0" t="s">
        <v>102</v>
      </c>
      <c r="R2275" s="0" t="s">
        <v>113</v>
      </c>
      <c r="S2275" s="0" t="s">
        <v>21</v>
      </c>
      <c r="T2275" s="0" t="s">
        <v>104</v>
      </c>
      <c r="W2275" s="0" t="s">
        <v>105</v>
      </c>
    </row>
    <row r="2276" customFormat="false" ht="15" hidden="false" customHeight="false" outlineLevel="0" collapsed="false">
      <c r="A2276" s="0" t="s">
        <v>21</v>
      </c>
      <c r="B2276" s="0" t="s">
        <v>7479</v>
      </c>
      <c r="C2276" s="0" t="s">
        <v>97</v>
      </c>
      <c r="D2276" s="0" t="s">
        <v>7480</v>
      </c>
      <c r="E2276" s="0" t="s">
        <v>7481</v>
      </c>
      <c r="M2276" s="0" t="s">
        <v>100</v>
      </c>
      <c r="N2276" s="0" t="s">
        <v>101</v>
      </c>
      <c r="P2276" s="0" t="s">
        <v>102</v>
      </c>
      <c r="Q2276" s="0" t="s">
        <v>102</v>
      </c>
      <c r="R2276" s="0" t="s">
        <v>131</v>
      </c>
      <c r="S2276" s="0" t="s">
        <v>21</v>
      </c>
      <c r="T2276" s="0" t="s">
        <v>104</v>
      </c>
      <c r="W2276" s="0" t="s">
        <v>105</v>
      </c>
    </row>
    <row r="2277" customFormat="false" ht="15" hidden="false" customHeight="false" outlineLevel="0" collapsed="false">
      <c r="A2277" s="0" t="s">
        <v>21</v>
      </c>
      <c r="B2277" s="0" t="s">
        <v>7482</v>
      </c>
      <c r="C2277" s="0" t="s">
        <v>97</v>
      </c>
      <c r="D2277" s="0" t="s">
        <v>7483</v>
      </c>
      <c r="E2277" s="0" t="s">
        <v>7483</v>
      </c>
      <c r="M2277" s="0" t="s">
        <v>136</v>
      </c>
      <c r="N2277" s="0" t="s">
        <v>124</v>
      </c>
      <c r="P2277" s="0" t="s">
        <v>102</v>
      </c>
      <c r="Q2277" s="0" t="s">
        <v>102</v>
      </c>
      <c r="R2277" s="0" t="s">
        <v>131</v>
      </c>
      <c r="S2277" s="0" t="s">
        <v>21</v>
      </c>
      <c r="T2277" s="0" t="s">
        <v>104</v>
      </c>
      <c r="W2277" s="0" t="s">
        <v>105</v>
      </c>
    </row>
    <row r="2278" customFormat="false" ht="15" hidden="false" customHeight="false" outlineLevel="0" collapsed="false">
      <c r="A2278" s="0" t="s">
        <v>21</v>
      </c>
      <c r="B2278" s="0" t="s">
        <v>7484</v>
      </c>
      <c r="C2278" s="0" t="s">
        <v>97</v>
      </c>
      <c r="D2278" s="0" t="s">
        <v>4750</v>
      </c>
      <c r="E2278" s="0" t="s">
        <v>7485</v>
      </c>
      <c r="H2278" s="0" t="s">
        <v>654</v>
      </c>
      <c r="I2278" s="0" t="s">
        <v>655</v>
      </c>
      <c r="J2278" s="0" t="s">
        <v>100</v>
      </c>
      <c r="K2278" s="0" t="s">
        <v>168</v>
      </c>
      <c r="L2278" s="0" t="s">
        <v>101</v>
      </c>
      <c r="M2278" s="0" t="s">
        <v>656</v>
      </c>
      <c r="N2278" s="0" t="s">
        <v>101</v>
      </c>
      <c r="P2278" s="0" t="s">
        <v>102</v>
      </c>
      <c r="Q2278" s="0" t="s">
        <v>102</v>
      </c>
      <c r="R2278" s="0" t="s">
        <v>137</v>
      </c>
      <c r="S2278" s="0" t="s">
        <v>21</v>
      </c>
      <c r="T2278" s="0" t="s">
        <v>104</v>
      </c>
      <c r="W2278" s="0" t="s">
        <v>105</v>
      </c>
      <c r="X2278" s="0" t="s">
        <v>658</v>
      </c>
      <c r="Y2278" s="0" t="s">
        <v>659</v>
      </c>
    </row>
    <row r="2279" customFormat="false" ht="15" hidden="false" customHeight="false" outlineLevel="0" collapsed="false">
      <c r="A2279" s="0" t="s">
        <v>21</v>
      </c>
      <c r="B2279" s="0" t="s">
        <v>7486</v>
      </c>
      <c r="C2279" s="0" t="s">
        <v>97</v>
      </c>
      <c r="D2279" s="0" t="s">
        <v>7487</v>
      </c>
      <c r="E2279" s="0" t="s">
        <v>7488</v>
      </c>
      <c r="G2279" s="0" t="s">
        <v>7489</v>
      </c>
      <c r="H2279" s="0" t="s">
        <v>654</v>
      </c>
      <c r="I2279" s="0" t="s">
        <v>655</v>
      </c>
      <c r="J2279" s="0" t="s">
        <v>100</v>
      </c>
      <c r="K2279" s="0" t="s">
        <v>168</v>
      </c>
      <c r="L2279" s="0" t="s">
        <v>101</v>
      </c>
      <c r="M2279" s="0" t="s">
        <v>656</v>
      </c>
      <c r="N2279" s="0" t="s">
        <v>101</v>
      </c>
      <c r="P2279" s="0" t="s">
        <v>102</v>
      </c>
      <c r="Q2279" s="0" t="s">
        <v>102</v>
      </c>
      <c r="R2279" s="0" t="s">
        <v>144</v>
      </c>
      <c r="S2279" s="0" t="s">
        <v>21</v>
      </c>
      <c r="T2279" s="0" t="s">
        <v>104</v>
      </c>
      <c r="W2279" s="0" t="s">
        <v>105</v>
      </c>
      <c r="X2279" s="0" t="s">
        <v>658</v>
      </c>
      <c r="Y2279" s="0" t="s">
        <v>659</v>
      </c>
    </row>
    <row r="2280" customFormat="false" ht="15" hidden="false" customHeight="false" outlineLevel="0" collapsed="false">
      <c r="A2280" s="0" t="s">
        <v>21</v>
      </c>
      <c r="B2280" s="0" t="s">
        <v>7490</v>
      </c>
      <c r="C2280" s="0" t="s">
        <v>97</v>
      </c>
      <c r="D2280" s="0" t="s">
        <v>7491</v>
      </c>
      <c r="E2280" s="0" t="s">
        <v>7492</v>
      </c>
      <c r="M2280" s="0" t="s">
        <v>136</v>
      </c>
      <c r="N2280" s="0" t="s">
        <v>124</v>
      </c>
      <c r="P2280" s="0" t="s">
        <v>102</v>
      </c>
      <c r="Q2280" s="0" t="s">
        <v>102</v>
      </c>
      <c r="R2280" s="0" t="s">
        <v>113</v>
      </c>
      <c r="S2280" s="0" t="s">
        <v>21</v>
      </c>
      <c r="T2280" s="0" t="s">
        <v>104</v>
      </c>
      <c r="W2280" s="0" t="s">
        <v>105</v>
      </c>
    </row>
    <row r="2281" customFormat="false" ht="15" hidden="false" customHeight="false" outlineLevel="0" collapsed="false">
      <c r="A2281" s="0" t="s">
        <v>21</v>
      </c>
      <c r="B2281" s="0" t="s">
        <v>7493</v>
      </c>
      <c r="C2281" s="0" t="s">
        <v>97</v>
      </c>
      <c r="D2281" s="0" t="s">
        <v>7494</v>
      </c>
      <c r="E2281" s="0" t="s">
        <v>7495</v>
      </c>
      <c r="M2281" s="0" t="s">
        <v>136</v>
      </c>
      <c r="N2281" s="0" t="s">
        <v>124</v>
      </c>
      <c r="P2281" s="0" t="s">
        <v>102</v>
      </c>
      <c r="Q2281" s="0" t="s">
        <v>102</v>
      </c>
      <c r="R2281" s="0" t="s">
        <v>131</v>
      </c>
      <c r="S2281" s="0" t="s">
        <v>21</v>
      </c>
      <c r="T2281" s="0" t="s">
        <v>104</v>
      </c>
      <c r="W2281" s="0" t="s">
        <v>105</v>
      </c>
    </row>
    <row r="2282" customFormat="false" ht="15" hidden="false" customHeight="false" outlineLevel="0" collapsed="false">
      <c r="A2282" s="0" t="s">
        <v>21</v>
      </c>
      <c r="B2282" s="0" t="s">
        <v>7496</v>
      </c>
      <c r="C2282" s="0" t="s">
        <v>200</v>
      </c>
      <c r="D2282" s="0" t="s">
        <v>7497</v>
      </c>
      <c r="E2282" s="0" t="s">
        <v>7498</v>
      </c>
      <c r="M2282" s="0" t="s">
        <v>232</v>
      </c>
      <c r="N2282" s="0" t="s">
        <v>124</v>
      </c>
      <c r="P2282" s="0" t="s">
        <v>130</v>
      </c>
      <c r="Q2282" s="0" t="s">
        <v>130</v>
      </c>
      <c r="R2282" s="0" t="s">
        <v>131</v>
      </c>
      <c r="S2282" s="0" t="s">
        <v>21</v>
      </c>
      <c r="T2282" s="0" t="s">
        <v>104</v>
      </c>
      <c r="W2282" s="0" t="s">
        <v>105</v>
      </c>
    </row>
    <row r="2283" customFormat="false" ht="15" hidden="false" customHeight="false" outlineLevel="0" collapsed="false">
      <c r="A2283" s="0" t="s">
        <v>21</v>
      </c>
      <c r="B2283" s="0" t="s">
        <v>7499</v>
      </c>
      <c r="C2283" s="0" t="s">
        <v>97</v>
      </c>
      <c r="D2283" s="0" t="s">
        <v>7500</v>
      </c>
      <c r="E2283" s="0" t="s">
        <v>7500</v>
      </c>
      <c r="M2283" s="0" t="s">
        <v>442</v>
      </c>
      <c r="N2283" s="0" t="s">
        <v>101</v>
      </c>
      <c r="P2283" s="0" t="s">
        <v>102</v>
      </c>
      <c r="Q2283" s="0" t="s">
        <v>102</v>
      </c>
      <c r="R2283" s="0" t="s">
        <v>131</v>
      </c>
      <c r="S2283" s="0" t="s">
        <v>21</v>
      </c>
      <c r="T2283" s="0" t="s">
        <v>104</v>
      </c>
      <c r="W2283" s="0" t="s">
        <v>105</v>
      </c>
    </row>
    <row r="2284" customFormat="false" ht="15" hidden="false" customHeight="false" outlineLevel="0" collapsed="false">
      <c r="A2284" s="0" t="s">
        <v>21</v>
      </c>
      <c r="B2284" s="0" t="s">
        <v>7501</v>
      </c>
      <c r="C2284" s="0" t="s">
        <v>97</v>
      </c>
      <c r="D2284" s="0" t="s">
        <v>7502</v>
      </c>
      <c r="E2284" s="0" t="s">
        <v>7502</v>
      </c>
      <c r="M2284" s="0" t="s">
        <v>442</v>
      </c>
      <c r="N2284" s="0" t="s">
        <v>101</v>
      </c>
      <c r="P2284" s="0" t="s">
        <v>102</v>
      </c>
      <c r="Q2284" s="0" t="s">
        <v>102</v>
      </c>
      <c r="R2284" s="0" t="s">
        <v>131</v>
      </c>
      <c r="S2284" s="0" t="s">
        <v>21</v>
      </c>
      <c r="T2284" s="0" t="s">
        <v>104</v>
      </c>
      <c r="W2284" s="0" t="s">
        <v>105</v>
      </c>
    </row>
    <row r="2285" customFormat="false" ht="15" hidden="false" customHeight="false" outlineLevel="0" collapsed="false">
      <c r="A2285" s="0" t="s">
        <v>21</v>
      </c>
      <c r="B2285" s="0" t="s">
        <v>7503</v>
      </c>
      <c r="C2285" s="0" t="s">
        <v>97</v>
      </c>
      <c r="D2285" s="0" t="s">
        <v>7504</v>
      </c>
      <c r="E2285" s="0" t="s">
        <v>7504</v>
      </c>
      <c r="F2285" s="0" t="s">
        <v>7504</v>
      </c>
      <c r="M2285" s="0" t="s">
        <v>100</v>
      </c>
      <c r="N2285" s="0" t="s">
        <v>101</v>
      </c>
      <c r="P2285" s="0" t="s">
        <v>102</v>
      </c>
      <c r="Q2285" s="0" t="s">
        <v>102</v>
      </c>
      <c r="R2285" s="0" t="s">
        <v>131</v>
      </c>
      <c r="S2285" s="0" t="s">
        <v>21</v>
      </c>
      <c r="T2285" s="0" t="s">
        <v>104</v>
      </c>
      <c r="W2285" s="0" t="s">
        <v>105</v>
      </c>
    </row>
    <row r="2286" customFormat="false" ht="15" hidden="false" customHeight="false" outlineLevel="0" collapsed="false">
      <c r="A2286" s="0" t="s">
        <v>21</v>
      </c>
      <c r="B2286" s="0" t="s">
        <v>7505</v>
      </c>
      <c r="C2286" s="0" t="s">
        <v>97</v>
      </c>
      <c r="D2286" s="0" t="s">
        <v>7506</v>
      </c>
      <c r="E2286" s="0" t="s">
        <v>7506</v>
      </c>
      <c r="M2286" s="0" t="s">
        <v>442</v>
      </c>
      <c r="N2286" s="0" t="s">
        <v>101</v>
      </c>
      <c r="P2286" s="0" t="s">
        <v>102</v>
      </c>
      <c r="Q2286" s="0" t="s">
        <v>102</v>
      </c>
      <c r="R2286" s="0" t="s">
        <v>131</v>
      </c>
      <c r="S2286" s="0" t="s">
        <v>21</v>
      </c>
      <c r="T2286" s="0" t="s">
        <v>104</v>
      </c>
      <c r="W2286" s="0" t="s">
        <v>105</v>
      </c>
    </row>
    <row r="2287" customFormat="false" ht="15" hidden="false" customHeight="false" outlineLevel="0" collapsed="false">
      <c r="A2287" s="0" t="s">
        <v>21</v>
      </c>
      <c r="B2287" s="0" t="s">
        <v>7507</v>
      </c>
      <c r="C2287" s="0" t="s">
        <v>97</v>
      </c>
      <c r="D2287" s="0" t="s">
        <v>7508</v>
      </c>
      <c r="E2287" s="0" t="s">
        <v>7508</v>
      </c>
      <c r="M2287" s="0" t="s">
        <v>442</v>
      </c>
      <c r="N2287" s="0" t="s">
        <v>101</v>
      </c>
      <c r="P2287" s="0" t="s">
        <v>102</v>
      </c>
      <c r="Q2287" s="0" t="s">
        <v>102</v>
      </c>
      <c r="R2287" s="0" t="s">
        <v>131</v>
      </c>
      <c r="S2287" s="0" t="s">
        <v>21</v>
      </c>
      <c r="T2287" s="0" t="s">
        <v>104</v>
      </c>
      <c r="W2287" s="0" t="s">
        <v>105</v>
      </c>
    </row>
    <row r="2288" customFormat="false" ht="15" hidden="false" customHeight="false" outlineLevel="0" collapsed="false">
      <c r="A2288" s="0" t="s">
        <v>21</v>
      </c>
      <c r="B2288" s="0" t="s">
        <v>7509</v>
      </c>
      <c r="C2288" s="0" t="s">
        <v>97</v>
      </c>
      <c r="D2288" s="0" t="s">
        <v>7510</v>
      </c>
      <c r="E2288" s="0" t="s">
        <v>7510</v>
      </c>
      <c r="F2288" s="0" t="s">
        <v>7510</v>
      </c>
      <c r="M2288" s="0" t="s">
        <v>100</v>
      </c>
      <c r="N2288" s="0" t="s">
        <v>101</v>
      </c>
      <c r="P2288" s="0" t="s">
        <v>102</v>
      </c>
      <c r="Q2288" s="0" t="s">
        <v>102</v>
      </c>
      <c r="R2288" s="0" t="s">
        <v>131</v>
      </c>
      <c r="S2288" s="0" t="s">
        <v>21</v>
      </c>
      <c r="T2288" s="0" t="s">
        <v>104</v>
      </c>
      <c r="W2288" s="0" t="s">
        <v>105</v>
      </c>
    </row>
    <row r="2289" customFormat="false" ht="15" hidden="false" customHeight="false" outlineLevel="0" collapsed="false">
      <c r="A2289" s="0" t="s">
        <v>21</v>
      </c>
      <c r="B2289" s="0" t="s">
        <v>7511</v>
      </c>
      <c r="C2289" s="0" t="s">
        <v>97</v>
      </c>
      <c r="D2289" s="0" t="s">
        <v>7512</v>
      </c>
      <c r="E2289" s="0" t="s">
        <v>7512</v>
      </c>
      <c r="M2289" s="0" t="s">
        <v>442</v>
      </c>
      <c r="N2289" s="0" t="s">
        <v>101</v>
      </c>
      <c r="P2289" s="0" t="s">
        <v>102</v>
      </c>
      <c r="Q2289" s="0" t="s">
        <v>102</v>
      </c>
      <c r="R2289" s="0" t="s">
        <v>131</v>
      </c>
      <c r="S2289" s="0" t="s">
        <v>21</v>
      </c>
      <c r="T2289" s="0" t="s">
        <v>104</v>
      </c>
      <c r="W2289" s="0" t="s">
        <v>105</v>
      </c>
    </row>
    <row r="2290" customFormat="false" ht="15" hidden="false" customHeight="false" outlineLevel="0" collapsed="false">
      <c r="A2290" s="0" t="s">
        <v>21</v>
      </c>
      <c r="B2290" s="0" t="s">
        <v>7513</v>
      </c>
      <c r="C2290" s="0" t="s">
        <v>97</v>
      </c>
      <c r="D2290" s="0" t="s">
        <v>7514</v>
      </c>
      <c r="E2290" s="0" t="s">
        <v>7514</v>
      </c>
      <c r="M2290" s="0" t="s">
        <v>442</v>
      </c>
      <c r="N2290" s="0" t="s">
        <v>101</v>
      </c>
      <c r="P2290" s="0" t="s">
        <v>102</v>
      </c>
      <c r="Q2290" s="0" t="s">
        <v>102</v>
      </c>
      <c r="R2290" s="0" t="s">
        <v>131</v>
      </c>
      <c r="S2290" s="0" t="s">
        <v>21</v>
      </c>
      <c r="T2290" s="0" t="s">
        <v>104</v>
      </c>
      <c r="W2290" s="0" t="s">
        <v>105</v>
      </c>
    </row>
    <row r="2291" customFormat="false" ht="15" hidden="false" customHeight="false" outlineLevel="0" collapsed="false">
      <c r="A2291" s="0" t="s">
        <v>21</v>
      </c>
      <c r="B2291" s="0" t="s">
        <v>7515</v>
      </c>
      <c r="C2291" s="0" t="s">
        <v>97</v>
      </c>
      <c r="D2291" s="0" t="s">
        <v>7516</v>
      </c>
      <c r="E2291" s="0" t="s">
        <v>7516</v>
      </c>
      <c r="F2291" s="0" t="s">
        <v>7516</v>
      </c>
      <c r="M2291" s="0" t="s">
        <v>100</v>
      </c>
      <c r="N2291" s="0" t="s">
        <v>101</v>
      </c>
      <c r="P2291" s="0" t="s">
        <v>102</v>
      </c>
      <c r="Q2291" s="0" t="s">
        <v>102</v>
      </c>
      <c r="R2291" s="0" t="s">
        <v>131</v>
      </c>
      <c r="S2291" s="0" t="s">
        <v>21</v>
      </c>
      <c r="T2291" s="0" t="s">
        <v>104</v>
      </c>
      <c r="W2291" s="0" t="s">
        <v>105</v>
      </c>
    </row>
    <row r="2292" customFormat="false" ht="15" hidden="false" customHeight="false" outlineLevel="0" collapsed="false">
      <c r="A2292" s="0" t="s">
        <v>21</v>
      </c>
      <c r="B2292" s="0" t="s">
        <v>7517</v>
      </c>
      <c r="C2292" s="0" t="s">
        <v>97</v>
      </c>
      <c r="D2292" s="0" t="s">
        <v>7518</v>
      </c>
      <c r="E2292" s="0" t="s">
        <v>7518</v>
      </c>
      <c r="M2292" s="0" t="s">
        <v>442</v>
      </c>
      <c r="N2292" s="0" t="s">
        <v>101</v>
      </c>
      <c r="P2292" s="0" t="s">
        <v>102</v>
      </c>
      <c r="Q2292" s="0" t="s">
        <v>102</v>
      </c>
      <c r="R2292" s="0" t="s">
        <v>131</v>
      </c>
      <c r="S2292" s="0" t="s">
        <v>21</v>
      </c>
      <c r="T2292" s="0" t="s">
        <v>104</v>
      </c>
      <c r="W2292" s="0" t="s">
        <v>105</v>
      </c>
    </row>
    <row r="2293" customFormat="false" ht="15" hidden="false" customHeight="false" outlineLevel="0" collapsed="false">
      <c r="A2293" s="0" t="s">
        <v>21</v>
      </c>
      <c r="B2293" s="0" t="s">
        <v>7519</v>
      </c>
      <c r="C2293" s="0" t="s">
        <v>97</v>
      </c>
      <c r="D2293" s="0" t="s">
        <v>7520</v>
      </c>
      <c r="E2293" s="0" t="s">
        <v>7520</v>
      </c>
      <c r="M2293" s="0" t="s">
        <v>442</v>
      </c>
      <c r="N2293" s="0" t="s">
        <v>101</v>
      </c>
      <c r="P2293" s="0" t="s">
        <v>102</v>
      </c>
      <c r="Q2293" s="0" t="s">
        <v>102</v>
      </c>
      <c r="R2293" s="0" t="s">
        <v>131</v>
      </c>
      <c r="S2293" s="0" t="s">
        <v>21</v>
      </c>
      <c r="T2293" s="0" t="s">
        <v>104</v>
      </c>
      <c r="W2293" s="0" t="s">
        <v>105</v>
      </c>
    </row>
    <row r="2294" customFormat="false" ht="15" hidden="false" customHeight="false" outlineLevel="0" collapsed="false">
      <c r="A2294" s="0" t="s">
        <v>21</v>
      </c>
      <c r="B2294" s="0" t="s">
        <v>7521</v>
      </c>
      <c r="C2294" s="0" t="s">
        <v>97</v>
      </c>
      <c r="D2294" s="0" t="s">
        <v>7522</v>
      </c>
      <c r="E2294" s="0" t="s">
        <v>7522</v>
      </c>
      <c r="M2294" s="0" t="s">
        <v>442</v>
      </c>
      <c r="N2294" s="0" t="s">
        <v>101</v>
      </c>
      <c r="P2294" s="0" t="s">
        <v>102</v>
      </c>
      <c r="Q2294" s="0" t="s">
        <v>102</v>
      </c>
      <c r="R2294" s="0" t="s">
        <v>131</v>
      </c>
      <c r="S2294" s="0" t="s">
        <v>21</v>
      </c>
      <c r="T2294" s="0" t="s">
        <v>104</v>
      </c>
      <c r="W2294" s="0" t="s">
        <v>105</v>
      </c>
    </row>
    <row r="2295" customFormat="false" ht="15" hidden="false" customHeight="false" outlineLevel="0" collapsed="false">
      <c r="A2295" s="0" t="s">
        <v>21</v>
      </c>
      <c r="B2295" s="0" t="s">
        <v>7523</v>
      </c>
      <c r="C2295" s="0" t="s">
        <v>97</v>
      </c>
      <c r="D2295" s="0" t="s">
        <v>7524</v>
      </c>
      <c r="E2295" s="0" t="s">
        <v>7525</v>
      </c>
      <c r="M2295" s="0" t="s">
        <v>656</v>
      </c>
      <c r="N2295" s="0" t="s">
        <v>101</v>
      </c>
      <c r="P2295" s="0" t="s">
        <v>102</v>
      </c>
      <c r="Q2295" s="0" t="s">
        <v>102</v>
      </c>
      <c r="R2295" s="0" t="s">
        <v>113</v>
      </c>
      <c r="S2295" s="0" t="s">
        <v>21</v>
      </c>
      <c r="T2295" s="0" t="s">
        <v>104</v>
      </c>
      <c r="W2295" s="0" t="s">
        <v>105</v>
      </c>
    </row>
    <row r="2296" customFormat="false" ht="15" hidden="false" customHeight="false" outlineLevel="0" collapsed="false">
      <c r="A2296" s="0" t="s">
        <v>21</v>
      </c>
      <c r="B2296" s="0" t="s">
        <v>7526</v>
      </c>
      <c r="C2296" s="0" t="s">
        <v>97</v>
      </c>
      <c r="D2296" s="0" t="s">
        <v>7527</v>
      </c>
      <c r="E2296" s="0" t="s">
        <v>7528</v>
      </c>
      <c r="G2296" s="0" t="s">
        <v>7529</v>
      </c>
      <c r="M2296" s="0" t="s">
        <v>100</v>
      </c>
      <c r="N2296" s="0" t="s">
        <v>101</v>
      </c>
      <c r="P2296" s="0" t="s">
        <v>102</v>
      </c>
      <c r="Q2296" s="0" t="s">
        <v>102</v>
      </c>
      <c r="R2296" s="0" t="s">
        <v>113</v>
      </c>
      <c r="S2296" s="0" t="s">
        <v>21</v>
      </c>
      <c r="T2296" s="0" t="s">
        <v>104</v>
      </c>
      <c r="W2296" s="0" t="s">
        <v>105</v>
      </c>
    </row>
    <row r="2297" customFormat="false" ht="15" hidden="false" customHeight="false" outlineLevel="0" collapsed="false">
      <c r="A2297" s="0" t="s">
        <v>21</v>
      </c>
      <c r="B2297" s="0" t="s">
        <v>7530</v>
      </c>
      <c r="C2297" s="0" t="s">
        <v>97</v>
      </c>
      <c r="D2297" s="0" t="s">
        <v>7531</v>
      </c>
      <c r="E2297" s="0" t="s">
        <v>7532</v>
      </c>
      <c r="G2297" s="0" t="s">
        <v>7533</v>
      </c>
      <c r="M2297" s="0" t="s">
        <v>656</v>
      </c>
      <c r="N2297" s="0" t="s">
        <v>101</v>
      </c>
      <c r="P2297" s="0" t="s">
        <v>102</v>
      </c>
      <c r="Q2297" s="0" t="s">
        <v>102</v>
      </c>
      <c r="R2297" s="0" t="s">
        <v>113</v>
      </c>
      <c r="S2297" s="0" t="s">
        <v>21</v>
      </c>
      <c r="T2297" s="0" t="s">
        <v>104</v>
      </c>
      <c r="W2297" s="0" t="s">
        <v>105</v>
      </c>
    </row>
    <row r="2298" customFormat="false" ht="15" hidden="false" customHeight="false" outlineLevel="0" collapsed="false">
      <c r="A2298" s="0" t="s">
        <v>21</v>
      </c>
      <c r="B2298" s="0" t="s">
        <v>7534</v>
      </c>
      <c r="C2298" s="0" t="s">
        <v>110</v>
      </c>
      <c r="D2298" s="0" t="s">
        <v>7524</v>
      </c>
      <c r="E2298" s="0" t="s">
        <v>7524</v>
      </c>
      <c r="M2298" s="0" t="s">
        <v>442</v>
      </c>
      <c r="N2298" s="0" t="s">
        <v>101</v>
      </c>
      <c r="P2298" s="0" t="s">
        <v>102</v>
      </c>
      <c r="Q2298" s="0" t="s">
        <v>102</v>
      </c>
      <c r="R2298" s="0" t="s">
        <v>113</v>
      </c>
      <c r="S2298" s="0" t="s">
        <v>21</v>
      </c>
      <c r="T2298" s="0" t="s">
        <v>104</v>
      </c>
      <c r="W2298" s="0" t="s">
        <v>105</v>
      </c>
    </row>
    <row r="2299" customFormat="false" ht="15" hidden="false" customHeight="false" outlineLevel="0" collapsed="false">
      <c r="A2299" s="0" t="s">
        <v>21</v>
      </c>
      <c r="B2299" s="0" t="s">
        <v>7535</v>
      </c>
      <c r="C2299" s="0" t="s">
        <v>97</v>
      </c>
      <c r="D2299" s="0" t="s">
        <v>7536</v>
      </c>
      <c r="E2299" s="0" t="s">
        <v>7537</v>
      </c>
      <c r="F2299" s="0" t="s">
        <v>7537</v>
      </c>
      <c r="M2299" s="0" t="s">
        <v>167</v>
      </c>
      <c r="N2299" s="0" t="s">
        <v>101</v>
      </c>
      <c r="P2299" s="0" t="s">
        <v>102</v>
      </c>
      <c r="Q2299" s="0" t="s">
        <v>102</v>
      </c>
      <c r="R2299" s="0" t="s">
        <v>113</v>
      </c>
      <c r="S2299" s="0" t="s">
        <v>21</v>
      </c>
      <c r="T2299" s="0" t="s">
        <v>104</v>
      </c>
      <c r="W2299" s="0" t="s">
        <v>105</v>
      </c>
    </row>
    <row r="2300" customFormat="false" ht="15" hidden="false" customHeight="false" outlineLevel="0" collapsed="false">
      <c r="A2300" s="0" t="s">
        <v>21</v>
      </c>
      <c r="B2300" s="0" t="s">
        <v>7538</v>
      </c>
      <c r="C2300" s="0" t="s">
        <v>97</v>
      </c>
      <c r="D2300" s="0" t="s">
        <v>5843</v>
      </c>
      <c r="E2300" s="0" t="s">
        <v>5844</v>
      </c>
      <c r="M2300" s="0" t="s">
        <v>656</v>
      </c>
      <c r="N2300" s="0" t="s">
        <v>101</v>
      </c>
      <c r="P2300" s="0" t="s">
        <v>102</v>
      </c>
      <c r="Q2300" s="0" t="s">
        <v>102</v>
      </c>
      <c r="R2300" s="0" t="s">
        <v>113</v>
      </c>
      <c r="S2300" s="0" t="s">
        <v>21</v>
      </c>
      <c r="T2300" s="0" t="s">
        <v>104</v>
      </c>
      <c r="W2300" s="0" t="s">
        <v>105</v>
      </c>
    </row>
    <row r="2301" customFormat="false" ht="15" hidden="false" customHeight="false" outlineLevel="0" collapsed="false">
      <c r="A2301" s="0" t="s">
        <v>21</v>
      </c>
      <c r="B2301" s="0" t="s">
        <v>7539</v>
      </c>
      <c r="C2301" s="0" t="s">
        <v>97</v>
      </c>
      <c r="D2301" s="0" t="s">
        <v>7540</v>
      </c>
      <c r="E2301" s="0" t="s">
        <v>7541</v>
      </c>
      <c r="H2301" s="0" t="s">
        <v>654</v>
      </c>
      <c r="I2301" s="0" t="s">
        <v>655</v>
      </c>
      <c r="J2301" s="0" t="s">
        <v>100</v>
      </c>
      <c r="K2301" s="0" t="s">
        <v>168</v>
      </c>
      <c r="L2301" s="0" t="s">
        <v>101</v>
      </c>
      <c r="M2301" s="0" t="s">
        <v>656</v>
      </c>
      <c r="N2301" s="0" t="s">
        <v>101</v>
      </c>
      <c r="P2301" s="0" t="s">
        <v>102</v>
      </c>
      <c r="Q2301" s="0" t="s">
        <v>102</v>
      </c>
      <c r="R2301" s="0" t="s">
        <v>113</v>
      </c>
      <c r="S2301" s="0" t="s">
        <v>21</v>
      </c>
      <c r="T2301" s="0" t="s">
        <v>104</v>
      </c>
      <c r="W2301" s="0" t="s">
        <v>105</v>
      </c>
      <c r="X2301" s="0" t="s">
        <v>658</v>
      </c>
      <c r="Y2301" s="0" t="s">
        <v>659</v>
      </c>
    </row>
    <row r="2302" customFormat="false" ht="15" hidden="false" customHeight="false" outlineLevel="0" collapsed="false">
      <c r="A2302" s="0" t="s">
        <v>21</v>
      </c>
      <c r="B2302" s="0" t="s">
        <v>7542</v>
      </c>
      <c r="C2302" s="0" t="s">
        <v>97</v>
      </c>
      <c r="D2302" s="0" t="s">
        <v>7543</v>
      </c>
      <c r="E2302" s="0" t="s">
        <v>7544</v>
      </c>
      <c r="H2302" s="0" t="s">
        <v>7545</v>
      </c>
      <c r="I2302" s="0" t="s">
        <v>7546</v>
      </c>
      <c r="J2302" s="0" t="s">
        <v>456</v>
      </c>
      <c r="K2302" s="0" t="s">
        <v>7547</v>
      </c>
      <c r="L2302" s="0" t="s">
        <v>101</v>
      </c>
      <c r="M2302" s="0" t="s">
        <v>456</v>
      </c>
      <c r="N2302" s="0" t="s">
        <v>101</v>
      </c>
      <c r="P2302" s="0" t="s">
        <v>102</v>
      </c>
      <c r="Q2302" s="0" t="s">
        <v>102</v>
      </c>
      <c r="R2302" s="0" t="s">
        <v>113</v>
      </c>
      <c r="S2302" s="0" t="s">
        <v>21</v>
      </c>
      <c r="T2302" s="0" t="s">
        <v>104</v>
      </c>
      <c r="W2302" s="0" t="s">
        <v>105</v>
      </c>
      <c r="X2302" s="0" t="s">
        <v>7548</v>
      </c>
      <c r="Y2302" s="0" t="s">
        <v>7549</v>
      </c>
    </row>
    <row r="2303" customFormat="false" ht="15" hidden="false" customHeight="false" outlineLevel="0" collapsed="false">
      <c r="A2303" s="0" t="s">
        <v>21</v>
      </c>
      <c r="B2303" s="0" t="s">
        <v>7550</v>
      </c>
      <c r="C2303" s="0" t="s">
        <v>97</v>
      </c>
      <c r="D2303" s="0" t="s">
        <v>7551</v>
      </c>
      <c r="E2303" s="0" t="s">
        <v>7551</v>
      </c>
      <c r="M2303" s="0" t="s">
        <v>136</v>
      </c>
      <c r="N2303" s="0" t="s">
        <v>124</v>
      </c>
      <c r="P2303" s="0" t="s">
        <v>102</v>
      </c>
      <c r="Q2303" s="0" t="s">
        <v>102</v>
      </c>
      <c r="R2303" s="0" t="s">
        <v>131</v>
      </c>
      <c r="S2303" s="0" t="s">
        <v>21</v>
      </c>
      <c r="T2303" s="0" t="s">
        <v>104</v>
      </c>
      <c r="W2303" s="0" t="s">
        <v>105</v>
      </c>
    </row>
    <row r="2304" customFormat="false" ht="15" hidden="false" customHeight="false" outlineLevel="0" collapsed="false">
      <c r="A2304" s="0" t="s">
        <v>21</v>
      </c>
      <c r="B2304" s="0" t="s">
        <v>7552</v>
      </c>
      <c r="C2304" s="0" t="s">
        <v>97</v>
      </c>
      <c r="D2304" s="0" t="s">
        <v>7553</v>
      </c>
      <c r="E2304" s="0" t="s">
        <v>7554</v>
      </c>
      <c r="M2304" s="0" t="s">
        <v>100</v>
      </c>
      <c r="N2304" s="0" t="s">
        <v>101</v>
      </c>
      <c r="P2304" s="0" t="s">
        <v>102</v>
      </c>
      <c r="Q2304" s="0" t="s">
        <v>102</v>
      </c>
      <c r="R2304" s="0" t="s">
        <v>131</v>
      </c>
      <c r="S2304" s="0" t="s">
        <v>21</v>
      </c>
      <c r="T2304" s="0" t="s">
        <v>104</v>
      </c>
      <c r="W2304" s="0" t="s">
        <v>105</v>
      </c>
    </row>
    <row r="2305" customFormat="false" ht="15" hidden="false" customHeight="false" outlineLevel="0" collapsed="false">
      <c r="A2305" s="0" t="s">
        <v>21</v>
      </c>
      <c r="B2305" s="0" t="s">
        <v>7555</v>
      </c>
      <c r="C2305" s="0" t="s">
        <v>97</v>
      </c>
      <c r="D2305" s="0" t="s">
        <v>7556</v>
      </c>
      <c r="E2305" s="0" t="s">
        <v>7556</v>
      </c>
      <c r="M2305" s="0" t="s">
        <v>442</v>
      </c>
      <c r="N2305" s="0" t="s">
        <v>101</v>
      </c>
      <c r="P2305" s="0" t="s">
        <v>102</v>
      </c>
      <c r="Q2305" s="0" t="s">
        <v>102</v>
      </c>
      <c r="R2305" s="0" t="s">
        <v>131</v>
      </c>
      <c r="S2305" s="0" t="s">
        <v>21</v>
      </c>
      <c r="T2305" s="0" t="s">
        <v>104</v>
      </c>
      <c r="W2305" s="0" t="s">
        <v>105</v>
      </c>
    </row>
    <row r="2306" customFormat="false" ht="15" hidden="false" customHeight="false" outlineLevel="0" collapsed="false">
      <c r="A2306" s="0" t="s">
        <v>21</v>
      </c>
      <c r="B2306" s="0" t="s">
        <v>7557</v>
      </c>
      <c r="C2306" s="0" t="s">
        <v>97</v>
      </c>
      <c r="D2306" s="0" t="s">
        <v>7558</v>
      </c>
      <c r="E2306" s="0" t="s">
        <v>7559</v>
      </c>
      <c r="H2306" s="0" t="s">
        <v>654</v>
      </c>
      <c r="I2306" s="0" t="s">
        <v>655</v>
      </c>
      <c r="J2306" s="0" t="s">
        <v>100</v>
      </c>
      <c r="K2306" s="0" t="s">
        <v>168</v>
      </c>
      <c r="L2306" s="0" t="s">
        <v>101</v>
      </c>
      <c r="M2306" s="0" t="s">
        <v>656</v>
      </c>
      <c r="N2306" s="0" t="s">
        <v>101</v>
      </c>
      <c r="P2306" s="0" t="s">
        <v>102</v>
      </c>
      <c r="Q2306" s="0" t="s">
        <v>102</v>
      </c>
      <c r="R2306" s="0" t="s">
        <v>113</v>
      </c>
      <c r="S2306" s="0" t="s">
        <v>21</v>
      </c>
      <c r="T2306" s="0" t="s">
        <v>104</v>
      </c>
      <c r="W2306" s="0" t="s">
        <v>105</v>
      </c>
      <c r="X2306" s="0" t="s">
        <v>658</v>
      </c>
      <c r="Y2306" s="0" t="s">
        <v>659</v>
      </c>
    </row>
    <row r="2307" customFormat="false" ht="15" hidden="false" customHeight="false" outlineLevel="0" collapsed="false">
      <c r="A2307" s="0" t="s">
        <v>21</v>
      </c>
      <c r="B2307" s="0" t="s">
        <v>7560</v>
      </c>
      <c r="C2307" s="0" t="s">
        <v>97</v>
      </c>
      <c r="D2307" s="0" t="s">
        <v>4801</v>
      </c>
      <c r="E2307" s="0" t="s">
        <v>7561</v>
      </c>
      <c r="H2307" s="0" t="s">
        <v>654</v>
      </c>
      <c r="I2307" s="0" t="s">
        <v>655</v>
      </c>
      <c r="J2307" s="0" t="s">
        <v>100</v>
      </c>
      <c r="K2307" s="0" t="s">
        <v>168</v>
      </c>
      <c r="L2307" s="0" t="s">
        <v>101</v>
      </c>
      <c r="M2307" s="0" t="s">
        <v>656</v>
      </c>
      <c r="N2307" s="0" t="s">
        <v>101</v>
      </c>
      <c r="P2307" s="0" t="s">
        <v>102</v>
      </c>
      <c r="Q2307" s="0" t="s">
        <v>102</v>
      </c>
      <c r="R2307" s="0" t="s">
        <v>113</v>
      </c>
      <c r="S2307" s="0" t="s">
        <v>21</v>
      </c>
      <c r="T2307" s="0" t="s">
        <v>104</v>
      </c>
      <c r="W2307" s="0" t="s">
        <v>105</v>
      </c>
      <c r="X2307" s="0" t="s">
        <v>658</v>
      </c>
      <c r="Y2307" s="0" t="s">
        <v>659</v>
      </c>
    </row>
    <row r="2308" customFormat="false" ht="15" hidden="false" customHeight="false" outlineLevel="0" collapsed="false">
      <c r="A2308" s="0" t="s">
        <v>21</v>
      </c>
      <c r="B2308" s="0" t="s">
        <v>7562</v>
      </c>
      <c r="C2308" s="0" t="s">
        <v>97</v>
      </c>
      <c r="D2308" s="0" t="s">
        <v>7563</v>
      </c>
      <c r="E2308" s="0" t="s">
        <v>7564</v>
      </c>
      <c r="M2308" s="0" t="s">
        <v>656</v>
      </c>
      <c r="N2308" s="0" t="s">
        <v>101</v>
      </c>
      <c r="P2308" s="0" t="s">
        <v>102</v>
      </c>
      <c r="Q2308" s="0" t="s">
        <v>102</v>
      </c>
      <c r="R2308" s="0" t="s">
        <v>113</v>
      </c>
      <c r="S2308" s="0" t="s">
        <v>21</v>
      </c>
      <c r="T2308" s="0" t="s">
        <v>104</v>
      </c>
      <c r="W2308" s="0" t="s">
        <v>105</v>
      </c>
    </row>
    <row r="2309" customFormat="false" ht="15" hidden="false" customHeight="false" outlineLevel="0" collapsed="false">
      <c r="A2309" s="0" t="s">
        <v>21</v>
      </c>
      <c r="B2309" s="0" t="s">
        <v>7565</v>
      </c>
      <c r="C2309" s="0" t="s">
        <v>97</v>
      </c>
      <c r="D2309" s="0" t="s">
        <v>2294</v>
      </c>
      <c r="E2309" s="0" t="s">
        <v>7566</v>
      </c>
      <c r="H2309" s="0" t="s">
        <v>654</v>
      </c>
      <c r="I2309" s="0" t="s">
        <v>655</v>
      </c>
      <c r="J2309" s="0" t="s">
        <v>100</v>
      </c>
      <c r="K2309" s="0" t="s">
        <v>168</v>
      </c>
      <c r="L2309" s="0" t="s">
        <v>101</v>
      </c>
      <c r="M2309" s="0" t="s">
        <v>656</v>
      </c>
      <c r="N2309" s="0" t="s">
        <v>101</v>
      </c>
      <c r="P2309" s="0" t="s">
        <v>102</v>
      </c>
      <c r="Q2309" s="0" t="s">
        <v>102</v>
      </c>
      <c r="R2309" s="0" t="s">
        <v>113</v>
      </c>
      <c r="S2309" s="0" t="s">
        <v>21</v>
      </c>
      <c r="T2309" s="0" t="s">
        <v>104</v>
      </c>
      <c r="W2309" s="0" t="s">
        <v>105</v>
      </c>
      <c r="X2309" s="0" t="s">
        <v>658</v>
      </c>
      <c r="Y2309" s="0" t="s">
        <v>659</v>
      </c>
    </row>
    <row r="2310" customFormat="false" ht="15" hidden="false" customHeight="false" outlineLevel="0" collapsed="false">
      <c r="A2310" s="0" t="s">
        <v>21</v>
      </c>
      <c r="B2310" s="0" t="s">
        <v>7567</v>
      </c>
      <c r="C2310" s="0" t="s">
        <v>97</v>
      </c>
      <c r="D2310" s="0" t="s">
        <v>2294</v>
      </c>
      <c r="E2310" s="0" t="s">
        <v>7566</v>
      </c>
      <c r="M2310" s="0" t="s">
        <v>100</v>
      </c>
      <c r="N2310" s="0" t="s">
        <v>101</v>
      </c>
      <c r="P2310" s="0" t="s">
        <v>102</v>
      </c>
      <c r="Q2310" s="0" t="s">
        <v>102</v>
      </c>
      <c r="R2310" s="0" t="s">
        <v>113</v>
      </c>
      <c r="S2310" s="0" t="s">
        <v>21</v>
      </c>
      <c r="T2310" s="0" t="s">
        <v>104</v>
      </c>
      <c r="W2310" s="0" t="s">
        <v>105</v>
      </c>
    </row>
    <row r="2311" customFormat="false" ht="15" hidden="false" customHeight="false" outlineLevel="0" collapsed="false">
      <c r="A2311" s="0" t="s">
        <v>21</v>
      </c>
      <c r="B2311" s="0" t="s">
        <v>7568</v>
      </c>
      <c r="C2311" s="0" t="s">
        <v>97</v>
      </c>
      <c r="D2311" s="0" t="s">
        <v>4801</v>
      </c>
      <c r="E2311" s="0" t="s">
        <v>7561</v>
      </c>
      <c r="M2311" s="0" t="s">
        <v>100</v>
      </c>
      <c r="N2311" s="0" t="s">
        <v>101</v>
      </c>
      <c r="P2311" s="0" t="s">
        <v>102</v>
      </c>
      <c r="Q2311" s="0" t="s">
        <v>102</v>
      </c>
      <c r="R2311" s="0" t="s">
        <v>113</v>
      </c>
      <c r="S2311" s="0" t="s">
        <v>21</v>
      </c>
      <c r="T2311" s="0" t="s">
        <v>104</v>
      </c>
      <c r="W2311" s="0" t="s">
        <v>105</v>
      </c>
    </row>
    <row r="2312" customFormat="false" ht="15" hidden="false" customHeight="false" outlineLevel="0" collapsed="false">
      <c r="A2312" s="0" t="s">
        <v>21</v>
      </c>
      <c r="B2312" s="0" t="s">
        <v>7569</v>
      </c>
      <c r="C2312" s="0" t="s">
        <v>97</v>
      </c>
      <c r="D2312" s="0" t="s">
        <v>5874</v>
      </c>
      <c r="E2312" s="0" t="s">
        <v>7570</v>
      </c>
      <c r="M2312" s="0" t="s">
        <v>136</v>
      </c>
      <c r="N2312" s="0" t="s">
        <v>124</v>
      </c>
      <c r="P2312" s="0" t="s">
        <v>102</v>
      </c>
      <c r="Q2312" s="0" t="s">
        <v>102</v>
      </c>
      <c r="R2312" s="0" t="s">
        <v>113</v>
      </c>
      <c r="S2312" s="0" t="s">
        <v>21</v>
      </c>
      <c r="T2312" s="0" t="s">
        <v>104</v>
      </c>
      <c r="W2312" s="0" t="s">
        <v>105</v>
      </c>
    </row>
    <row r="2313" customFormat="false" ht="15" hidden="false" customHeight="false" outlineLevel="0" collapsed="false">
      <c r="A2313" s="0" t="s">
        <v>21</v>
      </c>
      <c r="B2313" s="0" t="s">
        <v>7571</v>
      </c>
      <c r="C2313" s="0" t="s">
        <v>97</v>
      </c>
      <c r="D2313" s="0" t="s">
        <v>7572</v>
      </c>
      <c r="E2313" s="0" t="s">
        <v>7573</v>
      </c>
      <c r="H2313" s="0" t="s">
        <v>654</v>
      </c>
      <c r="I2313" s="0" t="s">
        <v>655</v>
      </c>
      <c r="J2313" s="0" t="s">
        <v>100</v>
      </c>
      <c r="K2313" s="0" t="s">
        <v>168</v>
      </c>
      <c r="L2313" s="0" t="s">
        <v>101</v>
      </c>
      <c r="M2313" s="0" t="s">
        <v>656</v>
      </c>
      <c r="N2313" s="0" t="s">
        <v>101</v>
      </c>
      <c r="P2313" s="0" t="s">
        <v>102</v>
      </c>
      <c r="Q2313" s="0" t="s">
        <v>102</v>
      </c>
      <c r="R2313" s="0" t="s">
        <v>113</v>
      </c>
      <c r="S2313" s="0" t="s">
        <v>21</v>
      </c>
      <c r="T2313" s="0" t="s">
        <v>104</v>
      </c>
      <c r="W2313" s="0" t="s">
        <v>105</v>
      </c>
      <c r="X2313" s="0" t="s">
        <v>658</v>
      </c>
      <c r="Y2313" s="0" t="s">
        <v>659</v>
      </c>
    </row>
    <row r="2314" customFormat="false" ht="15" hidden="false" customHeight="false" outlineLevel="0" collapsed="false">
      <c r="A2314" s="0" t="s">
        <v>21</v>
      </c>
      <c r="B2314" s="0" t="s">
        <v>7574</v>
      </c>
      <c r="C2314" s="0" t="s">
        <v>97</v>
      </c>
      <c r="D2314" s="0" t="s">
        <v>7575</v>
      </c>
      <c r="E2314" s="0" t="s">
        <v>7576</v>
      </c>
      <c r="M2314" s="0" t="s">
        <v>136</v>
      </c>
      <c r="N2314" s="0" t="s">
        <v>124</v>
      </c>
      <c r="P2314" s="0" t="s">
        <v>102</v>
      </c>
      <c r="Q2314" s="0" t="s">
        <v>102</v>
      </c>
      <c r="R2314" s="0" t="s">
        <v>131</v>
      </c>
      <c r="S2314" s="0" t="s">
        <v>21</v>
      </c>
      <c r="T2314" s="0" t="s">
        <v>104</v>
      </c>
      <c r="W2314" s="0" t="s">
        <v>105</v>
      </c>
    </row>
    <row r="2315" customFormat="false" ht="15" hidden="false" customHeight="false" outlineLevel="0" collapsed="false">
      <c r="A2315" s="0" t="s">
        <v>21</v>
      </c>
      <c r="B2315" s="0" t="s">
        <v>7577</v>
      </c>
      <c r="C2315" s="0" t="s">
        <v>97</v>
      </c>
      <c r="D2315" s="0" t="s">
        <v>7578</v>
      </c>
      <c r="E2315" s="0" t="s">
        <v>7579</v>
      </c>
      <c r="M2315" s="0" t="s">
        <v>136</v>
      </c>
      <c r="N2315" s="0" t="s">
        <v>124</v>
      </c>
      <c r="P2315" s="0" t="s">
        <v>102</v>
      </c>
      <c r="Q2315" s="0" t="s">
        <v>102</v>
      </c>
      <c r="R2315" s="0" t="s">
        <v>113</v>
      </c>
      <c r="S2315" s="0" t="s">
        <v>21</v>
      </c>
      <c r="T2315" s="0" t="s">
        <v>104</v>
      </c>
      <c r="W2315" s="0" t="s">
        <v>105</v>
      </c>
    </row>
    <row r="2316" customFormat="false" ht="15" hidden="false" customHeight="false" outlineLevel="0" collapsed="false">
      <c r="A2316" s="0" t="s">
        <v>21</v>
      </c>
      <c r="B2316" s="0" t="s">
        <v>7580</v>
      </c>
      <c r="C2316" s="0" t="s">
        <v>97</v>
      </c>
      <c r="D2316" s="0" t="s">
        <v>7581</v>
      </c>
      <c r="E2316" s="0" t="s">
        <v>7582</v>
      </c>
      <c r="M2316" s="0" t="s">
        <v>136</v>
      </c>
      <c r="N2316" s="0" t="s">
        <v>124</v>
      </c>
      <c r="P2316" s="0" t="s">
        <v>102</v>
      </c>
      <c r="Q2316" s="0" t="s">
        <v>102</v>
      </c>
      <c r="R2316" s="0" t="s">
        <v>113</v>
      </c>
      <c r="S2316" s="0" t="s">
        <v>21</v>
      </c>
      <c r="T2316" s="0" t="s">
        <v>104</v>
      </c>
      <c r="W2316" s="0" t="s">
        <v>105</v>
      </c>
    </row>
    <row r="2317" customFormat="false" ht="15" hidden="false" customHeight="false" outlineLevel="0" collapsed="false">
      <c r="A2317" s="0" t="s">
        <v>21</v>
      </c>
      <c r="B2317" s="0" t="s">
        <v>7583</v>
      </c>
      <c r="C2317" s="0" t="s">
        <v>97</v>
      </c>
      <c r="D2317" s="0" t="s">
        <v>7584</v>
      </c>
      <c r="E2317" s="0" t="s">
        <v>7585</v>
      </c>
      <c r="M2317" s="0" t="s">
        <v>136</v>
      </c>
      <c r="N2317" s="0" t="s">
        <v>124</v>
      </c>
      <c r="P2317" s="0" t="s">
        <v>102</v>
      </c>
      <c r="Q2317" s="0" t="s">
        <v>102</v>
      </c>
      <c r="R2317" s="0" t="s">
        <v>113</v>
      </c>
      <c r="S2317" s="0" t="s">
        <v>21</v>
      </c>
      <c r="T2317" s="0" t="s">
        <v>104</v>
      </c>
      <c r="W2317" s="0" t="s">
        <v>105</v>
      </c>
    </row>
    <row r="2318" customFormat="false" ht="15" hidden="false" customHeight="false" outlineLevel="0" collapsed="false">
      <c r="A2318" s="0" t="s">
        <v>21</v>
      </c>
      <c r="B2318" s="0" t="s">
        <v>7586</v>
      </c>
      <c r="C2318" s="0" t="s">
        <v>97</v>
      </c>
      <c r="D2318" s="0" t="s">
        <v>7587</v>
      </c>
      <c r="E2318" s="0" t="s">
        <v>7588</v>
      </c>
      <c r="M2318" s="0" t="s">
        <v>136</v>
      </c>
      <c r="N2318" s="0" t="s">
        <v>124</v>
      </c>
      <c r="P2318" s="0" t="s">
        <v>102</v>
      </c>
      <c r="Q2318" s="0" t="s">
        <v>102</v>
      </c>
      <c r="R2318" s="0" t="s">
        <v>113</v>
      </c>
      <c r="S2318" s="0" t="s">
        <v>21</v>
      </c>
      <c r="T2318" s="0" t="s">
        <v>104</v>
      </c>
      <c r="W2318" s="0" t="s">
        <v>105</v>
      </c>
    </row>
    <row r="2319" customFormat="false" ht="15" hidden="false" customHeight="false" outlineLevel="0" collapsed="false">
      <c r="A2319" s="0" t="s">
        <v>21</v>
      </c>
      <c r="B2319" s="0" t="s">
        <v>7589</v>
      </c>
      <c r="C2319" s="0" t="s">
        <v>97</v>
      </c>
      <c r="D2319" s="0" t="s">
        <v>7590</v>
      </c>
      <c r="E2319" s="0" t="s">
        <v>7591</v>
      </c>
      <c r="M2319" s="0" t="s">
        <v>136</v>
      </c>
      <c r="N2319" s="0" t="s">
        <v>124</v>
      </c>
      <c r="P2319" s="0" t="s">
        <v>102</v>
      </c>
      <c r="Q2319" s="0" t="s">
        <v>102</v>
      </c>
      <c r="R2319" s="0" t="s">
        <v>113</v>
      </c>
      <c r="S2319" s="0" t="s">
        <v>21</v>
      </c>
      <c r="T2319" s="0" t="s">
        <v>104</v>
      </c>
      <c r="W2319" s="0" t="s">
        <v>105</v>
      </c>
    </row>
    <row r="2320" customFormat="false" ht="15" hidden="false" customHeight="false" outlineLevel="0" collapsed="false">
      <c r="A2320" s="0" t="s">
        <v>21</v>
      </c>
      <c r="B2320" s="0" t="s">
        <v>7592</v>
      </c>
      <c r="C2320" s="0" t="s">
        <v>97</v>
      </c>
      <c r="D2320" s="0" t="s">
        <v>7593</v>
      </c>
      <c r="E2320" s="0" t="s">
        <v>7594</v>
      </c>
      <c r="M2320" s="0" t="s">
        <v>136</v>
      </c>
      <c r="N2320" s="0" t="s">
        <v>124</v>
      </c>
      <c r="P2320" s="0" t="s">
        <v>102</v>
      </c>
      <c r="Q2320" s="0" t="s">
        <v>102</v>
      </c>
      <c r="R2320" s="0" t="s">
        <v>113</v>
      </c>
      <c r="S2320" s="0" t="s">
        <v>21</v>
      </c>
      <c r="T2320" s="0" t="s">
        <v>104</v>
      </c>
      <c r="W2320" s="0" t="s">
        <v>105</v>
      </c>
    </row>
    <row r="2321" customFormat="false" ht="15" hidden="false" customHeight="false" outlineLevel="0" collapsed="false">
      <c r="A2321" s="0" t="s">
        <v>21</v>
      </c>
      <c r="B2321" s="0" t="s">
        <v>7595</v>
      </c>
      <c r="C2321" s="0" t="s">
        <v>110</v>
      </c>
      <c r="D2321" s="0" t="s">
        <v>7596</v>
      </c>
      <c r="E2321" s="0" t="s">
        <v>7597</v>
      </c>
      <c r="G2321" s="0" t="s">
        <v>7598</v>
      </c>
      <c r="H2321" s="0" t="s">
        <v>7599</v>
      </c>
      <c r="I2321" s="0" t="s">
        <v>7600</v>
      </c>
      <c r="J2321" s="0" t="s">
        <v>220</v>
      </c>
      <c r="K2321" s="0" t="s">
        <v>7601</v>
      </c>
      <c r="M2321" s="0" t="s">
        <v>220</v>
      </c>
      <c r="N2321" s="0" t="s">
        <v>124</v>
      </c>
      <c r="P2321" s="0" t="s">
        <v>102</v>
      </c>
      <c r="Q2321" s="0" t="s">
        <v>102</v>
      </c>
      <c r="R2321" s="0" t="s">
        <v>113</v>
      </c>
      <c r="S2321" s="0" t="s">
        <v>21</v>
      </c>
      <c r="T2321" s="0" t="s">
        <v>104</v>
      </c>
      <c r="W2321" s="0" t="s">
        <v>105</v>
      </c>
    </row>
    <row r="2322" customFormat="false" ht="15" hidden="false" customHeight="false" outlineLevel="0" collapsed="false">
      <c r="A2322" s="0" t="s">
        <v>21</v>
      </c>
      <c r="B2322" s="0" t="s">
        <v>7602</v>
      </c>
      <c r="C2322" s="0" t="s">
        <v>7603</v>
      </c>
      <c r="D2322" s="0" t="s">
        <v>7604</v>
      </c>
      <c r="E2322" s="0" t="s">
        <v>7604</v>
      </c>
      <c r="F2322" s="0" t="s">
        <v>7604</v>
      </c>
      <c r="M2322" s="0" t="s">
        <v>511</v>
      </c>
      <c r="N2322" s="0" t="s">
        <v>101</v>
      </c>
      <c r="P2322" s="0" t="s">
        <v>102</v>
      </c>
      <c r="Q2322" s="0" t="s">
        <v>102</v>
      </c>
      <c r="R2322" s="0" t="s">
        <v>113</v>
      </c>
      <c r="S2322" s="0" t="s">
        <v>21</v>
      </c>
      <c r="T2322" s="0" t="s">
        <v>104</v>
      </c>
      <c r="W2322" s="0" t="s">
        <v>105</v>
      </c>
    </row>
    <row r="2323" customFormat="false" ht="15" hidden="false" customHeight="false" outlineLevel="0" collapsed="false">
      <c r="A2323" s="0" t="s">
        <v>21</v>
      </c>
      <c r="B2323" s="0" t="s">
        <v>7605</v>
      </c>
      <c r="C2323" s="0" t="s">
        <v>97</v>
      </c>
      <c r="M2323" s="0" t="s">
        <v>136</v>
      </c>
      <c r="N2323" s="0" t="s">
        <v>124</v>
      </c>
      <c r="P2323" s="0" t="s">
        <v>130</v>
      </c>
      <c r="Q2323" s="0" t="s">
        <v>130</v>
      </c>
      <c r="R2323" s="0" t="s">
        <v>137</v>
      </c>
      <c r="S2323" s="0" t="s">
        <v>21</v>
      </c>
      <c r="T2323" s="0" t="s">
        <v>104</v>
      </c>
      <c r="W2323" s="0" t="s">
        <v>105</v>
      </c>
    </row>
    <row r="2324" customFormat="false" ht="15" hidden="false" customHeight="false" outlineLevel="0" collapsed="false">
      <c r="A2324" s="0" t="s">
        <v>21</v>
      </c>
      <c r="B2324" s="0" t="s">
        <v>7606</v>
      </c>
      <c r="C2324" s="0" t="s">
        <v>139</v>
      </c>
      <c r="D2324" s="0" t="s">
        <v>140</v>
      </c>
      <c r="E2324" s="0" t="s">
        <v>141</v>
      </c>
      <c r="F2324" s="0" t="s">
        <v>141</v>
      </c>
      <c r="G2324" s="0" t="s">
        <v>142</v>
      </c>
      <c r="M2324" s="0" t="s">
        <v>143</v>
      </c>
      <c r="N2324" s="0" t="s">
        <v>124</v>
      </c>
      <c r="P2324" s="0" t="s">
        <v>102</v>
      </c>
      <c r="Q2324" s="0" t="s">
        <v>102</v>
      </c>
      <c r="R2324" s="0" t="s">
        <v>144</v>
      </c>
      <c r="S2324" s="0" t="s">
        <v>21</v>
      </c>
      <c r="T2324" s="0" t="s">
        <v>104</v>
      </c>
      <c r="U2324" s="0" t="s">
        <v>145</v>
      </c>
      <c r="V2324" s="0" t="s">
        <v>146</v>
      </c>
      <c r="W2324" s="0" t="s">
        <v>105</v>
      </c>
      <c r="X2324" s="0" t="s">
        <v>147</v>
      </c>
      <c r="Y2324" s="0" t="s">
        <v>148</v>
      </c>
      <c r="Z2324" s="0" t="s">
        <v>149</v>
      </c>
      <c r="AA2324" s="0" t="s">
        <v>150</v>
      </c>
      <c r="AB2324" s="0" t="s">
        <v>151</v>
      </c>
    </row>
    <row r="2325" customFormat="false" ht="15" hidden="false" customHeight="false" outlineLevel="0" collapsed="false">
      <c r="A2325" s="0" t="s">
        <v>21</v>
      </c>
      <c r="B2325" s="0" t="s">
        <v>7606</v>
      </c>
      <c r="C2325" s="0" t="s">
        <v>139</v>
      </c>
      <c r="D2325" s="0" t="s">
        <v>140</v>
      </c>
      <c r="E2325" s="0" t="s">
        <v>141</v>
      </c>
      <c r="F2325" s="0" t="s">
        <v>141</v>
      </c>
      <c r="G2325" s="0" t="s">
        <v>142</v>
      </c>
      <c r="M2325" s="0" t="s">
        <v>143</v>
      </c>
      <c r="N2325" s="0" t="s">
        <v>124</v>
      </c>
      <c r="P2325" s="0" t="s">
        <v>102</v>
      </c>
      <c r="Q2325" s="0" t="s">
        <v>102</v>
      </c>
      <c r="R2325" s="0" t="s">
        <v>144</v>
      </c>
      <c r="S2325" s="0" t="s">
        <v>21</v>
      </c>
      <c r="T2325" s="0" t="s">
        <v>104</v>
      </c>
      <c r="U2325" s="0" t="s">
        <v>145</v>
      </c>
      <c r="V2325" s="0" t="s">
        <v>146</v>
      </c>
      <c r="W2325" s="0" t="s">
        <v>105</v>
      </c>
      <c r="X2325" s="0" t="s">
        <v>147</v>
      </c>
      <c r="Y2325" s="0" t="s">
        <v>148</v>
      </c>
      <c r="Z2325" s="0" t="s">
        <v>149</v>
      </c>
      <c r="AA2325" s="0" t="s">
        <v>150</v>
      </c>
      <c r="AB2325" s="0" t="s">
        <v>151</v>
      </c>
    </row>
    <row r="2326" customFormat="false" ht="15" hidden="false" customHeight="false" outlineLevel="0" collapsed="false">
      <c r="A2326" s="0" t="s">
        <v>21</v>
      </c>
      <c r="B2326" s="0" t="s">
        <v>7607</v>
      </c>
      <c r="C2326" s="0" t="s">
        <v>97</v>
      </c>
      <c r="D2326" s="0" t="s">
        <v>7608</v>
      </c>
      <c r="E2326" s="0" t="s">
        <v>7609</v>
      </c>
      <c r="H2326" s="0" t="s">
        <v>654</v>
      </c>
      <c r="I2326" s="0" t="s">
        <v>655</v>
      </c>
      <c r="J2326" s="0" t="s">
        <v>100</v>
      </c>
      <c r="K2326" s="0" t="s">
        <v>168</v>
      </c>
      <c r="L2326" s="0" t="s">
        <v>101</v>
      </c>
      <c r="M2326" s="0" t="s">
        <v>656</v>
      </c>
      <c r="N2326" s="0" t="s">
        <v>101</v>
      </c>
      <c r="P2326" s="0" t="s">
        <v>102</v>
      </c>
      <c r="Q2326" s="0" t="s">
        <v>102</v>
      </c>
      <c r="R2326" s="0" t="s">
        <v>131</v>
      </c>
      <c r="S2326" s="0" t="s">
        <v>21</v>
      </c>
      <c r="T2326" s="0" t="s">
        <v>104</v>
      </c>
      <c r="W2326" s="0" t="s">
        <v>105</v>
      </c>
      <c r="X2326" s="0" t="s">
        <v>658</v>
      </c>
      <c r="Y2326" s="0" t="s">
        <v>659</v>
      </c>
    </row>
    <row r="2327" customFormat="false" ht="15" hidden="false" customHeight="false" outlineLevel="0" collapsed="false">
      <c r="A2327" s="0" t="s">
        <v>21</v>
      </c>
      <c r="B2327" s="0" t="s">
        <v>7610</v>
      </c>
      <c r="C2327" s="0" t="s">
        <v>139</v>
      </c>
      <c r="D2327" s="0" t="s">
        <v>3850</v>
      </c>
      <c r="E2327" s="0" t="s">
        <v>3850</v>
      </c>
      <c r="H2327" s="0" t="s">
        <v>7611</v>
      </c>
      <c r="I2327" s="0" t="s">
        <v>782</v>
      </c>
      <c r="J2327" s="0" t="s">
        <v>254</v>
      </c>
      <c r="K2327" s="0" t="s">
        <v>287</v>
      </c>
      <c r="M2327" s="0" t="s">
        <v>208</v>
      </c>
      <c r="N2327" s="0" t="s">
        <v>124</v>
      </c>
      <c r="P2327" s="0" t="s">
        <v>102</v>
      </c>
      <c r="Q2327" s="0" t="s">
        <v>102</v>
      </c>
      <c r="R2327" s="0" t="s">
        <v>137</v>
      </c>
      <c r="S2327" s="0" t="s">
        <v>21</v>
      </c>
      <c r="T2327" s="0" t="s">
        <v>104</v>
      </c>
      <c r="W2327" s="0" t="s">
        <v>105</v>
      </c>
      <c r="X2327" s="0" t="s">
        <v>7612</v>
      </c>
      <c r="Y2327" s="0" t="s">
        <v>7613</v>
      </c>
      <c r="Z2327" s="0" t="s">
        <v>159</v>
      </c>
    </row>
    <row r="2328" customFormat="false" ht="15" hidden="false" customHeight="false" outlineLevel="0" collapsed="false">
      <c r="A2328" s="0" t="s">
        <v>21</v>
      </c>
      <c r="B2328" s="0" t="s">
        <v>7614</v>
      </c>
      <c r="C2328" s="0" t="s">
        <v>190</v>
      </c>
      <c r="D2328" s="0" t="s">
        <v>7615</v>
      </c>
      <c r="E2328" s="0" t="s">
        <v>7615</v>
      </c>
      <c r="H2328" s="0" t="s">
        <v>7616</v>
      </c>
      <c r="I2328" s="0" t="s">
        <v>334</v>
      </c>
      <c r="J2328" s="0" t="s">
        <v>254</v>
      </c>
      <c r="K2328" s="0" t="s">
        <v>335</v>
      </c>
      <c r="M2328" s="0" t="s">
        <v>208</v>
      </c>
      <c r="N2328" s="0" t="s">
        <v>124</v>
      </c>
      <c r="P2328" s="0" t="s">
        <v>102</v>
      </c>
      <c r="Q2328" s="0" t="s">
        <v>102</v>
      </c>
      <c r="R2328" s="0" t="s">
        <v>137</v>
      </c>
      <c r="S2328" s="0" t="s">
        <v>21</v>
      </c>
      <c r="T2328" s="0" t="s">
        <v>104</v>
      </c>
      <c r="W2328" s="0" t="s">
        <v>105</v>
      </c>
      <c r="X2328" s="0" t="s">
        <v>7617</v>
      </c>
      <c r="Y2328" s="0" t="s">
        <v>7618</v>
      </c>
      <c r="Z2328" s="0" t="s">
        <v>159</v>
      </c>
    </row>
    <row r="2329" customFormat="false" ht="15" hidden="false" customHeight="false" outlineLevel="0" collapsed="false">
      <c r="A2329" s="0" t="s">
        <v>21</v>
      </c>
      <c r="B2329" s="0" t="s">
        <v>7619</v>
      </c>
      <c r="C2329" s="0" t="s">
        <v>110</v>
      </c>
      <c r="D2329" s="0" t="s">
        <v>7620</v>
      </c>
      <c r="E2329" s="0" t="s">
        <v>7620</v>
      </c>
      <c r="G2329" s="0" t="s">
        <v>7621</v>
      </c>
      <c r="M2329" s="0" t="s">
        <v>136</v>
      </c>
      <c r="N2329" s="0" t="s">
        <v>124</v>
      </c>
      <c r="P2329" s="0" t="s">
        <v>102</v>
      </c>
      <c r="Q2329" s="0" t="s">
        <v>102</v>
      </c>
      <c r="R2329" s="0" t="s">
        <v>137</v>
      </c>
      <c r="S2329" s="0" t="s">
        <v>21</v>
      </c>
      <c r="T2329" s="0" t="s">
        <v>104</v>
      </c>
      <c r="W2329" s="0" t="s">
        <v>105</v>
      </c>
    </row>
    <row r="2330" customFormat="false" ht="15" hidden="false" customHeight="false" outlineLevel="0" collapsed="false">
      <c r="A2330" s="0" t="s">
        <v>21</v>
      </c>
      <c r="B2330" s="0" t="s">
        <v>7622</v>
      </c>
      <c r="C2330" s="0" t="s">
        <v>97</v>
      </c>
      <c r="D2330" s="0" t="s">
        <v>7623</v>
      </c>
      <c r="E2330" s="0" t="s">
        <v>7624</v>
      </c>
      <c r="M2330" s="0" t="s">
        <v>136</v>
      </c>
      <c r="N2330" s="0" t="s">
        <v>124</v>
      </c>
      <c r="P2330" s="0" t="s">
        <v>102</v>
      </c>
      <c r="Q2330" s="0" t="s">
        <v>102</v>
      </c>
      <c r="R2330" s="0" t="s">
        <v>144</v>
      </c>
      <c r="S2330" s="0" t="s">
        <v>21</v>
      </c>
      <c r="T2330" s="0" t="s">
        <v>104</v>
      </c>
      <c r="W2330" s="0" t="s">
        <v>105</v>
      </c>
    </row>
    <row r="2331" customFormat="false" ht="15" hidden="false" customHeight="false" outlineLevel="0" collapsed="false">
      <c r="A2331" s="0" t="s">
        <v>21</v>
      </c>
      <c r="B2331" s="0" t="s">
        <v>7625</v>
      </c>
      <c r="C2331" s="0" t="s">
        <v>97</v>
      </c>
      <c r="D2331" s="0" t="s">
        <v>7626</v>
      </c>
      <c r="E2331" s="0" t="s">
        <v>7627</v>
      </c>
      <c r="M2331" s="0" t="s">
        <v>100</v>
      </c>
      <c r="N2331" s="0" t="s">
        <v>101</v>
      </c>
      <c r="P2331" s="0" t="s">
        <v>102</v>
      </c>
      <c r="Q2331" s="0" t="s">
        <v>102</v>
      </c>
      <c r="R2331" s="0" t="s">
        <v>144</v>
      </c>
      <c r="S2331" s="0" t="s">
        <v>21</v>
      </c>
      <c r="T2331" s="0" t="s">
        <v>104</v>
      </c>
      <c r="W2331" s="0" t="s">
        <v>105</v>
      </c>
    </row>
    <row r="2332" customFormat="false" ht="15" hidden="false" customHeight="false" outlineLevel="0" collapsed="false">
      <c r="A2332" s="0" t="s">
        <v>21</v>
      </c>
      <c r="B2332" s="0" t="s">
        <v>7628</v>
      </c>
      <c r="C2332" s="0" t="s">
        <v>97</v>
      </c>
      <c r="D2332" s="0" t="s">
        <v>7629</v>
      </c>
      <c r="E2332" s="0" t="s">
        <v>7630</v>
      </c>
      <c r="H2332" s="0" t="s">
        <v>654</v>
      </c>
      <c r="I2332" s="0" t="s">
        <v>655</v>
      </c>
      <c r="J2332" s="0" t="s">
        <v>100</v>
      </c>
      <c r="K2332" s="0" t="s">
        <v>168</v>
      </c>
      <c r="L2332" s="0" t="s">
        <v>101</v>
      </c>
      <c r="M2332" s="0" t="s">
        <v>656</v>
      </c>
      <c r="N2332" s="0" t="s">
        <v>101</v>
      </c>
      <c r="P2332" s="0" t="s">
        <v>102</v>
      </c>
      <c r="Q2332" s="0" t="s">
        <v>102</v>
      </c>
      <c r="R2332" s="0" t="s">
        <v>113</v>
      </c>
      <c r="S2332" s="0" t="s">
        <v>21</v>
      </c>
      <c r="T2332" s="0" t="s">
        <v>104</v>
      </c>
      <c r="W2332" s="0" t="s">
        <v>105</v>
      </c>
      <c r="X2332" s="0" t="s">
        <v>658</v>
      </c>
      <c r="Y2332" s="0" t="s">
        <v>659</v>
      </c>
    </row>
    <row r="2333" customFormat="false" ht="15" hidden="false" customHeight="false" outlineLevel="0" collapsed="false">
      <c r="A2333" s="0" t="s">
        <v>21</v>
      </c>
      <c r="B2333" s="0" t="s">
        <v>7631</v>
      </c>
      <c r="C2333" s="0" t="s">
        <v>97</v>
      </c>
      <c r="D2333" s="0" t="s">
        <v>7632</v>
      </c>
      <c r="E2333" s="0" t="s">
        <v>7633</v>
      </c>
      <c r="M2333" s="0" t="s">
        <v>136</v>
      </c>
      <c r="N2333" s="0" t="s">
        <v>124</v>
      </c>
      <c r="P2333" s="0" t="s">
        <v>102</v>
      </c>
      <c r="Q2333" s="0" t="s">
        <v>102</v>
      </c>
      <c r="R2333" s="0" t="s">
        <v>131</v>
      </c>
      <c r="S2333" s="0" t="s">
        <v>21</v>
      </c>
      <c r="T2333" s="0" t="s">
        <v>104</v>
      </c>
      <c r="W2333" s="0" t="s">
        <v>105</v>
      </c>
    </row>
    <row r="2334" customFormat="false" ht="15" hidden="false" customHeight="false" outlineLevel="0" collapsed="false">
      <c r="A2334" s="0" t="s">
        <v>21</v>
      </c>
      <c r="B2334" s="0" t="s">
        <v>7634</v>
      </c>
      <c r="C2334" s="0" t="s">
        <v>97</v>
      </c>
      <c r="D2334" s="0" t="s">
        <v>7635</v>
      </c>
      <c r="E2334" s="0" t="s">
        <v>7636</v>
      </c>
      <c r="M2334" s="0" t="s">
        <v>136</v>
      </c>
      <c r="N2334" s="0" t="s">
        <v>124</v>
      </c>
      <c r="P2334" s="0" t="s">
        <v>102</v>
      </c>
      <c r="Q2334" s="0" t="s">
        <v>102</v>
      </c>
      <c r="R2334" s="0" t="s">
        <v>131</v>
      </c>
      <c r="S2334" s="0" t="s">
        <v>21</v>
      </c>
      <c r="T2334" s="0" t="s">
        <v>104</v>
      </c>
      <c r="W2334" s="0" t="s">
        <v>105</v>
      </c>
    </row>
    <row r="2335" customFormat="false" ht="15" hidden="false" customHeight="false" outlineLevel="0" collapsed="false">
      <c r="A2335" s="0" t="s">
        <v>21</v>
      </c>
      <c r="B2335" s="0" t="s">
        <v>7637</v>
      </c>
      <c r="C2335" s="0" t="s">
        <v>97</v>
      </c>
      <c r="D2335" s="0" t="s">
        <v>4895</v>
      </c>
      <c r="E2335" s="0" t="s">
        <v>7638</v>
      </c>
      <c r="H2335" s="0" t="s">
        <v>654</v>
      </c>
      <c r="I2335" s="0" t="s">
        <v>655</v>
      </c>
      <c r="J2335" s="0" t="s">
        <v>100</v>
      </c>
      <c r="K2335" s="0" t="s">
        <v>168</v>
      </c>
      <c r="L2335" s="0" t="s">
        <v>101</v>
      </c>
      <c r="M2335" s="0" t="s">
        <v>656</v>
      </c>
      <c r="N2335" s="0" t="s">
        <v>101</v>
      </c>
      <c r="P2335" s="0" t="s">
        <v>102</v>
      </c>
      <c r="Q2335" s="0" t="s">
        <v>102</v>
      </c>
      <c r="R2335" s="0" t="s">
        <v>113</v>
      </c>
      <c r="S2335" s="0" t="s">
        <v>21</v>
      </c>
      <c r="T2335" s="0" t="s">
        <v>104</v>
      </c>
      <c r="W2335" s="0" t="s">
        <v>105</v>
      </c>
      <c r="X2335" s="0" t="s">
        <v>658</v>
      </c>
      <c r="Y2335" s="0" t="s">
        <v>659</v>
      </c>
    </row>
    <row r="2336" customFormat="false" ht="15" hidden="false" customHeight="false" outlineLevel="0" collapsed="false">
      <c r="A2336" s="0" t="s">
        <v>21</v>
      </c>
      <c r="B2336" s="0" t="s">
        <v>7639</v>
      </c>
      <c r="C2336" s="0" t="s">
        <v>97</v>
      </c>
      <c r="D2336" s="0" t="s">
        <v>7640</v>
      </c>
      <c r="E2336" s="0" t="s">
        <v>7641</v>
      </c>
      <c r="F2336" s="0" t="s">
        <v>7641</v>
      </c>
      <c r="M2336" s="0" t="s">
        <v>456</v>
      </c>
      <c r="N2336" s="0" t="s">
        <v>101</v>
      </c>
      <c r="P2336" s="0" t="s">
        <v>102</v>
      </c>
      <c r="Q2336" s="0" t="s">
        <v>102</v>
      </c>
      <c r="R2336" s="0" t="s">
        <v>113</v>
      </c>
      <c r="S2336" s="0" t="s">
        <v>21</v>
      </c>
      <c r="T2336" s="0" t="s">
        <v>104</v>
      </c>
      <c r="W2336" s="0" t="s">
        <v>105</v>
      </c>
    </row>
    <row r="2337" customFormat="false" ht="15" hidden="false" customHeight="false" outlineLevel="0" collapsed="false">
      <c r="A2337" s="0" t="s">
        <v>21</v>
      </c>
      <c r="B2337" s="0" t="s">
        <v>7642</v>
      </c>
      <c r="C2337" s="0" t="s">
        <v>97</v>
      </c>
      <c r="D2337" s="0" t="s">
        <v>7643</v>
      </c>
      <c r="E2337" s="0" t="s">
        <v>7644</v>
      </c>
      <c r="M2337" s="0" t="s">
        <v>656</v>
      </c>
      <c r="N2337" s="0" t="s">
        <v>101</v>
      </c>
      <c r="P2337" s="0" t="s">
        <v>102</v>
      </c>
      <c r="Q2337" s="0" t="s">
        <v>102</v>
      </c>
      <c r="R2337" s="0" t="s">
        <v>113</v>
      </c>
      <c r="S2337" s="0" t="s">
        <v>21</v>
      </c>
      <c r="T2337" s="0" t="s">
        <v>104</v>
      </c>
      <c r="W2337" s="0" t="s">
        <v>105</v>
      </c>
    </row>
    <row r="2338" customFormat="false" ht="15" hidden="false" customHeight="false" outlineLevel="0" collapsed="false">
      <c r="A2338" s="0" t="s">
        <v>21</v>
      </c>
      <c r="B2338" s="0" t="s">
        <v>7645</v>
      </c>
      <c r="C2338" s="0" t="s">
        <v>395</v>
      </c>
      <c r="D2338" s="0" t="s">
        <v>7646</v>
      </c>
      <c r="E2338" s="0" t="s">
        <v>7646</v>
      </c>
      <c r="H2338" s="0" t="s">
        <v>7647</v>
      </c>
      <c r="I2338" s="0" t="s">
        <v>598</v>
      </c>
      <c r="J2338" s="0" t="s">
        <v>275</v>
      </c>
      <c r="M2338" s="0" t="s">
        <v>178</v>
      </c>
      <c r="N2338" s="0" t="s">
        <v>124</v>
      </c>
      <c r="P2338" s="0" t="s">
        <v>102</v>
      </c>
      <c r="Q2338" s="0" t="s">
        <v>102</v>
      </c>
      <c r="R2338" s="0" t="s">
        <v>144</v>
      </c>
      <c r="S2338" s="0" t="s">
        <v>21</v>
      </c>
      <c r="T2338" s="0" t="s">
        <v>104</v>
      </c>
      <c r="W2338" s="0" t="s">
        <v>105</v>
      </c>
      <c r="Z2338" s="0" t="s">
        <v>171</v>
      </c>
    </row>
    <row r="2339" customFormat="false" ht="15" hidden="false" customHeight="false" outlineLevel="0" collapsed="false">
      <c r="A2339" s="0" t="s">
        <v>21</v>
      </c>
      <c r="B2339" s="0" t="s">
        <v>7648</v>
      </c>
      <c r="C2339" s="0" t="s">
        <v>97</v>
      </c>
      <c r="D2339" s="0" t="s">
        <v>7649</v>
      </c>
      <c r="E2339" s="0" t="s">
        <v>7649</v>
      </c>
      <c r="M2339" s="0" t="s">
        <v>136</v>
      </c>
      <c r="N2339" s="0" t="s">
        <v>124</v>
      </c>
      <c r="P2339" s="0" t="s">
        <v>102</v>
      </c>
      <c r="Q2339" s="0" t="s">
        <v>102</v>
      </c>
      <c r="R2339" s="0" t="s">
        <v>131</v>
      </c>
      <c r="S2339" s="0" t="s">
        <v>21</v>
      </c>
      <c r="T2339" s="0" t="s">
        <v>104</v>
      </c>
      <c r="W2339" s="0" t="s">
        <v>105</v>
      </c>
    </row>
    <row r="2340" customFormat="false" ht="15" hidden="false" customHeight="false" outlineLevel="0" collapsed="false">
      <c r="A2340" s="0" t="s">
        <v>21</v>
      </c>
      <c r="B2340" s="0" t="s">
        <v>7650</v>
      </c>
      <c r="C2340" s="0" t="s">
        <v>97</v>
      </c>
      <c r="D2340" s="0" t="s">
        <v>7651</v>
      </c>
      <c r="E2340" s="0" t="s">
        <v>7652</v>
      </c>
      <c r="M2340" s="0" t="s">
        <v>136</v>
      </c>
      <c r="N2340" s="0" t="s">
        <v>124</v>
      </c>
      <c r="P2340" s="0" t="s">
        <v>102</v>
      </c>
      <c r="Q2340" s="0" t="s">
        <v>102</v>
      </c>
      <c r="R2340" s="0" t="s">
        <v>144</v>
      </c>
      <c r="S2340" s="0" t="s">
        <v>21</v>
      </c>
      <c r="T2340" s="0" t="s">
        <v>104</v>
      </c>
      <c r="W2340" s="0" t="s">
        <v>105</v>
      </c>
    </row>
    <row r="2341" customFormat="false" ht="15" hidden="false" customHeight="false" outlineLevel="0" collapsed="false">
      <c r="A2341" s="0" t="s">
        <v>21</v>
      </c>
      <c r="B2341" s="0" t="s">
        <v>7653</v>
      </c>
      <c r="C2341" s="0" t="s">
        <v>97</v>
      </c>
      <c r="D2341" s="0" t="s">
        <v>7654</v>
      </c>
      <c r="E2341" s="0" t="s">
        <v>7655</v>
      </c>
      <c r="M2341" s="0" t="s">
        <v>100</v>
      </c>
      <c r="N2341" s="0" t="s">
        <v>101</v>
      </c>
      <c r="P2341" s="0" t="s">
        <v>102</v>
      </c>
      <c r="Q2341" s="0" t="s">
        <v>102</v>
      </c>
      <c r="R2341" s="0" t="s">
        <v>144</v>
      </c>
      <c r="S2341" s="0" t="s">
        <v>21</v>
      </c>
      <c r="T2341" s="0" t="s">
        <v>104</v>
      </c>
      <c r="W2341" s="0" t="s">
        <v>105</v>
      </c>
    </row>
    <row r="2342" customFormat="false" ht="15" hidden="false" customHeight="false" outlineLevel="0" collapsed="false">
      <c r="A2342" s="0" t="s">
        <v>21</v>
      </c>
      <c r="B2342" s="0" t="s">
        <v>7656</v>
      </c>
      <c r="C2342" s="0" t="s">
        <v>97</v>
      </c>
      <c r="D2342" s="0" t="s">
        <v>7654</v>
      </c>
      <c r="E2342" s="0" t="s">
        <v>7655</v>
      </c>
      <c r="M2342" s="0" t="s">
        <v>100</v>
      </c>
      <c r="N2342" s="0" t="s">
        <v>101</v>
      </c>
      <c r="P2342" s="0" t="s">
        <v>102</v>
      </c>
      <c r="Q2342" s="0" t="s">
        <v>102</v>
      </c>
      <c r="R2342" s="0" t="s">
        <v>144</v>
      </c>
      <c r="S2342" s="0" t="s">
        <v>21</v>
      </c>
      <c r="T2342" s="0" t="s">
        <v>104</v>
      </c>
      <c r="W2342" s="0" t="s">
        <v>105</v>
      </c>
    </row>
    <row r="2343" customFormat="false" ht="15" hidden="false" customHeight="false" outlineLevel="0" collapsed="false">
      <c r="A2343" s="0" t="s">
        <v>21</v>
      </c>
      <c r="B2343" s="0" t="s">
        <v>7657</v>
      </c>
      <c r="C2343" s="0" t="s">
        <v>97</v>
      </c>
      <c r="D2343" s="0" t="s">
        <v>7658</v>
      </c>
      <c r="E2343" s="0" t="s">
        <v>7658</v>
      </c>
      <c r="M2343" s="0" t="s">
        <v>442</v>
      </c>
      <c r="N2343" s="0" t="s">
        <v>101</v>
      </c>
      <c r="P2343" s="0" t="s">
        <v>102</v>
      </c>
      <c r="Q2343" s="0" t="s">
        <v>102</v>
      </c>
      <c r="R2343" s="0" t="s">
        <v>131</v>
      </c>
      <c r="S2343" s="0" t="s">
        <v>21</v>
      </c>
      <c r="T2343" s="0" t="s">
        <v>104</v>
      </c>
      <c r="W2343" s="0" t="s">
        <v>105</v>
      </c>
    </row>
    <row r="2344" customFormat="false" ht="15" hidden="false" customHeight="false" outlineLevel="0" collapsed="false">
      <c r="A2344" s="0" t="s">
        <v>21</v>
      </c>
      <c r="B2344" s="0" t="s">
        <v>7659</v>
      </c>
      <c r="C2344" s="0" t="s">
        <v>97</v>
      </c>
      <c r="D2344" s="0" t="s">
        <v>7660</v>
      </c>
      <c r="E2344" s="0" t="s">
        <v>7661</v>
      </c>
      <c r="M2344" s="0" t="s">
        <v>136</v>
      </c>
      <c r="N2344" s="0" t="s">
        <v>124</v>
      </c>
      <c r="P2344" s="0" t="s">
        <v>102</v>
      </c>
      <c r="Q2344" s="0" t="s">
        <v>102</v>
      </c>
      <c r="R2344" s="0" t="s">
        <v>144</v>
      </c>
      <c r="S2344" s="0" t="s">
        <v>21</v>
      </c>
      <c r="T2344" s="0" t="s">
        <v>104</v>
      </c>
      <c r="W2344" s="0" t="s">
        <v>105</v>
      </c>
    </row>
    <row r="2345" customFormat="false" ht="15" hidden="false" customHeight="false" outlineLevel="0" collapsed="false">
      <c r="A2345" s="0" t="s">
        <v>21</v>
      </c>
      <c r="B2345" s="0" t="s">
        <v>7662</v>
      </c>
      <c r="C2345" s="0" t="s">
        <v>97</v>
      </c>
      <c r="D2345" s="0" t="s">
        <v>7663</v>
      </c>
      <c r="E2345" s="0" t="s">
        <v>7664</v>
      </c>
      <c r="M2345" s="0" t="s">
        <v>136</v>
      </c>
      <c r="N2345" s="0" t="s">
        <v>124</v>
      </c>
      <c r="P2345" s="0" t="s">
        <v>102</v>
      </c>
      <c r="Q2345" s="0" t="s">
        <v>102</v>
      </c>
      <c r="R2345" s="0" t="s">
        <v>144</v>
      </c>
      <c r="S2345" s="0" t="s">
        <v>21</v>
      </c>
      <c r="T2345" s="0" t="s">
        <v>104</v>
      </c>
      <c r="W2345" s="0" t="s">
        <v>105</v>
      </c>
    </row>
    <row r="2346" customFormat="false" ht="15" hidden="false" customHeight="false" outlineLevel="0" collapsed="false">
      <c r="A2346" s="0" t="s">
        <v>21</v>
      </c>
      <c r="B2346" s="0" t="s">
        <v>7665</v>
      </c>
      <c r="C2346" s="0" t="s">
        <v>97</v>
      </c>
      <c r="D2346" s="0" t="s">
        <v>7666</v>
      </c>
      <c r="E2346" s="0" t="s">
        <v>7667</v>
      </c>
      <c r="M2346" s="0" t="s">
        <v>136</v>
      </c>
      <c r="N2346" s="0" t="s">
        <v>124</v>
      </c>
      <c r="P2346" s="0" t="s">
        <v>102</v>
      </c>
      <c r="Q2346" s="0" t="s">
        <v>102</v>
      </c>
      <c r="R2346" s="0" t="s">
        <v>144</v>
      </c>
      <c r="S2346" s="0" t="s">
        <v>21</v>
      </c>
      <c r="T2346" s="0" t="s">
        <v>104</v>
      </c>
      <c r="W2346" s="0" t="s">
        <v>105</v>
      </c>
    </row>
    <row r="2347" customFormat="false" ht="15" hidden="false" customHeight="false" outlineLevel="0" collapsed="false">
      <c r="A2347" s="0" t="s">
        <v>21</v>
      </c>
      <c r="B2347" s="0" t="s">
        <v>7668</v>
      </c>
      <c r="C2347" s="0" t="s">
        <v>97</v>
      </c>
      <c r="D2347" s="0" t="s">
        <v>7669</v>
      </c>
      <c r="E2347" s="0" t="s">
        <v>7670</v>
      </c>
      <c r="H2347" s="0" t="s">
        <v>1208</v>
      </c>
      <c r="I2347" s="0" t="s">
        <v>7671</v>
      </c>
      <c r="J2347" s="0" t="s">
        <v>7671</v>
      </c>
      <c r="K2347" s="0" t="s">
        <v>1210</v>
      </c>
      <c r="L2347" s="0" t="s">
        <v>101</v>
      </c>
      <c r="M2347" s="0" t="s">
        <v>7671</v>
      </c>
      <c r="N2347" s="0" t="s">
        <v>101</v>
      </c>
      <c r="P2347" s="0" t="s">
        <v>102</v>
      </c>
      <c r="Q2347" s="0" t="s">
        <v>102</v>
      </c>
      <c r="R2347" s="0" t="s">
        <v>137</v>
      </c>
      <c r="S2347" s="0" t="s">
        <v>21</v>
      </c>
      <c r="T2347" s="0" t="s">
        <v>104</v>
      </c>
      <c r="W2347" s="0" t="s">
        <v>105</v>
      </c>
      <c r="X2347" s="0" t="s">
        <v>7672</v>
      </c>
      <c r="Y2347" s="0" t="s">
        <v>7673</v>
      </c>
    </row>
    <row r="2348" customFormat="false" ht="15" hidden="false" customHeight="false" outlineLevel="0" collapsed="false">
      <c r="A2348" s="0" t="s">
        <v>21</v>
      </c>
      <c r="B2348" s="0" t="s">
        <v>7674</v>
      </c>
      <c r="C2348" s="0" t="s">
        <v>97</v>
      </c>
      <c r="D2348" s="0" t="s">
        <v>7675</v>
      </c>
      <c r="E2348" s="0" t="s">
        <v>7676</v>
      </c>
      <c r="G2348" s="0" t="s">
        <v>7677</v>
      </c>
      <c r="M2348" s="0" t="s">
        <v>366</v>
      </c>
      <c r="N2348" s="0" t="s">
        <v>101</v>
      </c>
      <c r="P2348" s="0" t="s">
        <v>102</v>
      </c>
      <c r="Q2348" s="0" t="s">
        <v>102</v>
      </c>
      <c r="R2348" s="0" t="s">
        <v>113</v>
      </c>
      <c r="S2348" s="0" t="s">
        <v>21</v>
      </c>
      <c r="T2348" s="0" t="s">
        <v>104</v>
      </c>
      <c r="W2348" s="0" t="s">
        <v>105</v>
      </c>
    </row>
    <row r="2349" customFormat="false" ht="15" hidden="false" customHeight="false" outlineLevel="0" collapsed="false">
      <c r="A2349" s="0" t="s">
        <v>21</v>
      </c>
      <c r="B2349" s="0" t="s">
        <v>7678</v>
      </c>
      <c r="C2349" s="0" t="s">
        <v>2145</v>
      </c>
      <c r="M2349" s="0" t="s">
        <v>7679</v>
      </c>
      <c r="N2349" s="0" t="s">
        <v>124</v>
      </c>
      <c r="P2349" s="0" t="s">
        <v>130</v>
      </c>
      <c r="Q2349" s="0" t="s">
        <v>130</v>
      </c>
      <c r="R2349" s="0" t="s">
        <v>144</v>
      </c>
      <c r="S2349" s="0" t="s">
        <v>21</v>
      </c>
      <c r="T2349" s="0" t="s">
        <v>104</v>
      </c>
      <c r="W2349" s="0" t="s">
        <v>105</v>
      </c>
    </row>
    <row r="2350" customFormat="false" ht="15" hidden="false" customHeight="false" outlineLevel="0" collapsed="false">
      <c r="A2350" s="0" t="s">
        <v>21</v>
      </c>
      <c r="B2350" s="0" t="s">
        <v>7680</v>
      </c>
      <c r="C2350" s="0" t="s">
        <v>97</v>
      </c>
      <c r="D2350" s="0" t="s">
        <v>7681</v>
      </c>
      <c r="E2350" s="0" t="s">
        <v>7682</v>
      </c>
      <c r="H2350" s="0" t="s">
        <v>654</v>
      </c>
      <c r="I2350" s="0" t="s">
        <v>655</v>
      </c>
      <c r="J2350" s="0" t="s">
        <v>100</v>
      </c>
      <c r="K2350" s="0" t="s">
        <v>168</v>
      </c>
      <c r="L2350" s="0" t="s">
        <v>101</v>
      </c>
      <c r="M2350" s="0" t="s">
        <v>656</v>
      </c>
      <c r="N2350" s="0" t="s">
        <v>101</v>
      </c>
      <c r="P2350" s="0" t="s">
        <v>102</v>
      </c>
      <c r="Q2350" s="0" t="s">
        <v>102</v>
      </c>
      <c r="R2350" s="0" t="s">
        <v>131</v>
      </c>
      <c r="S2350" s="0" t="s">
        <v>21</v>
      </c>
      <c r="T2350" s="0" t="s">
        <v>104</v>
      </c>
      <c r="W2350" s="0" t="s">
        <v>105</v>
      </c>
      <c r="X2350" s="0" t="s">
        <v>658</v>
      </c>
      <c r="Y2350" s="0" t="s">
        <v>659</v>
      </c>
    </row>
    <row r="2351" customFormat="false" ht="15" hidden="false" customHeight="false" outlineLevel="0" collapsed="false">
      <c r="A2351" s="0" t="s">
        <v>21</v>
      </c>
      <c r="B2351" s="0" t="s">
        <v>7683</v>
      </c>
      <c r="C2351" s="0" t="s">
        <v>2145</v>
      </c>
      <c r="M2351" s="0" t="s">
        <v>247</v>
      </c>
      <c r="N2351" s="0" t="s">
        <v>124</v>
      </c>
      <c r="P2351" s="0" t="s">
        <v>130</v>
      </c>
      <c r="Q2351" s="0" t="s">
        <v>130</v>
      </c>
      <c r="R2351" s="0" t="s">
        <v>144</v>
      </c>
      <c r="S2351" s="0" t="s">
        <v>21</v>
      </c>
      <c r="T2351" s="0" t="s">
        <v>104</v>
      </c>
      <c r="W2351" s="0" t="s">
        <v>105</v>
      </c>
    </row>
    <row r="2352" customFormat="false" ht="15" hidden="false" customHeight="false" outlineLevel="0" collapsed="false">
      <c r="A2352" s="0" t="s">
        <v>21</v>
      </c>
      <c r="B2352" s="0" t="s">
        <v>7684</v>
      </c>
      <c r="C2352" s="0" t="s">
        <v>97</v>
      </c>
      <c r="D2352" s="0" t="s">
        <v>7685</v>
      </c>
      <c r="E2352" s="0" t="s">
        <v>7686</v>
      </c>
      <c r="M2352" s="0" t="s">
        <v>136</v>
      </c>
      <c r="N2352" s="0" t="s">
        <v>124</v>
      </c>
      <c r="P2352" s="0" t="s">
        <v>102</v>
      </c>
      <c r="Q2352" s="0" t="s">
        <v>102</v>
      </c>
      <c r="R2352" s="0" t="s">
        <v>113</v>
      </c>
      <c r="S2352" s="0" t="s">
        <v>21</v>
      </c>
      <c r="T2352" s="0" t="s">
        <v>104</v>
      </c>
      <c r="W2352" s="0" t="s">
        <v>105</v>
      </c>
    </row>
    <row r="2353" customFormat="false" ht="15" hidden="false" customHeight="false" outlineLevel="0" collapsed="false">
      <c r="A2353" s="0" t="s">
        <v>21</v>
      </c>
      <c r="B2353" s="0" t="s">
        <v>7687</v>
      </c>
      <c r="C2353" s="0" t="s">
        <v>97</v>
      </c>
      <c r="D2353" s="0" t="s">
        <v>7688</v>
      </c>
      <c r="E2353" s="0" t="s">
        <v>7689</v>
      </c>
      <c r="M2353" s="0" t="s">
        <v>136</v>
      </c>
      <c r="N2353" s="0" t="s">
        <v>124</v>
      </c>
      <c r="P2353" s="0" t="s">
        <v>102</v>
      </c>
      <c r="Q2353" s="0" t="s">
        <v>102</v>
      </c>
      <c r="R2353" s="0" t="s">
        <v>131</v>
      </c>
      <c r="S2353" s="0" t="s">
        <v>21</v>
      </c>
      <c r="T2353" s="0" t="s">
        <v>104</v>
      </c>
      <c r="W2353" s="0" t="s">
        <v>105</v>
      </c>
    </row>
    <row r="2354" customFormat="false" ht="15" hidden="false" customHeight="false" outlineLevel="0" collapsed="false">
      <c r="A2354" s="0" t="s">
        <v>21</v>
      </c>
      <c r="B2354" s="0" t="s">
        <v>7690</v>
      </c>
      <c r="C2354" s="0" t="s">
        <v>110</v>
      </c>
      <c r="D2354" s="0" t="s">
        <v>7691</v>
      </c>
      <c r="E2354" s="0" t="s">
        <v>7692</v>
      </c>
      <c r="M2354" s="0" t="s">
        <v>178</v>
      </c>
      <c r="N2354" s="0" t="s">
        <v>124</v>
      </c>
      <c r="P2354" s="0" t="s">
        <v>102</v>
      </c>
      <c r="Q2354" s="0" t="s">
        <v>102</v>
      </c>
      <c r="R2354" s="0" t="s">
        <v>113</v>
      </c>
      <c r="S2354" s="0" t="s">
        <v>21</v>
      </c>
      <c r="T2354" s="0" t="s">
        <v>104</v>
      </c>
      <c r="W2354" s="0" t="s">
        <v>105</v>
      </c>
    </row>
    <row r="2355" customFormat="false" ht="15" hidden="false" customHeight="false" outlineLevel="0" collapsed="false">
      <c r="A2355" s="0" t="s">
        <v>21</v>
      </c>
      <c r="B2355" s="0" t="s">
        <v>7693</v>
      </c>
      <c r="C2355" s="0" t="s">
        <v>110</v>
      </c>
      <c r="D2355" s="0" t="s">
        <v>7694</v>
      </c>
      <c r="E2355" s="0" t="s">
        <v>7695</v>
      </c>
      <c r="G2355" s="0" t="s">
        <v>7696</v>
      </c>
      <c r="H2355" s="0" t="s">
        <v>7697</v>
      </c>
      <c r="I2355" s="0" t="s">
        <v>7698</v>
      </c>
      <c r="J2355" s="0" t="s">
        <v>275</v>
      </c>
      <c r="K2355" s="0" t="s">
        <v>751</v>
      </c>
      <c r="L2355" s="0" t="s">
        <v>124</v>
      </c>
      <c r="M2355" s="0" t="s">
        <v>178</v>
      </c>
      <c r="N2355" s="0" t="s">
        <v>124</v>
      </c>
      <c r="P2355" s="0" t="s">
        <v>102</v>
      </c>
      <c r="Q2355" s="0" t="s">
        <v>102</v>
      </c>
      <c r="R2355" s="0" t="s">
        <v>113</v>
      </c>
      <c r="S2355" s="0" t="s">
        <v>21</v>
      </c>
      <c r="T2355" s="0" t="s">
        <v>104</v>
      </c>
      <c r="W2355" s="0" t="s">
        <v>105</v>
      </c>
      <c r="X2355" s="0" t="s">
        <v>7699</v>
      </c>
      <c r="Y2355" s="0" t="s">
        <v>7700</v>
      </c>
      <c r="Z2355" s="0" t="s">
        <v>134</v>
      </c>
    </row>
    <row r="2356" customFormat="false" ht="15" hidden="false" customHeight="false" outlineLevel="0" collapsed="false">
      <c r="A2356" s="0" t="s">
        <v>21</v>
      </c>
      <c r="B2356" s="0" t="s">
        <v>7701</v>
      </c>
      <c r="C2356" s="0" t="s">
        <v>110</v>
      </c>
      <c r="D2356" s="0" t="s">
        <v>7702</v>
      </c>
      <c r="E2356" s="0" t="s">
        <v>7702</v>
      </c>
      <c r="F2356" s="0" t="s">
        <v>7702</v>
      </c>
      <c r="M2356" s="0" t="s">
        <v>598</v>
      </c>
      <c r="N2356" s="0" t="s">
        <v>124</v>
      </c>
      <c r="P2356" s="0" t="s">
        <v>102</v>
      </c>
      <c r="Q2356" s="0" t="s">
        <v>102</v>
      </c>
      <c r="R2356" s="0" t="s">
        <v>137</v>
      </c>
      <c r="S2356" s="0" t="s">
        <v>21</v>
      </c>
      <c r="T2356" s="0" t="s">
        <v>104</v>
      </c>
      <c r="W2356" s="0" t="s">
        <v>105</v>
      </c>
    </row>
    <row r="2357" customFormat="false" ht="15" hidden="false" customHeight="false" outlineLevel="0" collapsed="false">
      <c r="A2357" s="0" t="s">
        <v>21</v>
      </c>
      <c r="B2357" s="0" t="s">
        <v>7703</v>
      </c>
      <c r="C2357" s="0" t="s">
        <v>97</v>
      </c>
      <c r="D2357" s="0" t="s">
        <v>7704</v>
      </c>
      <c r="E2357" s="0" t="s">
        <v>7705</v>
      </c>
      <c r="H2357" s="0" t="s">
        <v>7706</v>
      </c>
      <c r="I2357" s="0" t="s">
        <v>7707</v>
      </c>
      <c r="J2357" s="0" t="s">
        <v>7707</v>
      </c>
      <c r="K2357" s="0" t="s">
        <v>1410</v>
      </c>
      <c r="L2357" s="0" t="s">
        <v>101</v>
      </c>
      <c r="M2357" s="0" t="s">
        <v>1372</v>
      </c>
      <c r="N2357" s="0" t="s">
        <v>101</v>
      </c>
      <c r="P2357" s="0" t="s">
        <v>102</v>
      </c>
      <c r="Q2357" s="0" t="s">
        <v>102</v>
      </c>
      <c r="R2357" s="0" t="s">
        <v>137</v>
      </c>
      <c r="S2357" s="0" t="s">
        <v>21</v>
      </c>
      <c r="T2357" s="0" t="s">
        <v>104</v>
      </c>
      <c r="W2357" s="0" t="s">
        <v>105</v>
      </c>
      <c r="X2357" s="0" t="s">
        <v>7708</v>
      </c>
      <c r="Y2357" s="0" t="s">
        <v>7709</v>
      </c>
    </row>
    <row r="2358" customFormat="false" ht="15" hidden="false" customHeight="false" outlineLevel="0" collapsed="false">
      <c r="A2358" s="0" t="s">
        <v>21</v>
      </c>
      <c r="B2358" s="0" t="s">
        <v>7710</v>
      </c>
      <c r="C2358" s="0" t="s">
        <v>97</v>
      </c>
      <c r="D2358" s="0" t="s">
        <v>7711</v>
      </c>
      <c r="E2358" s="0" t="s">
        <v>7712</v>
      </c>
      <c r="M2358" s="0" t="s">
        <v>656</v>
      </c>
      <c r="N2358" s="0" t="s">
        <v>101</v>
      </c>
      <c r="P2358" s="0" t="s">
        <v>130</v>
      </c>
      <c r="Q2358" s="0" t="s">
        <v>130</v>
      </c>
      <c r="R2358" s="0" t="s">
        <v>137</v>
      </c>
      <c r="S2358" s="0" t="s">
        <v>21</v>
      </c>
      <c r="T2358" s="0" t="s">
        <v>104</v>
      </c>
      <c r="W2358" s="0" t="s">
        <v>105</v>
      </c>
    </row>
    <row r="2359" customFormat="false" ht="15" hidden="false" customHeight="false" outlineLevel="0" collapsed="false">
      <c r="A2359" s="0" t="s">
        <v>21</v>
      </c>
      <c r="B2359" s="0" t="s">
        <v>7713</v>
      </c>
      <c r="C2359" s="0" t="s">
        <v>97</v>
      </c>
      <c r="D2359" s="0" t="s">
        <v>7714</v>
      </c>
      <c r="E2359" s="0" t="s">
        <v>7715</v>
      </c>
      <c r="H2359" s="0" t="s">
        <v>7716</v>
      </c>
      <c r="I2359" s="0" t="s">
        <v>3433</v>
      </c>
      <c r="J2359" s="0" t="s">
        <v>3433</v>
      </c>
      <c r="K2359" s="0" t="s">
        <v>134</v>
      </c>
      <c r="L2359" s="0" t="s">
        <v>101</v>
      </c>
      <c r="M2359" s="0" t="s">
        <v>3433</v>
      </c>
      <c r="N2359" s="0" t="s">
        <v>101</v>
      </c>
      <c r="P2359" s="0" t="s">
        <v>102</v>
      </c>
      <c r="Q2359" s="0" t="s">
        <v>102</v>
      </c>
      <c r="R2359" s="0" t="s">
        <v>113</v>
      </c>
      <c r="S2359" s="0" t="s">
        <v>21</v>
      </c>
      <c r="T2359" s="0" t="s">
        <v>104</v>
      </c>
      <c r="W2359" s="0" t="s">
        <v>105</v>
      </c>
      <c r="X2359" s="0" t="s">
        <v>7717</v>
      </c>
      <c r="Y2359" s="0" t="s">
        <v>7718</v>
      </c>
    </row>
    <row r="2360" customFormat="false" ht="15" hidden="false" customHeight="false" outlineLevel="0" collapsed="false">
      <c r="A2360" s="0" t="s">
        <v>21</v>
      </c>
      <c r="B2360" s="0" t="s">
        <v>7719</v>
      </c>
      <c r="C2360" s="0" t="s">
        <v>97</v>
      </c>
      <c r="D2360" s="0" t="s">
        <v>7720</v>
      </c>
      <c r="E2360" s="0" t="s">
        <v>7721</v>
      </c>
      <c r="M2360" s="0" t="s">
        <v>136</v>
      </c>
      <c r="N2360" s="0" t="s">
        <v>124</v>
      </c>
      <c r="P2360" s="0" t="s">
        <v>102</v>
      </c>
      <c r="Q2360" s="0" t="s">
        <v>102</v>
      </c>
      <c r="R2360" s="0" t="s">
        <v>144</v>
      </c>
      <c r="S2360" s="0" t="s">
        <v>21</v>
      </c>
      <c r="T2360" s="0" t="s">
        <v>104</v>
      </c>
      <c r="W2360" s="0" t="s">
        <v>105</v>
      </c>
    </row>
    <row r="2361" customFormat="false" ht="15" hidden="false" customHeight="false" outlineLevel="0" collapsed="false">
      <c r="A2361" s="0" t="s">
        <v>21</v>
      </c>
      <c r="B2361" s="0" t="s">
        <v>7722</v>
      </c>
      <c r="C2361" s="0" t="s">
        <v>97</v>
      </c>
      <c r="D2361" s="0" t="s">
        <v>7723</v>
      </c>
      <c r="E2361" s="0" t="s">
        <v>7724</v>
      </c>
      <c r="M2361" s="0" t="s">
        <v>136</v>
      </c>
      <c r="N2361" s="0" t="s">
        <v>124</v>
      </c>
      <c r="P2361" s="0" t="s">
        <v>102</v>
      </c>
      <c r="Q2361" s="0" t="s">
        <v>102</v>
      </c>
      <c r="R2361" s="0" t="s">
        <v>144</v>
      </c>
      <c r="S2361" s="0" t="s">
        <v>21</v>
      </c>
      <c r="T2361" s="0" t="s">
        <v>104</v>
      </c>
      <c r="W2361" s="0" t="s">
        <v>105</v>
      </c>
    </row>
    <row r="2362" customFormat="false" ht="15" hidden="false" customHeight="false" outlineLevel="0" collapsed="false">
      <c r="A2362" s="0" t="s">
        <v>21</v>
      </c>
      <c r="B2362" s="0" t="s">
        <v>7725</v>
      </c>
      <c r="C2362" s="0" t="s">
        <v>97</v>
      </c>
      <c r="D2362" s="0" t="s">
        <v>7726</v>
      </c>
      <c r="E2362" s="0" t="s">
        <v>7727</v>
      </c>
      <c r="M2362" s="0" t="s">
        <v>136</v>
      </c>
      <c r="N2362" s="0" t="s">
        <v>124</v>
      </c>
      <c r="P2362" s="0" t="s">
        <v>102</v>
      </c>
      <c r="Q2362" s="0" t="s">
        <v>102</v>
      </c>
      <c r="R2362" s="0" t="s">
        <v>144</v>
      </c>
      <c r="S2362" s="0" t="s">
        <v>21</v>
      </c>
      <c r="T2362" s="0" t="s">
        <v>104</v>
      </c>
      <c r="W2362" s="0" t="s">
        <v>105</v>
      </c>
    </row>
    <row r="2363" customFormat="false" ht="15" hidden="false" customHeight="false" outlineLevel="0" collapsed="false">
      <c r="A2363" s="0" t="s">
        <v>21</v>
      </c>
      <c r="B2363" s="0" t="s">
        <v>7728</v>
      </c>
      <c r="C2363" s="0" t="s">
        <v>97</v>
      </c>
      <c r="D2363" s="0" t="s">
        <v>7729</v>
      </c>
      <c r="E2363" s="0" t="s">
        <v>7730</v>
      </c>
      <c r="M2363" s="0" t="s">
        <v>136</v>
      </c>
      <c r="N2363" s="0" t="s">
        <v>124</v>
      </c>
      <c r="P2363" s="0" t="s">
        <v>102</v>
      </c>
      <c r="Q2363" s="0" t="s">
        <v>102</v>
      </c>
      <c r="R2363" s="0" t="s">
        <v>144</v>
      </c>
      <c r="S2363" s="0" t="s">
        <v>21</v>
      </c>
      <c r="T2363" s="0" t="s">
        <v>104</v>
      </c>
      <c r="W2363" s="0" t="s">
        <v>105</v>
      </c>
    </row>
    <row r="2364" customFormat="false" ht="15" hidden="false" customHeight="false" outlineLevel="0" collapsed="false">
      <c r="A2364" s="0" t="s">
        <v>21</v>
      </c>
      <c r="B2364" s="0" t="s">
        <v>7731</v>
      </c>
      <c r="C2364" s="0" t="s">
        <v>97</v>
      </c>
      <c r="D2364" s="0" t="s">
        <v>7732</v>
      </c>
      <c r="E2364" s="0" t="s">
        <v>7733</v>
      </c>
      <c r="M2364" s="0" t="s">
        <v>136</v>
      </c>
      <c r="N2364" s="0" t="s">
        <v>124</v>
      </c>
      <c r="P2364" s="0" t="s">
        <v>102</v>
      </c>
      <c r="Q2364" s="0" t="s">
        <v>102</v>
      </c>
      <c r="R2364" s="0" t="s">
        <v>144</v>
      </c>
      <c r="S2364" s="0" t="s">
        <v>21</v>
      </c>
      <c r="T2364" s="0" t="s">
        <v>104</v>
      </c>
      <c r="W2364" s="0" t="s">
        <v>105</v>
      </c>
    </row>
    <row r="2365" customFormat="false" ht="15" hidden="false" customHeight="false" outlineLevel="0" collapsed="false">
      <c r="A2365" s="0" t="s">
        <v>21</v>
      </c>
      <c r="B2365" s="0" t="s">
        <v>7734</v>
      </c>
      <c r="C2365" s="0" t="s">
        <v>6988</v>
      </c>
      <c r="D2365" s="0" t="s">
        <v>7735</v>
      </c>
      <c r="E2365" s="0" t="s">
        <v>7736</v>
      </c>
      <c r="G2365" s="0" t="s">
        <v>7737</v>
      </c>
      <c r="M2365" s="0" t="s">
        <v>881</v>
      </c>
      <c r="N2365" s="0" t="s">
        <v>124</v>
      </c>
      <c r="P2365" s="0" t="s">
        <v>102</v>
      </c>
      <c r="Q2365" s="0" t="s">
        <v>102</v>
      </c>
      <c r="R2365" s="0" t="s">
        <v>113</v>
      </c>
      <c r="S2365" s="0" t="s">
        <v>21</v>
      </c>
      <c r="T2365" s="0" t="s">
        <v>104</v>
      </c>
      <c r="W2365" s="0" t="s">
        <v>105</v>
      </c>
    </row>
    <row r="2366" customFormat="false" ht="15" hidden="false" customHeight="false" outlineLevel="0" collapsed="false">
      <c r="A2366" s="0" t="s">
        <v>21</v>
      </c>
      <c r="B2366" s="0" t="s">
        <v>7738</v>
      </c>
      <c r="C2366" s="0" t="s">
        <v>110</v>
      </c>
      <c r="D2366" s="0" t="s">
        <v>7739</v>
      </c>
      <c r="M2366" s="0" t="s">
        <v>881</v>
      </c>
      <c r="N2366" s="0" t="s">
        <v>124</v>
      </c>
      <c r="P2366" s="0" t="s">
        <v>102</v>
      </c>
      <c r="Q2366" s="0" t="s">
        <v>102</v>
      </c>
      <c r="R2366" s="0" t="s">
        <v>113</v>
      </c>
      <c r="S2366" s="0" t="s">
        <v>21</v>
      </c>
      <c r="T2366" s="0" t="s">
        <v>104</v>
      </c>
      <c r="W2366" s="0" t="s">
        <v>105</v>
      </c>
    </row>
    <row r="2367" customFormat="false" ht="15" hidden="false" customHeight="false" outlineLevel="0" collapsed="false">
      <c r="A2367" s="0" t="s">
        <v>21</v>
      </c>
      <c r="B2367" s="0" t="s">
        <v>7740</v>
      </c>
      <c r="C2367" s="0" t="s">
        <v>97</v>
      </c>
      <c r="D2367" s="0" t="s">
        <v>7741</v>
      </c>
      <c r="E2367" s="0" t="s">
        <v>7742</v>
      </c>
      <c r="M2367" s="0" t="s">
        <v>136</v>
      </c>
      <c r="N2367" s="0" t="s">
        <v>124</v>
      </c>
      <c r="P2367" s="0" t="s">
        <v>102</v>
      </c>
      <c r="Q2367" s="0" t="s">
        <v>102</v>
      </c>
      <c r="R2367" s="0" t="s">
        <v>113</v>
      </c>
      <c r="S2367" s="0" t="s">
        <v>21</v>
      </c>
      <c r="T2367" s="0" t="s">
        <v>104</v>
      </c>
      <c r="W2367" s="0" t="s">
        <v>105</v>
      </c>
    </row>
    <row r="2368" customFormat="false" ht="15" hidden="false" customHeight="false" outlineLevel="0" collapsed="false">
      <c r="A2368" s="0" t="s">
        <v>21</v>
      </c>
      <c r="B2368" s="0" t="s">
        <v>7743</v>
      </c>
      <c r="C2368" s="0" t="s">
        <v>97</v>
      </c>
      <c r="D2368" s="0" t="s">
        <v>7744</v>
      </c>
      <c r="E2368" s="0" t="s">
        <v>7745</v>
      </c>
      <c r="M2368" s="0" t="s">
        <v>136</v>
      </c>
      <c r="N2368" s="0" t="s">
        <v>124</v>
      </c>
      <c r="P2368" s="0" t="s">
        <v>102</v>
      </c>
      <c r="Q2368" s="0" t="s">
        <v>102</v>
      </c>
      <c r="R2368" s="0" t="s">
        <v>131</v>
      </c>
      <c r="S2368" s="0" t="s">
        <v>21</v>
      </c>
      <c r="T2368" s="0" t="s">
        <v>104</v>
      </c>
      <c r="W2368" s="0" t="s">
        <v>105</v>
      </c>
    </row>
    <row r="2369" customFormat="false" ht="15" hidden="false" customHeight="false" outlineLevel="0" collapsed="false">
      <c r="A2369" s="0" t="s">
        <v>21</v>
      </c>
      <c r="B2369" s="0" t="s">
        <v>7746</v>
      </c>
      <c r="C2369" s="0" t="s">
        <v>97</v>
      </c>
      <c r="D2369" s="0" t="s">
        <v>7747</v>
      </c>
      <c r="E2369" s="0" t="s">
        <v>7748</v>
      </c>
      <c r="M2369" s="0" t="s">
        <v>136</v>
      </c>
      <c r="N2369" s="0" t="s">
        <v>124</v>
      </c>
      <c r="P2369" s="0" t="s">
        <v>102</v>
      </c>
      <c r="Q2369" s="0" t="s">
        <v>102</v>
      </c>
      <c r="R2369" s="0" t="s">
        <v>113</v>
      </c>
      <c r="S2369" s="0" t="s">
        <v>21</v>
      </c>
      <c r="T2369" s="0" t="s">
        <v>104</v>
      </c>
      <c r="W2369" s="0" t="s">
        <v>105</v>
      </c>
    </row>
    <row r="2370" customFormat="false" ht="15" hidden="false" customHeight="false" outlineLevel="0" collapsed="false">
      <c r="A2370" s="0" t="s">
        <v>21</v>
      </c>
      <c r="B2370" s="0" t="s">
        <v>7749</v>
      </c>
      <c r="C2370" s="0" t="s">
        <v>97</v>
      </c>
      <c r="D2370" s="0" t="s">
        <v>7739</v>
      </c>
      <c r="E2370" s="0" t="s">
        <v>7750</v>
      </c>
      <c r="M2370" s="0" t="s">
        <v>136</v>
      </c>
      <c r="N2370" s="0" t="s">
        <v>124</v>
      </c>
      <c r="P2370" s="0" t="s">
        <v>102</v>
      </c>
      <c r="Q2370" s="0" t="s">
        <v>102</v>
      </c>
      <c r="R2370" s="0" t="s">
        <v>113</v>
      </c>
      <c r="S2370" s="0" t="s">
        <v>21</v>
      </c>
      <c r="T2370" s="0" t="s">
        <v>104</v>
      </c>
      <c r="W2370" s="0" t="s">
        <v>105</v>
      </c>
    </row>
    <row r="2371" customFormat="false" ht="15" hidden="false" customHeight="false" outlineLevel="0" collapsed="false">
      <c r="A2371" s="0" t="s">
        <v>21</v>
      </c>
      <c r="B2371" s="0" t="s">
        <v>7751</v>
      </c>
      <c r="C2371" s="0" t="s">
        <v>97</v>
      </c>
      <c r="D2371" s="0" t="s">
        <v>7752</v>
      </c>
      <c r="E2371" s="0" t="s">
        <v>7753</v>
      </c>
      <c r="M2371" s="0" t="s">
        <v>136</v>
      </c>
      <c r="N2371" s="0" t="s">
        <v>124</v>
      </c>
      <c r="P2371" s="0" t="s">
        <v>102</v>
      </c>
      <c r="Q2371" s="0" t="s">
        <v>102</v>
      </c>
      <c r="R2371" s="0" t="s">
        <v>113</v>
      </c>
      <c r="S2371" s="0" t="s">
        <v>21</v>
      </c>
      <c r="T2371" s="0" t="s">
        <v>104</v>
      </c>
      <c r="W2371" s="0" t="s">
        <v>105</v>
      </c>
    </row>
    <row r="2372" customFormat="false" ht="15" hidden="false" customHeight="false" outlineLevel="0" collapsed="false">
      <c r="A2372" s="0" t="s">
        <v>21</v>
      </c>
      <c r="B2372" s="0" t="s">
        <v>7754</v>
      </c>
      <c r="C2372" s="0" t="s">
        <v>97</v>
      </c>
      <c r="D2372" s="0" t="s">
        <v>7755</v>
      </c>
      <c r="E2372" s="0" t="s">
        <v>7756</v>
      </c>
      <c r="M2372" s="0" t="s">
        <v>136</v>
      </c>
      <c r="N2372" s="0" t="s">
        <v>124</v>
      </c>
      <c r="P2372" s="0" t="s">
        <v>102</v>
      </c>
      <c r="Q2372" s="0" t="s">
        <v>102</v>
      </c>
      <c r="R2372" s="0" t="s">
        <v>131</v>
      </c>
      <c r="S2372" s="0" t="s">
        <v>21</v>
      </c>
      <c r="T2372" s="0" t="s">
        <v>104</v>
      </c>
      <c r="W2372" s="0" t="s">
        <v>105</v>
      </c>
    </row>
    <row r="2373" customFormat="false" ht="15" hidden="false" customHeight="false" outlineLevel="0" collapsed="false">
      <c r="A2373" s="0" t="s">
        <v>21</v>
      </c>
      <c r="B2373" s="0" t="s">
        <v>7757</v>
      </c>
      <c r="C2373" s="0" t="s">
        <v>97</v>
      </c>
      <c r="D2373" s="0" t="s">
        <v>7758</v>
      </c>
      <c r="E2373" s="0" t="s">
        <v>7759</v>
      </c>
      <c r="M2373" s="0" t="s">
        <v>136</v>
      </c>
      <c r="N2373" s="0" t="s">
        <v>124</v>
      </c>
      <c r="P2373" s="0" t="s">
        <v>1044</v>
      </c>
      <c r="Q2373" s="0" t="s">
        <v>1044</v>
      </c>
      <c r="R2373" s="0" t="s">
        <v>103</v>
      </c>
      <c r="S2373" s="0" t="s">
        <v>21</v>
      </c>
      <c r="T2373" s="0" t="s">
        <v>104</v>
      </c>
      <c r="W2373" s="0" t="s">
        <v>105</v>
      </c>
    </row>
    <row r="2374" customFormat="false" ht="15" hidden="false" customHeight="false" outlineLevel="0" collapsed="false">
      <c r="A2374" s="0" t="s">
        <v>21</v>
      </c>
      <c r="B2374" s="0" t="s">
        <v>7760</v>
      </c>
      <c r="C2374" s="0" t="s">
        <v>97</v>
      </c>
      <c r="D2374" s="0" t="s">
        <v>7761</v>
      </c>
      <c r="E2374" s="0" t="s">
        <v>7762</v>
      </c>
      <c r="M2374" s="0" t="s">
        <v>136</v>
      </c>
      <c r="N2374" s="0" t="s">
        <v>124</v>
      </c>
      <c r="P2374" s="0" t="s">
        <v>102</v>
      </c>
      <c r="Q2374" s="0" t="s">
        <v>102</v>
      </c>
      <c r="R2374" s="0" t="s">
        <v>103</v>
      </c>
      <c r="S2374" s="0" t="s">
        <v>21</v>
      </c>
      <c r="T2374" s="0" t="s">
        <v>104</v>
      </c>
      <c r="W2374" s="0" t="s">
        <v>105</v>
      </c>
    </row>
    <row r="2375" customFormat="false" ht="15" hidden="false" customHeight="false" outlineLevel="0" collapsed="false">
      <c r="A2375" s="0" t="s">
        <v>21</v>
      </c>
      <c r="B2375" s="0" t="s">
        <v>7763</v>
      </c>
      <c r="C2375" s="0" t="s">
        <v>97</v>
      </c>
      <c r="D2375" s="0" t="s">
        <v>7764</v>
      </c>
      <c r="E2375" s="0" t="s">
        <v>7765</v>
      </c>
      <c r="M2375" s="0" t="s">
        <v>136</v>
      </c>
      <c r="N2375" s="0" t="s">
        <v>124</v>
      </c>
      <c r="P2375" s="0" t="s">
        <v>102</v>
      </c>
      <c r="Q2375" s="0" t="s">
        <v>102</v>
      </c>
      <c r="R2375" s="0" t="s">
        <v>103</v>
      </c>
      <c r="S2375" s="0" t="s">
        <v>21</v>
      </c>
      <c r="T2375" s="0" t="s">
        <v>104</v>
      </c>
      <c r="W2375" s="0" t="s">
        <v>105</v>
      </c>
    </row>
    <row r="2376" customFormat="false" ht="15" hidden="false" customHeight="false" outlineLevel="0" collapsed="false">
      <c r="A2376" s="0" t="s">
        <v>21</v>
      </c>
      <c r="B2376" s="0" t="s">
        <v>7766</v>
      </c>
      <c r="C2376" s="0" t="s">
        <v>97</v>
      </c>
      <c r="D2376" s="0" t="s">
        <v>7767</v>
      </c>
      <c r="E2376" s="0" t="s">
        <v>7767</v>
      </c>
      <c r="M2376" s="0" t="s">
        <v>442</v>
      </c>
      <c r="N2376" s="0" t="s">
        <v>101</v>
      </c>
      <c r="P2376" s="0" t="s">
        <v>102</v>
      </c>
      <c r="Q2376" s="0" t="s">
        <v>102</v>
      </c>
      <c r="R2376" s="0" t="s">
        <v>131</v>
      </c>
      <c r="S2376" s="0" t="s">
        <v>21</v>
      </c>
      <c r="T2376" s="0" t="s">
        <v>104</v>
      </c>
      <c r="W2376" s="0" t="s">
        <v>105</v>
      </c>
    </row>
    <row r="2377" customFormat="false" ht="15" hidden="false" customHeight="false" outlineLevel="0" collapsed="false">
      <c r="A2377" s="0" t="s">
        <v>21</v>
      </c>
      <c r="B2377" s="0" t="s">
        <v>7768</v>
      </c>
      <c r="C2377" s="0" t="s">
        <v>97</v>
      </c>
      <c r="D2377" s="0" t="s">
        <v>7769</v>
      </c>
      <c r="E2377" s="0" t="s">
        <v>7770</v>
      </c>
      <c r="M2377" s="0" t="s">
        <v>136</v>
      </c>
      <c r="N2377" s="0" t="s">
        <v>124</v>
      </c>
      <c r="P2377" s="0" t="s">
        <v>102</v>
      </c>
      <c r="Q2377" s="0" t="s">
        <v>102</v>
      </c>
      <c r="R2377" s="0" t="s">
        <v>144</v>
      </c>
      <c r="S2377" s="0" t="s">
        <v>21</v>
      </c>
      <c r="T2377" s="0" t="s">
        <v>104</v>
      </c>
      <c r="W2377" s="0" t="s">
        <v>105</v>
      </c>
    </row>
    <row r="2378" customFormat="false" ht="15" hidden="false" customHeight="false" outlineLevel="0" collapsed="false">
      <c r="A2378" s="0" t="s">
        <v>21</v>
      </c>
      <c r="B2378" s="0" t="s">
        <v>7771</v>
      </c>
      <c r="C2378" s="0" t="s">
        <v>97</v>
      </c>
      <c r="D2378" s="0" t="s">
        <v>7772</v>
      </c>
      <c r="E2378" s="0" t="s">
        <v>7773</v>
      </c>
      <c r="M2378" s="0" t="s">
        <v>136</v>
      </c>
      <c r="N2378" s="0" t="s">
        <v>124</v>
      </c>
      <c r="P2378" s="0" t="s">
        <v>102</v>
      </c>
      <c r="Q2378" s="0" t="s">
        <v>102</v>
      </c>
      <c r="R2378" s="0" t="s">
        <v>144</v>
      </c>
      <c r="S2378" s="0" t="s">
        <v>21</v>
      </c>
      <c r="T2378" s="0" t="s">
        <v>104</v>
      </c>
      <c r="W2378" s="0" t="s">
        <v>105</v>
      </c>
    </row>
    <row r="2379" customFormat="false" ht="15" hidden="false" customHeight="false" outlineLevel="0" collapsed="false">
      <c r="A2379" s="0" t="s">
        <v>21</v>
      </c>
      <c r="B2379" s="0" t="s">
        <v>7774</v>
      </c>
      <c r="C2379" s="0" t="s">
        <v>116</v>
      </c>
      <c r="E2379" s="0" t="s">
        <v>7775</v>
      </c>
      <c r="M2379" s="0" t="s">
        <v>143</v>
      </c>
      <c r="N2379" s="0" t="s">
        <v>124</v>
      </c>
      <c r="P2379" s="0" t="s">
        <v>130</v>
      </c>
      <c r="Q2379" s="0" t="s">
        <v>130</v>
      </c>
      <c r="R2379" s="0" t="s">
        <v>144</v>
      </c>
      <c r="S2379" s="0" t="s">
        <v>21</v>
      </c>
      <c r="T2379" s="0" t="s">
        <v>104</v>
      </c>
      <c r="W2379" s="0" t="s">
        <v>105</v>
      </c>
    </row>
    <row r="2380" customFormat="false" ht="15" hidden="false" customHeight="false" outlineLevel="0" collapsed="false">
      <c r="A2380" s="0" t="s">
        <v>21</v>
      </c>
      <c r="B2380" s="0" t="s">
        <v>7776</v>
      </c>
      <c r="C2380" s="0" t="s">
        <v>97</v>
      </c>
      <c r="D2380" s="0" t="s">
        <v>7777</v>
      </c>
      <c r="E2380" s="0" t="s">
        <v>7778</v>
      </c>
      <c r="M2380" s="0" t="s">
        <v>136</v>
      </c>
      <c r="N2380" s="0" t="s">
        <v>124</v>
      </c>
      <c r="P2380" s="0" t="s">
        <v>102</v>
      </c>
      <c r="Q2380" s="0" t="s">
        <v>102</v>
      </c>
      <c r="R2380" s="0" t="s">
        <v>144</v>
      </c>
      <c r="S2380" s="0" t="s">
        <v>21</v>
      </c>
      <c r="T2380" s="0" t="s">
        <v>104</v>
      </c>
      <c r="W2380" s="0" t="s">
        <v>105</v>
      </c>
    </row>
    <row r="2381" customFormat="false" ht="15" hidden="false" customHeight="false" outlineLevel="0" collapsed="false">
      <c r="A2381" s="0" t="s">
        <v>21</v>
      </c>
      <c r="B2381" s="0" t="s">
        <v>7779</v>
      </c>
      <c r="C2381" s="0" t="s">
        <v>97</v>
      </c>
      <c r="D2381" s="0" t="s">
        <v>7780</v>
      </c>
      <c r="E2381" s="0" t="s">
        <v>7781</v>
      </c>
      <c r="G2381" s="0" t="s">
        <v>7779</v>
      </c>
      <c r="M2381" s="0" t="s">
        <v>100</v>
      </c>
      <c r="N2381" s="0" t="s">
        <v>101</v>
      </c>
      <c r="P2381" s="0" t="s">
        <v>102</v>
      </c>
      <c r="Q2381" s="0" t="s">
        <v>102</v>
      </c>
      <c r="R2381" s="0" t="s">
        <v>144</v>
      </c>
      <c r="S2381" s="0" t="s">
        <v>21</v>
      </c>
      <c r="T2381" s="0" t="s">
        <v>104</v>
      </c>
      <c r="W2381" s="0" t="s">
        <v>105</v>
      </c>
    </row>
    <row r="2382" customFormat="false" ht="15" hidden="false" customHeight="false" outlineLevel="0" collapsed="false">
      <c r="A2382" s="0" t="s">
        <v>21</v>
      </c>
      <c r="B2382" s="0" t="s">
        <v>7782</v>
      </c>
      <c r="C2382" s="0" t="s">
        <v>97</v>
      </c>
      <c r="D2382" s="0" t="s">
        <v>7783</v>
      </c>
      <c r="E2382" s="0" t="s">
        <v>7784</v>
      </c>
      <c r="M2382" s="0" t="s">
        <v>136</v>
      </c>
      <c r="N2382" s="0" t="s">
        <v>124</v>
      </c>
      <c r="P2382" s="0" t="s">
        <v>102</v>
      </c>
      <c r="Q2382" s="0" t="s">
        <v>102</v>
      </c>
      <c r="R2382" s="0" t="s">
        <v>144</v>
      </c>
      <c r="S2382" s="0" t="s">
        <v>21</v>
      </c>
      <c r="T2382" s="0" t="s">
        <v>104</v>
      </c>
      <c r="W2382" s="0" t="s">
        <v>105</v>
      </c>
    </row>
    <row r="2383" customFormat="false" ht="15" hidden="false" customHeight="false" outlineLevel="0" collapsed="false">
      <c r="A2383" s="0" t="s">
        <v>21</v>
      </c>
      <c r="B2383" s="0" t="s">
        <v>7785</v>
      </c>
      <c r="C2383" s="0" t="s">
        <v>116</v>
      </c>
      <c r="E2383" s="0" t="s">
        <v>7786</v>
      </c>
      <c r="M2383" s="0" t="s">
        <v>232</v>
      </c>
      <c r="N2383" s="0" t="s">
        <v>124</v>
      </c>
      <c r="P2383" s="0" t="s">
        <v>130</v>
      </c>
      <c r="Q2383" s="0" t="s">
        <v>130</v>
      </c>
      <c r="R2383" s="0" t="s">
        <v>144</v>
      </c>
      <c r="S2383" s="0" t="s">
        <v>21</v>
      </c>
      <c r="T2383" s="0" t="s">
        <v>104</v>
      </c>
      <c r="W2383" s="0" t="s">
        <v>105</v>
      </c>
    </row>
    <row r="2384" customFormat="false" ht="15" hidden="false" customHeight="false" outlineLevel="0" collapsed="false">
      <c r="A2384" s="0" t="s">
        <v>21</v>
      </c>
      <c r="B2384" s="0" t="s">
        <v>7787</v>
      </c>
      <c r="C2384" s="0" t="s">
        <v>97</v>
      </c>
      <c r="D2384" s="0" t="s">
        <v>7780</v>
      </c>
      <c r="E2384" s="0" t="s">
        <v>7788</v>
      </c>
      <c r="M2384" s="0" t="s">
        <v>656</v>
      </c>
      <c r="N2384" s="0" t="s">
        <v>101</v>
      </c>
      <c r="P2384" s="0" t="s">
        <v>102</v>
      </c>
      <c r="Q2384" s="0" t="s">
        <v>102</v>
      </c>
      <c r="R2384" s="0" t="s">
        <v>144</v>
      </c>
      <c r="S2384" s="0" t="s">
        <v>21</v>
      </c>
      <c r="T2384" s="0" t="s">
        <v>104</v>
      </c>
      <c r="W2384" s="0" t="s">
        <v>105</v>
      </c>
    </row>
    <row r="2385" customFormat="false" ht="15" hidden="false" customHeight="false" outlineLevel="0" collapsed="false">
      <c r="A2385" s="0" t="s">
        <v>21</v>
      </c>
      <c r="B2385" s="0" t="s">
        <v>7789</v>
      </c>
      <c r="C2385" s="0" t="s">
        <v>116</v>
      </c>
      <c r="E2385" s="0" t="s">
        <v>7790</v>
      </c>
      <c r="M2385" s="0" t="s">
        <v>208</v>
      </c>
      <c r="N2385" s="0" t="s">
        <v>124</v>
      </c>
      <c r="P2385" s="0" t="s">
        <v>130</v>
      </c>
      <c r="Q2385" s="0" t="s">
        <v>130</v>
      </c>
      <c r="R2385" s="0" t="s">
        <v>144</v>
      </c>
      <c r="S2385" s="0" t="s">
        <v>21</v>
      </c>
      <c r="T2385" s="0" t="s">
        <v>104</v>
      </c>
      <c r="W2385" s="0" t="s">
        <v>105</v>
      </c>
    </row>
    <row r="2386" customFormat="false" ht="15" hidden="false" customHeight="false" outlineLevel="0" collapsed="false">
      <c r="A2386" s="0" t="s">
        <v>21</v>
      </c>
      <c r="B2386" s="0" t="s">
        <v>7791</v>
      </c>
      <c r="C2386" s="0" t="s">
        <v>7792</v>
      </c>
      <c r="M2386" s="0" t="s">
        <v>178</v>
      </c>
      <c r="N2386" s="0" t="s">
        <v>124</v>
      </c>
      <c r="P2386" s="0" t="s">
        <v>130</v>
      </c>
      <c r="Q2386" s="0" t="s">
        <v>130</v>
      </c>
      <c r="R2386" s="0" t="s">
        <v>144</v>
      </c>
      <c r="S2386" s="0" t="s">
        <v>21</v>
      </c>
      <c r="T2386" s="0" t="s">
        <v>104</v>
      </c>
      <c r="W2386" s="0" t="s">
        <v>105</v>
      </c>
    </row>
    <row r="2387" customFormat="false" ht="15" hidden="false" customHeight="false" outlineLevel="0" collapsed="false">
      <c r="A2387" s="0" t="s">
        <v>21</v>
      </c>
      <c r="B2387" s="0" t="s">
        <v>7793</v>
      </c>
      <c r="C2387" s="0" t="s">
        <v>97</v>
      </c>
      <c r="D2387" s="0" t="s">
        <v>7794</v>
      </c>
      <c r="E2387" s="0" t="s">
        <v>7795</v>
      </c>
      <c r="M2387" s="0" t="s">
        <v>136</v>
      </c>
      <c r="N2387" s="0" t="s">
        <v>124</v>
      </c>
      <c r="P2387" s="0" t="s">
        <v>102</v>
      </c>
      <c r="Q2387" s="0" t="s">
        <v>102</v>
      </c>
      <c r="R2387" s="0" t="s">
        <v>137</v>
      </c>
      <c r="S2387" s="0" t="s">
        <v>21</v>
      </c>
      <c r="T2387" s="0" t="s">
        <v>104</v>
      </c>
      <c r="W2387" s="0" t="s">
        <v>105</v>
      </c>
    </row>
    <row r="2388" customFormat="false" ht="15" hidden="false" customHeight="false" outlineLevel="0" collapsed="false">
      <c r="A2388" s="0" t="s">
        <v>21</v>
      </c>
      <c r="B2388" s="0" t="s">
        <v>7796</v>
      </c>
      <c r="C2388" s="0" t="s">
        <v>110</v>
      </c>
      <c r="D2388" s="0" t="s">
        <v>7797</v>
      </c>
      <c r="F2388" s="0" t="s">
        <v>7798</v>
      </c>
      <c r="M2388" s="0" t="s">
        <v>442</v>
      </c>
      <c r="N2388" s="0" t="s">
        <v>101</v>
      </c>
      <c r="P2388" s="0" t="s">
        <v>102</v>
      </c>
      <c r="Q2388" s="0" t="s">
        <v>102</v>
      </c>
      <c r="R2388" s="0" t="s">
        <v>234</v>
      </c>
      <c r="S2388" s="0" t="s">
        <v>21</v>
      </c>
      <c r="T2388" s="0" t="s">
        <v>104</v>
      </c>
      <c r="W2388" s="0" t="s">
        <v>105</v>
      </c>
    </row>
    <row r="2389" customFormat="false" ht="15" hidden="false" customHeight="false" outlineLevel="0" collapsed="false">
      <c r="A2389" s="0" t="s">
        <v>21</v>
      </c>
      <c r="B2389" s="0" t="s">
        <v>7799</v>
      </c>
      <c r="C2389" s="0" t="s">
        <v>110</v>
      </c>
      <c r="D2389" s="0" t="s">
        <v>7800</v>
      </c>
      <c r="F2389" s="0" t="s">
        <v>7801</v>
      </c>
      <c r="M2389" s="0" t="s">
        <v>442</v>
      </c>
      <c r="N2389" s="0" t="s">
        <v>101</v>
      </c>
      <c r="P2389" s="0" t="s">
        <v>102</v>
      </c>
      <c r="Q2389" s="0" t="s">
        <v>102</v>
      </c>
      <c r="R2389" s="0" t="s">
        <v>234</v>
      </c>
      <c r="S2389" s="0" t="s">
        <v>21</v>
      </c>
      <c r="T2389" s="0" t="s">
        <v>104</v>
      </c>
      <c r="W2389" s="0" t="s">
        <v>105</v>
      </c>
    </row>
    <row r="2390" customFormat="false" ht="15" hidden="false" customHeight="false" outlineLevel="0" collapsed="false">
      <c r="A2390" s="0" t="s">
        <v>21</v>
      </c>
      <c r="B2390" s="0" t="s">
        <v>7802</v>
      </c>
      <c r="C2390" s="0" t="s">
        <v>110</v>
      </c>
      <c r="D2390" s="0" t="s">
        <v>7803</v>
      </c>
      <c r="F2390" s="0" t="s">
        <v>7804</v>
      </c>
      <c r="M2390" s="0" t="s">
        <v>442</v>
      </c>
      <c r="N2390" s="0" t="s">
        <v>101</v>
      </c>
      <c r="P2390" s="0" t="s">
        <v>102</v>
      </c>
      <c r="Q2390" s="0" t="s">
        <v>102</v>
      </c>
      <c r="R2390" s="0" t="s">
        <v>234</v>
      </c>
      <c r="S2390" s="0" t="s">
        <v>21</v>
      </c>
      <c r="T2390" s="0" t="s">
        <v>104</v>
      </c>
      <c r="W2390" s="0" t="s">
        <v>105</v>
      </c>
    </row>
    <row r="2391" customFormat="false" ht="15" hidden="false" customHeight="false" outlineLevel="0" collapsed="false">
      <c r="A2391" s="0" t="s">
        <v>21</v>
      </c>
      <c r="B2391" s="0" t="s">
        <v>7805</v>
      </c>
      <c r="C2391" s="0" t="s">
        <v>110</v>
      </c>
      <c r="D2391" s="0" t="s">
        <v>7806</v>
      </c>
      <c r="F2391" s="0" t="s">
        <v>7807</v>
      </c>
      <c r="M2391" s="0" t="s">
        <v>442</v>
      </c>
      <c r="N2391" s="0" t="s">
        <v>101</v>
      </c>
      <c r="P2391" s="0" t="s">
        <v>346</v>
      </c>
      <c r="Q2391" s="0" t="s">
        <v>346</v>
      </c>
      <c r="R2391" s="0" t="s">
        <v>131</v>
      </c>
      <c r="S2391" s="0" t="s">
        <v>21</v>
      </c>
      <c r="T2391" s="0" t="s">
        <v>104</v>
      </c>
      <c r="W2391" s="0" t="s">
        <v>105</v>
      </c>
    </row>
    <row r="2392" customFormat="false" ht="15" hidden="false" customHeight="false" outlineLevel="0" collapsed="false">
      <c r="A2392" s="0" t="s">
        <v>21</v>
      </c>
      <c r="B2392" s="0" t="s">
        <v>7808</v>
      </c>
      <c r="C2392" s="0" t="s">
        <v>97</v>
      </c>
      <c r="D2392" s="0" t="s">
        <v>7809</v>
      </c>
      <c r="E2392" s="0" t="s">
        <v>7810</v>
      </c>
      <c r="H2392" s="0" t="s">
        <v>654</v>
      </c>
      <c r="I2392" s="0" t="s">
        <v>655</v>
      </c>
      <c r="J2392" s="0" t="s">
        <v>100</v>
      </c>
      <c r="K2392" s="0" t="s">
        <v>168</v>
      </c>
      <c r="L2392" s="0" t="s">
        <v>101</v>
      </c>
      <c r="M2392" s="0" t="s">
        <v>656</v>
      </c>
      <c r="N2392" s="0" t="s">
        <v>101</v>
      </c>
      <c r="P2392" s="0" t="s">
        <v>102</v>
      </c>
      <c r="Q2392" s="0" t="s">
        <v>102</v>
      </c>
      <c r="R2392" s="0" t="s">
        <v>131</v>
      </c>
      <c r="S2392" s="0" t="s">
        <v>21</v>
      </c>
      <c r="T2392" s="0" t="s">
        <v>104</v>
      </c>
      <c r="W2392" s="0" t="s">
        <v>105</v>
      </c>
      <c r="X2392" s="0" t="s">
        <v>658</v>
      </c>
      <c r="Y2392" s="0" t="s">
        <v>659</v>
      </c>
    </row>
    <row r="2393" customFormat="false" ht="15" hidden="false" customHeight="false" outlineLevel="0" collapsed="false">
      <c r="A2393" s="0" t="s">
        <v>21</v>
      </c>
      <c r="B2393" s="0" t="s">
        <v>7811</v>
      </c>
      <c r="C2393" s="0" t="s">
        <v>97</v>
      </c>
      <c r="D2393" s="0" t="s">
        <v>7812</v>
      </c>
      <c r="E2393" s="0" t="s">
        <v>7813</v>
      </c>
      <c r="M2393" s="0" t="s">
        <v>100</v>
      </c>
      <c r="N2393" s="0" t="s">
        <v>101</v>
      </c>
      <c r="P2393" s="0" t="s">
        <v>102</v>
      </c>
      <c r="Q2393" s="0" t="s">
        <v>102</v>
      </c>
      <c r="R2393" s="0" t="s">
        <v>131</v>
      </c>
      <c r="S2393" s="0" t="s">
        <v>21</v>
      </c>
      <c r="T2393" s="0" t="s">
        <v>104</v>
      </c>
      <c r="W2393" s="0" t="s">
        <v>105</v>
      </c>
    </row>
    <row r="2394" customFormat="false" ht="15" hidden="false" customHeight="false" outlineLevel="0" collapsed="false">
      <c r="A2394" s="0" t="s">
        <v>21</v>
      </c>
      <c r="B2394" s="0" t="s">
        <v>7814</v>
      </c>
      <c r="C2394" s="0" t="s">
        <v>97</v>
      </c>
      <c r="D2394" s="0" t="s">
        <v>7815</v>
      </c>
      <c r="E2394" s="0" t="s">
        <v>7816</v>
      </c>
      <c r="F2394" s="0" t="s">
        <v>7816</v>
      </c>
      <c r="M2394" s="0" t="s">
        <v>100</v>
      </c>
      <c r="N2394" s="0" t="s">
        <v>101</v>
      </c>
      <c r="P2394" s="0" t="s">
        <v>102</v>
      </c>
      <c r="Q2394" s="0" t="s">
        <v>102</v>
      </c>
      <c r="R2394" s="0" t="s">
        <v>131</v>
      </c>
      <c r="S2394" s="0" t="s">
        <v>21</v>
      </c>
      <c r="T2394" s="0" t="s">
        <v>104</v>
      </c>
      <c r="W2394" s="0" t="s">
        <v>105</v>
      </c>
    </row>
    <row r="2395" customFormat="false" ht="15" hidden="false" customHeight="false" outlineLevel="0" collapsed="false">
      <c r="A2395" s="0" t="s">
        <v>21</v>
      </c>
      <c r="B2395" s="0" t="s">
        <v>7817</v>
      </c>
      <c r="C2395" s="0" t="s">
        <v>97</v>
      </c>
      <c r="D2395" s="0" t="s">
        <v>7818</v>
      </c>
      <c r="E2395" s="0" t="s">
        <v>7818</v>
      </c>
      <c r="F2395" s="0" t="s">
        <v>7818</v>
      </c>
      <c r="M2395" s="0" t="s">
        <v>100</v>
      </c>
      <c r="N2395" s="0" t="s">
        <v>101</v>
      </c>
      <c r="P2395" s="0" t="s">
        <v>102</v>
      </c>
      <c r="Q2395" s="0" t="s">
        <v>102</v>
      </c>
      <c r="R2395" s="0" t="s">
        <v>131</v>
      </c>
      <c r="S2395" s="0" t="s">
        <v>21</v>
      </c>
      <c r="T2395" s="0" t="s">
        <v>104</v>
      </c>
      <c r="W2395" s="0" t="s">
        <v>105</v>
      </c>
    </row>
    <row r="2396" customFormat="false" ht="15" hidden="false" customHeight="false" outlineLevel="0" collapsed="false">
      <c r="A2396" s="0" t="s">
        <v>21</v>
      </c>
      <c r="B2396" s="0" t="s">
        <v>7819</v>
      </c>
      <c r="C2396" s="0" t="s">
        <v>97</v>
      </c>
      <c r="D2396" s="0" t="s">
        <v>7820</v>
      </c>
      <c r="E2396" s="0" t="s">
        <v>7821</v>
      </c>
      <c r="F2396" s="0" t="s">
        <v>7821</v>
      </c>
      <c r="M2396" s="0" t="s">
        <v>100</v>
      </c>
      <c r="N2396" s="0" t="s">
        <v>101</v>
      </c>
      <c r="P2396" s="0" t="s">
        <v>102</v>
      </c>
      <c r="Q2396" s="0" t="s">
        <v>102</v>
      </c>
      <c r="R2396" s="0" t="s">
        <v>131</v>
      </c>
      <c r="S2396" s="0" t="s">
        <v>21</v>
      </c>
      <c r="T2396" s="0" t="s">
        <v>104</v>
      </c>
      <c r="W2396" s="0" t="s">
        <v>105</v>
      </c>
    </row>
    <row r="2397" customFormat="false" ht="15" hidden="false" customHeight="false" outlineLevel="0" collapsed="false">
      <c r="A2397" s="0" t="s">
        <v>21</v>
      </c>
      <c r="B2397" s="0" t="s">
        <v>7822</v>
      </c>
      <c r="C2397" s="0" t="s">
        <v>97</v>
      </c>
      <c r="D2397" s="0" t="s">
        <v>7823</v>
      </c>
      <c r="E2397" s="0" t="s">
        <v>7824</v>
      </c>
      <c r="M2397" s="0" t="s">
        <v>100</v>
      </c>
      <c r="N2397" s="0" t="s">
        <v>101</v>
      </c>
      <c r="P2397" s="0" t="s">
        <v>102</v>
      </c>
      <c r="Q2397" s="0" t="s">
        <v>102</v>
      </c>
      <c r="R2397" s="0" t="s">
        <v>131</v>
      </c>
      <c r="S2397" s="0" t="s">
        <v>21</v>
      </c>
      <c r="T2397" s="0" t="s">
        <v>104</v>
      </c>
      <c r="W2397" s="0" t="s">
        <v>105</v>
      </c>
    </row>
    <row r="2398" customFormat="false" ht="15" hidden="false" customHeight="false" outlineLevel="0" collapsed="false">
      <c r="A2398" s="0" t="s">
        <v>21</v>
      </c>
      <c r="B2398" s="0" t="s">
        <v>7825</v>
      </c>
      <c r="C2398" s="0" t="s">
        <v>97</v>
      </c>
      <c r="D2398" s="0" t="s">
        <v>7826</v>
      </c>
      <c r="E2398" s="0" t="s">
        <v>7827</v>
      </c>
      <c r="F2398" s="0" t="s">
        <v>7827</v>
      </c>
      <c r="M2398" s="0" t="s">
        <v>456</v>
      </c>
      <c r="N2398" s="0" t="s">
        <v>101</v>
      </c>
      <c r="P2398" s="0" t="s">
        <v>102</v>
      </c>
      <c r="Q2398" s="0" t="s">
        <v>102</v>
      </c>
      <c r="R2398" s="0" t="s">
        <v>113</v>
      </c>
      <c r="S2398" s="0" t="s">
        <v>21</v>
      </c>
      <c r="T2398" s="0" t="s">
        <v>104</v>
      </c>
      <c r="W2398" s="0" t="s">
        <v>105</v>
      </c>
    </row>
    <row r="2399" customFormat="false" ht="15" hidden="false" customHeight="false" outlineLevel="0" collapsed="false">
      <c r="A2399" s="0" t="s">
        <v>21</v>
      </c>
      <c r="B2399" s="0" t="s">
        <v>7828</v>
      </c>
      <c r="C2399" s="0" t="s">
        <v>97</v>
      </c>
      <c r="D2399" s="0" t="s">
        <v>7829</v>
      </c>
      <c r="E2399" s="0" t="s">
        <v>7830</v>
      </c>
      <c r="M2399" s="0" t="s">
        <v>136</v>
      </c>
      <c r="N2399" s="0" t="s">
        <v>124</v>
      </c>
      <c r="P2399" s="0" t="s">
        <v>102</v>
      </c>
      <c r="Q2399" s="0" t="s">
        <v>102</v>
      </c>
      <c r="R2399" s="0" t="s">
        <v>144</v>
      </c>
      <c r="S2399" s="0" t="s">
        <v>21</v>
      </c>
      <c r="T2399" s="0" t="s">
        <v>104</v>
      </c>
      <c r="W2399" s="0" t="s">
        <v>105</v>
      </c>
    </row>
    <row r="2400" customFormat="false" ht="15" hidden="false" customHeight="false" outlineLevel="0" collapsed="false">
      <c r="A2400" s="0" t="s">
        <v>21</v>
      </c>
      <c r="B2400" s="0" t="s">
        <v>7831</v>
      </c>
      <c r="C2400" s="0" t="s">
        <v>97</v>
      </c>
      <c r="D2400" s="0" t="s">
        <v>7832</v>
      </c>
      <c r="E2400" s="0" t="s">
        <v>7833</v>
      </c>
      <c r="M2400" s="0" t="s">
        <v>136</v>
      </c>
      <c r="N2400" s="0" t="s">
        <v>124</v>
      </c>
      <c r="P2400" s="0" t="s">
        <v>102</v>
      </c>
      <c r="Q2400" s="0" t="s">
        <v>102</v>
      </c>
      <c r="R2400" s="0" t="s">
        <v>144</v>
      </c>
      <c r="S2400" s="0" t="s">
        <v>21</v>
      </c>
      <c r="T2400" s="0" t="s">
        <v>104</v>
      </c>
      <c r="W2400" s="0" t="s">
        <v>105</v>
      </c>
    </row>
    <row r="2401" customFormat="false" ht="15" hidden="false" customHeight="false" outlineLevel="0" collapsed="false">
      <c r="A2401" s="0" t="s">
        <v>21</v>
      </c>
      <c r="B2401" s="0" t="s">
        <v>7834</v>
      </c>
      <c r="C2401" s="0" t="s">
        <v>97</v>
      </c>
      <c r="D2401" s="0" t="s">
        <v>7835</v>
      </c>
      <c r="E2401" s="0" t="s">
        <v>7836</v>
      </c>
      <c r="M2401" s="0" t="s">
        <v>136</v>
      </c>
      <c r="N2401" s="0" t="s">
        <v>124</v>
      </c>
      <c r="P2401" s="0" t="s">
        <v>102</v>
      </c>
      <c r="Q2401" s="0" t="s">
        <v>102</v>
      </c>
      <c r="R2401" s="0" t="s">
        <v>144</v>
      </c>
      <c r="S2401" s="0" t="s">
        <v>21</v>
      </c>
      <c r="T2401" s="0" t="s">
        <v>104</v>
      </c>
      <c r="W2401" s="0" t="s">
        <v>105</v>
      </c>
    </row>
    <row r="2402" customFormat="false" ht="15" hidden="false" customHeight="false" outlineLevel="0" collapsed="false">
      <c r="A2402" s="0" t="s">
        <v>21</v>
      </c>
      <c r="B2402" s="0" t="s">
        <v>7837</v>
      </c>
      <c r="C2402" s="0" t="s">
        <v>97</v>
      </c>
      <c r="D2402" s="0" t="s">
        <v>7838</v>
      </c>
      <c r="E2402" s="0" t="s">
        <v>7839</v>
      </c>
      <c r="H2402" s="0" t="s">
        <v>7840</v>
      </c>
      <c r="I2402" s="0" t="s">
        <v>7160</v>
      </c>
      <c r="J2402" s="0" t="s">
        <v>456</v>
      </c>
      <c r="K2402" s="0" t="s">
        <v>648</v>
      </c>
      <c r="L2402" s="0" t="s">
        <v>101</v>
      </c>
      <c r="M2402" s="0" t="s">
        <v>456</v>
      </c>
      <c r="N2402" s="0" t="s">
        <v>101</v>
      </c>
      <c r="P2402" s="0" t="s">
        <v>102</v>
      </c>
      <c r="Q2402" s="0" t="s">
        <v>102</v>
      </c>
      <c r="R2402" s="0" t="s">
        <v>144</v>
      </c>
      <c r="S2402" s="0" t="s">
        <v>21</v>
      </c>
      <c r="T2402" s="0" t="s">
        <v>104</v>
      </c>
      <c r="W2402" s="0" t="s">
        <v>105</v>
      </c>
      <c r="X2402" s="0" t="s">
        <v>7841</v>
      </c>
      <c r="Y2402" s="0" t="s">
        <v>7842</v>
      </c>
    </row>
    <row r="2403" customFormat="false" ht="15" hidden="false" customHeight="false" outlineLevel="0" collapsed="false">
      <c r="A2403" s="0" t="s">
        <v>21</v>
      </c>
      <c r="B2403" s="0" t="s">
        <v>7843</v>
      </c>
      <c r="C2403" s="0" t="s">
        <v>97</v>
      </c>
      <c r="D2403" s="0" t="s">
        <v>7844</v>
      </c>
      <c r="E2403" s="0" t="s">
        <v>7845</v>
      </c>
      <c r="M2403" s="0" t="s">
        <v>136</v>
      </c>
      <c r="N2403" s="0" t="s">
        <v>124</v>
      </c>
      <c r="P2403" s="0" t="s">
        <v>102</v>
      </c>
      <c r="Q2403" s="0" t="s">
        <v>102</v>
      </c>
      <c r="R2403" s="0" t="s">
        <v>113</v>
      </c>
      <c r="S2403" s="0" t="s">
        <v>21</v>
      </c>
      <c r="T2403" s="0" t="s">
        <v>104</v>
      </c>
      <c r="W2403" s="0" t="s">
        <v>105</v>
      </c>
    </row>
    <row r="2404" customFormat="false" ht="15" hidden="false" customHeight="false" outlineLevel="0" collapsed="false">
      <c r="A2404" s="0" t="s">
        <v>21</v>
      </c>
      <c r="B2404" s="0" t="s">
        <v>7846</v>
      </c>
      <c r="C2404" s="0" t="s">
        <v>97</v>
      </c>
      <c r="D2404" s="0" t="s">
        <v>7847</v>
      </c>
      <c r="E2404" s="0" t="s">
        <v>7848</v>
      </c>
      <c r="M2404" s="0" t="s">
        <v>656</v>
      </c>
      <c r="N2404" s="0" t="s">
        <v>101</v>
      </c>
      <c r="P2404" s="0" t="s">
        <v>102</v>
      </c>
      <c r="Q2404" s="0" t="s">
        <v>102</v>
      </c>
      <c r="R2404" s="0" t="s">
        <v>113</v>
      </c>
      <c r="S2404" s="0" t="s">
        <v>21</v>
      </c>
      <c r="T2404" s="0" t="s">
        <v>104</v>
      </c>
      <c r="W2404" s="0" t="s">
        <v>105</v>
      </c>
    </row>
    <row r="2405" customFormat="false" ht="15" hidden="false" customHeight="false" outlineLevel="0" collapsed="false">
      <c r="A2405" s="0" t="s">
        <v>21</v>
      </c>
      <c r="B2405" s="0" t="s">
        <v>7849</v>
      </c>
      <c r="C2405" s="0" t="s">
        <v>97</v>
      </c>
      <c r="D2405" s="0" t="s">
        <v>7850</v>
      </c>
      <c r="E2405" s="0" t="s">
        <v>7851</v>
      </c>
      <c r="M2405" s="0" t="s">
        <v>136</v>
      </c>
      <c r="N2405" s="0" t="s">
        <v>124</v>
      </c>
      <c r="P2405" s="0" t="s">
        <v>102</v>
      </c>
      <c r="Q2405" s="0" t="s">
        <v>102</v>
      </c>
      <c r="R2405" s="0" t="s">
        <v>131</v>
      </c>
      <c r="S2405" s="0" t="s">
        <v>21</v>
      </c>
      <c r="T2405" s="0" t="s">
        <v>104</v>
      </c>
      <c r="W2405" s="0" t="s">
        <v>105</v>
      </c>
    </row>
    <row r="2406" customFormat="false" ht="15" hidden="false" customHeight="false" outlineLevel="0" collapsed="false">
      <c r="A2406" s="0" t="s">
        <v>21</v>
      </c>
      <c r="B2406" s="0" t="s">
        <v>7852</v>
      </c>
      <c r="C2406" s="0" t="s">
        <v>97</v>
      </c>
      <c r="D2406" s="0" t="s">
        <v>7853</v>
      </c>
      <c r="E2406" s="0" t="s">
        <v>7853</v>
      </c>
      <c r="F2406" s="0" t="s">
        <v>7853</v>
      </c>
      <c r="M2406" s="0" t="s">
        <v>100</v>
      </c>
      <c r="N2406" s="0" t="s">
        <v>101</v>
      </c>
      <c r="P2406" s="0" t="s">
        <v>102</v>
      </c>
      <c r="Q2406" s="0" t="s">
        <v>102</v>
      </c>
      <c r="R2406" s="0" t="s">
        <v>131</v>
      </c>
      <c r="S2406" s="0" t="s">
        <v>21</v>
      </c>
      <c r="T2406" s="0" t="s">
        <v>104</v>
      </c>
      <c r="W2406" s="0" t="s">
        <v>105</v>
      </c>
    </row>
    <row r="2407" customFormat="false" ht="15" hidden="false" customHeight="false" outlineLevel="0" collapsed="false">
      <c r="A2407" s="0" t="s">
        <v>21</v>
      </c>
      <c r="B2407" s="0" t="s">
        <v>7854</v>
      </c>
      <c r="C2407" s="0" t="s">
        <v>97</v>
      </c>
      <c r="D2407" s="0" t="s">
        <v>7855</v>
      </c>
      <c r="E2407" s="0" t="s">
        <v>7856</v>
      </c>
      <c r="G2407" s="0" t="s">
        <v>7857</v>
      </c>
      <c r="H2407" s="0" t="s">
        <v>654</v>
      </c>
      <c r="I2407" s="0" t="s">
        <v>655</v>
      </c>
      <c r="J2407" s="0" t="s">
        <v>100</v>
      </c>
      <c r="K2407" s="0" t="s">
        <v>168</v>
      </c>
      <c r="L2407" s="0" t="s">
        <v>101</v>
      </c>
      <c r="M2407" s="0" t="s">
        <v>656</v>
      </c>
      <c r="N2407" s="0" t="s">
        <v>101</v>
      </c>
      <c r="P2407" s="0" t="s">
        <v>102</v>
      </c>
      <c r="Q2407" s="0" t="s">
        <v>102</v>
      </c>
      <c r="R2407" s="0" t="s">
        <v>144</v>
      </c>
      <c r="S2407" s="0" t="s">
        <v>21</v>
      </c>
      <c r="T2407" s="0" t="s">
        <v>104</v>
      </c>
      <c r="W2407" s="0" t="s">
        <v>105</v>
      </c>
      <c r="X2407" s="0" t="s">
        <v>658</v>
      </c>
      <c r="Y2407" s="0" t="s">
        <v>659</v>
      </c>
    </row>
    <row r="2408" customFormat="false" ht="15" hidden="false" customHeight="false" outlineLevel="0" collapsed="false">
      <c r="A2408" s="0" t="s">
        <v>21</v>
      </c>
      <c r="B2408" s="0" t="s">
        <v>7858</v>
      </c>
      <c r="C2408" s="0" t="s">
        <v>97</v>
      </c>
      <c r="D2408" s="0" t="s">
        <v>7859</v>
      </c>
      <c r="E2408" s="0" t="s">
        <v>7860</v>
      </c>
      <c r="M2408" s="0" t="s">
        <v>100</v>
      </c>
      <c r="N2408" s="0" t="s">
        <v>101</v>
      </c>
      <c r="P2408" s="0" t="s">
        <v>102</v>
      </c>
      <c r="Q2408" s="0" t="s">
        <v>102</v>
      </c>
      <c r="R2408" s="0" t="s">
        <v>113</v>
      </c>
      <c r="S2408" s="0" t="s">
        <v>21</v>
      </c>
      <c r="T2408" s="0" t="s">
        <v>104</v>
      </c>
      <c r="W2408" s="0" t="s">
        <v>105</v>
      </c>
    </row>
    <row r="2409" customFormat="false" ht="15" hidden="false" customHeight="false" outlineLevel="0" collapsed="false">
      <c r="A2409" s="0" t="s">
        <v>21</v>
      </c>
      <c r="B2409" s="0" t="s">
        <v>7861</v>
      </c>
      <c r="C2409" s="0" t="s">
        <v>97</v>
      </c>
      <c r="D2409" s="0" t="s">
        <v>4323</v>
      </c>
      <c r="E2409" s="0" t="s">
        <v>7862</v>
      </c>
      <c r="M2409" s="0" t="s">
        <v>136</v>
      </c>
      <c r="N2409" s="0" t="s">
        <v>124</v>
      </c>
      <c r="P2409" s="0" t="s">
        <v>102</v>
      </c>
      <c r="Q2409" s="0" t="s">
        <v>102</v>
      </c>
      <c r="R2409" s="0" t="s">
        <v>113</v>
      </c>
      <c r="S2409" s="0" t="s">
        <v>21</v>
      </c>
      <c r="T2409" s="0" t="s">
        <v>104</v>
      </c>
      <c r="W2409" s="0" t="s">
        <v>105</v>
      </c>
    </row>
    <row r="2410" customFormat="false" ht="15" hidden="false" customHeight="false" outlineLevel="0" collapsed="false">
      <c r="A2410" s="0" t="s">
        <v>21</v>
      </c>
      <c r="B2410" s="0" t="s">
        <v>7863</v>
      </c>
      <c r="C2410" s="0" t="s">
        <v>97</v>
      </c>
      <c r="D2410" s="0" t="s">
        <v>7864</v>
      </c>
      <c r="E2410" s="0" t="s">
        <v>7864</v>
      </c>
      <c r="M2410" s="0" t="s">
        <v>136</v>
      </c>
      <c r="N2410" s="0" t="s">
        <v>124</v>
      </c>
      <c r="P2410" s="0" t="s">
        <v>102</v>
      </c>
      <c r="Q2410" s="0" t="s">
        <v>102</v>
      </c>
      <c r="R2410" s="0" t="s">
        <v>131</v>
      </c>
      <c r="S2410" s="0" t="s">
        <v>21</v>
      </c>
      <c r="T2410" s="0" t="s">
        <v>104</v>
      </c>
      <c r="W2410" s="0" t="s">
        <v>105</v>
      </c>
    </row>
    <row r="2411" customFormat="false" ht="15" hidden="false" customHeight="false" outlineLevel="0" collapsed="false">
      <c r="A2411" s="0" t="s">
        <v>21</v>
      </c>
      <c r="B2411" s="0" t="s">
        <v>7865</v>
      </c>
      <c r="C2411" s="0" t="s">
        <v>97</v>
      </c>
      <c r="D2411" s="0" t="s">
        <v>7866</v>
      </c>
      <c r="E2411" s="0" t="s">
        <v>7867</v>
      </c>
      <c r="M2411" s="0" t="s">
        <v>136</v>
      </c>
      <c r="N2411" s="0" t="s">
        <v>124</v>
      </c>
      <c r="P2411" s="0" t="s">
        <v>102</v>
      </c>
      <c r="Q2411" s="0" t="s">
        <v>102</v>
      </c>
      <c r="R2411" s="0" t="s">
        <v>131</v>
      </c>
      <c r="S2411" s="0" t="s">
        <v>21</v>
      </c>
      <c r="T2411" s="0" t="s">
        <v>104</v>
      </c>
      <c r="W2411" s="0" t="s">
        <v>105</v>
      </c>
    </row>
    <row r="2412" customFormat="false" ht="15" hidden="false" customHeight="false" outlineLevel="0" collapsed="false">
      <c r="A2412" s="0" t="s">
        <v>21</v>
      </c>
      <c r="B2412" s="0" t="s">
        <v>7868</v>
      </c>
      <c r="C2412" s="0" t="s">
        <v>97</v>
      </c>
      <c r="D2412" s="0" t="s">
        <v>7869</v>
      </c>
      <c r="E2412" s="0" t="s">
        <v>7870</v>
      </c>
      <c r="H2412" s="0" t="s">
        <v>7871</v>
      </c>
      <c r="I2412" s="0" t="s">
        <v>412</v>
      </c>
      <c r="J2412" s="0" t="s">
        <v>412</v>
      </c>
      <c r="K2412" s="0" t="s">
        <v>7872</v>
      </c>
      <c r="L2412" s="0" t="s">
        <v>101</v>
      </c>
      <c r="M2412" s="0" t="s">
        <v>412</v>
      </c>
      <c r="N2412" s="0" t="s">
        <v>101</v>
      </c>
      <c r="P2412" s="0" t="s">
        <v>102</v>
      </c>
      <c r="Q2412" s="0" t="s">
        <v>102</v>
      </c>
      <c r="R2412" s="0" t="s">
        <v>131</v>
      </c>
      <c r="S2412" s="0" t="s">
        <v>21</v>
      </c>
      <c r="T2412" s="0" t="s">
        <v>104</v>
      </c>
      <c r="W2412" s="0" t="s">
        <v>105</v>
      </c>
      <c r="X2412" s="0" t="s">
        <v>7873</v>
      </c>
      <c r="Y2412" s="0" t="s">
        <v>7874</v>
      </c>
    </row>
    <row r="2413" customFormat="false" ht="15" hidden="false" customHeight="false" outlineLevel="0" collapsed="false">
      <c r="A2413" s="0" t="s">
        <v>21</v>
      </c>
      <c r="B2413" s="0" t="s">
        <v>7875</v>
      </c>
      <c r="C2413" s="0" t="s">
        <v>97</v>
      </c>
      <c r="D2413" s="0" t="s">
        <v>7876</v>
      </c>
      <c r="E2413" s="0" t="s">
        <v>7877</v>
      </c>
      <c r="M2413" s="0" t="s">
        <v>100</v>
      </c>
      <c r="N2413" s="0" t="s">
        <v>101</v>
      </c>
      <c r="P2413" s="0" t="s">
        <v>102</v>
      </c>
      <c r="Q2413" s="0" t="s">
        <v>102</v>
      </c>
      <c r="R2413" s="0" t="s">
        <v>131</v>
      </c>
      <c r="S2413" s="0" t="s">
        <v>21</v>
      </c>
      <c r="T2413" s="0" t="s">
        <v>104</v>
      </c>
      <c r="W2413" s="0" t="s">
        <v>105</v>
      </c>
    </row>
    <row r="2414" customFormat="false" ht="15" hidden="false" customHeight="false" outlineLevel="0" collapsed="false">
      <c r="A2414" s="0" t="s">
        <v>21</v>
      </c>
      <c r="B2414" s="0" t="s">
        <v>7878</v>
      </c>
      <c r="C2414" s="0" t="s">
        <v>97</v>
      </c>
      <c r="D2414" s="0" t="s">
        <v>7879</v>
      </c>
      <c r="E2414" s="0" t="s">
        <v>7880</v>
      </c>
      <c r="H2414" s="0" t="s">
        <v>654</v>
      </c>
      <c r="I2414" s="0" t="s">
        <v>655</v>
      </c>
      <c r="J2414" s="0" t="s">
        <v>100</v>
      </c>
      <c r="K2414" s="0" t="s">
        <v>168</v>
      </c>
      <c r="L2414" s="0" t="s">
        <v>101</v>
      </c>
      <c r="M2414" s="0" t="s">
        <v>656</v>
      </c>
      <c r="N2414" s="0" t="s">
        <v>101</v>
      </c>
      <c r="P2414" s="0" t="s">
        <v>102</v>
      </c>
      <c r="Q2414" s="0" t="s">
        <v>102</v>
      </c>
      <c r="R2414" s="0" t="s">
        <v>113</v>
      </c>
      <c r="S2414" s="0" t="s">
        <v>21</v>
      </c>
      <c r="T2414" s="0" t="s">
        <v>104</v>
      </c>
      <c r="W2414" s="0" t="s">
        <v>105</v>
      </c>
      <c r="X2414" s="0" t="s">
        <v>658</v>
      </c>
      <c r="Y2414" s="0" t="s">
        <v>659</v>
      </c>
    </row>
    <row r="2415" customFormat="false" ht="15" hidden="false" customHeight="false" outlineLevel="0" collapsed="false">
      <c r="A2415" s="0" t="s">
        <v>21</v>
      </c>
      <c r="B2415" s="0" t="s">
        <v>7881</v>
      </c>
      <c r="C2415" s="0" t="s">
        <v>97</v>
      </c>
      <c r="D2415" s="0" t="s">
        <v>7882</v>
      </c>
      <c r="E2415" s="0" t="s">
        <v>7883</v>
      </c>
      <c r="M2415" s="0" t="s">
        <v>136</v>
      </c>
      <c r="N2415" s="0" t="s">
        <v>124</v>
      </c>
      <c r="P2415" s="0" t="s">
        <v>102</v>
      </c>
      <c r="Q2415" s="0" t="s">
        <v>102</v>
      </c>
      <c r="R2415" s="0" t="s">
        <v>144</v>
      </c>
      <c r="S2415" s="0" t="s">
        <v>21</v>
      </c>
      <c r="T2415" s="0" t="s">
        <v>104</v>
      </c>
      <c r="W2415" s="0" t="s">
        <v>105</v>
      </c>
    </row>
    <row r="2416" customFormat="false" ht="15" hidden="false" customHeight="false" outlineLevel="0" collapsed="false">
      <c r="A2416" s="0" t="s">
        <v>21</v>
      </c>
      <c r="B2416" s="0" t="s">
        <v>7884</v>
      </c>
      <c r="C2416" s="0" t="s">
        <v>7885</v>
      </c>
      <c r="D2416" s="0" t="s">
        <v>7886</v>
      </c>
      <c r="E2416" s="0" t="s">
        <v>7887</v>
      </c>
      <c r="H2416" s="0" t="s">
        <v>7888</v>
      </c>
      <c r="I2416" s="0" t="s">
        <v>7889</v>
      </c>
      <c r="M2416" s="0" t="s">
        <v>247</v>
      </c>
      <c r="N2416" s="0" t="s">
        <v>124</v>
      </c>
      <c r="P2416" s="0" t="s">
        <v>102</v>
      </c>
      <c r="Q2416" s="0" t="s">
        <v>102</v>
      </c>
      <c r="R2416" s="0" t="s">
        <v>131</v>
      </c>
      <c r="S2416" s="0" t="s">
        <v>21</v>
      </c>
      <c r="T2416" s="0" t="s">
        <v>104</v>
      </c>
      <c r="W2416" s="0" t="s">
        <v>105</v>
      </c>
    </row>
    <row r="2417" customFormat="false" ht="15" hidden="false" customHeight="false" outlineLevel="0" collapsed="false">
      <c r="A2417" s="0" t="s">
        <v>21</v>
      </c>
      <c r="B2417" s="0" t="s">
        <v>7890</v>
      </c>
      <c r="C2417" s="0" t="s">
        <v>139</v>
      </c>
      <c r="D2417" s="0" t="s">
        <v>7891</v>
      </c>
      <c r="H2417" s="0" t="s">
        <v>7892</v>
      </c>
      <c r="I2417" s="0" t="s">
        <v>1934</v>
      </c>
      <c r="J2417" s="0" t="s">
        <v>214</v>
      </c>
      <c r="K2417" s="0" t="s">
        <v>7893</v>
      </c>
      <c r="M2417" s="0" t="s">
        <v>143</v>
      </c>
      <c r="N2417" s="0" t="s">
        <v>124</v>
      </c>
      <c r="P2417" s="0" t="s">
        <v>102</v>
      </c>
      <c r="Q2417" s="0" t="s">
        <v>102</v>
      </c>
      <c r="R2417" s="0" t="s">
        <v>144</v>
      </c>
      <c r="S2417" s="0" t="s">
        <v>21</v>
      </c>
      <c r="T2417" s="0" t="s">
        <v>104</v>
      </c>
      <c r="W2417" s="0" t="s">
        <v>105</v>
      </c>
    </row>
    <row r="2418" customFormat="false" ht="15" hidden="false" customHeight="false" outlineLevel="0" collapsed="false">
      <c r="A2418" s="0" t="s">
        <v>21</v>
      </c>
      <c r="B2418" s="0" t="s">
        <v>7894</v>
      </c>
      <c r="C2418" s="0" t="s">
        <v>7895</v>
      </c>
      <c r="D2418" s="0" t="s">
        <v>7896</v>
      </c>
      <c r="E2418" s="0" t="s">
        <v>7896</v>
      </c>
      <c r="G2418" s="0" t="s">
        <v>7897</v>
      </c>
      <c r="M2418" s="0" t="s">
        <v>208</v>
      </c>
      <c r="N2418" s="0" t="s">
        <v>124</v>
      </c>
      <c r="P2418" s="0" t="s">
        <v>102</v>
      </c>
      <c r="Q2418" s="0" t="s">
        <v>102</v>
      </c>
      <c r="R2418" s="0" t="s">
        <v>804</v>
      </c>
      <c r="S2418" s="0" t="s">
        <v>21</v>
      </c>
      <c r="T2418" s="0" t="s">
        <v>104</v>
      </c>
      <c r="U2418" s="0" t="s">
        <v>7898</v>
      </c>
      <c r="W2418" s="0" t="s">
        <v>105</v>
      </c>
    </row>
    <row r="2419" customFormat="false" ht="15" hidden="false" customHeight="false" outlineLevel="0" collapsed="false">
      <c r="A2419" s="0" t="s">
        <v>21</v>
      </c>
      <c r="B2419" s="0" t="s">
        <v>7899</v>
      </c>
      <c r="C2419" s="0" t="s">
        <v>97</v>
      </c>
      <c r="D2419" s="0" t="s">
        <v>7900</v>
      </c>
      <c r="E2419" s="0" t="s">
        <v>7901</v>
      </c>
      <c r="M2419" s="0" t="s">
        <v>136</v>
      </c>
      <c r="N2419" s="0" t="s">
        <v>124</v>
      </c>
      <c r="P2419" s="0" t="s">
        <v>102</v>
      </c>
      <c r="Q2419" s="0" t="s">
        <v>102</v>
      </c>
      <c r="R2419" s="0" t="s">
        <v>144</v>
      </c>
      <c r="S2419" s="0" t="s">
        <v>21</v>
      </c>
      <c r="T2419" s="0" t="s">
        <v>104</v>
      </c>
      <c r="W2419" s="0" t="s">
        <v>105</v>
      </c>
    </row>
    <row r="2420" customFormat="false" ht="15" hidden="false" customHeight="false" outlineLevel="0" collapsed="false">
      <c r="A2420" s="0" t="s">
        <v>21</v>
      </c>
      <c r="B2420" s="0" t="s">
        <v>7902</v>
      </c>
      <c r="C2420" s="0" t="s">
        <v>97</v>
      </c>
      <c r="D2420" s="0" t="s">
        <v>7903</v>
      </c>
      <c r="E2420" s="0" t="s">
        <v>7904</v>
      </c>
      <c r="M2420" s="0" t="s">
        <v>136</v>
      </c>
      <c r="N2420" s="0" t="s">
        <v>124</v>
      </c>
      <c r="P2420" s="0" t="s">
        <v>102</v>
      </c>
      <c r="Q2420" s="0" t="s">
        <v>102</v>
      </c>
      <c r="R2420" s="0" t="s">
        <v>144</v>
      </c>
      <c r="S2420" s="0" t="s">
        <v>21</v>
      </c>
      <c r="T2420" s="0" t="s">
        <v>104</v>
      </c>
      <c r="W2420" s="0" t="s">
        <v>105</v>
      </c>
    </row>
    <row r="2421" customFormat="false" ht="15" hidden="false" customHeight="false" outlineLevel="0" collapsed="false">
      <c r="A2421" s="0" t="s">
        <v>21</v>
      </c>
      <c r="B2421" s="0" t="s">
        <v>7905</v>
      </c>
      <c r="C2421" s="0" t="s">
        <v>97</v>
      </c>
      <c r="D2421" s="0" t="s">
        <v>7906</v>
      </c>
      <c r="E2421" s="0" t="s">
        <v>7907</v>
      </c>
      <c r="M2421" s="0" t="s">
        <v>136</v>
      </c>
      <c r="N2421" s="0" t="s">
        <v>124</v>
      </c>
      <c r="P2421" s="0" t="s">
        <v>102</v>
      </c>
      <c r="Q2421" s="0" t="s">
        <v>102</v>
      </c>
      <c r="R2421" s="0" t="s">
        <v>224</v>
      </c>
      <c r="S2421" s="0" t="s">
        <v>21</v>
      </c>
      <c r="T2421" s="0" t="s">
        <v>104</v>
      </c>
      <c r="W2421" s="0" t="s">
        <v>105</v>
      </c>
    </row>
    <row r="2422" customFormat="false" ht="15" hidden="false" customHeight="false" outlineLevel="0" collapsed="false">
      <c r="A2422" s="0" t="s">
        <v>21</v>
      </c>
      <c r="B2422" s="0" t="s">
        <v>7908</v>
      </c>
      <c r="C2422" s="0" t="s">
        <v>97</v>
      </c>
      <c r="M2422" s="0" t="s">
        <v>156</v>
      </c>
      <c r="N2422" s="0" t="s">
        <v>124</v>
      </c>
      <c r="P2422" s="0" t="s">
        <v>130</v>
      </c>
      <c r="Q2422" s="0" t="s">
        <v>130</v>
      </c>
      <c r="R2422" s="0" t="s">
        <v>137</v>
      </c>
      <c r="S2422" s="0" t="s">
        <v>21</v>
      </c>
      <c r="T2422" s="0" t="s">
        <v>104</v>
      </c>
      <c r="W2422" s="0" t="s">
        <v>105</v>
      </c>
    </row>
    <row r="2423" customFormat="false" ht="15" hidden="false" customHeight="false" outlineLevel="0" collapsed="false">
      <c r="A2423" s="0" t="s">
        <v>21</v>
      </c>
      <c r="B2423" s="0" t="s">
        <v>7909</v>
      </c>
      <c r="C2423" s="0" t="s">
        <v>97</v>
      </c>
      <c r="M2423" s="0" t="s">
        <v>262</v>
      </c>
      <c r="N2423" s="0" t="s">
        <v>124</v>
      </c>
      <c r="P2423" s="0" t="s">
        <v>130</v>
      </c>
      <c r="Q2423" s="0" t="s">
        <v>130</v>
      </c>
      <c r="R2423" s="0" t="s">
        <v>137</v>
      </c>
      <c r="S2423" s="0" t="s">
        <v>21</v>
      </c>
      <c r="T2423" s="0" t="s">
        <v>104</v>
      </c>
      <c r="W2423" s="0" t="s">
        <v>105</v>
      </c>
    </row>
    <row r="2424" customFormat="false" ht="15" hidden="false" customHeight="false" outlineLevel="0" collapsed="false">
      <c r="A2424" s="0" t="s">
        <v>21</v>
      </c>
      <c r="B2424" s="0" t="s">
        <v>7910</v>
      </c>
      <c r="C2424" s="0" t="s">
        <v>97</v>
      </c>
      <c r="M2424" s="0" t="s">
        <v>219</v>
      </c>
      <c r="N2424" s="0" t="s">
        <v>124</v>
      </c>
      <c r="P2424" s="0" t="s">
        <v>130</v>
      </c>
      <c r="Q2424" s="0" t="s">
        <v>130</v>
      </c>
      <c r="R2424" s="0" t="s">
        <v>137</v>
      </c>
      <c r="S2424" s="0" t="s">
        <v>21</v>
      </c>
      <c r="T2424" s="0" t="s">
        <v>104</v>
      </c>
      <c r="W2424" s="0" t="s">
        <v>105</v>
      </c>
    </row>
    <row r="2425" customFormat="false" ht="15" hidden="false" customHeight="false" outlineLevel="0" collapsed="false">
      <c r="A2425" s="0" t="s">
        <v>21</v>
      </c>
      <c r="B2425" s="0" t="s">
        <v>7911</v>
      </c>
      <c r="C2425" s="0" t="s">
        <v>97</v>
      </c>
      <c r="M2425" s="0" t="s">
        <v>194</v>
      </c>
      <c r="N2425" s="0" t="s">
        <v>124</v>
      </c>
      <c r="P2425" s="0" t="s">
        <v>130</v>
      </c>
      <c r="Q2425" s="0" t="s">
        <v>130</v>
      </c>
      <c r="R2425" s="0" t="s">
        <v>137</v>
      </c>
      <c r="S2425" s="0" t="s">
        <v>21</v>
      </c>
      <c r="T2425" s="0" t="s">
        <v>104</v>
      </c>
      <c r="W2425" s="0" t="s">
        <v>105</v>
      </c>
    </row>
    <row r="2426" customFormat="false" ht="15" hidden="false" customHeight="false" outlineLevel="0" collapsed="false">
      <c r="A2426" s="0" t="s">
        <v>21</v>
      </c>
      <c r="B2426" s="0" t="s">
        <v>7912</v>
      </c>
      <c r="C2426" s="0" t="s">
        <v>97</v>
      </c>
      <c r="M2426" s="0" t="s">
        <v>598</v>
      </c>
      <c r="N2426" s="0" t="s">
        <v>124</v>
      </c>
      <c r="P2426" s="0" t="s">
        <v>130</v>
      </c>
      <c r="Q2426" s="0" t="s">
        <v>130</v>
      </c>
      <c r="R2426" s="0" t="s">
        <v>137</v>
      </c>
      <c r="S2426" s="0" t="s">
        <v>21</v>
      </c>
      <c r="T2426" s="0" t="s">
        <v>104</v>
      </c>
      <c r="W2426" s="0" t="s">
        <v>105</v>
      </c>
    </row>
    <row r="2427" customFormat="false" ht="15" hidden="false" customHeight="false" outlineLevel="0" collapsed="false">
      <c r="A2427" s="0" t="s">
        <v>21</v>
      </c>
      <c r="B2427" s="0" t="s">
        <v>7913</v>
      </c>
      <c r="C2427" s="0" t="s">
        <v>97</v>
      </c>
      <c r="M2427" s="0" t="s">
        <v>2678</v>
      </c>
      <c r="N2427" s="0" t="s">
        <v>124</v>
      </c>
      <c r="P2427" s="0" t="s">
        <v>130</v>
      </c>
      <c r="Q2427" s="0" t="s">
        <v>130</v>
      </c>
      <c r="R2427" s="0" t="s">
        <v>137</v>
      </c>
      <c r="S2427" s="0" t="s">
        <v>21</v>
      </c>
      <c r="T2427" s="0" t="s">
        <v>104</v>
      </c>
      <c r="W2427" s="0" t="s">
        <v>105</v>
      </c>
    </row>
    <row r="2428" customFormat="false" ht="15" hidden="false" customHeight="false" outlineLevel="0" collapsed="false">
      <c r="A2428" s="0" t="s">
        <v>21</v>
      </c>
      <c r="B2428" s="0" t="s">
        <v>7914</v>
      </c>
      <c r="C2428" s="0" t="s">
        <v>4845</v>
      </c>
      <c r="D2428" s="0" t="s">
        <v>7915</v>
      </c>
      <c r="E2428" s="0" t="s">
        <v>7916</v>
      </c>
      <c r="M2428" s="0" t="s">
        <v>208</v>
      </c>
      <c r="N2428" s="0" t="s">
        <v>124</v>
      </c>
      <c r="P2428" s="0" t="s">
        <v>102</v>
      </c>
      <c r="Q2428" s="0" t="s">
        <v>102</v>
      </c>
      <c r="R2428" s="0" t="s">
        <v>131</v>
      </c>
      <c r="S2428" s="0" t="s">
        <v>21</v>
      </c>
      <c r="T2428" s="0" t="s">
        <v>104</v>
      </c>
      <c r="W2428" s="0" t="s">
        <v>105</v>
      </c>
    </row>
    <row r="2429" customFormat="false" ht="15" hidden="false" customHeight="false" outlineLevel="0" collapsed="false">
      <c r="A2429" s="0" t="s">
        <v>21</v>
      </c>
      <c r="B2429" s="0" t="s">
        <v>7917</v>
      </c>
      <c r="C2429" s="0" t="s">
        <v>97</v>
      </c>
      <c r="D2429" s="0" t="s">
        <v>7812</v>
      </c>
      <c r="E2429" s="0" t="s">
        <v>7918</v>
      </c>
      <c r="M2429" s="0" t="s">
        <v>656</v>
      </c>
      <c r="N2429" s="0" t="s">
        <v>101</v>
      </c>
      <c r="P2429" s="0" t="s">
        <v>102</v>
      </c>
      <c r="Q2429" s="0" t="s">
        <v>102</v>
      </c>
      <c r="R2429" s="0" t="s">
        <v>131</v>
      </c>
      <c r="S2429" s="0" t="s">
        <v>21</v>
      </c>
      <c r="T2429" s="0" t="s">
        <v>104</v>
      </c>
      <c r="W2429" s="0" t="s">
        <v>105</v>
      </c>
    </row>
    <row r="2430" customFormat="false" ht="15" hidden="false" customHeight="false" outlineLevel="0" collapsed="false">
      <c r="A2430" s="0" t="s">
        <v>21</v>
      </c>
      <c r="B2430" s="0" t="s">
        <v>7919</v>
      </c>
      <c r="C2430" s="0" t="s">
        <v>97</v>
      </c>
      <c r="D2430" s="0" t="s">
        <v>7920</v>
      </c>
      <c r="E2430" s="0" t="s">
        <v>7921</v>
      </c>
      <c r="M2430" s="0" t="s">
        <v>136</v>
      </c>
      <c r="N2430" s="0" t="s">
        <v>124</v>
      </c>
      <c r="P2430" s="0" t="s">
        <v>102</v>
      </c>
      <c r="Q2430" s="0" t="s">
        <v>102</v>
      </c>
      <c r="R2430" s="0" t="s">
        <v>131</v>
      </c>
      <c r="S2430" s="0" t="s">
        <v>21</v>
      </c>
      <c r="T2430" s="0" t="s">
        <v>104</v>
      </c>
      <c r="W2430" s="0" t="s">
        <v>105</v>
      </c>
    </row>
    <row r="2431" customFormat="false" ht="15" hidden="false" customHeight="false" outlineLevel="0" collapsed="false">
      <c r="A2431" s="0" t="s">
        <v>21</v>
      </c>
      <c r="B2431" s="0" t="s">
        <v>7922</v>
      </c>
      <c r="C2431" s="0" t="s">
        <v>97</v>
      </c>
      <c r="D2431" s="0" t="s">
        <v>7923</v>
      </c>
      <c r="E2431" s="0" t="s">
        <v>7924</v>
      </c>
      <c r="H2431" s="0" t="s">
        <v>7925</v>
      </c>
      <c r="I2431" s="0" t="s">
        <v>7926</v>
      </c>
      <c r="J2431" s="0" t="s">
        <v>412</v>
      </c>
      <c r="K2431" s="0" t="s">
        <v>309</v>
      </c>
      <c r="L2431" s="0" t="s">
        <v>101</v>
      </c>
      <c r="M2431" s="0" t="s">
        <v>412</v>
      </c>
      <c r="N2431" s="0" t="s">
        <v>101</v>
      </c>
      <c r="P2431" s="0" t="s">
        <v>102</v>
      </c>
      <c r="Q2431" s="0" t="s">
        <v>102</v>
      </c>
      <c r="R2431" s="0" t="s">
        <v>137</v>
      </c>
      <c r="S2431" s="0" t="s">
        <v>21</v>
      </c>
      <c r="T2431" s="0" t="s">
        <v>104</v>
      </c>
      <c r="W2431" s="0" t="s">
        <v>105</v>
      </c>
      <c r="X2431" s="0" t="s">
        <v>7927</v>
      </c>
      <c r="Y2431" s="0" t="s">
        <v>7928</v>
      </c>
      <c r="AB2431" s="0" t="s">
        <v>832</v>
      </c>
    </row>
    <row r="2432" customFormat="false" ht="15" hidden="false" customHeight="false" outlineLevel="0" collapsed="false">
      <c r="A2432" s="0" t="s">
        <v>21</v>
      </c>
      <c r="B2432" s="0" t="s">
        <v>7929</v>
      </c>
      <c r="C2432" s="0" t="s">
        <v>97</v>
      </c>
      <c r="D2432" s="0" t="s">
        <v>7930</v>
      </c>
      <c r="E2432" s="0" t="s">
        <v>7931</v>
      </c>
      <c r="M2432" s="0" t="s">
        <v>656</v>
      </c>
      <c r="N2432" s="0" t="s">
        <v>101</v>
      </c>
      <c r="P2432" s="0" t="s">
        <v>102</v>
      </c>
      <c r="Q2432" s="0" t="s">
        <v>102</v>
      </c>
      <c r="R2432" s="0" t="s">
        <v>137</v>
      </c>
      <c r="S2432" s="0" t="s">
        <v>21</v>
      </c>
      <c r="T2432" s="0" t="s">
        <v>104</v>
      </c>
      <c r="W2432" s="0" t="s">
        <v>105</v>
      </c>
    </row>
    <row r="2433" customFormat="false" ht="15" hidden="false" customHeight="false" outlineLevel="0" collapsed="false">
      <c r="A2433" s="0" t="s">
        <v>21</v>
      </c>
      <c r="B2433" s="0" t="s">
        <v>7932</v>
      </c>
      <c r="C2433" s="0" t="s">
        <v>7362</v>
      </c>
      <c r="D2433" s="0" t="s">
        <v>7933</v>
      </c>
      <c r="E2433" s="0" t="s">
        <v>7934</v>
      </c>
      <c r="G2433" s="0" t="s">
        <v>7935</v>
      </c>
      <c r="M2433" s="0" t="s">
        <v>412</v>
      </c>
      <c r="N2433" s="0" t="s">
        <v>101</v>
      </c>
      <c r="P2433" s="0" t="s">
        <v>102</v>
      </c>
      <c r="Q2433" s="0" t="s">
        <v>102</v>
      </c>
      <c r="R2433" s="0" t="s">
        <v>137</v>
      </c>
      <c r="S2433" s="0" t="s">
        <v>21</v>
      </c>
      <c r="T2433" s="0" t="s">
        <v>104</v>
      </c>
      <c r="W2433" s="0" t="s">
        <v>105</v>
      </c>
    </row>
    <row r="2434" customFormat="false" ht="15" hidden="false" customHeight="false" outlineLevel="0" collapsed="false">
      <c r="A2434" s="0" t="s">
        <v>21</v>
      </c>
      <c r="B2434" s="0" t="s">
        <v>7936</v>
      </c>
      <c r="C2434" s="0" t="s">
        <v>97</v>
      </c>
      <c r="D2434" s="0" t="s">
        <v>1217</v>
      </c>
      <c r="E2434" s="0" t="s">
        <v>7937</v>
      </c>
      <c r="H2434" s="0" t="s">
        <v>7938</v>
      </c>
      <c r="I2434" s="0" t="s">
        <v>1948</v>
      </c>
      <c r="J2434" s="0" t="s">
        <v>412</v>
      </c>
      <c r="K2434" s="0" t="s">
        <v>322</v>
      </c>
      <c r="L2434" s="0" t="s">
        <v>101</v>
      </c>
      <c r="M2434" s="0" t="s">
        <v>1221</v>
      </c>
      <c r="N2434" s="0" t="s">
        <v>101</v>
      </c>
      <c r="P2434" s="0" t="s">
        <v>102</v>
      </c>
      <c r="Q2434" s="0" t="s">
        <v>102</v>
      </c>
      <c r="R2434" s="0" t="s">
        <v>113</v>
      </c>
      <c r="S2434" s="0" t="s">
        <v>21</v>
      </c>
      <c r="T2434" s="0" t="s">
        <v>104</v>
      </c>
      <c r="W2434" s="0" t="s">
        <v>105</v>
      </c>
      <c r="X2434" s="0" t="s">
        <v>7939</v>
      </c>
      <c r="Y2434" s="0" t="s">
        <v>7940</v>
      </c>
    </row>
    <row r="2435" customFormat="false" ht="15" hidden="false" customHeight="false" outlineLevel="0" collapsed="false">
      <c r="A2435" s="0" t="s">
        <v>21</v>
      </c>
      <c r="B2435" s="0" t="s">
        <v>7941</v>
      </c>
      <c r="C2435" s="0" t="s">
        <v>97</v>
      </c>
      <c r="D2435" s="0" t="s">
        <v>7942</v>
      </c>
      <c r="E2435" s="0" t="s">
        <v>7943</v>
      </c>
      <c r="M2435" s="0" t="s">
        <v>136</v>
      </c>
      <c r="N2435" s="0" t="s">
        <v>124</v>
      </c>
      <c r="P2435" s="0" t="s">
        <v>102</v>
      </c>
      <c r="Q2435" s="0" t="s">
        <v>102</v>
      </c>
      <c r="R2435" s="0" t="s">
        <v>131</v>
      </c>
      <c r="S2435" s="0" t="s">
        <v>21</v>
      </c>
      <c r="T2435" s="0" t="s">
        <v>104</v>
      </c>
      <c r="W2435" s="0" t="s">
        <v>105</v>
      </c>
    </row>
    <row r="2436" customFormat="false" ht="15" hidden="false" customHeight="false" outlineLevel="0" collapsed="false">
      <c r="A2436" s="0" t="s">
        <v>21</v>
      </c>
      <c r="B2436" s="0" t="s">
        <v>7944</v>
      </c>
      <c r="C2436" s="0" t="s">
        <v>97</v>
      </c>
      <c r="D2436" s="0" t="s">
        <v>7945</v>
      </c>
      <c r="E2436" s="0" t="s">
        <v>7946</v>
      </c>
      <c r="M2436" s="0" t="s">
        <v>136</v>
      </c>
      <c r="N2436" s="0" t="s">
        <v>124</v>
      </c>
      <c r="P2436" s="0" t="s">
        <v>102</v>
      </c>
      <c r="Q2436" s="0" t="s">
        <v>102</v>
      </c>
      <c r="R2436" s="0" t="s">
        <v>131</v>
      </c>
      <c r="S2436" s="0" t="s">
        <v>21</v>
      </c>
      <c r="T2436" s="0" t="s">
        <v>104</v>
      </c>
      <c r="W2436" s="0" t="s">
        <v>105</v>
      </c>
    </row>
    <row r="2437" customFormat="false" ht="15" hidden="false" customHeight="false" outlineLevel="0" collapsed="false">
      <c r="A2437" s="0" t="s">
        <v>21</v>
      </c>
      <c r="B2437" s="0" t="s">
        <v>7947</v>
      </c>
      <c r="C2437" s="0" t="s">
        <v>97</v>
      </c>
      <c r="D2437" s="0" t="s">
        <v>7948</v>
      </c>
      <c r="E2437" s="0" t="s">
        <v>7949</v>
      </c>
      <c r="M2437" s="0" t="s">
        <v>136</v>
      </c>
      <c r="N2437" s="0" t="s">
        <v>124</v>
      </c>
      <c r="P2437" s="0" t="s">
        <v>102</v>
      </c>
      <c r="Q2437" s="0" t="s">
        <v>102</v>
      </c>
      <c r="R2437" s="0" t="s">
        <v>131</v>
      </c>
      <c r="S2437" s="0" t="s">
        <v>21</v>
      </c>
      <c r="T2437" s="0" t="s">
        <v>104</v>
      </c>
      <c r="W2437" s="0" t="s">
        <v>105</v>
      </c>
    </row>
    <row r="2438" customFormat="false" ht="15" hidden="false" customHeight="false" outlineLevel="0" collapsed="false">
      <c r="A2438" s="0" t="s">
        <v>21</v>
      </c>
      <c r="B2438" s="0" t="s">
        <v>7950</v>
      </c>
      <c r="C2438" s="0" t="s">
        <v>97</v>
      </c>
      <c r="D2438" s="0" t="s">
        <v>7951</v>
      </c>
      <c r="E2438" s="0" t="s">
        <v>7952</v>
      </c>
      <c r="M2438" s="0" t="s">
        <v>136</v>
      </c>
      <c r="N2438" s="0" t="s">
        <v>124</v>
      </c>
      <c r="P2438" s="0" t="s">
        <v>102</v>
      </c>
      <c r="Q2438" s="0" t="s">
        <v>102</v>
      </c>
      <c r="R2438" s="0" t="s">
        <v>131</v>
      </c>
      <c r="S2438" s="0" t="s">
        <v>21</v>
      </c>
      <c r="T2438" s="0" t="s">
        <v>104</v>
      </c>
      <c r="W2438" s="0" t="s">
        <v>105</v>
      </c>
    </row>
    <row r="2439" customFormat="false" ht="15" hidden="false" customHeight="false" outlineLevel="0" collapsed="false">
      <c r="A2439" s="0" t="s">
        <v>21</v>
      </c>
      <c r="B2439" s="0" t="s">
        <v>7953</v>
      </c>
      <c r="C2439" s="0" t="s">
        <v>97</v>
      </c>
      <c r="D2439" s="0" t="s">
        <v>7954</v>
      </c>
      <c r="E2439" s="0" t="s">
        <v>7955</v>
      </c>
      <c r="M2439" s="0" t="s">
        <v>136</v>
      </c>
      <c r="N2439" s="0" t="s">
        <v>124</v>
      </c>
      <c r="P2439" s="0" t="s">
        <v>102</v>
      </c>
      <c r="Q2439" s="0" t="s">
        <v>102</v>
      </c>
      <c r="R2439" s="0" t="s">
        <v>131</v>
      </c>
      <c r="S2439" s="0" t="s">
        <v>21</v>
      </c>
      <c r="T2439" s="0" t="s">
        <v>104</v>
      </c>
      <c r="W2439" s="0" t="s">
        <v>105</v>
      </c>
    </row>
    <row r="2440" customFormat="false" ht="15" hidden="false" customHeight="false" outlineLevel="0" collapsed="false">
      <c r="A2440" s="0" t="s">
        <v>21</v>
      </c>
      <c r="B2440" s="0" t="s">
        <v>7956</v>
      </c>
      <c r="C2440" s="0" t="s">
        <v>174</v>
      </c>
      <c r="D2440" s="0" t="s">
        <v>7957</v>
      </c>
      <c r="E2440" s="0" t="s">
        <v>7957</v>
      </c>
      <c r="M2440" s="0" t="s">
        <v>178</v>
      </c>
      <c r="N2440" s="0" t="s">
        <v>124</v>
      </c>
      <c r="P2440" s="0" t="s">
        <v>102</v>
      </c>
      <c r="Q2440" s="0" t="s">
        <v>102</v>
      </c>
      <c r="R2440" s="0" t="s">
        <v>131</v>
      </c>
      <c r="S2440" s="0" t="s">
        <v>21</v>
      </c>
      <c r="T2440" s="0" t="s">
        <v>104</v>
      </c>
      <c r="W2440" s="0" t="s">
        <v>105</v>
      </c>
    </row>
    <row r="2441" customFormat="false" ht="15" hidden="false" customHeight="false" outlineLevel="0" collapsed="false">
      <c r="A2441" s="0" t="s">
        <v>21</v>
      </c>
      <c r="B2441" s="0" t="s">
        <v>7958</v>
      </c>
      <c r="C2441" s="0" t="s">
        <v>97</v>
      </c>
      <c r="D2441" s="0" t="s">
        <v>7959</v>
      </c>
      <c r="E2441" s="0" t="s">
        <v>7960</v>
      </c>
      <c r="M2441" s="0" t="s">
        <v>136</v>
      </c>
      <c r="N2441" s="0" t="s">
        <v>124</v>
      </c>
      <c r="P2441" s="0" t="s">
        <v>102</v>
      </c>
      <c r="Q2441" s="0" t="s">
        <v>102</v>
      </c>
      <c r="R2441" s="0" t="s">
        <v>131</v>
      </c>
      <c r="S2441" s="0" t="s">
        <v>21</v>
      </c>
      <c r="T2441" s="0" t="s">
        <v>104</v>
      </c>
      <c r="W2441" s="0" t="s">
        <v>105</v>
      </c>
    </row>
    <row r="2442" customFormat="false" ht="15" hidden="false" customHeight="false" outlineLevel="0" collapsed="false">
      <c r="A2442" s="0" t="s">
        <v>21</v>
      </c>
      <c r="B2442" s="0" t="s">
        <v>7961</v>
      </c>
      <c r="C2442" s="0" t="s">
        <v>97</v>
      </c>
      <c r="D2442" s="0" t="s">
        <v>7962</v>
      </c>
      <c r="E2442" s="0" t="s">
        <v>7963</v>
      </c>
      <c r="H2442" s="0" t="s">
        <v>654</v>
      </c>
      <c r="I2442" s="0" t="s">
        <v>655</v>
      </c>
      <c r="J2442" s="0" t="s">
        <v>100</v>
      </c>
      <c r="K2442" s="0" t="s">
        <v>168</v>
      </c>
      <c r="L2442" s="0" t="s">
        <v>101</v>
      </c>
      <c r="M2442" s="0" t="s">
        <v>656</v>
      </c>
      <c r="N2442" s="0" t="s">
        <v>101</v>
      </c>
      <c r="P2442" s="0" t="s">
        <v>102</v>
      </c>
      <c r="Q2442" s="0" t="s">
        <v>102</v>
      </c>
      <c r="R2442" s="0" t="s">
        <v>131</v>
      </c>
      <c r="S2442" s="0" t="s">
        <v>21</v>
      </c>
      <c r="T2442" s="0" t="s">
        <v>104</v>
      </c>
      <c r="W2442" s="0" t="s">
        <v>105</v>
      </c>
      <c r="X2442" s="0" t="s">
        <v>658</v>
      </c>
      <c r="Y2442" s="0" t="s">
        <v>659</v>
      </c>
    </row>
    <row r="2443" customFormat="false" ht="15" hidden="false" customHeight="false" outlineLevel="0" collapsed="false">
      <c r="A2443" s="0" t="s">
        <v>21</v>
      </c>
      <c r="B2443" s="0" t="s">
        <v>7964</v>
      </c>
      <c r="C2443" s="0" t="s">
        <v>2145</v>
      </c>
      <c r="M2443" s="0" t="s">
        <v>1661</v>
      </c>
      <c r="N2443" s="0" t="s">
        <v>124</v>
      </c>
      <c r="P2443" s="0" t="s">
        <v>130</v>
      </c>
      <c r="Q2443" s="0" t="s">
        <v>130</v>
      </c>
      <c r="R2443" s="0" t="s">
        <v>144</v>
      </c>
      <c r="S2443" s="0" t="s">
        <v>21</v>
      </c>
      <c r="T2443" s="0" t="s">
        <v>104</v>
      </c>
      <c r="W2443" s="0" t="s">
        <v>105</v>
      </c>
    </row>
    <row r="2444" customFormat="false" ht="15" hidden="false" customHeight="false" outlineLevel="0" collapsed="false">
      <c r="A2444" s="0" t="s">
        <v>21</v>
      </c>
      <c r="B2444" s="0" t="s">
        <v>7965</v>
      </c>
      <c r="C2444" s="0" t="s">
        <v>200</v>
      </c>
      <c r="D2444" s="0" t="s">
        <v>7966</v>
      </c>
      <c r="E2444" s="0" t="s">
        <v>7967</v>
      </c>
      <c r="F2444" s="0" t="s">
        <v>7967</v>
      </c>
      <c r="G2444" s="0" t="s">
        <v>7968</v>
      </c>
      <c r="H2444" s="0" t="s">
        <v>7969</v>
      </c>
      <c r="I2444" s="0" t="s">
        <v>7970</v>
      </c>
      <c r="J2444" s="0" t="s">
        <v>275</v>
      </c>
      <c r="K2444" s="0" t="s">
        <v>7971</v>
      </c>
      <c r="M2444" s="0" t="s">
        <v>178</v>
      </c>
      <c r="N2444" s="0" t="s">
        <v>124</v>
      </c>
      <c r="P2444" s="0" t="s">
        <v>102</v>
      </c>
      <c r="Q2444" s="0" t="s">
        <v>102</v>
      </c>
      <c r="R2444" s="0" t="s">
        <v>804</v>
      </c>
      <c r="S2444" s="0" t="s">
        <v>21</v>
      </c>
      <c r="T2444" s="0" t="s">
        <v>104</v>
      </c>
      <c r="V2444" s="0" t="s">
        <v>3721</v>
      </c>
      <c r="W2444" s="0" t="s">
        <v>105</v>
      </c>
      <c r="X2444" s="0" t="s">
        <v>7972</v>
      </c>
      <c r="Y2444" s="0" t="s">
        <v>7973</v>
      </c>
      <c r="Z2444" s="0" t="s">
        <v>350</v>
      </c>
      <c r="AA2444" s="0" t="s">
        <v>3081</v>
      </c>
    </row>
    <row r="2445" customFormat="false" ht="15" hidden="false" customHeight="false" outlineLevel="0" collapsed="false">
      <c r="A2445" s="0" t="s">
        <v>21</v>
      </c>
      <c r="B2445" s="0" t="s">
        <v>7965</v>
      </c>
      <c r="C2445" s="0" t="s">
        <v>200</v>
      </c>
      <c r="D2445" s="0" t="s">
        <v>7966</v>
      </c>
      <c r="E2445" s="0" t="s">
        <v>7967</v>
      </c>
      <c r="F2445" s="0" t="s">
        <v>7967</v>
      </c>
      <c r="G2445" s="0" t="s">
        <v>7968</v>
      </c>
      <c r="H2445" s="0" t="s">
        <v>7969</v>
      </c>
      <c r="I2445" s="0" t="s">
        <v>7970</v>
      </c>
      <c r="J2445" s="0" t="s">
        <v>275</v>
      </c>
      <c r="K2445" s="0" t="s">
        <v>7971</v>
      </c>
      <c r="M2445" s="0" t="s">
        <v>178</v>
      </c>
      <c r="N2445" s="0" t="s">
        <v>124</v>
      </c>
      <c r="P2445" s="0" t="s">
        <v>130</v>
      </c>
      <c r="Q2445" s="0" t="s">
        <v>130</v>
      </c>
      <c r="R2445" s="0" t="s">
        <v>804</v>
      </c>
      <c r="S2445" s="0" t="s">
        <v>21</v>
      </c>
      <c r="T2445" s="0" t="s">
        <v>104</v>
      </c>
      <c r="U2445" s="0" t="s">
        <v>7974</v>
      </c>
      <c r="W2445" s="0" t="s">
        <v>105</v>
      </c>
      <c r="X2445" s="0" t="s">
        <v>7972</v>
      </c>
      <c r="Y2445" s="0" t="s">
        <v>7973</v>
      </c>
      <c r="Z2445" s="0" t="s">
        <v>350</v>
      </c>
      <c r="AA2445" s="0" t="s">
        <v>3081</v>
      </c>
    </row>
    <row r="2446" customFormat="false" ht="15" hidden="false" customHeight="false" outlineLevel="0" collapsed="false">
      <c r="A2446" s="0" t="s">
        <v>21</v>
      </c>
      <c r="B2446" s="0" t="s">
        <v>7975</v>
      </c>
      <c r="C2446" s="0" t="s">
        <v>97</v>
      </c>
      <c r="D2446" s="0" t="s">
        <v>7966</v>
      </c>
      <c r="E2446" s="0" t="s">
        <v>7976</v>
      </c>
      <c r="M2446" s="0" t="s">
        <v>136</v>
      </c>
      <c r="N2446" s="0" t="s">
        <v>124</v>
      </c>
      <c r="P2446" s="0" t="s">
        <v>102</v>
      </c>
      <c r="Q2446" s="0" t="s">
        <v>102</v>
      </c>
      <c r="R2446" s="0" t="s">
        <v>804</v>
      </c>
      <c r="S2446" s="0" t="s">
        <v>21</v>
      </c>
      <c r="T2446" s="0" t="s">
        <v>104</v>
      </c>
      <c r="W2446" s="0" t="s">
        <v>105</v>
      </c>
    </row>
    <row r="2447" customFormat="false" ht="15" hidden="false" customHeight="false" outlineLevel="0" collapsed="false">
      <c r="A2447" s="0" t="s">
        <v>21</v>
      </c>
      <c r="B2447" s="0" t="s">
        <v>7977</v>
      </c>
      <c r="C2447" s="0" t="s">
        <v>139</v>
      </c>
      <c r="D2447" s="0" t="s">
        <v>7978</v>
      </c>
      <c r="E2447" s="0" t="s">
        <v>7978</v>
      </c>
      <c r="H2447" s="0" t="s">
        <v>7979</v>
      </c>
      <c r="I2447" s="0" t="s">
        <v>7977</v>
      </c>
      <c r="J2447" s="0" t="s">
        <v>157</v>
      </c>
      <c r="K2447" s="0" t="s">
        <v>7980</v>
      </c>
      <c r="L2447" s="0" t="s">
        <v>124</v>
      </c>
      <c r="M2447" s="0" t="s">
        <v>232</v>
      </c>
      <c r="N2447" s="0" t="s">
        <v>124</v>
      </c>
      <c r="P2447" s="0" t="s">
        <v>102</v>
      </c>
      <c r="Q2447" s="0" t="s">
        <v>102</v>
      </c>
      <c r="R2447" s="0" t="s">
        <v>113</v>
      </c>
      <c r="S2447" s="0" t="s">
        <v>21</v>
      </c>
      <c r="T2447" s="0" t="s">
        <v>104</v>
      </c>
      <c r="W2447" s="0" t="s">
        <v>105</v>
      </c>
    </row>
    <row r="2448" customFormat="false" ht="15" hidden="false" customHeight="false" outlineLevel="0" collapsed="false">
      <c r="A2448" s="0" t="s">
        <v>21</v>
      </c>
      <c r="B2448" s="0" t="s">
        <v>7981</v>
      </c>
      <c r="C2448" s="0" t="s">
        <v>863</v>
      </c>
      <c r="D2448" s="0" t="s">
        <v>7982</v>
      </c>
      <c r="E2448" s="0" t="s">
        <v>7983</v>
      </c>
      <c r="M2448" s="0" t="s">
        <v>232</v>
      </c>
      <c r="N2448" s="0" t="s">
        <v>124</v>
      </c>
      <c r="P2448" s="0" t="s">
        <v>102</v>
      </c>
      <c r="Q2448" s="0" t="s">
        <v>102</v>
      </c>
      <c r="R2448" s="0" t="s">
        <v>113</v>
      </c>
      <c r="S2448" s="0" t="s">
        <v>21</v>
      </c>
      <c r="T2448" s="0" t="s">
        <v>104</v>
      </c>
      <c r="W2448" s="0" t="s">
        <v>105</v>
      </c>
    </row>
    <row r="2449" customFormat="false" ht="15" hidden="false" customHeight="false" outlineLevel="0" collapsed="false">
      <c r="A2449" s="0" t="s">
        <v>21</v>
      </c>
      <c r="B2449" s="0" t="s">
        <v>7984</v>
      </c>
      <c r="C2449" s="0" t="s">
        <v>97</v>
      </c>
      <c r="D2449" s="0" t="s">
        <v>7985</v>
      </c>
      <c r="E2449" s="0" t="s">
        <v>7986</v>
      </c>
      <c r="H2449" s="0" t="s">
        <v>654</v>
      </c>
      <c r="I2449" s="0" t="s">
        <v>655</v>
      </c>
      <c r="J2449" s="0" t="s">
        <v>100</v>
      </c>
      <c r="K2449" s="0" t="s">
        <v>168</v>
      </c>
      <c r="L2449" s="0" t="s">
        <v>101</v>
      </c>
      <c r="M2449" s="0" t="s">
        <v>656</v>
      </c>
      <c r="N2449" s="0" t="s">
        <v>101</v>
      </c>
      <c r="P2449" s="0" t="s">
        <v>102</v>
      </c>
      <c r="Q2449" s="0" t="s">
        <v>102</v>
      </c>
      <c r="R2449" s="0" t="s">
        <v>131</v>
      </c>
      <c r="S2449" s="0" t="s">
        <v>21</v>
      </c>
      <c r="T2449" s="0" t="s">
        <v>104</v>
      </c>
      <c r="W2449" s="0" t="s">
        <v>105</v>
      </c>
      <c r="X2449" s="0" t="s">
        <v>658</v>
      </c>
      <c r="Y2449" s="0" t="s">
        <v>659</v>
      </c>
    </row>
    <row r="2450" customFormat="false" ht="15" hidden="false" customHeight="false" outlineLevel="0" collapsed="false">
      <c r="A2450" s="0" t="s">
        <v>21</v>
      </c>
      <c r="B2450" s="0" t="s">
        <v>7987</v>
      </c>
      <c r="C2450" s="0" t="s">
        <v>97</v>
      </c>
      <c r="D2450" s="0" t="s">
        <v>7988</v>
      </c>
      <c r="E2450" s="0" t="s">
        <v>7989</v>
      </c>
      <c r="M2450" s="0" t="s">
        <v>656</v>
      </c>
      <c r="N2450" s="0" t="s">
        <v>101</v>
      </c>
      <c r="P2450" s="0" t="s">
        <v>102</v>
      </c>
      <c r="Q2450" s="0" t="s">
        <v>102</v>
      </c>
      <c r="R2450" s="0" t="s">
        <v>113</v>
      </c>
      <c r="S2450" s="0" t="s">
        <v>21</v>
      </c>
      <c r="T2450" s="0" t="s">
        <v>104</v>
      </c>
      <c r="W2450" s="0" t="s">
        <v>105</v>
      </c>
    </row>
    <row r="2451" customFormat="false" ht="15" hidden="false" customHeight="false" outlineLevel="0" collapsed="false">
      <c r="A2451" s="0" t="s">
        <v>21</v>
      </c>
      <c r="B2451" s="0" t="s">
        <v>7990</v>
      </c>
      <c r="C2451" s="0" t="s">
        <v>4280</v>
      </c>
      <c r="D2451" s="0" t="s">
        <v>7991</v>
      </c>
      <c r="E2451" s="0" t="s">
        <v>7992</v>
      </c>
      <c r="G2451" s="0" t="s">
        <v>7993</v>
      </c>
      <c r="M2451" s="0" t="s">
        <v>456</v>
      </c>
      <c r="N2451" s="0" t="s">
        <v>101</v>
      </c>
      <c r="P2451" s="0" t="s">
        <v>102</v>
      </c>
      <c r="Q2451" s="0" t="s">
        <v>102</v>
      </c>
      <c r="R2451" s="0" t="s">
        <v>113</v>
      </c>
      <c r="S2451" s="0" t="s">
        <v>21</v>
      </c>
      <c r="T2451" s="0" t="s">
        <v>104</v>
      </c>
      <c r="W2451" s="0" t="s">
        <v>105</v>
      </c>
    </row>
    <row r="2452" customFormat="false" ht="15" hidden="false" customHeight="false" outlineLevel="0" collapsed="false">
      <c r="A2452" s="0" t="s">
        <v>21</v>
      </c>
      <c r="B2452" s="0" t="s">
        <v>7994</v>
      </c>
      <c r="C2452" s="0" t="s">
        <v>4319</v>
      </c>
      <c r="M2452" s="0" t="s">
        <v>219</v>
      </c>
      <c r="N2452" s="0" t="s">
        <v>124</v>
      </c>
      <c r="P2452" s="0" t="s">
        <v>130</v>
      </c>
      <c r="Q2452" s="0" t="s">
        <v>130</v>
      </c>
      <c r="R2452" s="0" t="s">
        <v>144</v>
      </c>
      <c r="S2452" s="0" t="s">
        <v>21</v>
      </c>
      <c r="T2452" s="0" t="s">
        <v>104</v>
      </c>
      <c r="W2452" s="0" t="s">
        <v>105</v>
      </c>
    </row>
    <row r="2453" customFormat="false" ht="15" hidden="false" customHeight="false" outlineLevel="0" collapsed="false">
      <c r="A2453" s="0" t="s">
        <v>21</v>
      </c>
      <c r="B2453" s="0" t="s">
        <v>7995</v>
      </c>
      <c r="C2453" s="0" t="s">
        <v>97</v>
      </c>
      <c r="D2453" s="0" t="s">
        <v>7996</v>
      </c>
      <c r="E2453" s="0" t="s">
        <v>7997</v>
      </c>
      <c r="H2453" s="0" t="s">
        <v>654</v>
      </c>
      <c r="I2453" s="0" t="s">
        <v>655</v>
      </c>
      <c r="J2453" s="0" t="s">
        <v>100</v>
      </c>
      <c r="K2453" s="0" t="s">
        <v>168</v>
      </c>
      <c r="L2453" s="0" t="s">
        <v>101</v>
      </c>
      <c r="M2453" s="0" t="s">
        <v>656</v>
      </c>
      <c r="N2453" s="0" t="s">
        <v>101</v>
      </c>
      <c r="P2453" s="0" t="s">
        <v>102</v>
      </c>
      <c r="Q2453" s="0" t="s">
        <v>102</v>
      </c>
      <c r="R2453" s="0" t="s">
        <v>113</v>
      </c>
      <c r="S2453" s="0" t="s">
        <v>21</v>
      </c>
      <c r="T2453" s="0" t="s">
        <v>104</v>
      </c>
      <c r="W2453" s="0" t="s">
        <v>105</v>
      </c>
      <c r="X2453" s="0" t="s">
        <v>658</v>
      </c>
      <c r="Y2453" s="0" t="s">
        <v>659</v>
      </c>
    </row>
    <row r="2454" customFormat="false" ht="15" hidden="false" customHeight="false" outlineLevel="0" collapsed="false">
      <c r="A2454" s="0" t="s">
        <v>21</v>
      </c>
      <c r="B2454" s="0" t="s">
        <v>7998</v>
      </c>
      <c r="C2454" s="0" t="s">
        <v>97</v>
      </c>
      <c r="D2454" s="0" t="s">
        <v>7999</v>
      </c>
      <c r="E2454" s="0" t="s">
        <v>7999</v>
      </c>
      <c r="M2454" s="0" t="s">
        <v>136</v>
      </c>
      <c r="N2454" s="0" t="s">
        <v>124</v>
      </c>
      <c r="P2454" s="0" t="s">
        <v>102</v>
      </c>
      <c r="Q2454" s="0" t="s">
        <v>102</v>
      </c>
      <c r="R2454" s="0" t="s">
        <v>131</v>
      </c>
      <c r="S2454" s="0" t="s">
        <v>21</v>
      </c>
      <c r="T2454" s="0" t="s">
        <v>104</v>
      </c>
      <c r="W2454" s="0" t="s">
        <v>105</v>
      </c>
    </row>
    <row r="2455" customFormat="false" ht="15" hidden="false" customHeight="false" outlineLevel="0" collapsed="false">
      <c r="A2455" s="0" t="s">
        <v>21</v>
      </c>
      <c r="B2455" s="0" t="s">
        <v>8000</v>
      </c>
      <c r="C2455" s="0" t="s">
        <v>97</v>
      </c>
      <c r="D2455" s="0" t="s">
        <v>8001</v>
      </c>
      <c r="E2455" s="0" t="s">
        <v>8002</v>
      </c>
      <c r="M2455" s="0" t="s">
        <v>136</v>
      </c>
      <c r="N2455" s="0" t="s">
        <v>124</v>
      </c>
      <c r="P2455" s="0" t="s">
        <v>102</v>
      </c>
      <c r="Q2455" s="0" t="s">
        <v>102</v>
      </c>
      <c r="R2455" s="0" t="s">
        <v>131</v>
      </c>
      <c r="S2455" s="0" t="s">
        <v>21</v>
      </c>
      <c r="T2455" s="0" t="s">
        <v>104</v>
      </c>
      <c r="W2455" s="0" t="s">
        <v>105</v>
      </c>
    </row>
    <row r="2456" customFormat="false" ht="15" hidden="false" customHeight="false" outlineLevel="0" collapsed="false">
      <c r="A2456" s="0" t="s">
        <v>21</v>
      </c>
      <c r="B2456" s="0" t="s">
        <v>8003</v>
      </c>
      <c r="C2456" s="0" t="s">
        <v>97</v>
      </c>
      <c r="D2456" s="0" t="s">
        <v>8004</v>
      </c>
      <c r="E2456" s="0" t="s">
        <v>8005</v>
      </c>
      <c r="M2456" s="0" t="s">
        <v>136</v>
      </c>
      <c r="N2456" s="0" t="s">
        <v>124</v>
      </c>
      <c r="P2456" s="0" t="s">
        <v>102</v>
      </c>
      <c r="Q2456" s="0" t="s">
        <v>102</v>
      </c>
      <c r="R2456" s="0" t="s">
        <v>131</v>
      </c>
      <c r="S2456" s="0" t="s">
        <v>21</v>
      </c>
      <c r="T2456" s="0" t="s">
        <v>104</v>
      </c>
      <c r="W2456" s="0" t="s">
        <v>105</v>
      </c>
    </row>
    <row r="2457" customFormat="false" ht="15" hidden="false" customHeight="false" outlineLevel="0" collapsed="false">
      <c r="A2457" s="0" t="s">
        <v>21</v>
      </c>
      <c r="B2457" s="0" t="s">
        <v>8006</v>
      </c>
      <c r="C2457" s="0" t="s">
        <v>97</v>
      </c>
      <c r="D2457" s="0" t="s">
        <v>8007</v>
      </c>
      <c r="E2457" s="0" t="s">
        <v>8008</v>
      </c>
      <c r="M2457" s="0" t="s">
        <v>136</v>
      </c>
      <c r="N2457" s="0" t="s">
        <v>124</v>
      </c>
      <c r="P2457" s="0" t="s">
        <v>102</v>
      </c>
      <c r="Q2457" s="0" t="s">
        <v>102</v>
      </c>
      <c r="R2457" s="0" t="s">
        <v>131</v>
      </c>
      <c r="S2457" s="0" t="s">
        <v>21</v>
      </c>
      <c r="T2457" s="0" t="s">
        <v>104</v>
      </c>
      <c r="W2457" s="0" t="s">
        <v>105</v>
      </c>
    </row>
    <row r="2458" customFormat="false" ht="15" hidden="false" customHeight="false" outlineLevel="0" collapsed="false">
      <c r="A2458" s="0" t="s">
        <v>21</v>
      </c>
      <c r="B2458" s="0" t="s">
        <v>8009</v>
      </c>
      <c r="C2458" s="0" t="s">
        <v>97</v>
      </c>
      <c r="D2458" s="0" t="s">
        <v>8010</v>
      </c>
      <c r="E2458" s="0" t="s">
        <v>8011</v>
      </c>
      <c r="M2458" s="0" t="s">
        <v>136</v>
      </c>
      <c r="N2458" s="0" t="s">
        <v>124</v>
      </c>
      <c r="P2458" s="0" t="s">
        <v>102</v>
      </c>
      <c r="Q2458" s="0" t="s">
        <v>102</v>
      </c>
      <c r="R2458" s="0" t="s">
        <v>131</v>
      </c>
      <c r="S2458" s="0" t="s">
        <v>21</v>
      </c>
      <c r="T2458" s="0" t="s">
        <v>104</v>
      </c>
      <c r="W2458" s="0" t="s">
        <v>105</v>
      </c>
    </row>
    <row r="2459" customFormat="false" ht="15" hidden="false" customHeight="false" outlineLevel="0" collapsed="false">
      <c r="A2459" s="0" t="s">
        <v>21</v>
      </c>
      <c r="B2459" s="0" t="s">
        <v>8012</v>
      </c>
      <c r="C2459" s="0" t="s">
        <v>97</v>
      </c>
      <c r="D2459" s="0" t="s">
        <v>8013</v>
      </c>
      <c r="E2459" s="0" t="s">
        <v>8014</v>
      </c>
      <c r="M2459" s="0" t="s">
        <v>100</v>
      </c>
      <c r="N2459" s="0" t="s">
        <v>101</v>
      </c>
      <c r="P2459" s="0" t="s">
        <v>102</v>
      </c>
      <c r="Q2459" s="0" t="s">
        <v>102</v>
      </c>
      <c r="R2459" s="0" t="s">
        <v>131</v>
      </c>
      <c r="S2459" s="0" t="s">
        <v>21</v>
      </c>
      <c r="T2459" s="0" t="s">
        <v>104</v>
      </c>
      <c r="W2459" s="0" t="s">
        <v>105</v>
      </c>
    </row>
    <row r="2460" customFormat="false" ht="15" hidden="false" customHeight="false" outlineLevel="0" collapsed="false">
      <c r="A2460" s="0" t="s">
        <v>21</v>
      </c>
      <c r="B2460" s="0" t="s">
        <v>8015</v>
      </c>
      <c r="C2460" s="0" t="s">
        <v>97</v>
      </c>
      <c r="D2460" s="0" t="s">
        <v>8016</v>
      </c>
      <c r="E2460" s="0" t="s">
        <v>8017</v>
      </c>
      <c r="H2460" s="0" t="s">
        <v>654</v>
      </c>
      <c r="I2460" s="0" t="s">
        <v>655</v>
      </c>
      <c r="J2460" s="0" t="s">
        <v>100</v>
      </c>
      <c r="K2460" s="0" t="s">
        <v>168</v>
      </c>
      <c r="L2460" s="0" t="s">
        <v>101</v>
      </c>
      <c r="M2460" s="0" t="s">
        <v>656</v>
      </c>
      <c r="N2460" s="0" t="s">
        <v>101</v>
      </c>
      <c r="P2460" s="0" t="s">
        <v>102</v>
      </c>
      <c r="Q2460" s="0" t="s">
        <v>102</v>
      </c>
      <c r="R2460" s="0" t="s">
        <v>113</v>
      </c>
      <c r="S2460" s="0" t="s">
        <v>21</v>
      </c>
      <c r="T2460" s="0" t="s">
        <v>104</v>
      </c>
      <c r="W2460" s="0" t="s">
        <v>105</v>
      </c>
      <c r="X2460" s="0" t="s">
        <v>658</v>
      </c>
      <c r="Y2460" s="0" t="s">
        <v>659</v>
      </c>
    </row>
    <row r="2461" customFormat="false" ht="15" hidden="false" customHeight="false" outlineLevel="0" collapsed="false">
      <c r="A2461" s="0" t="s">
        <v>21</v>
      </c>
      <c r="B2461" s="0" t="s">
        <v>8018</v>
      </c>
      <c r="C2461" s="0" t="s">
        <v>97</v>
      </c>
      <c r="D2461" s="0" t="s">
        <v>8019</v>
      </c>
      <c r="E2461" s="0" t="s">
        <v>8020</v>
      </c>
      <c r="M2461" s="0" t="s">
        <v>656</v>
      </c>
      <c r="N2461" s="0" t="s">
        <v>101</v>
      </c>
      <c r="P2461" s="0" t="s">
        <v>102</v>
      </c>
      <c r="Q2461" s="0" t="s">
        <v>102</v>
      </c>
      <c r="R2461" s="0" t="s">
        <v>137</v>
      </c>
      <c r="S2461" s="0" t="s">
        <v>21</v>
      </c>
      <c r="T2461" s="0" t="s">
        <v>104</v>
      </c>
      <c r="W2461" s="0" t="s">
        <v>105</v>
      </c>
    </row>
    <row r="2462" customFormat="false" ht="15" hidden="false" customHeight="false" outlineLevel="0" collapsed="false">
      <c r="A2462" s="0" t="s">
        <v>21</v>
      </c>
      <c r="B2462" s="0" t="s">
        <v>8021</v>
      </c>
      <c r="C2462" s="0" t="s">
        <v>97</v>
      </c>
      <c r="D2462" s="0" t="s">
        <v>8022</v>
      </c>
      <c r="E2462" s="0" t="s">
        <v>8022</v>
      </c>
      <c r="F2462" s="0" t="s">
        <v>8022</v>
      </c>
      <c r="M2462" s="0" t="s">
        <v>136</v>
      </c>
      <c r="N2462" s="0" t="s">
        <v>124</v>
      </c>
      <c r="P2462" s="0" t="s">
        <v>102</v>
      </c>
      <c r="Q2462" s="0" t="s">
        <v>102</v>
      </c>
      <c r="R2462" s="0" t="s">
        <v>131</v>
      </c>
      <c r="S2462" s="0" t="s">
        <v>21</v>
      </c>
      <c r="T2462" s="0" t="s">
        <v>104</v>
      </c>
      <c r="W2462" s="0" t="s">
        <v>105</v>
      </c>
    </row>
    <row r="2463" customFormat="false" ht="15" hidden="false" customHeight="false" outlineLevel="0" collapsed="false">
      <c r="A2463" s="0" t="s">
        <v>21</v>
      </c>
      <c r="B2463" s="0" t="s">
        <v>8023</v>
      </c>
      <c r="C2463" s="0" t="s">
        <v>97</v>
      </c>
      <c r="D2463" s="0" t="s">
        <v>8024</v>
      </c>
      <c r="E2463" s="0" t="s">
        <v>8025</v>
      </c>
      <c r="M2463" s="0" t="s">
        <v>136</v>
      </c>
      <c r="N2463" s="0" t="s">
        <v>124</v>
      </c>
      <c r="P2463" s="0" t="s">
        <v>102</v>
      </c>
      <c r="Q2463" s="0" t="s">
        <v>102</v>
      </c>
      <c r="R2463" s="0" t="s">
        <v>144</v>
      </c>
      <c r="S2463" s="0" t="s">
        <v>21</v>
      </c>
      <c r="T2463" s="0" t="s">
        <v>104</v>
      </c>
      <c r="W2463" s="0" t="s">
        <v>105</v>
      </c>
    </row>
    <row r="2464" customFormat="false" ht="15" hidden="false" customHeight="false" outlineLevel="0" collapsed="false">
      <c r="A2464" s="0" t="s">
        <v>21</v>
      </c>
      <c r="B2464" s="0" t="s">
        <v>8026</v>
      </c>
      <c r="C2464" s="0" t="s">
        <v>97</v>
      </c>
      <c r="D2464" s="0" t="s">
        <v>8027</v>
      </c>
      <c r="E2464" s="0" t="s">
        <v>8028</v>
      </c>
      <c r="M2464" s="0" t="s">
        <v>136</v>
      </c>
      <c r="N2464" s="0" t="s">
        <v>124</v>
      </c>
      <c r="P2464" s="0" t="s">
        <v>102</v>
      </c>
      <c r="Q2464" s="0" t="s">
        <v>102</v>
      </c>
      <c r="R2464" s="0" t="s">
        <v>144</v>
      </c>
      <c r="S2464" s="0" t="s">
        <v>21</v>
      </c>
      <c r="T2464" s="0" t="s">
        <v>104</v>
      </c>
      <c r="W2464" s="0" t="s">
        <v>105</v>
      </c>
    </row>
    <row r="2465" customFormat="false" ht="15" hidden="false" customHeight="false" outlineLevel="0" collapsed="false">
      <c r="A2465" s="0" t="s">
        <v>21</v>
      </c>
      <c r="B2465" s="0" t="s">
        <v>8029</v>
      </c>
      <c r="C2465" s="0" t="s">
        <v>97</v>
      </c>
      <c r="D2465" s="0" t="s">
        <v>8030</v>
      </c>
      <c r="E2465" s="0" t="s">
        <v>8031</v>
      </c>
      <c r="M2465" s="0" t="s">
        <v>136</v>
      </c>
      <c r="N2465" s="0" t="s">
        <v>124</v>
      </c>
      <c r="P2465" s="0" t="s">
        <v>102</v>
      </c>
      <c r="Q2465" s="0" t="s">
        <v>102</v>
      </c>
      <c r="R2465" s="0" t="s">
        <v>144</v>
      </c>
      <c r="S2465" s="0" t="s">
        <v>21</v>
      </c>
      <c r="T2465" s="0" t="s">
        <v>104</v>
      </c>
      <c r="W2465" s="0" t="s">
        <v>105</v>
      </c>
    </row>
    <row r="2466" customFormat="false" ht="15" hidden="false" customHeight="false" outlineLevel="0" collapsed="false">
      <c r="A2466" s="0" t="s">
        <v>21</v>
      </c>
      <c r="B2466" s="0" t="s">
        <v>8032</v>
      </c>
      <c r="C2466" s="0" t="s">
        <v>97</v>
      </c>
      <c r="D2466" s="0" t="s">
        <v>8033</v>
      </c>
      <c r="E2466" s="0" t="s">
        <v>8034</v>
      </c>
      <c r="M2466" s="0" t="s">
        <v>136</v>
      </c>
      <c r="N2466" s="0" t="s">
        <v>124</v>
      </c>
      <c r="P2466" s="0" t="s">
        <v>102</v>
      </c>
      <c r="Q2466" s="0" t="s">
        <v>102</v>
      </c>
      <c r="R2466" s="0" t="s">
        <v>144</v>
      </c>
      <c r="S2466" s="0" t="s">
        <v>21</v>
      </c>
      <c r="T2466" s="0" t="s">
        <v>104</v>
      </c>
      <c r="W2466" s="0" t="s">
        <v>105</v>
      </c>
    </row>
    <row r="2467" customFormat="false" ht="15" hidden="false" customHeight="false" outlineLevel="0" collapsed="false">
      <c r="A2467" s="0" t="s">
        <v>21</v>
      </c>
      <c r="B2467" s="0" t="s">
        <v>8035</v>
      </c>
      <c r="C2467" s="0" t="s">
        <v>97</v>
      </c>
      <c r="D2467" s="0" t="s">
        <v>8036</v>
      </c>
      <c r="E2467" s="0" t="s">
        <v>8037</v>
      </c>
      <c r="M2467" s="0" t="s">
        <v>136</v>
      </c>
      <c r="N2467" s="0" t="s">
        <v>124</v>
      </c>
      <c r="P2467" s="0" t="s">
        <v>102</v>
      </c>
      <c r="Q2467" s="0" t="s">
        <v>102</v>
      </c>
      <c r="R2467" s="0" t="s">
        <v>144</v>
      </c>
      <c r="S2467" s="0" t="s">
        <v>21</v>
      </c>
      <c r="T2467" s="0" t="s">
        <v>104</v>
      </c>
      <c r="W2467" s="0" t="s">
        <v>105</v>
      </c>
    </row>
    <row r="2468" customFormat="false" ht="15" hidden="false" customHeight="false" outlineLevel="0" collapsed="false">
      <c r="A2468" s="0" t="s">
        <v>21</v>
      </c>
      <c r="B2468" s="0" t="s">
        <v>8038</v>
      </c>
      <c r="C2468" s="0" t="s">
        <v>97</v>
      </c>
      <c r="D2468" s="0" t="s">
        <v>503</v>
      </c>
      <c r="E2468" s="0" t="s">
        <v>8039</v>
      </c>
      <c r="F2468" s="0" t="s">
        <v>8040</v>
      </c>
      <c r="M2468" s="0" t="s">
        <v>656</v>
      </c>
      <c r="N2468" s="0" t="s">
        <v>101</v>
      </c>
      <c r="P2468" s="0" t="s">
        <v>130</v>
      </c>
      <c r="Q2468" s="0" t="s">
        <v>130</v>
      </c>
      <c r="R2468" s="0" t="s">
        <v>113</v>
      </c>
      <c r="S2468" s="0" t="s">
        <v>21</v>
      </c>
      <c r="T2468" s="0" t="s">
        <v>104</v>
      </c>
      <c r="W2468" s="0" t="s">
        <v>105</v>
      </c>
    </row>
    <row r="2469" customFormat="false" ht="15" hidden="false" customHeight="false" outlineLevel="0" collapsed="false">
      <c r="A2469" s="0" t="s">
        <v>21</v>
      </c>
      <c r="B2469" s="0" t="s">
        <v>8041</v>
      </c>
      <c r="C2469" s="0" t="s">
        <v>97</v>
      </c>
      <c r="D2469" s="0" t="s">
        <v>8042</v>
      </c>
      <c r="E2469" s="0" t="s">
        <v>8043</v>
      </c>
      <c r="M2469" s="0" t="s">
        <v>656</v>
      </c>
      <c r="N2469" s="0" t="s">
        <v>101</v>
      </c>
      <c r="P2469" s="0" t="s">
        <v>102</v>
      </c>
      <c r="Q2469" s="0" t="s">
        <v>102</v>
      </c>
      <c r="R2469" s="0" t="s">
        <v>113</v>
      </c>
      <c r="S2469" s="0" t="s">
        <v>21</v>
      </c>
      <c r="T2469" s="0" t="s">
        <v>104</v>
      </c>
      <c r="W2469" s="0" t="s">
        <v>105</v>
      </c>
    </row>
    <row r="2470" customFormat="false" ht="15" hidden="false" customHeight="false" outlineLevel="0" collapsed="false">
      <c r="A2470" s="0" t="s">
        <v>21</v>
      </c>
      <c r="B2470" s="0" t="s">
        <v>8044</v>
      </c>
      <c r="C2470" s="0" t="s">
        <v>97</v>
      </c>
      <c r="D2470" s="0" t="s">
        <v>8045</v>
      </c>
      <c r="E2470" s="0" t="s">
        <v>8046</v>
      </c>
      <c r="M2470" s="0" t="s">
        <v>136</v>
      </c>
      <c r="N2470" s="0" t="s">
        <v>124</v>
      </c>
      <c r="P2470" s="0" t="s">
        <v>102</v>
      </c>
      <c r="Q2470" s="0" t="s">
        <v>102</v>
      </c>
      <c r="R2470" s="0" t="s">
        <v>113</v>
      </c>
      <c r="S2470" s="0" t="s">
        <v>21</v>
      </c>
      <c r="T2470" s="0" t="s">
        <v>104</v>
      </c>
      <c r="W2470" s="0" t="s">
        <v>105</v>
      </c>
    </row>
    <row r="2471" customFormat="false" ht="15" hidden="false" customHeight="false" outlineLevel="0" collapsed="false">
      <c r="A2471" s="0" t="s">
        <v>21</v>
      </c>
      <c r="B2471" s="0" t="s">
        <v>8047</v>
      </c>
      <c r="C2471" s="0" t="s">
        <v>97</v>
      </c>
      <c r="D2471" s="0" t="s">
        <v>8048</v>
      </c>
      <c r="E2471" s="0" t="s">
        <v>8048</v>
      </c>
      <c r="F2471" s="0" t="s">
        <v>8048</v>
      </c>
      <c r="M2471" s="0" t="s">
        <v>124</v>
      </c>
      <c r="N2471" s="0" t="s">
        <v>124</v>
      </c>
      <c r="P2471" s="0" t="s">
        <v>102</v>
      </c>
      <c r="Q2471" s="0" t="s">
        <v>102</v>
      </c>
      <c r="R2471" s="0" t="s">
        <v>131</v>
      </c>
      <c r="S2471" s="0" t="s">
        <v>21</v>
      </c>
      <c r="T2471" s="0" t="s">
        <v>104</v>
      </c>
      <c r="W2471" s="0" t="s">
        <v>105</v>
      </c>
    </row>
    <row r="2472" customFormat="false" ht="15" hidden="false" customHeight="false" outlineLevel="0" collapsed="false">
      <c r="A2472" s="0" t="s">
        <v>21</v>
      </c>
      <c r="B2472" s="0" t="s">
        <v>8049</v>
      </c>
      <c r="C2472" s="0" t="s">
        <v>97</v>
      </c>
      <c r="D2472" s="0" t="s">
        <v>8050</v>
      </c>
      <c r="E2472" s="0" t="s">
        <v>8051</v>
      </c>
      <c r="M2472" s="0" t="s">
        <v>656</v>
      </c>
      <c r="N2472" s="0" t="s">
        <v>101</v>
      </c>
      <c r="P2472" s="0" t="s">
        <v>102</v>
      </c>
      <c r="Q2472" s="0" t="s">
        <v>102</v>
      </c>
      <c r="R2472" s="0" t="s">
        <v>113</v>
      </c>
      <c r="S2472" s="0" t="s">
        <v>21</v>
      </c>
      <c r="T2472" s="0" t="s">
        <v>104</v>
      </c>
      <c r="W2472" s="0" t="s">
        <v>105</v>
      </c>
    </row>
    <row r="2473" customFormat="false" ht="15" hidden="false" customHeight="false" outlineLevel="0" collapsed="false">
      <c r="A2473" s="0" t="s">
        <v>21</v>
      </c>
      <c r="B2473" s="0" t="s">
        <v>8052</v>
      </c>
      <c r="C2473" s="0" t="s">
        <v>97</v>
      </c>
      <c r="D2473" s="0" t="s">
        <v>8053</v>
      </c>
      <c r="E2473" s="0" t="s">
        <v>8054</v>
      </c>
      <c r="M2473" s="0" t="s">
        <v>100</v>
      </c>
      <c r="N2473" s="0" t="s">
        <v>101</v>
      </c>
      <c r="P2473" s="0" t="s">
        <v>102</v>
      </c>
      <c r="Q2473" s="0" t="s">
        <v>102</v>
      </c>
      <c r="R2473" s="0" t="s">
        <v>113</v>
      </c>
      <c r="S2473" s="0" t="s">
        <v>21</v>
      </c>
      <c r="T2473" s="0" t="s">
        <v>104</v>
      </c>
      <c r="W2473" s="0" t="s">
        <v>105</v>
      </c>
    </row>
    <row r="2474" customFormat="false" ht="15" hidden="false" customHeight="false" outlineLevel="0" collapsed="false">
      <c r="A2474" s="0" t="s">
        <v>21</v>
      </c>
      <c r="B2474" s="0" t="s">
        <v>8055</v>
      </c>
      <c r="C2474" s="0" t="s">
        <v>97</v>
      </c>
      <c r="D2474" s="0" t="s">
        <v>3860</v>
      </c>
      <c r="E2474" s="0" t="s">
        <v>8056</v>
      </c>
      <c r="M2474" s="0" t="s">
        <v>136</v>
      </c>
      <c r="N2474" s="0" t="s">
        <v>124</v>
      </c>
      <c r="P2474" s="0" t="s">
        <v>102</v>
      </c>
      <c r="Q2474" s="0" t="s">
        <v>102</v>
      </c>
      <c r="R2474" s="0" t="s">
        <v>131</v>
      </c>
      <c r="S2474" s="0" t="s">
        <v>21</v>
      </c>
      <c r="T2474" s="0" t="s">
        <v>104</v>
      </c>
      <c r="W2474" s="0" t="s">
        <v>105</v>
      </c>
    </row>
    <row r="2475" customFormat="false" ht="15" hidden="false" customHeight="false" outlineLevel="0" collapsed="false">
      <c r="A2475" s="0" t="s">
        <v>21</v>
      </c>
      <c r="B2475" s="0" t="s">
        <v>8057</v>
      </c>
      <c r="C2475" s="0" t="s">
        <v>97</v>
      </c>
      <c r="D2475" s="0" t="s">
        <v>8058</v>
      </c>
      <c r="E2475" s="0" t="s">
        <v>8058</v>
      </c>
      <c r="F2475" s="0" t="s">
        <v>8058</v>
      </c>
      <c r="M2475" s="0" t="s">
        <v>100</v>
      </c>
      <c r="N2475" s="0" t="s">
        <v>101</v>
      </c>
      <c r="P2475" s="0" t="s">
        <v>102</v>
      </c>
      <c r="Q2475" s="0" t="s">
        <v>102</v>
      </c>
      <c r="R2475" s="0" t="s">
        <v>131</v>
      </c>
      <c r="S2475" s="0" t="s">
        <v>21</v>
      </c>
      <c r="T2475" s="0" t="s">
        <v>104</v>
      </c>
      <c r="W2475" s="0" t="s">
        <v>105</v>
      </c>
    </row>
    <row r="2476" customFormat="false" ht="15" hidden="false" customHeight="false" outlineLevel="0" collapsed="false">
      <c r="A2476" s="0" t="s">
        <v>21</v>
      </c>
      <c r="B2476" s="0" t="s">
        <v>8059</v>
      </c>
      <c r="C2476" s="0" t="s">
        <v>97</v>
      </c>
      <c r="D2476" s="0" t="s">
        <v>8058</v>
      </c>
      <c r="E2476" s="0" t="s">
        <v>8058</v>
      </c>
      <c r="M2476" s="0" t="s">
        <v>442</v>
      </c>
      <c r="N2476" s="0" t="s">
        <v>101</v>
      </c>
      <c r="P2476" s="0" t="s">
        <v>102</v>
      </c>
      <c r="Q2476" s="0" t="s">
        <v>102</v>
      </c>
      <c r="R2476" s="0" t="s">
        <v>131</v>
      </c>
      <c r="S2476" s="0" t="s">
        <v>21</v>
      </c>
      <c r="T2476" s="0" t="s">
        <v>104</v>
      </c>
      <c r="W2476" s="0" t="s">
        <v>105</v>
      </c>
    </row>
    <row r="2477" customFormat="false" ht="15" hidden="false" customHeight="false" outlineLevel="0" collapsed="false">
      <c r="A2477" s="0" t="s">
        <v>21</v>
      </c>
      <c r="B2477" s="0" t="s">
        <v>8060</v>
      </c>
      <c r="C2477" s="0" t="s">
        <v>97</v>
      </c>
      <c r="D2477" s="0" t="s">
        <v>1225</v>
      </c>
      <c r="E2477" s="0" t="s">
        <v>8061</v>
      </c>
      <c r="H2477" s="0" t="s">
        <v>1227</v>
      </c>
      <c r="I2477" s="0" t="s">
        <v>1228</v>
      </c>
      <c r="J2477" s="0" t="s">
        <v>1229</v>
      </c>
      <c r="K2477" s="0" t="s">
        <v>1230</v>
      </c>
      <c r="L2477" s="0" t="s">
        <v>101</v>
      </c>
      <c r="M2477" s="0" t="s">
        <v>1231</v>
      </c>
      <c r="N2477" s="0" t="s">
        <v>101</v>
      </c>
      <c r="P2477" s="0" t="s">
        <v>102</v>
      </c>
      <c r="Q2477" s="0" t="s">
        <v>102</v>
      </c>
      <c r="R2477" s="0" t="s">
        <v>113</v>
      </c>
      <c r="S2477" s="0" t="s">
        <v>21</v>
      </c>
      <c r="T2477" s="0" t="s">
        <v>104</v>
      </c>
      <c r="W2477" s="0" t="s">
        <v>105</v>
      </c>
      <c r="X2477" s="0" t="s">
        <v>8062</v>
      </c>
      <c r="Y2477" s="0" t="s">
        <v>8063</v>
      </c>
    </row>
    <row r="2478" customFormat="false" ht="15" hidden="false" customHeight="false" outlineLevel="0" collapsed="false">
      <c r="A2478" s="0" t="s">
        <v>21</v>
      </c>
      <c r="B2478" s="0" t="s">
        <v>8064</v>
      </c>
      <c r="C2478" s="0" t="s">
        <v>97</v>
      </c>
      <c r="D2478" s="0" t="s">
        <v>8065</v>
      </c>
      <c r="E2478" s="0" t="s">
        <v>8066</v>
      </c>
      <c r="M2478" s="0" t="s">
        <v>100</v>
      </c>
      <c r="N2478" s="0" t="s">
        <v>101</v>
      </c>
      <c r="P2478" s="0" t="s">
        <v>102</v>
      </c>
      <c r="Q2478" s="0" t="s">
        <v>102</v>
      </c>
      <c r="R2478" s="0" t="s">
        <v>144</v>
      </c>
      <c r="S2478" s="0" t="s">
        <v>21</v>
      </c>
      <c r="T2478" s="0" t="s">
        <v>104</v>
      </c>
      <c r="W2478" s="0" t="s">
        <v>105</v>
      </c>
    </row>
    <row r="2479" customFormat="false" ht="15" hidden="false" customHeight="false" outlineLevel="0" collapsed="false">
      <c r="A2479" s="0" t="s">
        <v>21</v>
      </c>
      <c r="B2479" s="0" t="s">
        <v>8067</v>
      </c>
      <c r="C2479" s="0" t="s">
        <v>97</v>
      </c>
      <c r="D2479" s="0" t="s">
        <v>8065</v>
      </c>
      <c r="E2479" s="0" t="s">
        <v>8068</v>
      </c>
      <c r="G2479" s="0" t="s">
        <v>8069</v>
      </c>
      <c r="M2479" s="0" t="s">
        <v>100</v>
      </c>
      <c r="N2479" s="0" t="s">
        <v>101</v>
      </c>
      <c r="P2479" s="0" t="s">
        <v>102</v>
      </c>
      <c r="Q2479" s="0" t="s">
        <v>102</v>
      </c>
      <c r="R2479" s="0" t="s">
        <v>144</v>
      </c>
      <c r="S2479" s="0" t="s">
        <v>21</v>
      </c>
      <c r="T2479" s="0" t="s">
        <v>104</v>
      </c>
      <c r="W2479" s="0" t="s">
        <v>105</v>
      </c>
    </row>
    <row r="2480" customFormat="false" ht="15" hidden="false" customHeight="false" outlineLevel="0" collapsed="false">
      <c r="A2480" s="0" t="s">
        <v>21</v>
      </c>
      <c r="B2480" s="0" t="s">
        <v>3407</v>
      </c>
      <c r="C2480" s="0" t="s">
        <v>110</v>
      </c>
      <c r="D2480" s="0" t="s">
        <v>8070</v>
      </c>
      <c r="E2480" s="0" t="s">
        <v>8071</v>
      </c>
      <c r="F2480" s="0" t="s">
        <v>8071</v>
      </c>
      <c r="G2480" s="0" t="s">
        <v>8072</v>
      </c>
      <c r="H2480" s="0" t="s">
        <v>8073</v>
      </c>
      <c r="I2480" s="0" t="s">
        <v>3407</v>
      </c>
      <c r="J2480" s="0" t="s">
        <v>275</v>
      </c>
      <c r="K2480" s="0" t="s">
        <v>3408</v>
      </c>
      <c r="L2480" s="0" t="s">
        <v>124</v>
      </c>
      <c r="M2480" s="0" t="s">
        <v>3407</v>
      </c>
      <c r="N2480" s="0" t="s">
        <v>124</v>
      </c>
      <c r="P2480" s="0" t="s">
        <v>102</v>
      </c>
      <c r="Q2480" s="0" t="s">
        <v>102</v>
      </c>
      <c r="R2480" s="0" t="s">
        <v>113</v>
      </c>
      <c r="S2480" s="0" t="s">
        <v>21</v>
      </c>
      <c r="T2480" s="0" t="s">
        <v>104</v>
      </c>
      <c r="W2480" s="0" t="s">
        <v>105</v>
      </c>
      <c r="X2480" s="0" t="s">
        <v>8074</v>
      </c>
      <c r="Y2480" s="0" t="s">
        <v>8075</v>
      </c>
      <c r="Z2480" s="0" t="s">
        <v>134</v>
      </c>
      <c r="AB2480" s="0" t="s">
        <v>8076</v>
      </c>
    </row>
    <row r="2481" customFormat="false" ht="15" hidden="false" customHeight="false" outlineLevel="0" collapsed="false">
      <c r="A2481" s="0" t="s">
        <v>21</v>
      </c>
      <c r="B2481" s="0" t="s">
        <v>8077</v>
      </c>
      <c r="C2481" s="0" t="s">
        <v>97</v>
      </c>
      <c r="D2481" s="0" t="s">
        <v>8078</v>
      </c>
      <c r="E2481" s="0" t="s">
        <v>8079</v>
      </c>
      <c r="M2481" s="0" t="s">
        <v>136</v>
      </c>
      <c r="N2481" s="0" t="s">
        <v>124</v>
      </c>
      <c r="P2481" s="0" t="s">
        <v>102</v>
      </c>
      <c r="Q2481" s="0" t="s">
        <v>102</v>
      </c>
      <c r="R2481" s="0" t="s">
        <v>131</v>
      </c>
      <c r="S2481" s="0" t="s">
        <v>21</v>
      </c>
      <c r="T2481" s="0" t="s">
        <v>104</v>
      </c>
      <c r="W2481" s="0" t="s">
        <v>105</v>
      </c>
    </row>
    <row r="2482" customFormat="false" ht="15" hidden="false" customHeight="false" outlineLevel="0" collapsed="false">
      <c r="A2482" s="0" t="s">
        <v>21</v>
      </c>
      <c r="B2482" s="0" t="s">
        <v>8080</v>
      </c>
      <c r="C2482" s="0" t="s">
        <v>97</v>
      </c>
      <c r="D2482" s="0" t="s">
        <v>8081</v>
      </c>
      <c r="E2482" s="0" t="s">
        <v>8082</v>
      </c>
      <c r="M2482" s="0" t="s">
        <v>136</v>
      </c>
      <c r="N2482" s="0" t="s">
        <v>124</v>
      </c>
      <c r="P2482" s="0" t="s">
        <v>102</v>
      </c>
      <c r="Q2482" s="0" t="s">
        <v>102</v>
      </c>
      <c r="R2482" s="0" t="s">
        <v>131</v>
      </c>
      <c r="S2482" s="0" t="s">
        <v>21</v>
      </c>
      <c r="T2482" s="0" t="s">
        <v>104</v>
      </c>
      <c r="W2482" s="0" t="s">
        <v>105</v>
      </c>
    </row>
    <row r="2483" customFormat="false" ht="15" hidden="false" customHeight="false" outlineLevel="0" collapsed="false">
      <c r="A2483" s="0" t="s">
        <v>21</v>
      </c>
      <c r="B2483" s="0" t="s">
        <v>8083</v>
      </c>
      <c r="C2483" s="0" t="s">
        <v>97</v>
      </c>
      <c r="D2483" s="0" t="s">
        <v>8084</v>
      </c>
      <c r="E2483" s="0" t="s">
        <v>8085</v>
      </c>
      <c r="M2483" s="0" t="s">
        <v>136</v>
      </c>
      <c r="N2483" s="0" t="s">
        <v>124</v>
      </c>
      <c r="P2483" s="0" t="s">
        <v>102</v>
      </c>
      <c r="Q2483" s="0" t="s">
        <v>102</v>
      </c>
      <c r="R2483" s="0" t="s">
        <v>131</v>
      </c>
      <c r="S2483" s="0" t="s">
        <v>21</v>
      </c>
      <c r="T2483" s="0" t="s">
        <v>104</v>
      </c>
      <c r="W2483" s="0" t="s">
        <v>105</v>
      </c>
    </row>
    <row r="2484" customFormat="false" ht="15" hidden="false" customHeight="false" outlineLevel="0" collapsed="false">
      <c r="A2484" s="0" t="s">
        <v>21</v>
      </c>
      <c r="B2484" s="0" t="s">
        <v>8086</v>
      </c>
      <c r="C2484" s="0" t="s">
        <v>97</v>
      </c>
      <c r="D2484" s="0" t="s">
        <v>8087</v>
      </c>
      <c r="E2484" s="0" t="s">
        <v>8087</v>
      </c>
      <c r="M2484" s="0" t="s">
        <v>442</v>
      </c>
      <c r="N2484" s="0" t="s">
        <v>101</v>
      </c>
      <c r="P2484" s="0" t="s">
        <v>102</v>
      </c>
      <c r="Q2484" s="0" t="s">
        <v>102</v>
      </c>
      <c r="R2484" s="0" t="s">
        <v>131</v>
      </c>
      <c r="S2484" s="0" t="s">
        <v>21</v>
      </c>
      <c r="T2484" s="0" t="s">
        <v>104</v>
      </c>
      <c r="W2484" s="0" t="s">
        <v>105</v>
      </c>
    </row>
    <row r="2485" customFormat="false" ht="15" hidden="false" customHeight="false" outlineLevel="0" collapsed="false">
      <c r="A2485" s="0" t="s">
        <v>21</v>
      </c>
      <c r="B2485" s="0" t="s">
        <v>8088</v>
      </c>
      <c r="C2485" s="0" t="s">
        <v>97</v>
      </c>
      <c r="D2485" s="0" t="s">
        <v>8089</v>
      </c>
      <c r="E2485" s="0" t="s">
        <v>8089</v>
      </c>
      <c r="F2485" s="0" t="s">
        <v>8089</v>
      </c>
      <c r="M2485" s="0" t="s">
        <v>100</v>
      </c>
      <c r="N2485" s="0" t="s">
        <v>101</v>
      </c>
      <c r="P2485" s="0" t="s">
        <v>102</v>
      </c>
      <c r="Q2485" s="0" t="s">
        <v>102</v>
      </c>
      <c r="R2485" s="0" t="s">
        <v>131</v>
      </c>
      <c r="S2485" s="0" t="s">
        <v>21</v>
      </c>
      <c r="T2485" s="0" t="s">
        <v>104</v>
      </c>
      <c r="W2485" s="0" t="s">
        <v>105</v>
      </c>
    </row>
    <row r="2486" customFormat="false" ht="15" hidden="false" customHeight="false" outlineLevel="0" collapsed="false">
      <c r="A2486" s="0" t="s">
        <v>21</v>
      </c>
      <c r="B2486" s="0" t="s">
        <v>8090</v>
      </c>
      <c r="C2486" s="0" t="s">
        <v>97</v>
      </c>
      <c r="D2486" s="0" t="s">
        <v>4814</v>
      </c>
      <c r="E2486" s="0" t="s">
        <v>8091</v>
      </c>
      <c r="G2486" s="0" t="s">
        <v>8092</v>
      </c>
      <c r="H2486" s="0" t="s">
        <v>654</v>
      </c>
      <c r="I2486" s="0" t="s">
        <v>655</v>
      </c>
      <c r="J2486" s="0" t="s">
        <v>100</v>
      </c>
      <c r="K2486" s="0" t="s">
        <v>168</v>
      </c>
      <c r="L2486" s="0" t="s">
        <v>101</v>
      </c>
      <c r="M2486" s="0" t="s">
        <v>656</v>
      </c>
      <c r="N2486" s="0" t="s">
        <v>101</v>
      </c>
      <c r="P2486" s="0" t="s">
        <v>102</v>
      </c>
      <c r="Q2486" s="0" t="s">
        <v>102</v>
      </c>
      <c r="R2486" s="0" t="s">
        <v>131</v>
      </c>
      <c r="S2486" s="0" t="s">
        <v>21</v>
      </c>
      <c r="T2486" s="0" t="s">
        <v>104</v>
      </c>
      <c r="W2486" s="0" t="s">
        <v>105</v>
      </c>
      <c r="X2486" s="0" t="s">
        <v>658</v>
      </c>
      <c r="Y2486" s="0" t="s">
        <v>659</v>
      </c>
    </row>
    <row r="2487" customFormat="false" ht="15" hidden="false" customHeight="false" outlineLevel="0" collapsed="false">
      <c r="A2487" s="0" t="s">
        <v>21</v>
      </c>
      <c r="B2487" s="0" t="s">
        <v>8093</v>
      </c>
      <c r="C2487" s="0" t="s">
        <v>97</v>
      </c>
      <c r="D2487" s="0" t="s">
        <v>8094</v>
      </c>
      <c r="E2487" s="0" t="s">
        <v>8094</v>
      </c>
      <c r="M2487" s="0" t="s">
        <v>442</v>
      </c>
      <c r="N2487" s="0" t="s">
        <v>101</v>
      </c>
      <c r="P2487" s="0" t="s">
        <v>102</v>
      </c>
      <c r="Q2487" s="0" t="s">
        <v>102</v>
      </c>
      <c r="R2487" s="0" t="s">
        <v>131</v>
      </c>
      <c r="S2487" s="0" t="s">
        <v>21</v>
      </c>
      <c r="T2487" s="0" t="s">
        <v>104</v>
      </c>
      <c r="W2487" s="0" t="s">
        <v>105</v>
      </c>
    </row>
    <row r="2488" customFormat="false" ht="15" hidden="false" customHeight="false" outlineLevel="0" collapsed="false">
      <c r="A2488" s="0" t="s">
        <v>21</v>
      </c>
      <c r="B2488" s="0" t="s">
        <v>8095</v>
      </c>
      <c r="C2488" s="0" t="s">
        <v>97</v>
      </c>
      <c r="D2488" s="0" t="s">
        <v>8096</v>
      </c>
      <c r="E2488" s="0" t="s">
        <v>8097</v>
      </c>
      <c r="G2488" s="0" t="s">
        <v>8098</v>
      </c>
      <c r="H2488" s="0" t="s">
        <v>654</v>
      </c>
      <c r="I2488" s="0" t="s">
        <v>655</v>
      </c>
      <c r="J2488" s="0" t="s">
        <v>100</v>
      </c>
      <c r="K2488" s="0" t="s">
        <v>168</v>
      </c>
      <c r="L2488" s="0" t="s">
        <v>101</v>
      </c>
      <c r="M2488" s="0" t="s">
        <v>656</v>
      </c>
      <c r="N2488" s="0" t="s">
        <v>101</v>
      </c>
      <c r="P2488" s="0" t="s">
        <v>102</v>
      </c>
      <c r="Q2488" s="0" t="s">
        <v>102</v>
      </c>
      <c r="R2488" s="0" t="s">
        <v>131</v>
      </c>
      <c r="S2488" s="0" t="s">
        <v>21</v>
      </c>
      <c r="T2488" s="0" t="s">
        <v>104</v>
      </c>
      <c r="W2488" s="0" t="s">
        <v>105</v>
      </c>
      <c r="X2488" s="0" t="s">
        <v>658</v>
      </c>
      <c r="Y2488" s="0" t="s">
        <v>659</v>
      </c>
    </row>
    <row r="2489" customFormat="false" ht="15" hidden="false" customHeight="false" outlineLevel="0" collapsed="false">
      <c r="A2489" s="0" t="s">
        <v>21</v>
      </c>
      <c r="B2489" s="0" t="s">
        <v>8099</v>
      </c>
      <c r="C2489" s="0" t="s">
        <v>97</v>
      </c>
      <c r="D2489" s="0" t="s">
        <v>8100</v>
      </c>
      <c r="E2489" s="0" t="s">
        <v>8100</v>
      </c>
      <c r="M2489" s="0" t="s">
        <v>442</v>
      </c>
      <c r="N2489" s="0" t="s">
        <v>101</v>
      </c>
      <c r="P2489" s="0" t="s">
        <v>102</v>
      </c>
      <c r="Q2489" s="0" t="s">
        <v>102</v>
      </c>
      <c r="R2489" s="0" t="s">
        <v>131</v>
      </c>
      <c r="S2489" s="0" t="s">
        <v>21</v>
      </c>
      <c r="T2489" s="0" t="s">
        <v>104</v>
      </c>
      <c r="W2489" s="0" t="s">
        <v>105</v>
      </c>
    </row>
    <row r="2490" customFormat="false" ht="15" hidden="false" customHeight="false" outlineLevel="0" collapsed="false">
      <c r="A2490" s="0" t="s">
        <v>21</v>
      </c>
      <c r="B2490" s="0" t="s">
        <v>8101</v>
      </c>
      <c r="C2490" s="0" t="s">
        <v>97</v>
      </c>
      <c r="D2490" s="0" t="s">
        <v>8102</v>
      </c>
      <c r="E2490" s="0" t="s">
        <v>8102</v>
      </c>
      <c r="F2490" s="0" t="s">
        <v>8102</v>
      </c>
      <c r="M2490" s="0" t="s">
        <v>100</v>
      </c>
      <c r="N2490" s="0" t="s">
        <v>101</v>
      </c>
      <c r="P2490" s="0" t="s">
        <v>102</v>
      </c>
      <c r="Q2490" s="0" t="s">
        <v>102</v>
      </c>
      <c r="R2490" s="0" t="s">
        <v>131</v>
      </c>
      <c r="S2490" s="0" t="s">
        <v>21</v>
      </c>
      <c r="T2490" s="0" t="s">
        <v>104</v>
      </c>
      <c r="W2490" s="0" t="s">
        <v>105</v>
      </c>
    </row>
    <row r="2491" customFormat="false" ht="15" hidden="false" customHeight="false" outlineLevel="0" collapsed="false">
      <c r="A2491" s="0" t="s">
        <v>21</v>
      </c>
      <c r="B2491" s="0" t="s">
        <v>8103</v>
      </c>
      <c r="C2491" s="0" t="s">
        <v>97</v>
      </c>
      <c r="D2491" s="0" t="s">
        <v>8104</v>
      </c>
      <c r="E2491" s="0" t="s">
        <v>8104</v>
      </c>
      <c r="M2491" s="0" t="s">
        <v>442</v>
      </c>
      <c r="N2491" s="0" t="s">
        <v>101</v>
      </c>
      <c r="P2491" s="0" t="s">
        <v>102</v>
      </c>
      <c r="Q2491" s="0" t="s">
        <v>102</v>
      </c>
      <c r="R2491" s="0" t="s">
        <v>131</v>
      </c>
      <c r="S2491" s="0" t="s">
        <v>21</v>
      </c>
      <c r="T2491" s="0" t="s">
        <v>104</v>
      </c>
      <c r="W2491" s="0" t="s">
        <v>105</v>
      </c>
    </row>
    <row r="2492" customFormat="false" ht="15" hidden="false" customHeight="false" outlineLevel="0" collapsed="false">
      <c r="A2492" s="0" t="s">
        <v>21</v>
      </c>
      <c r="B2492" s="0" t="s">
        <v>8105</v>
      </c>
      <c r="C2492" s="0" t="s">
        <v>97</v>
      </c>
      <c r="D2492" s="0" t="s">
        <v>8106</v>
      </c>
      <c r="E2492" s="0" t="s">
        <v>8106</v>
      </c>
      <c r="M2492" s="0" t="s">
        <v>442</v>
      </c>
      <c r="N2492" s="0" t="s">
        <v>101</v>
      </c>
      <c r="P2492" s="0" t="s">
        <v>102</v>
      </c>
      <c r="Q2492" s="0" t="s">
        <v>102</v>
      </c>
      <c r="R2492" s="0" t="s">
        <v>131</v>
      </c>
      <c r="S2492" s="0" t="s">
        <v>21</v>
      </c>
      <c r="T2492" s="0" t="s">
        <v>104</v>
      </c>
      <c r="W2492" s="0" t="s">
        <v>105</v>
      </c>
    </row>
    <row r="2493" customFormat="false" ht="15" hidden="false" customHeight="false" outlineLevel="0" collapsed="false">
      <c r="A2493" s="0" t="s">
        <v>21</v>
      </c>
      <c r="B2493" s="0" t="s">
        <v>8107</v>
      </c>
      <c r="C2493" s="0" t="s">
        <v>97</v>
      </c>
      <c r="D2493" s="0" t="s">
        <v>8108</v>
      </c>
      <c r="E2493" s="0" t="s">
        <v>8108</v>
      </c>
      <c r="M2493" s="0" t="s">
        <v>442</v>
      </c>
      <c r="N2493" s="0" t="s">
        <v>101</v>
      </c>
      <c r="P2493" s="0" t="s">
        <v>102</v>
      </c>
      <c r="Q2493" s="0" t="s">
        <v>102</v>
      </c>
      <c r="R2493" s="0" t="s">
        <v>131</v>
      </c>
      <c r="S2493" s="0" t="s">
        <v>21</v>
      </c>
      <c r="T2493" s="0" t="s">
        <v>104</v>
      </c>
      <c r="W2493" s="0" t="s">
        <v>105</v>
      </c>
    </row>
    <row r="2494" customFormat="false" ht="15" hidden="false" customHeight="false" outlineLevel="0" collapsed="false">
      <c r="A2494" s="0" t="s">
        <v>21</v>
      </c>
      <c r="B2494" s="0" t="s">
        <v>8109</v>
      </c>
      <c r="C2494" s="0" t="s">
        <v>97</v>
      </c>
      <c r="D2494" s="0" t="s">
        <v>8110</v>
      </c>
      <c r="E2494" s="0" t="s">
        <v>8110</v>
      </c>
      <c r="F2494" s="0" t="s">
        <v>8110</v>
      </c>
      <c r="M2494" s="0" t="s">
        <v>100</v>
      </c>
      <c r="N2494" s="0" t="s">
        <v>101</v>
      </c>
      <c r="P2494" s="0" t="s">
        <v>102</v>
      </c>
      <c r="Q2494" s="0" t="s">
        <v>102</v>
      </c>
      <c r="R2494" s="0" t="s">
        <v>131</v>
      </c>
      <c r="S2494" s="0" t="s">
        <v>21</v>
      </c>
      <c r="T2494" s="0" t="s">
        <v>104</v>
      </c>
      <c r="W2494" s="0" t="s">
        <v>105</v>
      </c>
    </row>
    <row r="2495" customFormat="false" ht="15" hidden="false" customHeight="false" outlineLevel="0" collapsed="false">
      <c r="A2495" s="0" t="s">
        <v>21</v>
      </c>
      <c r="B2495" s="0" t="s">
        <v>8111</v>
      </c>
      <c r="C2495" s="0" t="s">
        <v>97</v>
      </c>
      <c r="D2495" s="0" t="s">
        <v>8112</v>
      </c>
      <c r="E2495" s="0" t="s">
        <v>8112</v>
      </c>
      <c r="M2495" s="0" t="s">
        <v>442</v>
      </c>
      <c r="N2495" s="0" t="s">
        <v>101</v>
      </c>
      <c r="P2495" s="0" t="s">
        <v>102</v>
      </c>
      <c r="Q2495" s="0" t="s">
        <v>102</v>
      </c>
      <c r="R2495" s="0" t="s">
        <v>131</v>
      </c>
      <c r="S2495" s="0" t="s">
        <v>21</v>
      </c>
      <c r="T2495" s="0" t="s">
        <v>104</v>
      </c>
      <c r="W2495" s="0" t="s">
        <v>105</v>
      </c>
    </row>
    <row r="2496" customFormat="false" ht="15" hidden="false" customHeight="false" outlineLevel="0" collapsed="false">
      <c r="A2496" s="0" t="s">
        <v>21</v>
      </c>
      <c r="B2496" s="0" t="s">
        <v>8113</v>
      </c>
      <c r="C2496" s="0" t="s">
        <v>97</v>
      </c>
      <c r="D2496" s="0" t="s">
        <v>8114</v>
      </c>
      <c r="E2496" s="0" t="s">
        <v>8114</v>
      </c>
      <c r="M2496" s="0" t="s">
        <v>442</v>
      </c>
      <c r="N2496" s="0" t="s">
        <v>101</v>
      </c>
      <c r="P2496" s="0" t="s">
        <v>102</v>
      </c>
      <c r="Q2496" s="0" t="s">
        <v>102</v>
      </c>
      <c r="R2496" s="0" t="s">
        <v>131</v>
      </c>
      <c r="S2496" s="0" t="s">
        <v>21</v>
      </c>
      <c r="T2496" s="0" t="s">
        <v>104</v>
      </c>
      <c r="W2496" s="0" t="s">
        <v>105</v>
      </c>
    </row>
    <row r="2497" customFormat="false" ht="15" hidden="false" customHeight="false" outlineLevel="0" collapsed="false">
      <c r="A2497" s="0" t="s">
        <v>21</v>
      </c>
      <c r="B2497" s="0" t="s">
        <v>8115</v>
      </c>
      <c r="C2497" s="0" t="s">
        <v>97</v>
      </c>
      <c r="D2497" s="0" t="s">
        <v>8116</v>
      </c>
      <c r="E2497" s="0" t="s">
        <v>8116</v>
      </c>
      <c r="M2497" s="0" t="s">
        <v>442</v>
      </c>
      <c r="N2497" s="0" t="s">
        <v>101</v>
      </c>
      <c r="P2497" s="0" t="s">
        <v>102</v>
      </c>
      <c r="Q2497" s="0" t="s">
        <v>102</v>
      </c>
      <c r="R2497" s="0" t="s">
        <v>131</v>
      </c>
      <c r="S2497" s="0" t="s">
        <v>21</v>
      </c>
      <c r="T2497" s="0" t="s">
        <v>104</v>
      </c>
      <c r="W2497" s="0" t="s">
        <v>105</v>
      </c>
    </row>
    <row r="2498" customFormat="false" ht="15" hidden="false" customHeight="false" outlineLevel="0" collapsed="false">
      <c r="A2498" s="0" t="s">
        <v>21</v>
      </c>
      <c r="B2498" s="0" t="s">
        <v>8117</v>
      </c>
      <c r="C2498" s="0" t="s">
        <v>97</v>
      </c>
      <c r="D2498" s="0" t="s">
        <v>8118</v>
      </c>
      <c r="E2498" s="0" t="s">
        <v>8118</v>
      </c>
      <c r="M2498" s="0" t="s">
        <v>442</v>
      </c>
      <c r="N2498" s="0" t="s">
        <v>101</v>
      </c>
      <c r="P2498" s="0" t="s">
        <v>102</v>
      </c>
      <c r="Q2498" s="0" t="s">
        <v>102</v>
      </c>
      <c r="R2498" s="0" t="s">
        <v>131</v>
      </c>
      <c r="S2498" s="0" t="s">
        <v>21</v>
      </c>
      <c r="T2498" s="0" t="s">
        <v>104</v>
      </c>
      <c r="W2498" s="0" t="s">
        <v>105</v>
      </c>
    </row>
    <row r="2499" customFormat="false" ht="15" hidden="false" customHeight="false" outlineLevel="0" collapsed="false">
      <c r="A2499" s="0" t="s">
        <v>21</v>
      </c>
      <c r="B2499" s="0" t="s">
        <v>8119</v>
      </c>
      <c r="C2499" s="0" t="s">
        <v>97</v>
      </c>
      <c r="D2499" s="0" t="s">
        <v>8106</v>
      </c>
      <c r="E2499" s="0" t="s">
        <v>8106</v>
      </c>
      <c r="F2499" s="0" t="s">
        <v>8106</v>
      </c>
      <c r="M2499" s="0" t="s">
        <v>100</v>
      </c>
      <c r="N2499" s="0" t="s">
        <v>101</v>
      </c>
      <c r="P2499" s="0" t="s">
        <v>102</v>
      </c>
      <c r="Q2499" s="0" t="s">
        <v>102</v>
      </c>
      <c r="R2499" s="0" t="s">
        <v>131</v>
      </c>
      <c r="S2499" s="0" t="s">
        <v>21</v>
      </c>
      <c r="T2499" s="0" t="s">
        <v>104</v>
      </c>
      <c r="W2499" s="0" t="s">
        <v>105</v>
      </c>
    </row>
    <row r="2500" customFormat="false" ht="15" hidden="false" customHeight="false" outlineLevel="0" collapsed="false">
      <c r="A2500" s="0" t="s">
        <v>21</v>
      </c>
      <c r="B2500" s="0" t="s">
        <v>8120</v>
      </c>
      <c r="C2500" s="0" t="s">
        <v>97</v>
      </c>
      <c r="D2500" s="0" t="s">
        <v>8121</v>
      </c>
      <c r="E2500" s="0" t="s">
        <v>8121</v>
      </c>
      <c r="M2500" s="0" t="s">
        <v>442</v>
      </c>
      <c r="N2500" s="0" t="s">
        <v>101</v>
      </c>
      <c r="P2500" s="0" t="s">
        <v>102</v>
      </c>
      <c r="Q2500" s="0" t="s">
        <v>102</v>
      </c>
      <c r="R2500" s="0" t="s">
        <v>131</v>
      </c>
      <c r="S2500" s="0" t="s">
        <v>21</v>
      </c>
      <c r="T2500" s="0" t="s">
        <v>104</v>
      </c>
      <c r="W2500" s="0" t="s">
        <v>105</v>
      </c>
    </row>
    <row r="2501" customFormat="false" ht="15" hidden="false" customHeight="false" outlineLevel="0" collapsed="false">
      <c r="A2501" s="0" t="s">
        <v>21</v>
      </c>
      <c r="B2501" s="0" t="s">
        <v>8122</v>
      </c>
      <c r="C2501" s="0" t="s">
        <v>97</v>
      </c>
      <c r="D2501" s="0" t="s">
        <v>8100</v>
      </c>
      <c r="E2501" s="0" t="s">
        <v>8100</v>
      </c>
      <c r="F2501" s="0" t="s">
        <v>8100</v>
      </c>
      <c r="M2501" s="0" t="s">
        <v>100</v>
      </c>
      <c r="N2501" s="0" t="s">
        <v>101</v>
      </c>
      <c r="P2501" s="0" t="s">
        <v>102</v>
      </c>
      <c r="Q2501" s="0" t="s">
        <v>102</v>
      </c>
      <c r="R2501" s="0" t="s">
        <v>131</v>
      </c>
      <c r="S2501" s="0" t="s">
        <v>21</v>
      </c>
      <c r="T2501" s="0" t="s">
        <v>104</v>
      </c>
      <c r="W2501" s="0" t="s">
        <v>105</v>
      </c>
    </row>
    <row r="2502" customFormat="false" ht="15" hidden="false" customHeight="false" outlineLevel="0" collapsed="false">
      <c r="A2502" s="0" t="s">
        <v>21</v>
      </c>
      <c r="B2502" s="0" t="s">
        <v>8123</v>
      </c>
      <c r="C2502" s="0" t="s">
        <v>97</v>
      </c>
      <c r="D2502" s="0" t="s">
        <v>8124</v>
      </c>
      <c r="E2502" s="0" t="s">
        <v>8124</v>
      </c>
      <c r="F2502" s="0" t="s">
        <v>8124</v>
      </c>
      <c r="M2502" s="0" t="s">
        <v>100</v>
      </c>
      <c r="N2502" s="0" t="s">
        <v>101</v>
      </c>
      <c r="P2502" s="0" t="s">
        <v>102</v>
      </c>
      <c r="Q2502" s="0" t="s">
        <v>102</v>
      </c>
      <c r="R2502" s="0" t="s">
        <v>131</v>
      </c>
      <c r="S2502" s="0" t="s">
        <v>21</v>
      </c>
      <c r="T2502" s="0" t="s">
        <v>104</v>
      </c>
      <c r="W2502" s="0" t="s">
        <v>105</v>
      </c>
    </row>
    <row r="2503" customFormat="false" ht="15" hidden="false" customHeight="false" outlineLevel="0" collapsed="false">
      <c r="A2503" s="0" t="s">
        <v>21</v>
      </c>
      <c r="B2503" s="0" t="s">
        <v>8125</v>
      </c>
      <c r="C2503" s="0" t="s">
        <v>97</v>
      </c>
      <c r="D2503" s="0" t="s">
        <v>8126</v>
      </c>
      <c r="E2503" s="0" t="s">
        <v>8126</v>
      </c>
      <c r="F2503" s="0" t="s">
        <v>8126</v>
      </c>
      <c r="M2503" s="0" t="s">
        <v>100</v>
      </c>
      <c r="N2503" s="0" t="s">
        <v>101</v>
      </c>
      <c r="P2503" s="0" t="s">
        <v>102</v>
      </c>
      <c r="Q2503" s="0" t="s">
        <v>102</v>
      </c>
      <c r="R2503" s="0" t="s">
        <v>131</v>
      </c>
      <c r="S2503" s="0" t="s">
        <v>21</v>
      </c>
      <c r="T2503" s="0" t="s">
        <v>104</v>
      </c>
      <c r="W2503" s="0" t="s">
        <v>105</v>
      </c>
    </row>
    <row r="2504" customFormat="false" ht="15" hidden="false" customHeight="false" outlineLevel="0" collapsed="false">
      <c r="A2504" s="0" t="s">
        <v>21</v>
      </c>
      <c r="B2504" s="0" t="s">
        <v>8127</v>
      </c>
      <c r="C2504" s="0" t="s">
        <v>97</v>
      </c>
      <c r="D2504" s="0" t="s">
        <v>8128</v>
      </c>
      <c r="E2504" s="0" t="s">
        <v>8128</v>
      </c>
      <c r="F2504" s="0" t="s">
        <v>8128</v>
      </c>
      <c r="M2504" s="0" t="s">
        <v>100</v>
      </c>
      <c r="N2504" s="0" t="s">
        <v>101</v>
      </c>
      <c r="P2504" s="0" t="s">
        <v>102</v>
      </c>
      <c r="Q2504" s="0" t="s">
        <v>102</v>
      </c>
      <c r="R2504" s="0" t="s">
        <v>131</v>
      </c>
      <c r="S2504" s="0" t="s">
        <v>21</v>
      </c>
      <c r="T2504" s="0" t="s">
        <v>104</v>
      </c>
      <c r="W2504" s="0" t="s">
        <v>105</v>
      </c>
    </row>
    <row r="2505" customFormat="false" ht="15" hidden="false" customHeight="false" outlineLevel="0" collapsed="false">
      <c r="A2505" s="0" t="s">
        <v>21</v>
      </c>
      <c r="B2505" s="0" t="s">
        <v>8129</v>
      </c>
      <c r="C2505" s="0" t="s">
        <v>97</v>
      </c>
      <c r="D2505" s="0" t="s">
        <v>8121</v>
      </c>
      <c r="E2505" s="0" t="s">
        <v>8121</v>
      </c>
      <c r="F2505" s="0" t="s">
        <v>8121</v>
      </c>
      <c r="M2505" s="0" t="s">
        <v>100</v>
      </c>
      <c r="N2505" s="0" t="s">
        <v>101</v>
      </c>
      <c r="P2505" s="0" t="s">
        <v>102</v>
      </c>
      <c r="Q2505" s="0" t="s">
        <v>102</v>
      </c>
      <c r="R2505" s="0" t="s">
        <v>131</v>
      </c>
      <c r="S2505" s="0" t="s">
        <v>21</v>
      </c>
      <c r="T2505" s="0" t="s">
        <v>104</v>
      </c>
      <c r="W2505" s="0" t="s">
        <v>105</v>
      </c>
    </row>
    <row r="2506" customFormat="false" ht="15" hidden="false" customHeight="false" outlineLevel="0" collapsed="false">
      <c r="A2506" s="0" t="s">
        <v>21</v>
      </c>
      <c r="B2506" s="0" t="s">
        <v>8130</v>
      </c>
      <c r="C2506" s="0" t="s">
        <v>97</v>
      </c>
      <c r="D2506" s="0" t="s">
        <v>8131</v>
      </c>
      <c r="E2506" s="0" t="s">
        <v>8131</v>
      </c>
      <c r="M2506" s="0" t="s">
        <v>442</v>
      </c>
      <c r="N2506" s="0" t="s">
        <v>101</v>
      </c>
      <c r="P2506" s="0" t="s">
        <v>102</v>
      </c>
      <c r="Q2506" s="0" t="s">
        <v>102</v>
      </c>
      <c r="R2506" s="0" t="s">
        <v>131</v>
      </c>
      <c r="S2506" s="0" t="s">
        <v>21</v>
      </c>
      <c r="T2506" s="0" t="s">
        <v>104</v>
      </c>
      <c r="W2506" s="0" t="s">
        <v>105</v>
      </c>
    </row>
    <row r="2507" customFormat="false" ht="15" hidden="false" customHeight="false" outlineLevel="0" collapsed="false">
      <c r="A2507" s="0" t="s">
        <v>21</v>
      </c>
      <c r="B2507" s="0" t="s">
        <v>8132</v>
      </c>
      <c r="C2507" s="0" t="s">
        <v>97</v>
      </c>
      <c r="D2507" s="0" t="s">
        <v>8133</v>
      </c>
      <c r="E2507" s="0" t="s">
        <v>8133</v>
      </c>
      <c r="F2507" s="0" t="s">
        <v>8133</v>
      </c>
      <c r="M2507" s="0" t="s">
        <v>100</v>
      </c>
      <c r="N2507" s="0" t="s">
        <v>101</v>
      </c>
      <c r="P2507" s="0" t="s">
        <v>102</v>
      </c>
      <c r="Q2507" s="0" t="s">
        <v>102</v>
      </c>
      <c r="R2507" s="0" t="s">
        <v>131</v>
      </c>
      <c r="S2507" s="0" t="s">
        <v>21</v>
      </c>
      <c r="T2507" s="0" t="s">
        <v>104</v>
      </c>
      <c r="W2507" s="0" t="s">
        <v>105</v>
      </c>
    </row>
    <row r="2508" customFormat="false" ht="15" hidden="false" customHeight="false" outlineLevel="0" collapsed="false">
      <c r="A2508" s="0" t="s">
        <v>21</v>
      </c>
      <c r="B2508" s="0" t="s">
        <v>8134</v>
      </c>
      <c r="C2508" s="0" t="s">
        <v>97</v>
      </c>
      <c r="D2508" s="0" t="s">
        <v>8135</v>
      </c>
      <c r="E2508" s="0" t="s">
        <v>8136</v>
      </c>
      <c r="M2508" s="0" t="s">
        <v>136</v>
      </c>
      <c r="N2508" s="0" t="s">
        <v>124</v>
      </c>
      <c r="P2508" s="0" t="s">
        <v>102</v>
      </c>
      <c r="Q2508" s="0" t="s">
        <v>102</v>
      </c>
      <c r="R2508" s="0" t="s">
        <v>131</v>
      </c>
      <c r="S2508" s="0" t="s">
        <v>21</v>
      </c>
      <c r="T2508" s="0" t="s">
        <v>104</v>
      </c>
      <c r="W2508" s="0" t="s">
        <v>105</v>
      </c>
    </row>
    <row r="2509" customFormat="false" ht="15" hidden="false" customHeight="false" outlineLevel="0" collapsed="false">
      <c r="A2509" s="0" t="s">
        <v>21</v>
      </c>
      <c r="B2509" s="0" t="s">
        <v>8137</v>
      </c>
      <c r="C2509" s="0" t="s">
        <v>97</v>
      </c>
      <c r="D2509" s="0" t="s">
        <v>8138</v>
      </c>
      <c r="E2509" s="0" t="s">
        <v>8139</v>
      </c>
      <c r="M2509" s="0" t="s">
        <v>136</v>
      </c>
      <c r="N2509" s="0" t="s">
        <v>124</v>
      </c>
      <c r="P2509" s="0" t="s">
        <v>102</v>
      </c>
      <c r="Q2509" s="0" t="s">
        <v>102</v>
      </c>
      <c r="R2509" s="0" t="s">
        <v>131</v>
      </c>
      <c r="S2509" s="0" t="s">
        <v>21</v>
      </c>
      <c r="T2509" s="0" t="s">
        <v>104</v>
      </c>
      <c r="W2509" s="0" t="s">
        <v>105</v>
      </c>
    </row>
    <row r="2510" customFormat="false" ht="15" hidden="false" customHeight="false" outlineLevel="0" collapsed="false">
      <c r="A2510" s="0" t="s">
        <v>21</v>
      </c>
      <c r="B2510" s="0" t="s">
        <v>8140</v>
      </c>
      <c r="C2510" s="0" t="s">
        <v>97</v>
      </c>
      <c r="D2510" s="0" t="s">
        <v>8141</v>
      </c>
      <c r="E2510" s="0" t="s">
        <v>8142</v>
      </c>
      <c r="M2510" s="0" t="s">
        <v>136</v>
      </c>
      <c r="N2510" s="0" t="s">
        <v>124</v>
      </c>
      <c r="P2510" s="0" t="s">
        <v>102</v>
      </c>
      <c r="Q2510" s="0" t="s">
        <v>102</v>
      </c>
      <c r="R2510" s="0" t="s">
        <v>131</v>
      </c>
      <c r="S2510" s="0" t="s">
        <v>21</v>
      </c>
      <c r="T2510" s="0" t="s">
        <v>104</v>
      </c>
      <c r="W2510" s="0" t="s">
        <v>105</v>
      </c>
    </row>
    <row r="2511" customFormat="false" ht="15" hidden="false" customHeight="false" outlineLevel="0" collapsed="false">
      <c r="A2511" s="0" t="s">
        <v>21</v>
      </c>
      <c r="B2511" s="0" t="s">
        <v>8143</v>
      </c>
      <c r="C2511" s="0" t="s">
        <v>97</v>
      </c>
      <c r="D2511" s="0" t="s">
        <v>8144</v>
      </c>
      <c r="E2511" s="0" t="s">
        <v>8145</v>
      </c>
      <c r="M2511" s="0" t="s">
        <v>136</v>
      </c>
      <c r="N2511" s="0" t="s">
        <v>124</v>
      </c>
      <c r="P2511" s="0" t="s">
        <v>102</v>
      </c>
      <c r="Q2511" s="0" t="s">
        <v>102</v>
      </c>
      <c r="R2511" s="0" t="s">
        <v>131</v>
      </c>
      <c r="S2511" s="0" t="s">
        <v>21</v>
      </c>
      <c r="T2511" s="0" t="s">
        <v>104</v>
      </c>
      <c r="W2511" s="0" t="s">
        <v>105</v>
      </c>
    </row>
    <row r="2512" customFormat="false" ht="15" hidden="false" customHeight="false" outlineLevel="0" collapsed="false">
      <c r="A2512" s="0" t="s">
        <v>21</v>
      </c>
      <c r="B2512" s="0" t="s">
        <v>8146</v>
      </c>
      <c r="C2512" s="0" t="s">
        <v>97</v>
      </c>
      <c r="D2512" s="0" t="s">
        <v>8147</v>
      </c>
      <c r="E2512" s="0" t="s">
        <v>8148</v>
      </c>
      <c r="M2512" s="0" t="s">
        <v>136</v>
      </c>
      <c r="N2512" s="0" t="s">
        <v>124</v>
      </c>
      <c r="P2512" s="0" t="s">
        <v>102</v>
      </c>
      <c r="Q2512" s="0" t="s">
        <v>102</v>
      </c>
      <c r="R2512" s="0" t="s">
        <v>131</v>
      </c>
      <c r="S2512" s="0" t="s">
        <v>21</v>
      </c>
      <c r="T2512" s="0" t="s">
        <v>104</v>
      </c>
      <c r="W2512" s="0" t="s">
        <v>105</v>
      </c>
    </row>
    <row r="2513" customFormat="false" ht="15" hidden="false" customHeight="false" outlineLevel="0" collapsed="false">
      <c r="A2513" s="0" t="s">
        <v>21</v>
      </c>
      <c r="B2513" s="0" t="s">
        <v>8149</v>
      </c>
      <c r="C2513" s="0" t="s">
        <v>97</v>
      </c>
      <c r="D2513" s="0" t="s">
        <v>8150</v>
      </c>
      <c r="E2513" s="0" t="s">
        <v>8151</v>
      </c>
      <c r="M2513" s="0" t="s">
        <v>136</v>
      </c>
      <c r="N2513" s="0" t="s">
        <v>124</v>
      </c>
      <c r="P2513" s="0" t="s">
        <v>102</v>
      </c>
      <c r="Q2513" s="0" t="s">
        <v>102</v>
      </c>
      <c r="R2513" s="0" t="s">
        <v>131</v>
      </c>
      <c r="S2513" s="0" t="s">
        <v>21</v>
      </c>
      <c r="T2513" s="0" t="s">
        <v>104</v>
      </c>
      <c r="W2513" s="0" t="s">
        <v>105</v>
      </c>
    </row>
    <row r="2514" customFormat="false" ht="15" hidden="false" customHeight="false" outlineLevel="0" collapsed="false">
      <c r="A2514" s="0" t="s">
        <v>21</v>
      </c>
      <c r="B2514" s="0" t="s">
        <v>8152</v>
      </c>
      <c r="C2514" s="0" t="s">
        <v>97</v>
      </c>
      <c r="D2514" s="0" t="s">
        <v>8153</v>
      </c>
      <c r="E2514" s="0" t="s">
        <v>8154</v>
      </c>
      <c r="M2514" s="0" t="s">
        <v>136</v>
      </c>
      <c r="N2514" s="0" t="s">
        <v>124</v>
      </c>
      <c r="P2514" s="0" t="s">
        <v>102</v>
      </c>
      <c r="Q2514" s="0" t="s">
        <v>102</v>
      </c>
      <c r="R2514" s="0" t="s">
        <v>131</v>
      </c>
      <c r="S2514" s="0" t="s">
        <v>21</v>
      </c>
      <c r="T2514" s="0" t="s">
        <v>104</v>
      </c>
      <c r="W2514" s="0" t="s">
        <v>105</v>
      </c>
    </row>
    <row r="2515" customFormat="false" ht="15" hidden="false" customHeight="false" outlineLevel="0" collapsed="false">
      <c r="A2515" s="0" t="s">
        <v>21</v>
      </c>
      <c r="B2515" s="0" t="s">
        <v>8155</v>
      </c>
      <c r="C2515" s="0" t="s">
        <v>97</v>
      </c>
      <c r="D2515" s="0" t="s">
        <v>8156</v>
      </c>
      <c r="E2515" s="0" t="s">
        <v>8157</v>
      </c>
      <c r="M2515" s="0" t="s">
        <v>136</v>
      </c>
      <c r="N2515" s="0" t="s">
        <v>124</v>
      </c>
      <c r="P2515" s="0" t="s">
        <v>102</v>
      </c>
      <c r="Q2515" s="0" t="s">
        <v>102</v>
      </c>
      <c r="R2515" s="0" t="s">
        <v>131</v>
      </c>
      <c r="S2515" s="0" t="s">
        <v>21</v>
      </c>
      <c r="T2515" s="0" t="s">
        <v>104</v>
      </c>
      <c r="W2515" s="0" t="s">
        <v>105</v>
      </c>
    </row>
    <row r="2516" customFormat="false" ht="15" hidden="false" customHeight="false" outlineLevel="0" collapsed="false">
      <c r="A2516" s="0" t="s">
        <v>21</v>
      </c>
      <c r="B2516" s="0" t="s">
        <v>8158</v>
      </c>
      <c r="C2516" s="0" t="s">
        <v>97</v>
      </c>
      <c r="D2516" s="0" t="s">
        <v>8159</v>
      </c>
      <c r="E2516" s="0" t="s">
        <v>8160</v>
      </c>
      <c r="M2516" s="0" t="s">
        <v>136</v>
      </c>
      <c r="N2516" s="0" t="s">
        <v>124</v>
      </c>
      <c r="P2516" s="0" t="s">
        <v>102</v>
      </c>
      <c r="Q2516" s="0" t="s">
        <v>102</v>
      </c>
      <c r="R2516" s="0" t="s">
        <v>131</v>
      </c>
      <c r="S2516" s="0" t="s">
        <v>21</v>
      </c>
      <c r="T2516" s="0" t="s">
        <v>104</v>
      </c>
      <c r="W2516" s="0" t="s">
        <v>105</v>
      </c>
    </row>
    <row r="2517" customFormat="false" ht="15" hidden="false" customHeight="false" outlineLevel="0" collapsed="false">
      <c r="A2517" s="0" t="s">
        <v>21</v>
      </c>
      <c r="B2517" s="0" t="s">
        <v>8161</v>
      </c>
      <c r="C2517" s="0" t="s">
        <v>97</v>
      </c>
      <c r="D2517" s="0" t="s">
        <v>8162</v>
      </c>
      <c r="E2517" s="0" t="s">
        <v>8163</v>
      </c>
      <c r="M2517" s="0" t="s">
        <v>136</v>
      </c>
      <c r="N2517" s="0" t="s">
        <v>124</v>
      </c>
      <c r="P2517" s="0" t="s">
        <v>102</v>
      </c>
      <c r="Q2517" s="0" t="s">
        <v>102</v>
      </c>
      <c r="R2517" s="0" t="s">
        <v>131</v>
      </c>
      <c r="S2517" s="0" t="s">
        <v>21</v>
      </c>
      <c r="T2517" s="0" t="s">
        <v>104</v>
      </c>
      <c r="W2517" s="0" t="s">
        <v>105</v>
      </c>
    </row>
    <row r="2518" customFormat="false" ht="15" hidden="false" customHeight="false" outlineLevel="0" collapsed="false">
      <c r="A2518" s="0" t="s">
        <v>21</v>
      </c>
      <c r="B2518" s="0" t="s">
        <v>8164</v>
      </c>
      <c r="C2518" s="0" t="s">
        <v>97</v>
      </c>
      <c r="D2518" s="0" t="s">
        <v>8165</v>
      </c>
      <c r="E2518" s="0" t="s">
        <v>8166</v>
      </c>
      <c r="M2518" s="0" t="s">
        <v>136</v>
      </c>
      <c r="N2518" s="0" t="s">
        <v>124</v>
      </c>
      <c r="P2518" s="0" t="s">
        <v>102</v>
      </c>
      <c r="Q2518" s="0" t="s">
        <v>102</v>
      </c>
      <c r="R2518" s="0" t="s">
        <v>131</v>
      </c>
      <c r="S2518" s="0" t="s">
        <v>21</v>
      </c>
      <c r="T2518" s="0" t="s">
        <v>104</v>
      </c>
      <c r="W2518" s="0" t="s">
        <v>105</v>
      </c>
    </row>
    <row r="2519" customFormat="false" ht="15" hidden="false" customHeight="false" outlineLevel="0" collapsed="false">
      <c r="A2519" s="0" t="s">
        <v>21</v>
      </c>
      <c r="B2519" s="0" t="s">
        <v>8167</v>
      </c>
      <c r="C2519" s="0" t="s">
        <v>97</v>
      </c>
      <c r="D2519" s="0" t="s">
        <v>8168</v>
      </c>
      <c r="E2519" s="0" t="s">
        <v>8169</v>
      </c>
      <c r="M2519" s="0" t="s">
        <v>136</v>
      </c>
      <c r="N2519" s="0" t="s">
        <v>124</v>
      </c>
      <c r="P2519" s="0" t="s">
        <v>102</v>
      </c>
      <c r="Q2519" s="0" t="s">
        <v>102</v>
      </c>
      <c r="R2519" s="0" t="s">
        <v>131</v>
      </c>
      <c r="S2519" s="0" t="s">
        <v>21</v>
      </c>
      <c r="T2519" s="0" t="s">
        <v>104</v>
      </c>
      <c r="W2519" s="0" t="s">
        <v>105</v>
      </c>
    </row>
    <row r="2520" customFormat="false" ht="15" hidden="false" customHeight="false" outlineLevel="0" collapsed="false">
      <c r="A2520" s="0" t="s">
        <v>21</v>
      </c>
      <c r="B2520" s="0" t="s">
        <v>8170</v>
      </c>
      <c r="C2520" s="0" t="s">
        <v>97</v>
      </c>
      <c r="D2520" s="0" t="s">
        <v>8171</v>
      </c>
      <c r="E2520" s="0" t="s">
        <v>8172</v>
      </c>
      <c r="M2520" s="0" t="s">
        <v>136</v>
      </c>
      <c r="N2520" s="0" t="s">
        <v>124</v>
      </c>
      <c r="P2520" s="0" t="s">
        <v>102</v>
      </c>
      <c r="Q2520" s="0" t="s">
        <v>102</v>
      </c>
      <c r="R2520" s="0" t="s">
        <v>131</v>
      </c>
      <c r="S2520" s="0" t="s">
        <v>21</v>
      </c>
      <c r="T2520" s="0" t="s">
        <v>104</v>
      </c>
      <c r="W2520" s="0" t="s">
        <v>105</v>
      </c>
    </row>
    <row r="2521" customFormat="false" ht="15" hidden="false" customHeight="false" outlineLevel="0" collapsed="false">
      <c r="A2521" s="0" t="s">
        <v>21</v>
      </c>
      <c r="B2521" s="0" t="s">
        <v>8173</v>
      </c>
      <c r="C2521" s="0" t="s">
        <v>97</v>
      </c>
      <c r="D2521" s="0" t="s">
        <v>8171</v>
      </c>
      <c r="E2521" s="0" t="s">
        <v>8172</v>
      </c>
      <c r="M2521" s="0" t="s">
        <v>136</v>
      </c>
      <c r="N2521" s="0" t="s">
        <v>124</v>
      </c>
      <c r="P2521" s="0" t="s">
        <v>102</v>
      </c>
      <c r="Q2521" s="0" t="s">
        <v>102</v>
      </c>
      <c r="R2521" s="0" t="s">
        <v>131</v>
      </c>
      <c r="S2521" s="0" t="s">
        <v>21</v>
      </c>
      <c r="T2521" s="0" t="s">
        <v>104</v>
      </c>
      <c r="W2521" s="0" t="s">
        <v>105</v>
      </c>
    </row>
    <row r="2522" customFormat="false" ht="15" hidden="false" customHeight="false" outlineLevel="0" collapsed="false">
      <c r="A2522" s="0" t="s">
        <v>21</v>
      </c>
      <c r="B2522" s="0" t="s">
        <v>8174</v>
      </c>
      <c r="C2522" s="0" t="s">
        <v>97</v>
      </c>
      <c r="D2522" s="0" t="s">
        <v>8175</v>
      </c>
      <c r="E2522" s="0" t="s">
        <v>8176</v>
      </c>
      <c r="M2522" s="0" t="s">
        <v>136</v>
      </c>
      <c r="N2522" s="0" t="s">
        <v>124</v>
      </c>
      <c r="P2522" s="0" t="s">
        <v>102</v>
      </c>
      <c r="Q2522" s="0" t="s">
        <v>102</v>
      </c>
      <c r="R2522" s="0" t="s">
        <v>144</v>
      </c>
      <c r="S2522" s="0" t="s">
        <v>21</v>
      </c>
      <c r="T2522" s="0" t="s">
        <v>104</v>
      </c>
      <c r="W2522" s="0" t="s">
        <v>105</v>
      </c>
    </row>
    <row r="2523" customFormat="false" ht="15" hidden="false" customHeight="false" outlineLevel="0" collapsed="false">
      <c r="A2523" s="0" t="s">
        <v>21</v>
      </c>
      <c r="B2523" s="0" t="s">
        <v>8177</v>
      </c>
      <c r="C2523" s="0" t="s">
        <v>97</v>
      </c>
      <c r="D2523" s="0" t="s">
        <v>8178</v>
      </c>
      <c r="E2523" s="0" t="s">
        <v>8179</v>
      </c>
      <c r="M2523" s="0" t="s">
        <v>100</v>
      </c>
      <c r="N2523" s="0" t="s">
        <v>101</v>
      </c>
      <c r="P2523" s="0" t="s">
        <v>102</v>
      </c>
      <c r="Q2523" s="0" t="s">
        <v>102</v>
      </c>
      <c r="R2523" s="0" t="s">
        <v>113</v>
      </c>
      <c r="S2523" s="0" t="s">
        <v>21</v>
      </c>
      <c r="T2523" s="0" t="s">
        <v>104</v>
      </c>
      <c r="W2523" s="0" t="s">
        <v>105</v>
      </c>
    </row>
    <row r="2524" customFormat="false" ht="15" hidden="false" customHeight="false" outlineLevel="0" collapsed="false">
      <c r="A2524" s="0" t="s">
        <v>21</v>
      </c>
      <c r="B2524" s="0" t="s">
        <v>8180</v>
      </c>
      <c r="C2524" s="0" t="s">
        <v>97</v>
      </c>
      <c r="D2524" s="0" t="s">
        <v>8181</v>
      </c>
      <c r="E2524" s="0" t="s">
        <v>8181</v>
      </c>
      <c r="M2524" s="0" t="s">
        <v>136</v>
      </c>
      <c r="N2524" s="0" t="s">
        <v>124</v>
      </c>
      <c r="P2524" s="0" t="s">
        <v>102</v>
      </c>
      <c r="Q2524" s="0" t="s">
        <v>102</v>
      </c>
      <c r="R2524" s="0" t="s">
        <v>131</v>
      </c>
      <c r="S2524" s="0" t="s">
        <v>21</v>
      </c>
      <c r="T2524" s="0" t="s">
        <v>104</v>
      </c>
      <c r="W2524" s="0" t="s">
        <v>105</v>
      </c>
    </row>
    <row r="2525" customFormat="false" ht="15" hidden="false" customHeight="false" outlineLevel="0" collapsed="false">
      <c r="A2525" s="0" t="s">
        <v>21</v>
      </c>
      <c r="B2525" s="0" t="s">
        <v>8182</v>
      </c>
      <c r="C2525" s="0" t="s">
        <v>174</v>
      </c>
      <c r="D2525" s="0" t="s">
        <v>8183</v>
      </c>
      <c r="M2525" s="0" t="s">
        <v>598</v>
      </c>
      <c r="N2525" s="0" t="s">
        <v>124</v>
      </c>
      <c r="P2525" s="0" t="s">
        <v>102</v>
      </c>
      <c r="Q2525" s="0" t="s">
        <v>102</v>
      </c>
      <c r="R2525" s="0" t="s">
        <v>131</v>
      </c>
      <c r="S2525" s="0" t="s">
        <v>21</v>
      </c>
      <c r="T2525" s="0" t="s">
        <v>104</v>
      </c>
      <c r="U2525" s="0" t="s">
        <v>2706</v>
      </c>
      <c r="W2525" s="0" t="s">
        <v>105</v>
      </c>
    </row>
    <row r="2526" customFormat="false" ht="15" hidden="false" customHeight="false" outlineLevel="0" collapsed="false">
      <c r="A2526" s="0" t="s">
        <v>21</v>
      </c>
      <c r="B2526" s="0" t="s">
        <v>8184</v>
      </c>
      <c r="C2526" s="0" t="s">
        <v>174</v>
      </c>
      <c r="D2526" s="0" t="s">
        <v>8185</v>
      </c>
      <c r="M2526" s="0" t="s">
        <v>8186</v>
      </c>
      <c r="N2526" s="0" t="s">
        <v>124</v>
      </c>
      <c r="P2526" s="0" t="s">
        <v>102</v>
      </c>
      <c r="Q2526" s="0" t="s">
        <v>102</v>
      </c>
      <c r="R2526" s="0" t="s">
        <v>131</v>
      </c>
      <c r="S2526" s="0" t="s">
        <v>21</v>
      </c>
      <c r="T2526" s="0" t="s">
        <v>104</v>
      </c>
      <c r="U2526" s="0" t="s">
        <v>2706</v>
      </c>
      <c r="W2526" s="0" t="s">
        <v>105</v>
      </c>
    </row>
    <row r="2527" customFormat="false" ht="15" hidden="false" customHeight="false" outlineLevel="0" collapsed="false">
      <c r="A2527" s="0" t="s">
        <v>21</v>
      </c>
      <c r="B2527" s="0" t="s">
        <v>8187</v>
      </c>
      <c r="C2527" s="0" t="s">
        <v>97</v>
      </c>
      <c r="D2527" s="0" t="s">
        <v>8188</v>
      </c>
      <c r="E2527" s="0" t="s">
        <v>8189</v>
      </c>
      <c r="M2527" s="0" t="s">
        <v>136</v>
      </c>
      <c r="N2527" s="0" t="s">
        <v>124</v>
      </c>
      <c r="P2527" s="0" t="s">
        <v>102</v>
      </c>
      <c r="Q2527" s="0" t="s">
        <v>102</v>
      </c>
      <c r="R2527" s="0" t="s">
        <v>131</v>
      </c>
      <c r="S2527" s="0" t="s">
        <v>21</v>
      </c>
      <c r="T2527" s="0" t="s">
        <v>104</v>
      </c>
      <c r="W2527" s="0" t="s">
        <v>105</v>
      </c>
    </row>
    <row r="2528" customFormat="false" ht="15" hidden="false" customHeight="false" outlineLevel="0" collapsed="false">
      <c r="A2528" s="0" t="s">
        <v>21</v>
      </c>
      <c r="B2528" s="0" t="s">
        <v>8190</v>
      </c>
      <c r="C2528" s="0" t="s">
        <v>97</v>
      </c>
      <c r="D2528" s="0" t="s">
        <v>8191</v>
      </c>
      <c r="E2528" s="0" t="s">
        <v>8192</v>
      </c>
      <c r="M2528" s="0" t="s">
        <v>136</v>
      </c>
      <c r="N2528" s="0" t="s">
        <v>124</v>
      </c>
      <c r="P2528" s="0" t="s">
        <v>102</v>
      </c>
      <c r="Q2528" s="0" t="s">
        <v>102</v>
      </c>
      <c r="R2528" s="0" t="s">
        <v>131</v>
      </c>
      <c r="S2528" s="0" t="s">
        <v>21</v>
      </c>
      <c r="T2528" s="0" t="s">
        <v>104</v>
      </c>
      <c r="W2528" s="0" t="s">
        <v>105</v>
      </c>
    </row>
    <row r="2529" customFormat="false" ht="15" hidden="false" customHeight="false" outlineLevel="0" collapsed="false">
      <c r="A2529" s="0" t="s">
        <v>21</v>
      </c>
      <c r="B2529" s="0" t="s">
        <v>8193</v>
      </c>
      <c r="C2529" s="0" t="s">
        <v>97</v>
      </c>
      <c r="D2529" s="0" t="s">
        <v>8194</v>
      </c>
      <c r="E2529" s="0" t="s">
        <v>8195</v>
      </c>
      <c r="M2529" s="0" t="s">
        <v>136</v>
      </c>
      <c r="N2529" s="0" t="s">
        <v>124</v>
      </c>
      <c r="P2529" s="0" t="s">
        <v>102</v>
      </c>
      <c r="Q2529" s="0" t="s">
        <v>102</v>
      </c>
      <c r="R2529" s="0" t="s">
        <v>131</v>
      </c>
      <c r="S2529" s="0" t="s">
        <v>21</v>
      </c>
      <c r="T2529" s="0" t="s">
        <v>104</v>
      </c>
      <c r="W2529" s="0" t="s">
        <v>105</v>
      </c>
    </row>
    <row r="2530" customFormat="false" ht="15" hidden="false" customHeight="false" outlineLevel="0" collapsed="false">
      <c r="A2530" s="0" t="s">
        <v>21</v>
      </c>
      <c r="B2530" s="0" t="s">
        <v>8196</v>
      </c>
      <c r="C2530" s="0" t="s">
        <v>97</v>
      </c>
      <c r="D2530" s="0" t="s">
        <v>8197</v>
      </c>
      <c r="E2530" s="0" t="s">
        <v>8198</v>
      </c>
      <c r="M2530" s="0" t="s">
        <v>656</v>
      </c>
      <c r="N2530" s="0" t="s">
        <v>101</v>
      </c>
      <c r="P2530" s="0" t="s">
        <v>130</v>
      </c>
      <c r="Q2530" s="0" t="s">
        <v>130</v>
      </c>
      <c r="R2530" s="0" t="s">
        <v>113</v>
      </c>
      <c r="S2530" s="0" t="s">
        <v>21</v>
      </c>
      <c r="T2530" s="0" t="s">
        <v>104</v>
      </c>
      <c r="W2530" s="0" t="s">
        <v>105</v>
      </c>
    </row>
    <row r="2531" customFormat="false" ht="15" hidden="false" customHeight="false" outlineLevel="0" collapsed="false">
      <c r="A2531" s="0" t="s">
        <v>21</v>
      </c>
      <c r="B2531" s="0" t="s">
        <v>8199</v>
      </c>
      <c r="C2531" s="0" t="s">
        <v>97</v>
      </c>
      <c r="D2531" s="0" t="s">
        <v>8200</v>
      </c>
      <c r="E2531" s="0" t="s">
        <v>8201</v>
      </c>
      <c r="M2531" s="0" t="s">
        <v>100</v>
      </c>
      <c r="N2531" s="0" t="s">
        <v>101</v>
      </c>
      <c r="P2531" s="0" t="s">
        <v>102</v>
      </c>
      <c r="Q2531" s="0" t="s">
        <v>102</v>
      </c>
      <c r="R2531" s="0" t="s">
        <v>131</v>
      </c>
      <c r="S2531" s="0" t="s">
        <v>21</v>
      </c>
      <c r="T2531" s="0" t="s">
        <v>104</v>
      </c>
      <c r="W2531" s="0" t="s">
        <v>105</v>
      </c>
    </row>
    <row r="2532" customFormat="false" ht="15" hidden="false" customHeight="false" outlineLevel="0" collapsed="false">
      <c r="A2532" s="0" t="s">
        <v>21</v>
      </c>
      <c r="B2532" s="0" t="s">
        <v>8202</v>
      </c>
      <c r="C2532" s="0" t="s">
        <v>97</v>
      </c>
      <c r="D2532" s="0" t="s">
        <v>7282</v>
      </c>
      <c r="E2532" s="0" t="s">
        <v>8203</v>
      </c>
      <c r="M2532" s="0" t="s">
        <v>136</v>
      </c>
      <c r="N2532" s="0" t="s">
        <v>124</v>
      </c>
      <c r="P2532" s="0" t="s">
        <v>102</v>
      </c>
      <c r="Q2532" s="0" t="s">
        <v>102</v>
      </c>
      <c r="R2532" s="0" t="s">
        <v>113</v>
      </c>
      <c r="S2532" s="0" t="s">
        <v>21</v>
      </c>
      <c r="T2532" s="0" t="s">
        <v>104</v>
      </c>
      <c r="W2532" s="0" t="s">
        <v>105</v>
      </c>
    </row>
    <row r="2533" customFormat="false" ht="15" hidden="false" customHeight="false" outlineLevel="0" collapsed="false">
      <c r="A2533" s="0" t="s">
        <v>21</v>
      </c>
      <c r="B2533" s="0" t="s">
        <v>8204</v>
      </c>
      <c r="C2533" s="0" t="s">
        <v>97</v>
      </c>
      <c r="D2533" s="0" t="s">
        <v>8205</v>
      </c>
      <c r="E2533" s="0" t="s">
        <v>8206</v>
      </c>
      <c r="M2533" s="0" t="s">
        <v>136</v>
      </c>
      <c r="N2533" s="0" t="s">
        <v>124</v>
      </c>
      <c r="P2533" s="0" t="s">
        <v>102</v>
      </c>
      <c r="Q2533" s="0" t="s">
        <v>102</v>
      </c>
      <c r="R2533" s="0" t="s">
        <v>131</v>
      </c>
      <c r="S2533" s="0" t="s">
        <v>21</v>
      </c>
      <c r="T2533" s="0" t="s">
        <v>104</v>
      </c>
      <c r="W2533" s="0" t="s">
        <v>105</v>
      </c>
    </row>
    <row r="2534" customFormat="false" ht="15" hidden="false" customHeight="false" outlineLevel="0" collapsed="false">
      <c r="A2534" s="0" t="s">
        <v>21</v>
      </c>
      <c r="B2534" s="0" t="s">
        <v>8207</v>
      </c>
      <c r="C2534" s="0" t="s">
        <v>674</v>
      </c>
      <c r="E2534" s="0" t="s">
        <v>8208</v>
      </c>
      <c r="G2534" s="0" t="s">
        <v>8209</v>
      </c>
      <c r="M2534" s="0" t="s">
        <v>442</v>
      </c>
      <c r="N2534" s="0" t="s">
        <v>101</v>
      </c>
      <c r="P2534" s="0" t="s">
        <v>130</v>
      </c>
      <c r="Q2534" s="0" t="s">
        <v>130</v>
      </c>
      <c r="R2534" s="0" t="s">
        <v>144</v>
      </c>
      <c r="S2534" s="0" t="s">
        <v>21</v>
      </c>
      <c r="T2534" s="0" t="s">
        <v>104</v>
      </c>
      <c r="W2534" s="0" t="s">
        <v>105</v>
      </c>
    </row>
    <row r="2535" customFormat="false" ht="15" hidden="false" customHeight="false" outlineLevel="0" collapsed="false">
      <c r="A2535" s="0" t="s">
        <v>21</v>
      </c>
      <c r="B2535" s="0" t="s">
        <v>8210</v>
      </c>
      <c r="C2535" s="0" t="s">
        <v>674</v>
      </c>
      <c r="E2535" s="0" t="s">
        <v>8211</v>
      </c>
      <c r="G2535" s="0" t="s">
        <v>8212</v>
      </c>
      <c r="M2535" s="0" t="s">
        <v>456</v>
      </c>
      <c r="N2535" s="0" t="s">
        <v>101</v>
      </c>
      <c r="P2535" s="0" t="s">
        <v>130</v>
      </c>
      <c r="Q2535" s="0" t="s">
        <v>130</v>
      </c>
      <c r="R2535" s="0" t="s">
        <v>144</v>
      </c>
      <c r="S2535" s="0" t="s">
        <v>21</v>
      </c>
      <c r="T2535" s="0" t="s">
        <v>104</v>
      </c>
      <c r="W2535" s="0" t="s">
        <v>105</v>
      </c>
    </row>
    <row r="2536" customFormat="false" ht="15" hidden="false" customHeight="false" outlineLevel="0" collapsed="false">
      <c r="A2536" s="0" t="s">
        <v>21</v>
      </c>
      <c r="B2536" s="0" t="s">
        <v>8213</v>
      </c>
      <c r="C2536" s="0" t="s">
        <v>674</v>
      </c>
      <c r="E2536" s="0" t="s">
        <v>8214</v>
      </c>
      <c r="G2536" s="0" t="s">
        <v>8215</v>
      </c>
      <c r="M2536" s="0" t="s">
        <v>442</v>
      </c>
      <c r="N2536" s="0" t="s">
        <v>101</v>
      </c>
      <c r="P2536" s="0" t="s">
        <v>130</v>
      </c>
      <c r="Q2536" s="0" t="s">
        <v>130</v>
      </c>
      <c r="R2536" s="0" t="s">
        <v>144</v>
      </c>
      <c r="S2536" s="0" t="s">
        <v>21</v>
      </c>
      <c r="T2536" s="0" t="s">
        <v>104</v>
      </c>
      <c r="W2536" s="0" t="s">
        <v>105</v>
      </c>
    </row>
    <row r="2537" customFormat="false" ht="15" hidden="false" customHeight="false" outlineLevel="0" collapsed="false">
      <c r="A2537" s="0" t="s">
        <v>21</v>
      </c>
      <c r="B2537" s="0" t="s">
        <v>8216</v>
      </c>
      <c r="C2537" s="0" t="s">
        <v>674</v>
      </c>
      <c r="E2537" s="0" t="s">
        <v>8217</v>
      </c>
      <c r="G2537" s="0" t="s">
        <v>8218</v>
      </c>
      <c r="M2537" s="0" t="s">
        <v>442</v>
      </c>
      <c r="N2537" s="0" t="s">
        <v>101</v>
      </c>
      <c r="P2537" s="0" t="s">
        <v>130</v>
      </c>
      <c r="Q2537" s="0" t="s">
        <v>130</v>
      </c>
      <c r="R2537" s="0" t="s">
        <v>144</v>
      </c>
      <c r="S2537" s="0" t="s">
        <v>21</v>
      </c>
      <c r="T2537" s="0" t="s">
        <v>104</v>
      </c>
      <c r="W2537" s="0" t="s">
        <v>105</v>
      </c>
    </row>
    <row r="2538" customFormat="false" ht="15" hidden="false" customHeight="false" outlineLevel="0" collapsed="false">
      <c r="A2538" s="0" t="s">
        <v>21</v>
      </c>
      <c r="B2538" s="0" t="s">
        <v>8219</v>
      </c>
      <c r="C2538" s="0" t="s">
        <v>674</v>
      </c>
      <c r="E2538" s="0" t="s">
        <v>8220</v>
      </c>
      <c r="G2538" s="0" t="s">
        <v>8221</v>
      </c>
      <c r="M2538" s="0" t="s">
        <v>442</v>
      </c>
      <c r="N2538" s="0" t="s">
        <v>101</v>
      </c>
      <c r="P2538" s="0" t="s">
        <v>130</v>
      </c>
      <c r="Q2538" s="0" t="s">
        <v>130</v>
      </c>
      <c r="R2538" s="0" t="s">
        <v>144</v>
      </c>
      <c r="S2538" s="0" t="s">
        <v>21</v>
      </c>
      <c r="T2538" s="0" t="s">
        <v>104</v>
      </c>
      <c r="W2538" s="0" t="s">
        <v>105</v>
      </c>
    </row>
    <row r="2539" customFormat="false" ht="15" hidden="false" customHeight="false" outlineLevel="0" collapsed="false">
      <c r="A2539" s="0" t="s">
        <v>21</v>
      </c>
      <c r="B2539" s="0" t="s">
        <v>8222</v>
      </c>
      <c r="C2539" s="0" t="s">
        <v>674</v>
      </c>
      <c r="E2539" s="0" t="s">
        <v>8223</v>
      </c>
      <c r="G2539" s="0" t="s">
        <v>1992</v>
      </c>
      <c r="M2539" s="0" t="s">
        <v>442</v>
      </c>
      <c r="N2539" s="0" t="s">
        <v>101</v>
      </c>
      <c r="P2539" s="0" t="s">
        <v>130</v>
      </c>
      <c r="Q2539" s="0" t="s">
        <v>130</v>
      </c>
      <c r="R2539" s="0" t="s">
        <v>144</v>
      </c>
      <c r="S2539" s="0" t="s">
        <v>21</v>
      </c>
      <c r="T2539" s="0" t="s">
        <v>104</v>
      </c>
      <c r="W2539" s="0" t="s">
        <v>105</v>
      </c>
    </row>
    <row r="2540" customFormat="false" ht="15" hidden="false" customHeight="false" outlineLevel="0" collapsed="false">
      <c r="A2540" s="0" t="s">
        <v>21</v>
      </c>
      <c r="B2540" s="0" t="s">
        <v>8224</v>
      </c>
      <c r="C2540" s="0" t="s">
        <v>674</v>
      </c>
      <c r="E2540" s="0" t="s">
        <v>8225</v>
      </c>
      <c r="G2540" s="0" t="s">
        <v>8226</v>
      </c>
      <c r="M2540" s="0" t="s">
        <v>442</v>
      </c>
      <c r="N2540" s="0" t="s">
        <v>101</v>
      </c>
      <c r="P2540" s="0" t="s">
        <v>130</v>
      </c>
      <c r="Q2540" s="0" t="s">
        <v>130</v>
      </c>
      <c r="R2540" s="0" t="s">
        <v>144</v>
      </c>
      <c r="S2540" s="0" t="s">
        <v>21</v>
      </c>
      <c r="T2540" s="0" t="s">
        <v>104</v>
      </c>
      <c r="W2540" s="0" t="s">
        <v>105</v>
      </c>
    </row>
    <row r="2541" customFormat="false" ht="15" hidden="false" customHeight="false" outlineLevel="0" collapsed="false">
      <c r="A2541" s="0" t="s">
        <v>21</v>
      </c>
      <c r="B2541" s="0" t="s">
        <v>8227</v>
      </c>
      <c r="C2541" s="0" t="s">
        <v>97</v>
      </c>
      <c r="D2541" s="0" t="s">
        <v>675</v>
      </c>
      <c r="E2541" s="0" t="s">
        <v>8228</v>
      </c>
      <c r="M2541" s="0" t="s">
        <v>100</v>
      </c>
      <c r="N2541" s="0" t="s">
        <v>101</v>
      </c>
      <c r="P2541" s="0" t="s">
        <v>102</v>
      </c>
      <c r="Q2541" s="0" t="s">
        <v>102</v>
      </c>
      <c r="R2541" s="0" t="s">
        <v>113</v>
      </c>
      <c r="S2541" s="0" t="s">
        <v>21</v>
      </c>
      <c r="T2541" s="0" t="s">
        <v>104</v>
      </c>
      <c r="W2541" s="0" t="s">
        <v>105</v>
      </c>
      <c r="AB2541" s="0" t="s">
        <v>235</v>
      </c>
    </row>
    <row r="2542" customFormat="false" ht="15" hidden="false" customHeight="false" outlineLevel="0" collapsed="false">
      <c r="A2542" s="0" t="s">
        <v>21</v>
      </c>
      <c r="B2542" s="0" t="s">
        <v>8229</v>
      </c>
      <c r="C2542" s="0" t="s">
        <v>174</v>
      </c>
      <c r="D2542" s="0" t="s">
        <v>8230</v>
      </c>
      <c r="E2542" s="0" t="s">
        <v>8230</v>
      </c>
      <c r="M2542" s="0" t="s">
        <v>178</v>
      </c>
      <c r="N2542" s="0" t="s">
        <v>124</v>
      </c>
      <c r="P2542" s="0" t="s">
        <v>102</v>
      </c>
      <c r="Q2542" s="0" t="s">
        <v>102</v>
      </c>
      <c r="R2542" s="0" t="s">
        <v>131</v>
      </c>
      <c r="S2542" s="0" t="s">
        <v>21</v>
      </c>
      <c r="T2542" s="0" t="s">
        <v>104</v>
      </c>
      <c r="W2542" s="0" t="s">
        <v>105</v>
      </c>
    </row>
    <row r="2543" customFormat="false" ht="15" hidden="false" customHeight="false" outlineLevel="0" collapsed="false">
      <c r="A2543" s="0" t="s">
        <v>21</v>
      </c>
      <c r="B2543" s="0" t="s">
        <v>8231</v>
      </c>
      <c r="C2543" s="0" t="s">
        <v>174</v>
      </c>
      <c r="D2543" s="0" t="s">
        <v>8232</v>
      </c>
      <c r="E2543" s="0" t="s">
        <v>8232</v>
      </c>
      <c r="M2543" s="0" t="s">
        <v>178</v>
      </c>
      <c r="N2543" s="0" t="s">
        <v>124</v>
      </c>
      <c r="P2543" s="0" t="s">
        <v>102</v>
      </c>
      <c r="Q2543" s="0" t="s">
        <v>102</v>
      </c>
      <c r="R2543" s="0" t="s">
        <v>131</v>
      </c>
      <c r="S2543" s="0" t="s">
        <v>21</v>
      </c>
      <c r="T2543" s="0" t="s">
        <v>104</v>
      </c>
      <c r="W2543" s="0" t="s">
        <v>105</v>
      </c>
      <c r="AA2543" s="0" t="s">
        <v>8233</v>
      </c>
    </row>
    <row r="2544" customFormat="false" ht="15" hidden="false" customHeight="false" outlineLevel="0" collapsed="false">
      <c r="A2544" s="0" t="s">
        <v>21</v>
      </c>
      <c r="B2544" s="0" t="s">
        <v>8234</v>
      </c>
      <c r="C2544" s="0" t="s">
        <v>97</v>
      </c>
      <c r="D2544" s="0" t="s">
        <v>8235</v>
      </c>
      <c r="E2544" s="0" t="s">
        <v>8236</v>
      </c>
      <c r="H2544" s="0" t="s">
        <v>654</v>
      </c>
      <c r="I2544" s="0" t="s">
        <v>655</v>
      </c>
      <c r="J2544" s="0" t="s">
        <v>100</v>
      </c>
      <c r="K2544" s="0" t="s">
        <v>168</v>
      </c>
      <c r="L2544" s="0" t="s">
        <v>101</v>
      </c>
      <c r="M2544" s="0" t="s">
        <v>656</v>
      </c>
      <c r="N2544" s="0" t="s">
        <v>101</v>
      </c>
      <c r="P2544" s="0" t="s">
        <v>102</v>
      </c>
      <c r="Q2544" s="0" t="s">
        <v>102</v>
      </c>
      <c r="R2544" s="0" t="s">
        <v>144</v>
      </c>
      <c r="S2544" s="0" t="s">
        <v>21</v>
      </c>
      <c r="T2544" s="0" t="s">
        <v>104</v>
      </c>
      <c r="W2544" s="0" t="s">
        <v>105</v>
      </c>
      <c r="X2544" s="0" t="s">
        <v>658</v>
      </c>
      <c r="Y2544" s="0" t="s">
        <v>659</v>
      </c>
    </row>
    <row r="2545" customFormat="false" ht="15" hidden="false" customHeight="false" outlineLevel="0" collapsed="false">
      <c r="A2545" s="0" t="s">
        <v>21</v>
      </c>
      <c r="B2545" s="0" t="s">
        <v>8237</v>
      </c>
      <c r="C2545" s="0" t="s">
        <v>97</v>
      </c>
      <c r="D2545" s="0" t="s">
        <v>8238</v>
      </c>
      <c r="E2545" s="0" t="s">
        <v>8239</v>
      </c>
      <c r="H2545" s="0" t="s">
        <v>654</v>
      </c>
      <c r="I2545" s="0" t="s">
        <v>655</v>
      </c>
      <c r="J2545" s="0" t="s">
        <v>100</v>
      </c>
      <c r="K2545" s="0" t="s">
        <v>168</v>
      </c>
      <c r="L2545" s="0" t="s">
        <v>101</v>
      </c>
      <c r="M2545" s="0" t="s">
        <v>656</v>
      </c>
      <c r="N2545" s="0" t="s">
        <v>101</v>
      </c>
      <c r="P2545" s="0" t="s">
        <v>102</v>
      </c>
      <c r="Q2545" s="0" t="s">
        <v>102</v>
      </c>
      <c r="R2545" s="0" t="s">
        <v>144</v>
      </c>
      <c r="S2545" s="0" t="s">
        <v>21</v>
      </c>
      <c r="T2545" s="0" t="s">
        <v>104</v>
      </c>
      <c r="W2545" s="0" t="s">
        <v>105</v>
      </c>
      <c r="X2545" s="0" t="s">
        <v>658</v>
      </c>
      <c r="Y2545" s="0" t="s">
        <v>659</v>
      </c>
    </row>
    <row r="2546" customFormat="false" ht="15" hidden="false" customHeight="false" outlineLevel="0" collapsed="false">
      <c r="A2546" s="0" t="s">
        <v>21</v>
      </c>
      <c r="B2546" s="0" t="s">
        <v>8240</v>
      </c>
      <c r="C2546" s="0" t="s">
        <v>97</v>
      </c>
      <c r="D2546" s="0" t="s">
        <v>8241</v>
      </c>
      <c r="E2546" s="0" t="s">
        <v>8242</v>
      </c>
      <c r="M2546" s="0" t="s">
        <v>656</v>
      </c>
      <c r="N2546" s="0" t="s">
        <v>101</v>
      </c>
      <c r="P2546" s="0" t="s">
        <v>102</v>
      </c>
      <c r="Q2546" s="0" t="s">
        <v>102</v>
      </c>
      <c r="R2546" s="0" t="s">
        <v>144</v>
      </c>
      <c r="S2546" s="0" t="s">
        <v>21</v>
      </c>
      <c r="T2546" s="0" t="s">
        <v>104</v>
      </c>
      <c r="W2546" s="0" t="s">
        <v>105</v>
      </c>
    </row>
    <row r="2547" customFormat="false" ht="15" hidden="false" customHeight="false" outlineLevel="0" collapsed="false">
      <c r="A2547" s="0" t="s">
        <v>21</v>
      </c>
      <c r="B2547" s="0" t="s">
        <v>8243</v>
      </c>
      <c r="C2547" s="0" t="s">
        <v>97</v>
      </c>
      <c r="D2547" s="0" t="s">
        <v>8244</v>
      </c>
      <c r="E2547" s="0" t="s">
        <v>8245</v>
      </c>
      <c r="M2547" s="0" t="s">
        <v>136</v>
      </c>
      <c r="N2547" s="0" t="s">
        <v>124</v>
      </c>
      <c r="P2547" s="0" t="s">
        <v>102</v>
      </c>
      <c r="Q2547" s="0" t="s">
        <v>102</v>
      </c>
      <c r="R2547" s="0" t="s">
        <v>144</v>
      </c>
      <c r="S2547" s="0" t="s">
        <v>21</v>
      </c>
      <c r="T2547" s="0" t="s">
        <v>104</v>
      </c>
      <c r="W2547" s="0" t="s">
        <v>105</v>
      </c>
    </row>
    <row r="2548" customFormat="false" ht="15" hidden="false" customHeight="false" outlineLevel="0" collapsed="false">
      <c r="A2548" s="0" t="s">
        <v>21</v>
      </c>
      <c r="B2548" s="0" t="s">
        <v>8246</v>
      </c>
      <c r="C2548" s="0" t="s">
        <v>97</v>
      </c>
      <c r="D2548" s="0" t="s">
        <v>8247</v>
      </c>
      <c r="E2548" s="0" t="s">
        <v>8248</v>
      </c>
      <c r="M2548" s="0" t="s">
        <v>136</v>
      </c>
      <c r="N2548" s="0" t="s">
        <v>124</v>
      </c>
      <c r="P2548" s="0" t="s">
        <v>102</v>
      </c>
      <c r="Q2548" s="0" t="s">
        <v>102</v>
      </c>
      <c r="R2548" s="0" t="s">
        <v>144</v>
      </c>
      <c r="S2548" s="0" t="s">
        <v>21</v>
      </c>
      <c r="T2548" s="0" t="s">
        <v>104</v>
      </c>
      <c r="W2548" s="0" t="s">
        <v>105</v>
      </c>
    </row>
    <row r="2549" customFormat="false" ht="15" hidden="false" customHeight="false" outlineLevel="0" collapsed="false">
      <c r="A2549" s="0" t="s">
        <v>21</v>
      </c>
      <c r="B2549" s="0" t="s">
        <v>8249</v>
      </c>
      <c r="C2549" s="0" t="s">
        <v>97</v>
      </c>
      <c r="D2549" s="0" t="s">
        <v>8250</v>
      </c>
      <c r="E2549" s="0" t="s">
        <v>8251</v>
      </c>
      <c r="H2549" s="0" t="s">
        <v>654</v>
      </c>
      <c r="I2549" s="0" t="s">
        <v>655</v>
      </c>
      <c r="J2549" s="0" t="s">
        <v>100</v>
      </c>
      <c r="K2549" s="0" t="s">
        <v>168</v>
      </c>
      <c r="L2549" s="0" t="s">
        <v>101</v>
      </c>
      <c r="M2549" s="0" t="s">
        <v>656</v>
      </c>
      <c r="N2549" s="0" t="s">
        <v>101</v>
      </c>
      <c r="P2549" s="0" t="s">
        <v>102</v>
      </c>
      <c r="Q2549" s="0" t="s">
        <v>102</v>
      </c>
      <c r="R2549" s="0" t="s">
        <v>113</v>
      </c>
      <c r="S2549" s="0" t="s">
        <v>21</v>
      </c>
      <c r="T2549" s="0" t="s">
        <v>104</v>
      </c>
      <c r="W2549" s="0" t="s">
        <v>105</v>
      </c>
      <c r="X2549" s="0" t="s">
        <v>658</v>
      </c>
      <c r="Y2549" s="0" t="s">
        <v>659</v>
      </c>
    </row>
    <row r="2550" customFormat="false" ht="15" hidden="false" customHeight="false" outlineLevel="0" collapsed="false">
      <c r="A2550" s="0" t="s">
        <v>21</v>
      </c>
      <c r="B2550" s="0" t="s">
        <v>8252</v>
      </c>
      <c r="C2550" s="0" t="s">
        <v>97</v>
      </c>
      <c r="D2550" s="0" t="s">
        <v>8253</v>
      </c>
      <c r="E2550" s="0" t="s">
        <v>8254</v>
      </c>
      <c r="M2550" s="0" t="s">
        <v>136</v>
      </c>
      <c r="N2550" s="0" t="s">
        <v>124</v>
      </c>
      <c r="P2550" s="0" t="s">
        <v>102</v>
      </c>
      <c r="Q2550" s="0" t="s">
        <v>102</v>
      </c>
      <c r="R2550" s="0" t="s">
        <v>113</v>
      </c>
      <c r="S2550" s="0" t="s">
        <v>21</v>
      </c>
      <c r="T2550" s="0" t="s">
        <v>104</v>
      </c>
      <c r="W2550" s="0" t="s">
        <v>105</v>
      </c>
    </row>
    <row r="2551" customFormat="false" ht="15" hidden="false" customHeight="false" outlineLevel="0" collapsed="false">
      <c r="A2551" s="0" t="s">
        <v>21</v>
      </c>
      <c r="B2551" s="0" t="s">
        <v>8255</v>
      </c>
      <c r="C2551" s="0" t="s">
        <v>4845</v>
      </c>
      <c r="D2551" s="0" t="s">
        <v>8256</v>
      </c>
      <c r="E2551" s="0" t="s">
        <v>8257</v>
      </c>
      <c r="G2551" s="0" t="s">
        <v>8258</v>
      </c>
      <c r="M2551" s="0" t="s">
        <v>511</v>
      </c>
      <c r="N2551" s="0" t="s">
        <v>101</v>
      </c>
      <c r="P2551" s="0" t="s">
        <v>102</v>
      </c>
      <c r="Q2551" s="0" t="s">
        <v>102</v>
      </c>
      <c r="R2551" s="0" t="s">
        <v>113</v>
      </c>
      <c r="S2551" s="0" t="s">
        <v>21</v>
      </c>
      <c r="T2551" s="0" t="s">
        <v>104</v>
      </c>
      <c r="W2551" s="0" t="s">
        <v>105</v>
      </c>
    </row>
    <row r="2552" customFormat="false" ht="15" hidden="false" customHeight="false" outlineLevel="0" collapsed="false">
      <c r="A2552" s="0" t="s">
        <v>21</v>
      </c>
      <c r="B2552" s="0" t="s">
        <v>8259</v>
      </c>
      <c r="C2552" s="0" t="s">
        <v>97</v>
      </c>
      <c r="D2552" s="0" t="s">
        <v>679</v>
      </c>
      <c r="E2552" s="0" t="s">
        <v>8260</v>
      </c>
      <c r="H2552" s="0" t="s">
        <v>8261</v>
      </c>
      <c r="I2552" s="0" t="s">
        <v>8262</v>
      </c>
      <c r="J2552" s="0" t="s">
        <v>398</v>
      </c>
      <c r="K2552" s="0" t="s">
        <v>687</v>
      </c>
      <c r="L2552" s="0" t="s">
        <v>101</v>
      </c>
      <c r="M2552" s="0" t="s">
        <v>398</v>
      </c>
      <c r="N2552" s="0" t="s">
        <v>101</v>
      </c>
      <c r="P2552" s="0" t="s">
        <v>102</v>
      </c>
      <c r="Q2552" s="0" t="s">
        <v>102</v>
      </c>
      <c r="R2552" s="0" t="s">
        <v>113</v>
      </c>
      <c r="S2552" s="0" t="s">
        <v>21</v>
      </c>
      <c r="T2552" s="0" t="s">
        <v>104</v>
      </c>
      <c r="W2552" s="0" t="s">
        <v>105</v>
      </c>
      <c r="X2552" s="0" t="s">
        <v>8263</v>
      </c>
      <c r="Y2552" s="0" t="s">
        <v>8264</v>
      </c>
    </row>
    <row r="2553" customFormat="false" ht="15" hidden="false" customHeight="false" outlineLevel="0" collapsed="false">
      <c r="A2553" s="0" t="s">
        <v>21</v>
      </c>
      <c r="B2553" s="0" t="s">
        <v>8265</v>
      </c>
      <c r="C2553" s="0" t="s">
        <v>97</v>
      </c>
      <c r="E2553" s="0" t="s">
        <v>8266</v>
      </c>
      <c r="M2553" s="0" t="s">
        <v>208</v>
      </c>
      <c r="N2553" s="0" t="s">
        <v>124</v>
      </c>
      <c r="P2553" s="0" t="s">
        <v>130</v>
      </c>
      <c r="Q2553" s="0" t="s">
        <v>130</v>
      </c>
      <c r="R2553" s="0" t="s">
        <v>144</v>
      </c>
      <c r="S2553" s="0" t="s">
        <v>21</v>
      </c>
      <c r="T2553" s="0" t="s">
        <v>104</v>
      </c>
      <c r="W2553" s="0" t="s">
        <v>105</v>
      </c>
    </row>
    <row r="2554" customFormat="false" ht="15" hidden="false" customHeight="false" outlineLevel="0" collapsed="false">
      <c r="A2554" s="0" t="s">
        <v>21</v>
      </c>
      <c r="B2554" s="0" t="s">
        <v>8267</v>
      </c>
      <c r="C2554" s="0" t="s">
        <v>97</v>
      </c>
      <c r="D2554" s="0" t="s">
        <v>8268</v>
      </c>
      <c r="E2554" s="0" t="s">
        <v>8268</v>
      </c>
      <c r="F2554" s="0" t="s">
        <v>8268</v>
      </c>
      <c r="M2554" s="0" t="s">
        <v>136</v>
      </c>
      <c r="N2554" s="0" t="s">
        <v>124</v>
      </c>
      <c r="P2554" s="0" t="s">
        <v>102</v>
      </c>
      <c r="Q2554" s="0" t="s">
        <v>102</v>
      </c>
      <c r="R2554" s="0" t="s">
        <v>131</v>
      </c>
      <c r="S2554" s="0" t="s">
        <v>21</v>
      </c>
      <c r="T2554" s="0" t="s">
        <v>104</v>
      </c>
      <c r="W2554" s="0" t="s">
        <v>105</v>
      </c>
    </row>
    <row r="2555" customFormat="false" ht="15" hidden="false" customHeight="false" outlineLevel="0" collapsed="false">
      <c r="A2555" s="0" t="s">
        <v>21</v>
      </c>
      <c r="B2555" s="0" t="s">
        <v>8269</v>
      </c>
      <c r="C2555" s="0" t="s">
        <v>97</v>
      </c>
      <c r="D2555" s="0" t="s">
        <v>8270</v>
      </c>
      <c r="E2555" s="0" t="s">
        <v>8271</v>
      </c>
      <c r="H2555" s="0" t="s">
        <v>654</v>
      </c>
      <c r="I2555" s="0" t="s">
        <v>655</v>
      </c>
      <c r="J2555" s="0" t="s">
        <v>100</v>
      </c>
      <c r="K2555" s="0" t="s">
        <v>168</v>
      </c>
      <c r="L2555" s="0" t="s">
        <v>101</v>
      </c>
      <c r="M2555" s="0" t="s">
        <v>656</v>
      </c>
      <c r="N2555" s="0" t="s">
        <v>101</v>
      </c>
      <c r="P2555" s="0" t="s">
        <v>102</v>
      </c>
      <c r="Q2555" s="0" t="s">
        <v>102</v>
      </c>
      <c r="R2555" s="0" t="s">
        <v>113</v>
      </c>
      <c r="S2555" s="0" t="s">
        <v>21</v>
      </c>
      <c r="T2555" s="0" t="s">
        <v>104</v>
      </c>
      <c r="W2555" s="0" t="s">
        <v>105</v>
      </c>
      <c r="X2555" s="0" t="s">
        <v>658</v>
      </c>
      <c r="Y2555" s="0" t="s">
        <v>659</v>
      </c>
    </row>
    <row r="2556" customFormat="false" ht="15" hidden="false" customHeight="false" outlineLevel="0" collapsed="false">
      <c r="A2556" s="0" t="s">
        <v>21</v>
      </c>
      <c r="B2556" s="0" t="s">
        <v>8272</v>
      </c>
      <c r="C2556" s="0" t="s">
        <v>97</v>
      </c>
      <c r="D2556" s="0" t="s">
        <v>5765</v>
      </c>
      <c r="E2556" s="0" t="s">
        <v>5766</v>
      </c>
      <c r="G2556" s="0" t="s">
        <v>8273</v>
      </c>
      <c r="H2556" s="0" t="s">
        <v>654</v>
      </c>
      <c r="I2556" s="0" t="s">
        <v>655</v>
      </c>
      <c r="J2556" s="0" t="s">
        <v>100</v>
      </c>
      <c r="K2556" s="0" t="s">
        <v>168</v>
      </c>
      <c r="L2556" s="0" t="s">
        <v>101</v>
      </c>
      <c r="M2556" s="0" t="s">
        <v>656</v>
      </c>
      <c r="N2556" s="0" t="s">
        <v>101</v>
      </c>
      <c r="P2556" s="0" t="s">
        <v>102</v>
      </c>
      <c r="Q2556" s="0" t="s">
        <v>102</v>
      </c>
      <c r="R2556" s="0" t="s">
        <v>131</v>
      </c>
      <c r="S2556" s="0" t="s">
        <v>21</v>
      </c>
      <c r="T2556" s="0" t="s">
        <v>104</v>
      </c>
      <c r="W2556" s="0" t="s">
        <v>105</v>
      </c>
      <c r="X2556" s="0" t="s">
        <v>658</v>
      </c>
      <c r="Y2556" s="0" t="s">
        <v>659</v>
      </c>
    </row>
    <row r="2557" customFormat="false" ht="15" hidden="false" customHeight="false" outlineLevel="0" collapsed="false">
      <c r="A2557" s="0" t="s">
        <v>21</v>
      </c>
      <c r="B2557" s="0" t="s">
        <v>8274</v>
      </c>
      <c r="C2557" s="0" t="s">
        <v>97</v>
      </c>
      <c r="D2557" s="0" t="s">
        <v>8275</v>
      </c>
      <c r="E2557" s="0" t="s">
        <v>8276</v>
      </c>
      <c r="M2557" s="0" t="s">
        <v>656</v>
      </c>
      <c r="N2557" s="0" t="s">
        <v>101</v>
      </c>
      <c r="P2557" s="0" t="s">
        <v>102</v>
      </c>
      <c r="Q2557" s="0" t="s">
        <v>102</v>
      </c>
      <c r="R2557" s="0" t="s">
        <v>131</v>
      </c>
      <c r="S2557" s="0" t="s">
        <v>21</v>
      </c>
      <c r="T2557" s="0" t="s">
        <v>104</v>
      </c>
      <c r="W2557" s="0" t="s">
        <v>105</v>
      </c>
    </row>
    <row r="2558" customFormat="false" ht="15" hidden="false" customHeight="false" outlineLevel="0" collapsed="false">
      <c r="A2558" s="0" t="s">
        <v>21</v>
      </c>
      <c r="B2558" s="0" t="s">
        <v>8277</v>
      </c>
      <c r="C2558" s="0" t="s">
        <v>97</v>
      </c>
      <c r="D2558" s="0" t="s">
        <v>5762</v>
      </c>
      <c r="E2558" s="0" t="s">
        <v>5763</v>
      </c>
      <c r="M2558" s="0" t="s">
        <v>656</v>
      </c>
      <c r="N2558" s="0" t="s">
        <v>101</v>
      </c>
      <c r="P2558" s="0" t="s">
        <v>102</v>
      </c>
      <c r="Q2558" s="0" t="s">
        <v>102</v>
      </c>
      <c r="R2558" s="0" t="s">
        <v>131</v>
      </c>
      <c r="S2558" s="0" t="s">
        <v>21</v>
      </c>
      <c r="T2558" s="0" t="s">
        <v>104</v>
      </c>
      <c r="W2558" s="0" t="s">
        <v>105</v>
      </c>
    </row>
    <row r="2559" customFormat="false" ht="15" hidden="false" customHeight="false" outlineLevel="0" collapsed="false">
      <c r="A2559" s="0" t="s">
        <v>21</v>
      </c>
      <c r="B2559" s="0" t="s">
        <v>8278</v>
      </c>
      <c r="C2559" s="0" t="s">
        <v>97</v>
      </c>
      <c r="D2559" s="0" t="s">
        <v>8279</v>
      </c>
      <c r="E2559" s="0" t="s">
        <v>8280</v>
      </c>
      <c r="G2559" s="0" t="s">
        <v>8281</v>
      </c>
      <c r="H2559" s="0" t="s">
        <v>654</v>
      </c>
      <c r="I2559" s="0" t="s">
        <v>655</v>
      </c>
      <c r="J2559" s="0" t="s">
        <v>100</v>
      </c>
      <c r="K2559" s="0" t="s">
        <v>168</v>
      </c>
      <c r="L2559" s="0" t="s">
        <v>101</v>
      </c>
      <c r="M2559" s="0" t="s">
        <v>656</v>
      </c>
      <c r="N2559" s="0" t="s">
        <v>101</v>
      </c>
      <c r="P2559" s="0" t="s">
        <v>102</v>
      </c>
      <c r="Q2559" s="0" t="s">
        <v>102</v>
      </c>
      <c r="R2559" s="0" t="s">
        <v>131</v>
      </c>
      <c r="S2559" s="0" t="s">
        <v>21</v>
      </c>
      <c r="T2559" s="0" t="s">
        <v>104</v>
      </c>
      <c r="W2559" s="0" t="s">
        <v>105</v>
      </c>
      <c r="X2559" s="0" t="s">
        <v>658</v>
      </c>
      <c r="Y2559" s="0" t="s">
        <v>659</v>
      </c>
    </row>
    <row r="2560" customFormat="false" ht="15" hidden="false" customHeight="false" outlineLevel="0" collapsed="false">
      <c r="A2560" s="0" t="s">
        <v>21</v>
      </c>
      <c r="B2560" s="0" t="s">
        <v>8282</v>
      </c>
      <c r="C2560" s="0" t="s">
        <v>97</v>
      </c>
      <c r="D2560" s="0" t="s">
        <v>8283</v>
      </c>
      <c r="E2560" s="0" t="s">
        <v>8284</v>
      </c>
      <c r="M2560" s="0" t="s">
        <v>656</v>
      </c>
      <c r="N2560" s="0" t="s">
        <v>101</v>
      </c>
      <c r="P2560" s="0" t="s">
        <v>102</v>
      </c>
      <c r="Q2560" s="0" t="s">
        <v>102</v>
      </c>
      <c r="R2560" s="0" t="s">
        <v>131</v>
      </c>
      <c r="S2560" s="0" t="s">
        <v>21</v>
      </c>
      <c r="T2560" s="0" t="s">
        <v>104</v>
      </c>
      <c r="W2560" s="0" t="s">
        <v>105</v>
      </c>
    </row>
    <row r="2561" customFormat="false" ht="15" hidden="false" customHeight="false" outlineLevel="0" collapsed="false">
      <c r="A2561" s="0" t="s">
        <v>21</v>
      </c>
      <c r="B2561" s="0" t="s">
        <v>8285</v>
      </c>
      <c r="C2561" s="0" t="s">
        <v>97</v>
      </c>
      <c r="D2561" s="0" t="s">
        <v>8286</v>
      </c>
      <c r="E2561" s="0" t="s">
        <v>8287</v>
      </c>
      <c r="G2561" s="0" t="s">
        <v>8288</v>
      </c>
      <c r="H2561" s="0" t="s">
        <v>654</v>
      </c>
      <c r="I2561" s="0" t="s">
        <v>655</v>
      </c>
      <c r="J2561" s="0" t="s">
        <v>100</v>
      </c>
      <c r="K2561" s="0" t="s">
        <v>168</v>
      </c>
      <c r="L2561" s="0" t="s">
        <v>101</v>
      </c>
      <c r="M2561" s="0" t="s">
        <v>656</v>
      </c>
      <c r="N2561" s="0" t="s">
        <v>101</v>
      </c>
      <c r="P2561" s="0" t="s">
        <v>102</v>
      </c>
      <c r="Q2561" s="0" t="s">
        <v>102</v>
      </c>
      <c r="R2561" s="0" t="s">
        <v>131</v>
      </c>
      <c r="S2561" s="0" t="s">
        <v>21</v>
      </c>
      <c r="T2561" s="0" t="s">
        <v>104</v>
      </c>
      <c r="W2561" s="0" t="s">
        <v>105</v>
      </c>
      <c r="X2561" s="0" t="s">
        <v>658</v>
      </c>
      <c r="Y2561" s="0" t="s">
        <v>659</v>
      </c>
    </row>
    <row r="2562" customFormat="false" ht="15" hidden="false" customHeight="false" outlineLevel="0" collapsed="false">
      <c r="A2562" s="0" t="s">
        <v>21</v>
      </c>
      <c r="B2562" s="0" t="s">
        <v>8289</v>
      </c>
      <c r="C2562" s="0" t="s">
        <v>97</v>
      </c>
      <c r="D2562" s="0" t="s">
        <v>8290</v>
      </c>
      <c r="E2562" s="0" t="s">
        <v>8291</v>
      </c>
      <c r="G2562" s="0" t="s">
        <v>8292</v>
      </c>
      <c r="H2562" s="0" t="s">
        <v>654</v>
      </c>
      <c r="I2562" s="0" t="s">
        <v>655</v>
      </c>
      <c r="J2562" s="0" t="s">
        <v>100</v>
      </c>
      <c r="K2562" s="0" t="s">
        <v>168</v>
      </c>
      <c r="L2562" s="0" t="s">
        <v>101</v>
      </c>
      <c r="M2562" s="0" t="s">
        <v>656</v>
      </c>
      <c r="N2562" s="0" t="s">
        <v>101</v>
      </c>
      <c r="P2562" s="0" t="s">
        <v>102</v>
      </c>
      <c r="Q2562" s="0" t="s">
        <v>102</v>
      </c>
      <c r="R2562" s="0" t="s">
        <v>131</v>
      </c>
      <c r="S2562" s="0" t="s">
        <v>21</v>
      </c>
      <c r="T2562" s="0" t="s">
        <v>104</v>
      </c>
      <c r="W2562" s="0" t="s">
        <v>105</v>
      </c>
      <c r="X2562" s="0" t="s">
        <v>658</v>
      </c>
      <c r="Y2562" s="0" t="s">
        <v>659</v>
      </c>
    </row>
    <row r="2563" customFormat="false" ht="15" hidden="false" customHeight="false" outlineLevel="0" collapsed="false">
      <c r="A2563" s="0" t="s">
        <v>21</v>
      </c>
      <c r="B2563" s="0" t="s">
        <v>8293</v>
      </c>
      <c r="C2563" s="0" t="s">
        <v>97</v>
      </c>
      <c r="D2563" s="0" t="s">
        <v>8294</v>
      </c>
      <c r="E2563" s="0" t="s">
        <v>8295</v>
      </c>
      <c r="H2563" s="0" t="s">
        <v>654</v>
      </c>
      <c r="I2563" s="0" t="s">
        <v>655</v>
      </c>
      <c r="J2563" s="0" t="s">
        <v>100</v>
      </c>
      <c r="K2563" s="0" t="s">
        <v>168</v>
      </c>
      <c r="L2563" s="0" t="s">
        <v>101</v>
      </c>
      <c r="M2563" s="0" t="s">
        <v>656</v>
      </c>
      <c r="N2563" s="0" t="s">
        <v>101</v>
      </c>
      <c r="P2563" s="0" t="s">
        <v>102</v>
      </c>
      <c r="Q2563" s="0" t="s">
        <v>102</v>
      </c>
      <c r="R2563" s="0" t="s">
        <v>131</v>
      </c>
      <c r="S2563" s="0" t="s">
        <v>21</v>
      </c>
      <c r="T2563" s="0" t="s">
        <v>104</v>
      </c>
      <c r="W2563" s="0" t="s">
        <v>105</v>
      </c>
      <c r="X2563" s="0" t="s">
        <v>658</v>
      </c>
      <c r="Y2563" s="0" t="s">
        <v>659</v>
      </c>
    </row>
    <row r="2564" customFormat="false" ht="15" hidden="false" customHeight="false" outlineLevel="0" collapsed="false">
      <c r="A2564" s="0" t="s">
        <v>21</v>
      </c>
      <c r="B2564" s="0" t="s">
        <v>8296</v>
      </c>
      <c r="C2564" s="0" t="s">
        <v>97</v>
      </c>
      <c r="D2564" s="0" t="s">
        <v>8297</v>
      </c>
      <c r="E2564" s="0" t="s">
        <v>8298</v>
      </c>
      <c r="M2564" s="0" t="s">
        <v>136</v>
      </c>
      <c r="N2564" s="0" t="s">
        <v>124</v>
      </c>
      <c r="P2564" s="0" t="s">
        <v>102</v>
      </c>
      <c r="Q2564" s="0" t="s">
        <v>102</v>
      </c>
      <c r="R2564" s="0" t="s">
        <v>131</v>
      </c>
      <c r="S2564" s="0" t="s">
        <v>21</v>
      </c>
      <c r="T2564" s="0" t="s">
        <v>104</v>
      </c>
      <c r="W2564" s="0" t="s">
        <v>105</v>
      </c>
    </row>
    <row r="2565" customFormat="false" ht="15" hidden="false" customHeight="false" outlineLevel="0" collapsed="false">
      <c r="A2565" s="0" t="s">
        <v>21</v>
      </c>
      <c r="B2565" s="0" t="s">
        <v>8299</v>
      </c>
      <c r="C2565" s="0" t="s">
        <v>97</v>
      </c>
      <c r="D2565" s="0" t="s">
        <v>8300</v>
      </c>
      <c r="E2565" s="0" t="s">
        <v>8301</v>
      </c>
      <c r="M2565" s="0" t="s">
        <v>100</v>
      </c>
      <c r="N2565" s="0" t="s">
        <v>101</v>
      </c>
      <c r="P2565" s="0" t="s">
        <v>102</v>
      </c>
      <c r="Q2565" s="0" t="s">
        <v>102</v>
      </c>
      <c r="R2565" s="0" t="s">
        <v>131</v>
      </c>
      <c r="S2565" s="0" t="s">
        <v>21</v>
      </c>
      <c r="T2565" s="0" t="s">
        <v>104</v>
      </c>
      <c r="W2565" s="0" t="s">
        <v>105</v>
      </c>
    </row>
    <row r="2566" customFormat="false" ht="15" hidden="false" customHeight="false" outlineLevel="0" collapsed="false">
      <c r="A2566" s="0" t="s">
        <v>21</v>
      </c>
      <c r="B2566" s="0" t="s">
        <v>8302</v>
      </c>
      <c r="C2566" s="0" t="s">
        <v>97</v>
      </c>
      <c r="D2566" s="0" t="s">
        <v>8303</v>
      </c>
      <c r="E2566" s="0" t="s">
        <v>8304</v>
      </c>
      <c r="F2566" s="0" t="s">
        <v>8304</v>
      </c>
      <c r="M2566" s="0" t="s">
        <v>448</v>
      </c>
      <c r="N2566" s="0" t="s">
        <v>101</v>
      </c>
      <c r="P2566" s="0" t="s">
        <v>102</v>
      </c>
      <c r="Q2566" s="0" t="s">
        <v>102</v>
      </c>
      <c r="R2566" s="0" t="s">
        <v>113</v>
      </c>
      <c r="S2566" s="0" t="s">
        <v>21</v>
      </c>
      <c r="T2566" s="0" t="s">
        <v>104</v>
      </c>
      <c r="W2566" s="0" t="s">
        <v>105</v>
      </c>
    </row>
    <row r="2567" customFormat="false" ht="15" hidden="false" customHeight="false" outlineLevel="0" collapsed="false">
      <c r="A2567" s="0" t="s">
        <v>21</v>
      </c>
      <c r="B2567" s="0" t="s">
        <v>8305</v>
      </c>
      <c r="C2567" s="0" t="s">
        <v>97</v>
      </c>
      <c r="D2567" s="0" t="s">
        <v>6657</v>
      </c>
      <c r="E2567" s="0" t="s">
        <v>6657</v>
      </c>
      <c r="F2567" s="0" t="s">
        <v>6657</v>
      </c>
      <c r="M2567" s="0" t="s">
        <v>100</v>
      </c>
      <c r="N2567" s="0" t="s">
        <v>101</v>
      </c>
      <c r="P2567" s="0" t="s">
        <v>102</v>
      </c>
      <c r="Q2567" s="0" t="s">
        <v>102</v>
      </c>
      <c r="R2567" s="0" t="s">
        <v>131</v>
      </c>
      <c r="S2567" s="0" t="s">
        <v>21</v>
      </c>
      <c r="T2567" s="0" t="s">
        <v>104</v>
      </c>
      <c r="W2567" s="0" t="s">
        <v>105</v>
      </c>
    </row>
    <row r="2568" customFormat="false" ht="15" hidden="false" customHeight="false" outlineLevel="0" collapsed="false">
      <c r="A2568" s="0" t="s">
        <v>21</v>
      </c>
      <c r="B2568" s="0" t="s">
        <v>8306</v>
      </c>
      <c r="C2568" s="0" t="s">
        <v>97</v>
      </c>
      <c r="D2568" s="0" t="s">
        <v>8307</v>
      </c>
      <c r="E2568" s="0" t="s">
        <v>8307</v>
      </c>
      <c r="F2568" s="0" t="s">
        <v>8307</v>
      </c>
      <c r="M2568" s="0" t="s">
        <v>100</v>
      </c>
      <c r="N2568" s="0" t="s">
        <v>101</v>
      </c>
      <c r="P2568" s="0" t="s">
        <v>102</v>
      </c>
      <c r="Q2568" s="0" t="s">
        <v>102</v>
      </c>
      <c r="R2568" s="0" t="s">
        <v>131</v>
      </c>
      <c r="S2568" s="0" t="s">
        <v>21</v>
      </c>
      <c r="T2568" s="0" t="s">
        <v>104</v>
      </c>
      <c r="W2568" s="0" t="s">
        <v>105</v>
      </c>
    </row>
    <row r="2569" customFormat="false" ht="15" hidden="false" customHeight="false" outlineLevel="0" collapsed="false">
      <c r="A2569" s="0" t="s">
        <v>21</v>
      </c>
      <c r="B2569" s="0" t="s">
        <v>8308</v>
      </c>
      <c r="C2569" s="0" t="s">
        <v>97</v>
      </c>
      <c r="D2569" s="0" t="s">
        <v>8309</v>
      </c>
      <c r="E2569" s="0" t="s">
        <v>8309</v>
      </c>
      <c r="F2569" s="0" t="s">
        <v>8309</v>
      </c>
      <c r="M2569" s="0" t="s">
        <v>100</v>
      </c>
      <c r="N2569" s="0" t="s">
        <v>101</v>
      </c>
      <c r="P2569" s="0" t="s">
        <v>102</v>
      </c>
      <c r="Q2569" s="0" t="s">
        <v>102</v>
      </c>
      <c r="R2569" s="0" t="s">
        <v>131</v>
      </c>
      <c r="S2569" s="0" t="s">
        <v>21</v>
      </c>
      <c r="T2569" s="0" t="s">
        <v>104</v>
      </c>
      <c r="W2569" s="0" t="s">
        <v>105</v>
      </c>
    </row>
    <row r="2570" customFormat="false" ht="15" hidden="false" customHeight="false" outlineLevel="0" collapsed="false">
      <c r="A2570" s="0" t="s">
        <v>21</v>
      </c>
      <c r="B2570" s="0" t="s">
        <v>8310</v>
      </c>
      <c r="C2570" s="0" t="s">
        <v>97</v>
      </c>
      <c r="D2570" s="0" t="s">
        <v>8311</v>
      </c>
      <c r="E2570" s="0" t="s">
        <v>8311</v>
      </c>
      <c r="F2570" s="0" t="s">
        <v>8311</v>
      </c>
      <c r="M2570" s="0" t="s">
        <v>100</v>
      </c>
      <c r="N2570" s="0" t="s">
        <v>101</v>
      </c>
      <c r="P2570" s="0" t="s">
        <v>102</v>
      </c>
      <c r="Q2570" s="0" t="s">
        <v>102</v>
      </c>
      <c r="R2570" s="0" t="s">
        <v>131</v>
      </c>
      <c r="S2570" s="0" t="s">
        <v>21</v>
      </c>
      <c r="T2570" s="0" t="s">
        <v>104</v>
      </c>
      <c r="W2570" s="0" t="s">
        <v>105</v>
      </c>
    </row>
    <row r="2571" customFormat="false" ht="15" hidden="false" customHeight="false" outlineLevel="0" collapsed="false">
      <c r="A2571" s="0" t="s">
        <v>21</v>
      </c>
      <c r="B2571" s="0" t="s">
        <v>8312</v>
      </c>
      <c r="C2571" s="0" t="s">
        <v>97</v>
      </c>
      <c r="D2571" s="0" t="s">
        <v>7504</v>
      </c>
      <c r="E2571" s="0" t="s">
        <v>7504</v>
      </c>
      <c r="F2571" s="0" t="s">
        <v>7504</v>
      </c>
      <c r="M2571" s="0" t="s">
        <v>100</v>
      </c>
      <c r="N2571" s="0" t="s">
        <v>101</v>
      </c>
      <c r="P2571" s="0" t="s">
        <v>102</v>
      </c>
      <c r="Q2571" s="0" t="s">
        <v>102</v>
      </c>
      <c r="R2571" s="0" t="s">
        <v>131</v>
      </c>
      <c r="S2571" s="0" t="s">
        <v>21</v>
      </c>
      <c r="T2571" s="0" t="s">
        <v>104</v>
      </c>
      <c r="W2571" s="0" t="s">
        <v>105</v>
      </c>
    </row>
    <row r="2572" customFormat="false" ht="15" hidden="false" customHeight="false" outlineLevel="0" collapsed="false">
      <c r="A2572" s="0" t="s">
        <v>21</v>
      </c>
      <c r="B2572" s="0" t="s">
        <v>8313</v>
      </c>
      <c r="C2572" s="0" t="s">
        <v>97</v>
      </c>
      <c r="D2572" s="0" t="s">
        <v>8314</v>
      </c>
      <c r="E2572" s="0" t="s">
        <v>8314</v>
      </c>
      <c r="F2572" s="0" t="s">
        <v>8314</v>
      </c>
      <c r="M2572" s="0" t="s">
        <v>100</v>
      </c>
      <c r="N2572" s="0" t="s">
        <v>101</v>
      </c>
      <c r="P2572" s="0" t="s">
        <v>102</v>
      </c>
      <c r="Q2572" s="0" t="s">
        <v>102</v>
      </c>
      <c r="R2572" s="0" t="s">
        <v>131</v>
      </c>
      <c r="S2572" s="0" t="s">
        <v>21</v>
      </c>
      <c r="T2572" s="0" t="s">
        <v>104</v>
      </c>
      <c r="W2572" s="0" t="s">
        <v>105</v>
      </c>
    </row>
    <row r="2573" customFormat="false" ht="15" hidden="false" customHeight="false" outlineLevel="0" collapsed="false">
      <c r="A2573" s="0" t="s">
        <v>21</v>
      </c>
      <c r="B2573" s="0" t="s">
        <v>8315</v>
      </c>
      <c r="C2573" s="0" t="s">
        <v>97</v>
      </c>
      <c r="D2573" s="0" t="s">
        <v>8314</v>
      </c>
      <c r="E2573" s="0" t="s">
        <v>8314</v>
      </c>
      <c r="F2573" s="0" t="s">
        <v>8314</v>
      </c>
      <c r="M2573" s="0" t="s">
        <v>100</v>
      </c>
      <c r="N2573" s="0" t="s">
        <v>101</v>
      </c>
      <c r="P2573" s="0" t="s">
        <v>102</v>
      </c>
      <c r="Q2573" s="0" t="s">
        <v>102</v>
      </c>
      <c r="R2573" s="0" t="s">
        <v>131</v>
      </c>
      <c r="S2573" s="0" t="s">
        <v>21</v>
      </c>
      <c r="T2573" s="0" t="s">
        <v>104</v>
      </c>
      <c r="W2573" s="0" t="s">
        <v>105</v>
      </c>
    </row>
    <row r="2574" customFormat="false" ht="15" hidden="false" customHeight="false" outlineLevel="0" collapsed="false">
      <c r="A2574" s="0" t="s">
        <v>21</v>
      </c>
      <c r="B2574" s="0" t="s">
        <v>8316</v>
      </c>
      <c r="C2574" s="0" t="s">
        <v>97</v>
      </c>
      <c r="D2574" s="0" t="s">
        <v>8317</v>
      </c>
      <c r="E2574" s="0" t="s">
        <v>8317</v>
      </c>
      <c r="M2574" s="0" t="s">
        <v>442</v>
      </c>
      <c r="N2574" s="0" t="s">
        <v>101</v>
      </c>
      <c r="P2574" s="0" t="s">
        <v>102</v>
      </c>
      <c r="Q2574" s="0" t="s">
        <v>102</v>
      </c>
      <c r="R2574" s="0" t="s">
        <v>131</v>
      </c>
      <c r="S2574" s="0" t="s">
        <v>21</v>
      </c>
      <c r="T2574" s="0" t="s">
        <v>104</v>
      </c>
      <c r="W2574" s="0" t="s">
        <v>105</v>
      </c>
    </row>
    <row r="2575" customFormat="false" ht="15" hidden="false" customHeight="false" outlineLevel="0" collapsed="false">
      <c r="A2575" s="0" t="s">
        <v>21</v>
      </c>
      <c r="B2575" s="0" t="s">
        <v>8318</v>
      </c>
      <c r="C2575" s="0" t="s">
        <v>97</v>
      </c>
      <c r="D2575" s="0" t="s">
        <v>8319</v>
      </c>
      <c r="E2575" s="0" t="s">
        <v>8319</v>
      </c>
      <c r="F2575" s="0" t="s">
        <v>8319</v>
      </c>
      <c r="M2575" s="0" t="s">
        <v>100</v>
      </c>
      <c r="N2575" s="0" t="s">
        <v>101</v>
      </c>
      <c r="P2575" s="0" t="s">
        <v>102</v>
      </c>
      <c r="Q2575" s="0" t="s">
        <v>102</v>
      </c>
      <c r="R2575" s="0" t="s">
        <v>131</v>
      </c>
      <c r="S2575" s="0" t="s">
        <v>21</v>
      </c>
      <c r="T2575" s="0" t="s">
        <v>104</v>
      </c>
      <c r="W2575" s="0" t="s">
        <v>105</v>
      </c>
    </row>
    <row r="2576" customFormat="false" ht="15" hidden="false" customHeight="false" outlineLevel="0" collapsed="false">
      <c r="A2576" s="0" t="s">
        <v>21</v>
      </c>
      <c r="B2576" s="0" t="s">
        <v>8320</v>
      </c>
      <c r="C2576" s="0" t="s">
        <v>97</v>
      </c>
      <c r="D2576" s="0" t="s">
        <v>8321</v>
      </c>
      <c r="E2576" s="0" t="s">
        <v>8321</v>
      </c>
      <c r="M2576" s="0" t="s">
        <v>442</v>
      </c>
      <c r="N2576" s="0" t="s">
        <v>101</v>
      </c>
      <c r="P2576" s="0" t="s">
        <v>102</v>
      </c>
      <c r="Q2576" s="0" t="s">
        <v>102</v>
      </c>
      <c r="R2576" s="0" t="s">
        <v>131</v>
      </c>
      <c r="S2576" s="0" t="s">
        <v>21</v>
      </c>
      <c r="T2576" s="0" t="s">
        <v>104</v>
      </c>
      <c r="W2576" s="0" t="s">
        <v>105</v>
      </c>
    </row>
    <row r="2577" customFormat="false" ht="15" hidden="false" customHeight="false" outlineLevel="0" collapsed="false">
      <c r="A2577" s="0" t="s">
        <v>21</v>
      </c>
      <c r="B2577" s="0" t="s">
        <v>8322</v>
      </c>
      <c r="C2577" s="0" t="s">
        <v>97</v>
      </c>
      <c r="D2577" s="0" t="s">
        <v>8323</v>
      </c>
      <c r="E2577" s="0" t="s">
        <v>8323</v>
      </c>
      <c r="M2577" s="0" t="s">
        <v>442</v>
      </c>
      <c r="N2577" s="0" t="s">
        <v>101</v>
      </c>
      <c r="P2577" s="0" t="s">
        <v>102</v>
      </c>
      <c r="Q2577" s="0" t="s">
        <v>102</v>
      </c>
      <c r="R2577" s="0" t="s">
        <v>131</v>
      </c>
      <c r="S2577" s="0" t="s">
        <v>21</v>
      </c>
      <c r="T2577" s="0" t="s">
        <v>104</v>
      </c>
      <c r="W2577" s="0" t="s">
        <v>105</v>
      </c>
    </row>
    <row r="2578" customFormat="false" ht="15" hidden="false" customHeight="false" outlineLevel="0" collapsed="false">
      <c r="A2578" s="0" t="s">
        <v>21</v>
      </c>
      <c r="B2578" s="0" t="s">
        <v>8324</v>
      </c>
      <c r="C2578" s="0" t="s">
        <v>97</v>
      </c>
      <c r="D2578" s="0" t="s">
        <v>8325</v>
      </c>
      <c r="E2578" s="0" t="s">
        <v>8325</v>
      </c>
      <c r="F2578" s="0" t="s">
        <v>8325</v>
      </c>
      <c r="M2578" s="0" t="s">
        <v>100</v>
      </c>
      <c r="N2578" s="0" t="s">
        <v>101</v>
      </c>
      <c r="P2578" s="0" t="s">
        <v>102</v>
      </c>
      <c r="Q2578" s="0" t="s">
        <v>102</v>
      </c>
      <c r="R2578" s="0" t="s">
        <v>131</v>
      </c>
      <c r="S2578" s="0" t="s">
        <v>21</v>
      </c>
      <c r="T2578" s="0" t="s">
        <v>104</v>
      </c>
      <c r="W2578" s="0" t="s">
        <v>105</v>
      </c>
    </row>
    <row r="2579" customFormat="false" ht="15" hidden="false" customHeight="false" outlineLevel="0" collapsed="false">
      <c r="A2579" s="0" t="s">
        <v>21</v>
      </c>
      <c r="B2579" s="0" t="s">
        <v>8326</v>
      </c>
      <c r="C2579" s="0" t="s">
        <v>97</v>
      </c>
      <c r="D2579" s="0" t="s">
        <v>8311</v>
      </c>
      <c r="E2579" s="0" t="s">
        <v>8311</v>
      </c>
      <c r="F2579" s="0" t="s">
        <v>8311</v>
      </c>
      <c r="M2579" s="0" t="s">
        <v>100</v>
      </c>
      <c r="N2579" s="0" t="s">
        <v>101</v>
      </c>
      <c r="P2579" s="0" t="s">
        <v>102</v>
      </c>
      <c r="Q2579" s="0" t="s">
        <v>102</v>
      </c>
      <c r="R2579" s="0" t="s">
        <v>131</v>
      </c>
      <c r="S2579" s="0" t="s">
        <v>21</v>
      </c>
      <c r="T2579" s="0" t="s">
        <v>104</v>
      </c>
      <c r="W2579" s="0" t="s">
        <v>105</v>
      </c>
    </row>
    <row r="2580" customFormat="false" ht="15" hidden="false" customHeight="false" outlineLevel="0" collapsed="false">
      <c r="A2580" s="0" t="s">
        <v>21</v>
      </c>
      <c r="B2580" s="0" t="s">
        <v>8327</v>
      </c>
      <c r="C2580" s="0" t="s">
        <v>97</v>
      </c>
      <c r="D2580" s="0" t="s">
        <v>8328</v>
      </c>
      <c r="E2580" s="0" t="s">
        <v>8328</v>
      </c>
      <c r="F2580" s="0" t="s">
        <v>8328</v>
      </c>
      <c r="M2580" s="0" t="s">
        <v>100</v>
      </c>
      <c r="N2580" s="0" t="s">
        <v>101</v>
      </c>
      <c r="P2580" s="0" t="s">
        <v>102</v>
      </c>
      <c r="Q2580" s="0" t="s">
        <v>102</v>
      </c>
      <c r="R2580" s="0" t="s">
        <v>131</v>
      </c>
      <c r="S2580" s="0" t="s">
        <v>21</v>
      </c>
      <c r="T2580" s="0" t="s">
        <v>104</v>
      </c>
      <c r="W2580" s="0" t="s">
        <v>105</v>
      </c>
    </row>
    <row r="2581" customFormat="false" ht="15" hidden="false" customHeight="false" outlineLevel="0" collapsed="false">
      <c r="A2581" s="0" t="s">
        <v>21</v>
      </c>
      <c r="B2581" s="0" t="s">
        <v>8329</v>
      </c>
      <c r="C2581" s="0" t="s">
        <v>97</v>
      </c>
      <c r="D2581" s="0" t="s">
        <v>8330</v>
      </c>
      <c r="E2581" s="0" t="s">
        <v>8330</v>
      </c>
      <c r="F2581" s="0" t="s">
        <v>8330</v>
      </c>
      <c r="M2581" s="0" t="s">
        <v>100</v>
      </c>
      <c r="N2581" s="0" t="s">
        <v>101</v>
      </c>
      <c r="P2581" s="0" t="s">
        <v>102</v>
      </c>
      <c r="Q2581" s="0" t="s">
        <v>102</v>
      </c>
      <c r="R2581" s="0" t="s">
        <v>131</v>
      </c>
      <c r="S2581" s="0" t="s">
        <v>21</v>
      </c>
      <c r="T2581" s="0" t="s">
        <v>104</v>
      </c>
      <c r="W2581" s="0" t="s">
        <v>105</v>
      </c>
    </row>
    <row r="2582" customFormat="false" ht="15" hidden="false" customHeight="false" outlineLevel="0" collapsed="false">
      <c r="A2582" s="0" t="s">
        <v>21</v>
      </c>
      <c r="B2582" s="0" t="s">
        <v>8331</v>
      </c>
      <c r="C2582" s="0" t="s">
        <v>97</v>
      </c>
      <c r="D2582" s="0" t="s">
        <v>8330</v>
      </c>
      <c r="E2582" s="0" t="s">
        <v>8330</v>
      </c>
      <c r="F2582" s="0" t="s">
        <v>8330</v>
      </c>
      <c r="M2582" s="0" t="s">
        <v>100</v>
      </c>
      <c r="N2582" s="0" t="s">
        <v>101</v>
      </c>
      <c r="P2582" s="0" t="s">
        <v>102</v>
      </c>
      <c r="Q2582" s="0" t="s">
        <v>102</v>
      </c>
      <c r="R2582" s="0" t="s">
        <v>131</v>
      </c>
      <c r="S2582" s="0" t="s">
        <v>21</v>
      </c>
      <c r="T2582" s="0" t="s">
        <v>104</v>
      </c>
      <c r="W2582" s="0" t="s">
        <v>105</v>
      </c>
    </row>
    <row r="2583" customFormat="false" ht="15" hidden="false" customHeight="false" outlineLevel="0" collapsed="false">
      <c r="A2583" s="0" t="s">
        <v>21</v>
      </c>
      <c r="B2583" s="0" t="s">
        <v>8332</v>
      </c>
      <c r="C2583" s="0" t="s">
        <v>97</v>
      </c>
      <c r="D2583" s="0" t="s">
        <v>8330</v>
      </c>
      <c r="E2583" s="0" t="s">
        <v>8330</v>
      </c>
      <c r="F2583" s="0" t="s">
        <v>8330</v>
      </c>
      <c r="M2583" s="0" t="s">
        <v>100</v>
      </c>
      <c r="N2583" s="0" t="s">
        <v>101</v>
      </c>
      <c r="P2583" s="0" t="s">
        <v>102</v>
      </c>
      <c r="Q2583" s="0" t="s">
        <v>102</v>
      </c>
      <c r="R2583" s="0" t="s">
        <v>131</v>
      </c>
      <c r="S2583" s="0" t="s">
        <v>21</v>
      </c>
      <c r="T2583" s="0" t="s">
        <v>104</v>
      </c>
      <c r="W2583" s="0" t="s">
        <v>105</v>
      </c>
    </row>
    <row r="2584" customFormat="false" ht="15" hidden="false" customHeight="false" outlineLevel="0" collapsed="false">
      <c r="A2584" s="0" t="s">
        <v>21</v>
      </c>
      <c r="B2584" s="0" t="s">
        <v>8333</v>
      </c>
      <c r="C2584" s="0" t="s">
        <v>97</v>
      </c>
      <c r="D2584" s="0" t="s">
        <v>8330</v>
      </c>
      <c r="E2584" s="0" t="s">
        <v>8330</v>
      </c>
      <c r="F2584" s="0" t="s">
        <v>8330</v>
      </c>
      <c r="M2584" s="0" t="s">
        <v>100</v>
      </c>
      <c r="N2584" s="0" t="s">
        <v>101</v>
      </c>
      <c r="P2584" s="0" t="s">
        <v>102</v>
      </c>
      <c r="Q2584" s="0" t="s">
        <v>102</v>
      </c>
      <c r="R2584" s="0" t="s">
        <v>131</v>
      </c>
      <c r="S2584" s="0" t="s">
        <v>21</v>
      </c>
      <c r="T2584" s="0" t="s">
        <v>104</v>
      </c>
      <c r="W2584" s="0" t="s">
        <v>105</v>
      </c>
    </row>
    <row r="2585" customFormat="false" ht="15" hidden="false" customHeight="false" outlineLevel="0" collapsed="false">
      <c r="A2585" s="0" t="s">
        <v>21</v>
      </c>
      <c r="B2585" s="0" t="s">
        <v>8334</v>
      </c>
      <c r="C2585" s="0" t="s">
        <v>97</v>
      </c>
      <c r="D2585" s="0" t="s">
        <v>8335</v>
      </c>
      <c r="E2585" s="0" t="s">
        <v>8335</v>
      </c>
      <c r="F2585" s="0" t="s">
        <v>8335</v>
      </c>
      <c r="M2585" s="0" t="s">
        <v>100</v>
      </c>
      <c r="N2585" s="0" t="s">
        <v>101</v>
      </c>
      <c r="P2585" s="0" t="s">
        <v>102</v>
      </c>
      <c r="Q2585" s="0" t="s">
        <v>102</v>
      </c>
      <c r="R2585" s="0" t="s">
        <v>131</v>
      </c>
      <c r="S2585" s="0" t="s">
        <v>21</v>
      </c>
      <c r="T2585" s="0" t="s">
        <v>104</v>
      </c>
      <c r="W2585" s="0" t="s">
        <v>105</v>
      </c>
    </row>
    <row r="2586" customFormat="false" ht="15" hidden="false" customHeight="false" outlineLevel="0" collapsed="false">
      <c r="A2586" s="0" t="s">
        <v>21</v>
      </c>
      <c r="B2586" s="0" t="s">
        <v>8336</v>
      </c>
      <c r="C2586" s="0" t="s">
        <v>110</v>
      </c>
      <c r="D2586" s="0" t="s">
        <v>8337</v>
      </c>
      <c r="E2586" s="0" t="s">
        <v>8337</v>
      </c>
      <c r="M2586" s="0" t="s">
        <v>442</v>
      </c>
      <c r="N2586" s="0" t="s">
        <v>101</v>
      </c>
      <c r="P2586" s="0" t="s">
        <v>102</v>
      </c>
      <c r="Q2586" s="0" t="s">
        <v>102</v>
      </c>
      <c r="R2586" s="0" t="s">
        <v>113</v>
      </c>
      <c r="S2586" s="0" t="s">
        <v>21</v>
      </c>
      <c r="T2586" s="0" t="s">
        <v>104</v>
      </c>
      <c r="W2586" s="0" t="s">
        <v>105</v>
      </c>
    </row>
    <row r="2587" customFormat="false" ht="15" hidden="false" customHeight="false" outlineLevel="0" collapsed="false">
      <c r="A2587" s="0" t="s">
        <v>21</v>
      </c>
      <c r="B2587" s="0" t="s">
        <v>8338</v>
      </c>
      <c r="C2587" s="0" t="s">
        <v>97</v>
      </c>
      <c r="D2587" s="0" t="s">
        <v>8339</v>
      </c>
      <c r="E2587" s="0" t="s">
        <v>8340</v>
      </c>
      <c r="M2587" s="0" t="s">
        <v>136</v>
      </c>
      <c r="N2587" s="0" t="s">
        <v>124</v>
      </c>
      <c r="P2587" s="0" t="s">
        <v>102</v>
      </c>
      <c r="Q2587" s="0" t="s">
        <v>102</v>
      </c>
      <c r="R2587" s="0" t="s">
        <v>137</v>
      </c>
      <c r="S2587" s="0" t="s">
        <v>21</v>
      </c>
      <c r="T2587" s="0" t="s">
        <v>104</v>
      </c>
      <c r="W2587" s="0" t="s">
        <v>105</v>
      </c>
    </row>
    <row r="2588" customFormat="false" ht="15" hidden="false" customHeight="false" outlineLevel="0" collapsed="false">
      <c r="A2588" s="0" t="s">
        <v>21</v>
      </c>
      <c r="B2588" s="0" t="s">
        <v>8341</v>
      </c>
      <c r="C2588" s="0" t="s">
        <v>97</v>
      </c>
      <c r="D2588" s="0" t="s">
        <v>8342</v>
      </c>
      <c r="E2588" s="0" t="s">
        <v>2541</v>
      </c>
      <c r="M2588" s="0" t="s">
        <v>100</v>
      </c>
      <c r="N2588" s="0" t="s">
        <v>101</v>
      </c>
      <c r="P2588" s="0" t="s">
        <v>102</v>
      </c>
      <c r="Q2588" s="0" t="s">
        <v>102</v>
      </c>
      <c r="R2588" s="0" t="s">
        <v>137</v>
      </c>
      <c r="S2588" s="0" t="s">
        <v>21</v>
      </c>
      <c r="T2588" s="0" t="s">
        <v>104</v>
      </c>
      <c r="W2588" s="0" t="s">
        <v>105</v>
      </c>
    </row>
    <row r="2589" customFormat="false" ht="15" hidden="false" customHeight="false" outlineLevel="0" collapsed="false">
      <c r="A2589" s="0" t="s">
        <v>21</v>
      </c>
      <c r="B2589" s="0" t="s">
        <v>8343</v>
      </c>
      <c r="C2589" s="0" t="s">
        <v>97</v>
      </c>
      <c r="D2589" s="0" t="s">
        <v>8344</v>
      </c>
      <c r="E2589" s="0" t="s">
        <v>8345</v>
      </c>
      <c r="M2589" s="0" t="s">
        <v>100</v>
      </c>
      <c r="N2589" s="0" t="s">
        <v>101</v>
      </c>
      <c r="P2589" s="0" t="s">
        <v>102</v>
      </c>
      <c r="Q2589" s="0" t="s">
        <v>102</v>
      </c>
      <c r="R2589" s="0" t="s">
        <v>113</v>
      </c>
      <c r="S2589" s="0" t="s">
        <v>21</v>
      </c>
      <c r="T2589" s="0" t="s">
        <v>104</v>
      </c>
      <c r="W2589" s="0" t="s">
        <v>105</v>
      </c>
    </row>
    <row r="2590" customFormat="false" ht="15" hidden="false" customHeight="false" outlineLevel="0" collapsed="false">
      <c r="A2590" s="0" t="s">
        <v>21</v>
      </c>
      <c r="B2590" s="0" t="s">
        <v>8346</v>
      </c>
      <c r="C2590" s="0" t="s">
        <v>97</v>
      </c>
      <c r="D2590" s="0" t="s">
        <v>8347</v>
      </c>
      <c r="E2590" s="0" t="s">
        <v>8348</v>
      </c>
      <c r="M2590" s="0" t="s">
        <v>100</v>
      </c>
      <c r="N2590" s="0" t="s">
        <v>101</v>
      </c>
      <c r="P2590" s="0" t="s">
        <v>102</v>
      </c>
      <c r="Q2590" s="0" t="s">
        <v>102</v>
      </c>
      <c r="R2590" s="0" t="s">
        <v>113</v>
      </c>
      <c r="S2590" s="0" t="s">
        <v>21</v>
      </c>
      <c r="T2590" s="0" t="s">
        <v>104</v>
      </c>
      <c r="W2590" s="0" t="s">
        <v>105</v>
      </c>
    </row>
    <row r="2591" customFormat="false" ht="15" hidden="false" customHeight="false" outlineLevel="0" collapsed="false">
      <c r="A2591" s="0" t="s">
        <v>21</v>
      </c>
      <c r="B2591" s="0" t="s">
        <v>8349</v>
      </c>
      <c r="C2591" s="0" t="s">
        <v>97</v>
      </c>
      <c r="D2591" s="0" t="s">
        <v>8350</v>
      </c>
      <c r="E2591" s="0" t="s">
        <v>8351</v>
      </c>
      <c r="M2591" s="0" t="s">
        <v>136</v>
      </c>
      <c r="N2591" s="0" t="s">
        <v>124</v>
      </c>
      <c r="P2591" s="0" t="s">
        <v>102</v>
      </c>
      <c r="Q2591" s="0" t="s">
        <v>102</v>
      </c>
      <c r="R2591" s="0" t="s">
        <v>113</v>
      </c>
      <c r="S2591" s="0" t="s">
        <v>21</v>
      </c>
      <c r="T2591" s="0" t="s">
        <v>104</v>
      </c>
      <c r="W2591" s="0" t="s">
        <v>105</v>
      </c>
    </row>
    <row r="2592" customFormat="false" ht="15" hidden="false" customHeight="false" outlineLevel="0" collapsed="false">
      <c r="A2592" s="0" t="s">
        <v>21</v>
      </c>
      <c r="B2592" s="0" t="s">
        <v>8352</v>
      </c>
      <c r="C2592" s="0" t="s">
        <v>97</v>
      </c>
      <c r="D2592" s="0" t="s">
        <v>8353</v>
      </c>
      <c r="E2592" s="0" t="s">
        <v>8354</v>
      </c>
      <c r="M2592" s="0" t="s">
        <v>136</v>
      </c>
      <c r="N2592" s="0" t="s">
        <v>124</v>
      </c>
      <c r="P2592" s="0" t="s">
        <v>102</v>
      </c>
      <c r="Q2592" s="0" t="s">
        <v>102</v>
      </c>
      <c r="R2592" s="0" t="s">
        <v>131</v>
      </c>
      <c r="S2592" s="0" t="s">
        <v>21</v>
      </c>
      <c r="T2592" s="0" t="s">
        <v>104</v>
      </c>
      <c r="W2592" s="0" t="s">
        <v>105</v>
      </c>
    </row>
    <row r="2593" customFormat="false" ht="28.35" hidden="false" customHeight="false" outlineLevel="0" collapsed="false">
      <c r="A2593" s="0" t="s">
        <v>21</v>
      </c>
      <c r="B2593" s="0" t="s">
        <v>8355</v>
      </c>
      <c r="C2593" s="0" t="s">
        <v>97</v>
      </c>
      <c r="D2593" s="0" t="s">
        <v>8356</v>
      </c>
      <c r="E2593" s="0" t="s">
        <v>8357</v>
      </c>
      <c r="G2593" s="9" t="s">
        <v>8358</v>
      </c>
      <c r="H2593" s="0" t="s">
        <v>654</v>
      </c>
      <c r="I2593" s="0" t="s">
        <v>655</v>
      </c>
      <c r="J2593" s="0" t="s">
        <v>100</v>
      </c>
      <c r="K2593" s="0" t="s">
        <v>168</v>
      </c>
      <c r="L2593" s="0" t="s">
        <v>101</v>
      </c>
      <c r="M2593" s="0" t="s">
        <v>656</v>
      </c>
      <c r="N2593" s="0" t="s">
        <v>101</v>
      </c>
      <c r="P2593" s="0" t="s">
        <v>102</v>
      </c>
      <c r="Q2593" s="0" t="s">
        <v>102</v>
      </c>
      <c r="R2593" s="0" t="s">
        <v>144</v>
      </c>
      <c r="S2593" s="0" t="s">
        <v>21</v>
      </c>
      <c r="T2593" s="0" t="s">
        <v>104</v>
      </c>
      <c r="W2593" s="0" t="s">
        <v>105</v>
      </c>
      <c r="X2593" s="0" t="s">
        <v>658</v>
      </c>
      <c r="Y2593" s="0" t="s">
        <v>659</v>
      </c>
    </row>
    <row r="2594" customFormat="false" ht="15" hidden="false" customHeight="false" outlineLevel="0" collapsed="false">
      <c r="A2594" s="0" t="s">
        <v>21</v>
      </c>
      <c r="B2594" s="0" t="s">
        <v>8359</v>
      </c>
      <c r="C2594" s="0" t="s">
        <v>97</v>
      </c>
      <c r="D2594" s="0" t="s">
        <v>2058</v>
      </c>
      <c r="E2594" s="0" t="s">
        <v>8360</v>
      </c>
      <c r="G2594" s="0" t="s">
        <v>8361</v>
      </c>
      <c r="M2594" s="0" t="s">
        <v>100</v>
      </c>
      <c r="N2594" s="0" t="s">
        <v>101</v>
      </c>
      <c r="P2594" s="0" t="s">
        <v>102</v>
      </c>
      <c r="Q2594" s="0" t="s">
        <v>102</v>
      </c>
      <c r="R2594" s="0" t="s">
        <v>144</v>
      </c>
      <c r="S2594" s="0" t="s">
        <v>21</v>
      </c>
      <c r="T2594" s="0" t="s">
        <v>104</v>
      </c>
      <c r="W2594" s="0" t="s">
        <v>105</v>
      </c>
    </row>
    <row r="2595" customFormat="false" ht="15" hidden="false" customHeight="false" outlineLevel="0" collapsed="false">
      <c r="A2595" s="0" t="s">
        <v>21</v>
      </c>
      <c r="B2595" s="0" t="s">
        <v>8362</v>
      </c>
      <c r="C2595" s="0" t="s">
        <v>8363</v>
      </c>
      <c r="E2595" s="0" t="s">
        <v>8364</v>
      </c>
      <c r="M2595" s="0" t="s">
        <v>178</v>
      </c>
      <c r="N2595" s="0" t="s">
        <v>124</v>
      </c>
      <c r="P2595" s="0" t="s">
        <v>130</v>
      </c>
      <c r="Q2595" s="0" t="s">
        <v>130</v>
      </c>
      <c r="R2595" s="0" t="s">
        <v>144</v>
      </c>
      <c r="S2595" s="0" t="s">
        <v>21</v>
      </c>
      <c r="T2595" s="0" t="s">
        <v>104</v>
      </c>
      <c r="W2595" s="0" t="s">
        <v>105</v>
      </c>
    </row>
    <row r="2596" customFormat="false" ht="15" hidden="false" customHeight="false" outlineLevel="0" collapsed="false">
      <c r="A2596" s="0" t="s">
        <v>21</v>
      </c>
      <c r="B2596" s="0" t="s">
        <v>8365</v>
      </c>
      <c r="C2596" s="0" t="s">
        <v>200</v>
      </c>
      <c r="E2596" s="0" t="s">
        <v>8366</v>
      </c>
      <c r="G2596" s="0" t="s">
        <v>8367</v>
      </c>
      <c r="M2596" s="0" t="s">
        <v>262</v>
      </c>
      <c r="N2596" s="0" t="s">
        <v>124</v>
      </c>
      <c r="P2596" s="0" t="s">
        <v>130</v>
      </c>
      <c r="Q2596" s="0" t="s">
        <v>130</v>
      </c>
      <c r="R2596" s="0" t="s">
        <v>144</v>
      </c>
      <c r="S2596" s="0" t="s">
        <v>21</v>
      </c>
      <c r="T2596" s="0" t="s">
        <v>104</v>
      </c>
      <c r="W2596" s="0" t="s">
        <v>105</v>
      </c>
    </row>
    <row r="2597" customFormat="false" ht="15" hidden="false" customHeight="false" outlineLevel="0" collapsed="false">
      <c r="A2597" s="0" t="s">
        <v>21</v>
      </c>
      <c r="B2597" s="0" t="s">
        <v>8368</v>
      </c>
      <c r="C2597" s="0" t="s">
        <v>97</v>
      </c>
      <c r="D2597" s="0" t="s">
        <v>8369</v>
      </c>
      <c r="E2597" s="0" t="s">
        <v>8370</v>
      </c>
      <c r="G2597" s="0" t="s">
        <v>8371</v>
      </c>
      <c r="H2597" s="0" t="s">
        <v>654</v>
      </c>
      <c r="I2597" s="0" t="s">
        <v>655</v>
      </c>
      <c r="J2597" s="0" t="s">
        <v>100</v>
      </c>
      <c r="K2597" s="0" t="s">
        <v>168</v>
      </c>
      <c r="L2597" s="0" t="s">
        <v>101</v>
      </c>
      <c r="M2597" s="0" t="s">
        <v>656</v>
      </c>
      <c r="N2597" s="0" t="s">
        <v>101</v>
      </c>
      <c r="P2597" s="0" t="s">
        <v>102</v>
      </c>
      <c r="Q2597" s="0" t="s">
        <v>102</v>
      </c>
      <c r="R2597" s="0" t="s">
        <v>131</v>
      </c>
      <c r="S2597" s="0" t="s">
        <v>21</v>
      </c>
      <c r="T2597" s="0" t="s">
        <v>104</v>
      </c>
      <c r="W2597" s="0" t="s">
        <v>105</v>
      </c>
      <c r="X2597" s="0" t="s">
        <v>658</v>
      </c>
      <c r="Y2597" s="0" t="s">
        <v>659</v>
      </c>
    </row>
    <row r="2598" customFormat="false" ht="15" hidden="false" customHeight="false" outlineLevel="0" collapsed="false">
      <c r="A2598" s="0" t="s">
        <v>21</v>
      </c>
      <c r="B2598" s="0" t="s">
        <v>8372</v>
      </c>
      <c r="C2598" s="0" t="s">
        <v>97</v>
      </c>
      <c r="D2598" s="0" t="s">
        <v>8373</v>
      </c>
      <c r="E2598" s="0" t="s">
        <v>8373</v>
      </c>
      <c r="F2598" s="0" t="s">
        <v>8373</v>
      </c>
      <c r="M2598" s="0" t="s">
        <v>100</v>
      </c>
      <c r="N2598" s="0" t="s">
        <v>101</v>
      </c>
      <c r="P2598" s="0" t="s">
        <v>102</v>
      </c>
      <c r="Q2598" s="0" t="s">
        <v>102</v>
      </c>
      <c r="R2598" s="0" t="s">
        <v>131</v>
      </c>
      <c r="S2598" s="0" t="s">
        <v>21</v>
      </c>
      <c r="T2598" s="0" t="s">
        <v>104</v>
      </c>
      <c r="W2598" s="0" t="s">
        <v>105</v>
      </c>
    </row>
    <row r="2599" customFormat="false" ht="15" hidden="false" customHeight="false" outlineLevel="0" collapsed="false">
      <c r="A2599" s="0" t="s">
        <v>21</v>
      </c>
      <c r="B2599" s="0" t="s">
        <v>8374</v>
      </c>
      <c r="C2599" s="0" t="s">
        <v>97</v>
      </c>
      <c r="D2599" s="0" t="s">
        <v>8375</v>
      </c>
      <c r="E2599" s="0" t="s">
        <v>8376</v>
      </c>
      <c r="G2599" s="0" t="s">
        <v>8377</v>
      </c>
      <c r="H2599" s="0" t="s">
        <v>654</v>
      </c>
      <c r="I2599" s="0" t="s">
        <v>655</v>
      </c>
      <c r="J2599" s="0" t="s">
        <v>100</v>
      </c>
      <c r="K2599" s="0" t="s">
        <v>168</v>
      </c>
      <c r="L2599" s="0" t="s">
        <v>101</v>
      </c>
      <c r="M2599" s="0" t="s">
        <v>656</v>
      </c>
      <c r="N2599" s="0" t="s">
        <v>101</v>
      </c>
      <c r="P2599" s="0" t="s">
        <v>102</v>
      </c>
      <c r="Q2599" s="0" t="s">
        <v>102</v>
      </c>
      <c r="R2599" s="0" t="s">
        <v>131</v>
      </c>
      <c r="S2599" s="0" t="s">
        <v>21</v>
      </c>
      <c r="T2599" s="0" t="s">
        <v>104</v>
      </c>
      <c r="W2599" s="0" t="s">
        <v>105</v>
      </c>
      <c r="X2599" s="0" t="s">
        <v>658</v>
      </c>
      <c r="Y2599" s="0" t="s">
        <v>659</v>
      </c>
    </row>
    <row r="2600" customFormat="false" ht="15" hidden="false" customHeight="false" outlineLevel="0" collapsed="false">
      <c r="A2600" s="0" t="s">
        <v>21</v>
      </c>
      <c r="B2600" s="0" t="s">
        <v>8378</v>
      </c>
      <c r="C2600" s="0" t="s">
        <v>97</v>
      </c>
      <c r="D2600" s="0" t="s">
        <v>8379</v>
      </c>
      <c r="E2600" s="0" t="s">
        <v>8380</v>
      </c>
      <c r="H2600" s="0" t="s">
        <v>654</v>
      </c>
      <c r="I2600" s="0" t="s">
        <v>655</v>
      </c>
      <c r="J2600" s="0" t="s">
        <v>100</v>
      </c>
      <c r="K2600" s="0" t="s">
        <v>168</v>
      </c>
      <c r="L2600" s="0" t="s">
        <v>101</v>
      </c>
      <c r="M2600" s="0" t="s">
        <v>656</v>
      </c>
      <c r="N2600" s="0" t="s">
        <v>101</v>
      </c>
      <c r="P2600" s="0" t="s">
        <v>102</v>
      </c>
      <c r="Q2600" s="0" t="s">
        <v>102</v>
      </c>
      <c r="R2600" s="0" t="s">
        <v>144</v>
      </c>
      <c r="S2600" s="0" t="s">
        <v>21</v>
      </c>
      <c r="T2600" s="0" t="s">
        <v>104</v>
      </c>
      <c r="W2600" s="0" t="s">
        <v>105</v>
      </c>
      <c r="X2600" s="0" t="s">
        <v>658</v>
      </c>
      <c r="Y2600" s="0" t="s">
        <v>659</v>
      </c>
    </row>
    <row r="2601" customFormat="false" ht="15" hidden="false" customHeight="false" outlineLevel="0" collapsed="false">
      <c r="A2601" s="0" t="s">
        <v>21</v>
      </c>
      <c r="B2601" s="0" t="s">
        <v>8381</v>
      </c>
      <c r="C2601" s="0" t="s">
        <v>97</v>
      </c>
      <c r="D2601" s="0" t="s">
        <v>8382</v>
      </c>
      <c r="E2601" s="0" t="s">
        <v>8383</v>
      </c>
      <c r="G2601" s="0" t="s">
        <v>8384</v>
      </c>
      <c r="H2601" s="0" t="s">
        <v>654</v>
      </c>
      <c r="I2601" s="0" t="s">
        <v>655</v>
      </c>
      <c r="J2601" s="0" t="s">
        <v>100</v>
      </c>
      <c r="K2601" s="0" t="s">
        <v>168</v>
      </c>
      <c r="L2601" s="0" t="s">
        <v>101</v>
      </c>
      <c r="M2601" s="0" t="s">
        <v>656</v>
      </c>
      <c r="N2601" s="0" t="s">
        <v>101</v>
      </c>
      <c r="P2601" s="0" t="s">
        <v>102</v>
      </c>
      <c r="Q2601" s="0" t="s">
        <v>102</v>
      </c>
      <c r="R2601" s="0" t="s">
        <v>131</v>
      </c>
      <c r="S2601" s="0" t="s">
        <v>21</v>
      </c>
      <c r="T2601" s="0" t="s">
        <v>104</v>
      </c>
      <c r="W2601" s="0" t="s">
        <v>105</v>
      </c>
      <c r="X2601" s="0" t="s">
        <v>658</v>
      </c>
      <c r="Y2601" s="0" t="s">
        <v>659</v>
      </c>
    </row>
    <row r="2602" customFormat="false" ht="15" hidden="false" customHeight="false" outlineLevel="0" collapsed="false">
      <c r="A2602" s="0" t="s">
        <v>21</v>
      </c>
      <c r="B2602" s="0" t="s">
        <v>8385</v>
      </c>
      <c r="C2602" s="0" t="s">
        <v>97</v>
      </c>
      <c r="D2602" s="0" t="s">
        <v>8386</v>
      </c>
      <c r="E2602" s="0" t="s">
        <v>8387</v>
      </c>
      <c r="M2602" s="0" t="s">
        <v>100</v>
      </c>
      <c r="N2602" s="0" t="s">
        <v>101</v>
      </c>
      <c r="P2602" s="0" t="s">
        <v>102</v>
      </c>
      <c r="Q2602" s="0" t="s">
        <v>102</v>
      </c>
      <c r="R2602" s="0" t="s">
        <v>131</v>
      </c>
      <c r="S2602" s="0" t="s">
        <v>21</v>
      </c>
      <c r="T2602" s="0" t="s">
        <v>104</v>
      </c>
      <c r="W2602" s="0" t="s">
        <v>105</v>
      </c>
    </row>
    <row r="2603" customFormat="false" ht="15" hidden="false" customHeight="false" outlineLevel="0" collapsed="false">
      <c r="A2603" s="0" t="s">
        <v>21</v>
      </c>
      <c r="B2603" s="0" t="s">
        <v>8388</v>
      </c>
      <c r="C2603" s="0" t="s">
        <v>97</v>
      </c>
      <c r="D2603" s="0" t="s">
        <v>8389</v>
      </c>
      <c r="E2603" s="0" t="s">
        <v>8390</v>
      </c>
      <c r="G2603" s="0" t="s">
        <v>8391</v>
      </c>
      <c r="H2603" s="0" t="s">
        <v>654</v>
      </c>
      <c r="I2603" s="0" t="s">
        <v>655</v>
      </c>
      <c r="J2603" s="0" t="s">
        <v>100</v>
      </c>
      <c r="K2603" s="0" t="s">
        <v>168</v>
      </c>
      <c r="L2603" s="0" t="s">
        <v>101</v>
      </c>
      <c r="M2603" s="0" t="s">
        <v>656</v>
      </c>
      <c r="N2603" s="0" t="s">
        <v>101</v>
      </c>
      <c r="P2603" s="0" t="s">
        <v>102</v>
      </c>
      <c r="Q2603" s="0" t="s">
        <v>102</v>
      </c>
      <c r="R2603" s="0" t="s">
        <v>131</v>
      </c>
      <c r="S2603" s="0" t="s">
        <v>21</v>
      </c>
      <c r="T2603" s="0" t="s">
        <v>104</v>
      </c>
      <c r="W2603" s="0" t="s">
        <v>105</v>
      </c>
      <c r="X2603" s="0" t="s">
        <v>658</v>
      </c>
      <c r="Y2603" s="0" t="s">
        <v>659</v>
      </c>
    </row>
    <row r="2604" customFormat="false" ht="15" hidden="false" customHeight="false" outlineLevel="0" collapsed="false">
      <c r="A2604" s="0" t="s">
        <v>21</v>
      </c>
      <c r="B2604" s="0" t="s">
        <v>8392</v>
      </c>
      <c r="C2604" s="0" t="s">
        <v>97</v>
      </c>
      <c r="D2604" s="0" t="s">
        <v>8393</v>
      </c>
      <c r="E2604" s="0" t="s">
        <v>6053</v>
      </c>
      <c r="G2604" s="0" t="s">
        <v>8394</v>
      </c>
      <c r="H2604" s="0" t="s">
        <v>654</v>
      </c>
      <c r="I2604" s="0" t="s">
        <v>655</v>
      </c>
      <c r="J2604" s="0" t="s">
        <v>100</v>
      </c>
      <c r="K2604" s="0" t="s">
        <v>168</v>
      </c>
      <c r="L2604" s="0" t="s">
        <v>101</v>
      </c>
      <c r="M2604" s="0" t="s">
        <v>656</v>
      </c>
      <c r="N2604" s="0" t="s">
        <v>101</v>
      </c>
      <c r="P2604" s="0" t="s">
        <v>102</v>
      </c>
      <c r="Q2604" s="0" t="s">
        <v>102</v>
      </c>
      <c r="R2604" s="0" t="s">
        <v>131</v>
      </c>
      <c r="S2604" s="0" t="s">
        <v>21</v>
      </c>
      <c r="T2604" s="0" t="s">
        <v>104</v>
      </c>
      <c r="W2604" s="0" t="s">
        <v>105</v>
      </c>
      <c r="X2604" s="0" t="s">
        <v>658</v>
      </c>
      <c r="Y2604" s="0" t="s">
        <v>659</v>
      </c>
    </row>
    <row r="2605" customFormat="false" ht="15" hidden="false" customHeight="false" outlineLevel="0" collapsed="false">
      <c r="A2605" s="0" t="s">
        <v>21</v>
      </c>
      <c r="B2605" s="0" t="s">
        <v>8395</v>
      </c>
      <c r="C2605" s="0" t="s">
        <v>97</v>
      </c>
      <c r="D2605" s="0" t="s">
        <v>8396</v>
      </c>
      <c r="E2605" s="0" t="s">
        <v>8397</v>
      </c>
      <c r="M2605" s="0" t="s">
        <v>136</v>
      </c>
      <c r="N2605" s="0" t="s">
        <v>124</v>
      </c>
      <c r="P2605" s="0" t="s">
        <v>102</v>
      </c>
      <c r="Q2605" s="0" t="s">
        <v>102</v>
      </c>
      <c r="R2605" s="0" t="s">
        <v>144</v>
      </c>
      <c r="S2605" s="0" t="s">
        <v>21</v>
      </c>
      <c r="T2605" s="0" t="s">
        <v>104</v>
      </c>
      <c r="W2605" s="0" t="s">
        <v>105</v>
      </c>
    </row>
    <row r="2606" customFormat="false" ht="15" hidden="false" customHeight="false" outlineLevel="0" collapsed="false">
      <c r="A2606" s="0" t="s">
        <v>21</v>
      </c>
      <c r="B2606" s="0" t="s">
        <v>8398</v>
      </c>
      <c r="C2606" s="0" t="s">
        <v>97</v>
      </c>
      <c r="D2606" s="0" t="s">
        <v>8399</v>
      </c>
      <c r="E2606" s="0" t="s">
        <v>8400</v>
      </c>
      <c r="M2606" s="0" t="s">
        <v>136</v>
      </c>
      <c r="N2606" s="0" t="s">
        <v>124</v>
      </c>
      <c r="P2606" s="0" t="s">
        <v>102</v>
      </c>
      <c r="Q2606" s="0" t="s">
        <v>102</v>
      </c>
      <c r="R2606" s="0" t="s">
        <v>113</v>
      </c>
      <c r="S2606" s="0" t="s">
        <v>21</v>
      </c>
      <c r="T2606" s="0" t="s">
        <v>104</v>
      </c>
      <c r="W2606" s="0" t="s">
        <v>105</v>
      </c>
    </row>
    <row r="2607" customFormat="false" ht="15" hidden="false" customHeight="false" outlineLevel="0" collapsed="false">
      <c r="A2607" s="0" t="s">
        <v>21</v>
      </c>
      <c r="B2607" s="0" t="s">
        <v>8401</v>
      </c>
      <c r="C2607" s="0" t="s">
        <v>110</v>
      </c>
      <c r="D2607" s="0" t="s">
        <v>8402</v>
      </c>
      <c r="E2607" s="0" t="s">
        <v>8403</v>
      </c>
      <c r="H2607" s="0" t="s">
        <v>8404</v>
      </c>
      <c r="I2607" s="0" t="s">
        <v>8401</v>
      </c>
      <c r="J2607" s="0" t="s">
        <v>157</v>
      </c>
      <c r="K2607" s="0" t="s">
        <v>8405</v>
      </c>
      <c r="L2607" s="0" t="s">
        <v>124</v>
      </c>
      <c r="M2607" s="0" t="s">
        <v>232</v>
      </c>
      <c r="N2607" s="0" t="s">
        <v>124</v>
      </c>
      <c r="P2607" s="0" t="s">
        <v>102</v>
      </c>
      <c r="Q2607" s="0" t="s">
        <v>102</v>
      </c>
      <c r="R2607" s="0" t="s">
        <v>113</v>
      </c>
      <c r="S2607" s="0" t="s">
        <v>21</v>
      </c>
      <c r="T2607" s="0" t="s">
        <v>104</v>
      </c>
      <c r="W2607" s="0" t="s">
        <v>105</v>
      </c>
      <c r="X2607" s="0" t="s">
        <v>8406</v>
      </c>
      <c r="Y2607" s="0" t="s">
        <v>8407</v>
      </c>
      <c r="Z2607" s="0" t="s">
        <v>134</v>
      </c>
    </row>
    <row r="2608" customFormat="false" ht="15" hidden="false" customHeight="false" outlineLevel="0" collapsed="false">
      <c r="A2608" s="0" t="s">
        <v>21</v>
      </c>
      <c r="B2608" s="0" t="s">
        <v>8408</v>
      </c>
      <c r="C2608" s="0" t="s">
        <v>97</v>
      </c>
      <c r="D2608" s="0" t="s">
        <v>8409</v>
      </c>
      <c r="E2608" s="0" t="s">
        <v>8409</v>
      </c>
      <c r="M2608" s="0" t="s">
        <v>442</v>
      </c>
      <c r="N2608" s="0" t="s">
        <v>101</v>
      </c>
      <c r="P2608" s="0" t="s">
        <v>102</v>
      </c>
      <c r="Q2608" s="0" t="s">
        <v>102</v>
      </c>
      <c r="R2608" s="0" t="s">
        <v>131</v>
      </c>
      <c r="S2608" s="0" t="s">
        <v>21</v>
      </c>
      <c r="T2608" s="0" t="s">
        <v>104</v>
      </c>
      <c r="W2608" s="0" t="s">
        <v>105</v>
      </c>
    </row>
    <row r="2609" customFormat="false" ht="15" hidden="false" customHeight="false" outlineLevel="0" collapsed="false">
      <c r="A2609" s="0" t="s">
        <v>21</v>
      </c>
      <c r="B2609" s="0" t="s">
        <v>8410</v>
      </c>
      <c r="C2609" s="0" t="s">
        <v>97</v>
      </c>
      <c r="D2609" s="0" t="s">
        <v>8411</v>
      </c>
      <c r="E2609" s="0" t="s">
        <v>8411</v>
      </c>
      <c r="M2609" s="0" t="s">
        <v>442</v>
      </c>
      <c r="N2609" s="0" t="s">
        <v>101</v>
      </c>
      <c r="P2609" s="0" t="s">
        <v>102</v>
      </c>
      <c r="Q2609" s="0" t="s">
        <v>102</v>
      </c>
      <c r="R2609" s="0" t="s">
        <v>131</v>
      </c>
      <c r="S2609" s="0" t="s">
        <v>21</v>
      </c>
      <c r="T2609" s="0" t="s">
        <v>104</v>
      </c>
      <c r="W2609" s="0" t="s">
        <v>105</v>
      </c>
    </row>
    <row r="2610" customFormat="false" ht="15" hidden="false" customHeight="false" outlineLevel="0" collapsed="false">
      <c r="A2610" s="0" t="s">
        <v>21</v>
      </c>
      <c r="B2610" s="0" t="s">
        <v>8412</v>
      </c>
      <c r="C2610" s="0" t="s">
        <v>97</v>
      </c>
      <c r="D2610" s="0" t="s">
        <v>8413</v>
      </c>
      <c r="E2610" s="0" t="s">
        <v>8413</v>
      </c>
      <c r="M2610" s="0" t="s">
        <v>442</v>
      </c>
      <c r="N2610" s="0" t="s">
        <v>101</v>
      </c>
      <c r="P2610" s="0" t="s">
        <v>102</v>
      </c>
      <c r="Q2610" s="0" t="s">
        <v>102</v>
      </c>
      <c r="R2610" s="0" t="s">
        <v>131</v>
      </c>
      <c r="S2610" s="0" t="s">
        <v>21</v>
      </c>
      <c r="T2610" s="0" t="s">
        <v>104</v>
      </c>
      <c r="W2610" s="0" t="s">
        <v>105</v>
      </c>
    </row>
    <row r="2611" customFormat="false" ht="82.05" hidden="false" customHeight="false" outlineLevel="0" collapsed="false">
      <c r="A2611" s="0" t="s">
        <v>21</v>
      </c>
      <c r="B2611" s="0" t="s">
        <v>8414</v>
      </c>
      <c r="C2611" s="0" t="s">
        <v>8415</v>
      </c>
      <c r="D2611" s="0" t="s">
        <v>8416</v>
      </c>
      <c r="E2611" s="0" t="s">
        <v>8417</v>
      </c>
      <c r="G2611" s="9" t="s">
        <v>8418</v>
      </c>
      <c r="M2611" s="0" t="s">
        <v>442</v>
      </c>
      <c r="N2611" s="0" t="s">
        <v>101</v>
      </c>
      <c r="P2611" s="0" t="s">
        <v>130</v>
      </c>
      <c r="Q2611" s="0" t="s">
        <v>130</v>
      </c>
      <c r="R2611" s="0" t="s">
        <v>131</v>
      </c>
      <c r="S2611" s="0" t="s">
        <v>21</v>
      </c>
      <c r="T2611" s="0" t="s">
        <v>104</v>
      </c>
      <c r="W2611" s="0" t="s">
        <v>105</v>
      </c>
    </row>
    <row r="2612" customFormat="false" ht="15" hidden="false" customHeight="false" outlineLevel="0" collapsed="false">
      <c r="A2612" s="0" t="s">
        <v>21</v>
      </c>
      <c r="B2612" s="0" t="s">
        <v>8419</v>
      </c>
      <c r="C2612" s="0" t="s">
        <v>110</v>
      </c>
      <c r="D2612" s="0" t="s">
        <v>3872</v>
      </c>
      <c r="H2612" s="0" t="s">
        <v>8420</v>
      </c>
      <c r="I2612" s="0" t="s">
        <v>8421</v>
      </c>
      <c r="J2612" s="0" t="s">
        <v>178</v>
      </c>
      <c r="K2612" s="0" t="s">
        <v>8422</v>
      </c>
      <c r="M2612" s="0" t="s">
        <v>178</v>
      </c>
      <c r="N2612" s="0" t="s">
        <v>124</v>
      </c>
      <c r="P2612" s="0" t="s">
        <v>102</v>
      </c>
      <c r="Q2612" s="0" t="s">
        <v>102</v>
      </c>
      <c r="R2612" s="0" t="s">
        <v>113</v>
      </c>
      <c r="S2612" s="0" t="s">
        <v>21</v>
      </c>
      <c r="T2612" s="0" t="s">
        <v>104</v>
      </c>
      <c r="W2612" s="0" t="s">
        <v>105</v>
      </c>
    </row>
    <row r="2613" customFormat="false" ht="15" hidden="false" customHeight="false" outlineLevel="0" collapsed="false">
      <c r="A2613" s="0" t="s">
        <v>21</v>
      </c>
      <c r="B2613" s="0" t="s">
        <v>8419</v>
      </c>
      <c r="C2613" s="0" t="s">
        <v>110</v>
      </c>
      <c r="D2613" s="0" t="s">
        <v>3872</v>
      </c>
      <c r="H2613" s="0" t="s">
        <v>8420</v>
      </c>
      <c r="I2613" s="0" t="s">
        <v>8421</v>
      </c>
      <c r="J2613" s="0" t="s">
        <v>178</v>
      </c>
      <c r="K2613" s="0" t="s">
        <v>8422</v>
      </c>
      <c r="M2613" s="0" t="s">
        <v>178</v>
      </c>
      <c r="N2613" s="0" t="s">
        <v>124</v>
      </c>
      <c r="P2613" s="0" t="s">
        <v>4272</v>
      </c>
      <c r="Q2613" s="0" t="s">
        <v>6498</v>
      </c>
      <c r="R2613" s="0" t="s">
        <v>6499</v>
      </c>
      <c r="S2613" s="0" t="s">
        <v>21</v>
      </c>
      <c r="T2613" s="0" t="s">
        <v>104</v>
      </c>
      <c r="W2613" s="0" t="s">
        <v>183</v>
      </c>
    </row>
    <row r="2614" customFormat="false" ht="15" hidden="false" customHeight="false" outlineLevel="0" collapsed="false">
      <c r="A2614" s="0" t="s">
        <v>21</v>
      </c>
      <c r="B2614" s="0" t="s">
        <v>8423</v>
      </c>
      <c r="C2614" s="0" t="s">
        <v>97</v>
      </c>
      <c r="D2614" s="0" t="s">
        <v>8424</v>
      </c>
      <c r="E2614" s="0" t="s">
        <v>8425</v>
      </c>
      <c r="M2614" s="0" t="s">
        <v>136</v>
      </c>
      <c r="N2614" s="0" t="s">
        <v>124</v>
      </c>
      <c r="P2614" s="0" t="s">
        <v>102</v>
      </c>
      <c r="Q2614" s="0" t="s">
        <v>102</v>
      </c>
      <c r="R2614" s="0" t="s">
        <v>113</v>
      </c>
      <c r="S2614" s="0" t="s">
        <v>21</v>
      </c>
      <c r="T2614" s="0" t="s">
        <v>104</v>
      </c>
      <c r="W2614" s="0" t="s">
        <v>105</v>
      </c>
    </row>
    <row r="2615" customFormat="false" ht="15" hidden="false" customHeight="false" outlineLevel="0" collapsed="false">
      <c r="A2615" s="0" t="s">
        <v>21</v>
      </c>
      <c r="B2615" s="0" t="s">
        <v>8426</v>
      </c>
      <c r="C2615" s="0" t="s">
        <v>110</v>
      </c>
      <c r="D2615" s="0" t="s">
        <v>8427</v>
      </c>
      <c r="E2615" s="0" t="s">
        <v>8427</v>
      </c>
      <c r="M2615" s="0" t="s">
        <v>136</v>
      </c>
      <c r="N2615" s="0" t="s">
        <v>124</v>
      </c>
      <c r="P2615" s="0" t="s">
        <v>102</v>
      </c>
      <c r="Q2615" s="0" t="s">
        <v>102</v>
      </c>
      <c r="R2615" s="0" t="s">
        <v>113</v>
      </c>
      <c r="S2615" s="0" t="s">
        <v>21</v>
      </c>
      <c r="T2615" s="0" t="s">
        <v>104</v>
      </c>
      <c r="W2615" s="0" t="s">
        <v>105</v>
      </c>
    </row>
    <row r="2616" customFormat="false" ht="15" hidden="false" customHeight="false" outlineLevel="0" collapsed="false">
      <c r="A2616" s="0" t="s">
        <v>21</v>
      </c>
      <c r="B2616" s="0" t="s">
        <v>8428</v>
      </c>
      <c r="C2616" s="0" t="s">
        <v>97</v>
      </c>
      <c r="D2616" s="0" t="s">
        <v>8429</v>
      </c>
      <c r="E2616" s="0" t="s">
        <v>8430</v>
      </c>
      <c r="M2616" s="0" t="s">
        <v>136</v>
      </c>
      <c r="N2616" s="0" t="s">
        <v>124</v>
      </c>
      <c r="P2616" s="0" t="s">
        <v>102</v>
      </c>
      <c r="Q2616" s="0" t="s">
        <v>102</v>
      </c>
      <c r="R2616" s="0" t="s">
        <v>144</v>
      </c>
      <c r="S2616" s="0" t="s">
        <v>21</v>
      </c>
      <c r="T2616" s="0" t="s">
        <v>104</v>
      </c>
      <c r="W2616" s="0" t="s">
        <v>105</v>
      </c>
    </row>
    <row r="2617" customFormat="false" ht="15" hidden="false" customHeight="false" outlineLevel="0" collapsed="false">
      <c r="A2617" s="0" t="s">
        <v>21</v>
      </c>
      <c r="B2617" s="0" t="s">
        <v>8431</v>
      </c>
      <c r="C2617" s="0" t="s">
        <v>97</v>
      </c>
      <c r="D2617" s="0" t="s">
        <v>8432</v>
      </c>
      <c r="E2617" s="0" t="s">
        <v>8432</v>
      </c>
      <c r="M2617" s="0" t="s">
        <v>442</v>
      </c>
      <c r="N2617" s="0" t="s">
        <v>101</v>
      </c>
      <c r="P2617" s="0" t="s">
        <v>102</v>
      </c>
      <c r="Q2617" s="0" t="s">
        <v>102</v>
      </c>
      <c r="R2617" s="0" t="s">
        <v>131</v>
      </c>
      <c r="S2617" s="0" t="s">
        <v>21</v>
      </c>
      <c r="T2617" s="0" t="s">
        <v>104</v>
      </c>
      <c r="W2617" s="0" t="s">
        <v>105</v>
      </c>
    </row>
    <row r="2618" customFormat="false" ht="15" hidden="false" customHeight="false" outlineLevel="0" collapsed="false">
      <c r="A2618" s="0" t="s">
        <v>21</v>
      </c>
      <c r="B2618" s="0" t="s">
        <v>8433</v>
      </c>
      <c r="C2618" s="0" t="s">
        <v>97</v>
      </c>
      <c r="D2618" s="0" t="s">
        <v>8434</v>
      </c>
      <c r="E2618" s="0" t="s">
        <v>8434</v>
      </c>
      <c r="M2618" s="0" t="s">
        <v>442</v>
      </c>
      <c r="N2618" s="0" t="s">
        <v>101</v>
      </c>
      <c r="P2618" s="0" t="s">
        <v>102</v>
      </c>
      <c r="Q2618" s="0" t="s">
        <v>102</v>
      </c>
      <c r="R2618" s="0" t="s">
        <v>131</v>
      </c>
      <c r="S2618" s="0" t="s">
        <v>21</v>
      </c>
      <c r="T2618" s="0" t="s">
        <v>104</v>
      </c>
      <c r="W2618" s="0" t="s">
        <v>105</v>
      </c>
    </row>
    <row r="2619" customFormat="false" ht="15" hidden="false" customHeight="false" outlineLevel="0" collapsed="false">
      <c r="A2619" s="0" t="s">
        <v>21</v>
      </c>
      <c r="B2619" s="0" t="s">
        <v>8435</v>
      </c>
      <c r="C2619" s="0" t="s">
        <v>97</v>
      </c>
      <c r="D2619" s="0" t="s">
        <v>8436</v>
      </c>
      <c r="E2619" s="0" t="s">
        <v>8436</v>
      </c>
      <c r="M2619" s="0" t="s">
        <v>442</v>
      </c>
      <c r="N2619" s="0" t="s">
        <v>101</v>
      </c>
      <c r="P2619" s="0" t="s">
        <v>102</v>
      </c>
      <c r="Q2619" s="0" t="s">
        <v>102</v>
      </c>
      <c r="R2619" s="0" t="s">
        <v>131</v>
      </c>
      <c r="S2619" s="0" t="s">
        <v>21</v>
      </c>
      <c r="T2619" s="0" t="s">
        <v>104</v>
      </c>
      <c r="W2619" s="0" t="s">
        <v>105</v>
      </c>
    </row>
    <row r="2620" customFormat="false" ht="15" hidden="false" customHeight="false" outlineLevel="0" collapsed="false">
      <c r="A2620" s="0" t="s">
        <v>21</v>
      </c>
      <c r="B2620" s="0" t="s">
        <v>8437</v>
      </c>
      <c r="C2620" s="0" t="s">
        <v>97</v>
      </c>
      <c r="D2620" s="0" t="s">
        <v>8438</v>
      </c>
      <c r="E2620" s="0" t="s">
        <v>8438</v>
      </c>
      <c r="M2620" s="0" t="s">
        <v>442</v>
      </c>
      <c r="N2620" s="0" t="s">
        <v>101</v>
      </c>
      <c r="P2620" s="0" t="s">
        <v>102</v>
      </c>
      <c r="Q2620" s="0" t="s">
        <v>102</v>
      </c>
      <c r="R2620" s="0" t="s">
        <v>131</v>
      </c>
      <c r="S2620" s="0" t="s">
        <v>21</v>
      </c>
      <c r="T2620" s="0" t="s">
        <v>104</v>
      </c>
      <c r="W2620" s="0" t="s">
        <v>105</v>
      </c>
    </row>
    <row r="2621" customFormat="false" ht="15" hidden="false" customHeight="false" outlineLevel="0" collapsed="false">
      <c r="A2621" s="0" t="s">
        <v>21</v>
      </c>
      <c r="B2621" s="0" t="s">
        <v>8439</v>
      </c>
      <c r="C2621" s="0" t="s">
        <v>97</v>
      </c>
      <c r="D2621" s="0" t="s">
        <v>8440</v>
      </c>
      <c r="E2621" s="0" t="s">
        <v>8440</v>
      </c>
      <c r="M2621" s="0" t="s">
        <v>442</v>
      </c>
      <c r="N2621" s="0" t="s">
        <v>101</v>
      </c>
      <c r="P2621" s="0" t="s">
        <v>102</v>
      </c>
      <c r="Q2621" s="0" t="s">
        <v>102</v>
      </c>
      <c r="R2621" s="0" t="s">
        <v>131</v>
      </c>
      <c r="S2621" s="0" t="s">
        <v>21</v>
      </c>
      <c r="T2621" s="0" t="s">
        <v>104</v>
      </c>
      <c r="W2621" s="0" t="s">
        <v>105</v>
      </c>
    </row>
    <row r="2622" customFormat="false" ht="15" hidden="false" customHeight="false" outlineLevel="0" collapsed="false">
      <c r="A2622" s="0" t="s">
        <v>21</v>
      </c>
      <c r="B2622" s="0" t="s">
        <v>8441</v>
      </c>
      <c r="C2622" s="0" t="s">
        <v>97</v>
      </c>
      <c r="D2622" s="0" t="s">
        <v>8442</v>
      </c>
      <c r="E2622" s="0" t="s">
        <v>8442</v>
      </c>
      <c r="M2622" s="0" t="s">
        <v>442</v>
      </c>
      <c r="N2622" s="0" t="s">
        <v>101</v>
      </c>
      <c r="P2622" s="0" t="s">
        <v>102</v>
      </c>
      <c r="Q2622" s="0" t="s">
        <v>102</v>
      </c>
      <c r="R2622" s="0" t="s">
        <v>131</v>
      </c>
      <c r="S2622" s="0" t="s">
        <v>21</v>
      </c>
      <c r="T2622" s="0" t="s">
        <v>104</v>
      </c>
      <c r="W2622" s="0" t="s">
        <v>105</v>
      </c>
    </row>
    <row r="2623" customFormat="false" ht="15" hidden="false" customHeight="false" outlineLevel="0" collapsed="false">
      <c r="A2623" s="0" t="s">
        <v>21</v>
      </c>
      <c r="B2623" s="0" t="s">
        <v>8443</v>
      </c>
      <c r="C2623" s="0" t="s">
        <v>97</v>
      </c>
      <c r="D2623" s="0" t="s">
        <v>8444</v>
      </c>
      <c r="E2623" s="0" t="s">
        <v>8444</v>
      </c>
      <c r="M2623" s="0" t="s">
        <v>442</v>
      </c>
      <c r="N2623" s="0" t="s">
        <v>101</v>
      </c>
      <c r="P2623" s="0" t="s">
        <v>102</v>
      </c>
      <c r="Q2623" s="0" t="s">
        <v>102</v>
      </c>
      <c r="R2623" s="0" t="s">
        <v>131</v>
      </c>
      <c r="S2623" s="0" t="s">
        <v>21</v>
      </c>
      <c r="T2623" s="0" t="s">
        <v>104</v>
      </c>
      <c r="W2623" s="0" t="s">
        <v>105</v>
      </c>
    </row>
    <row r="2624" customFormat="false" ht="15" hidden="false" customHeight="false" outlineLevel="0" collapsed="false">
      <c r="A2624" s="0" t="s">
        <v>21</v>
      </c>
      <c r="B2624" s="0" t="s">
        <v>8445</v>
      </c>
      <c r="C2624" s="0" t="s">
        <v>97</v>
      </c>
      <c r="D2624" s="0" t="s">
        <v>8446</v>
      </c>
      <c r="E2624" s="0" t="s">
        <v>8446</v>
      </c>
      <c r="M2624" s="0" t="s">
        <v>442</v>
      </c>
      <c r="N2624" s="0" t="s">
        <v>101</v>
      </c>
      <c r="P2624" s="0" t="s">
        <v>102</v>
      </c>
      <c r="Q2624" s="0" t="s">
        <v>102</v>
      </c>
      <c r="R2624" s="0" t="s">
        <v>131</v>
      </c>
      <c r="S2624" s="0" t="s">
        <v>21</v>
      </c>
      <c r="T2624" s="0" t="s">
        <v>104</v>
      </c>
      <c r="W2624" s="0" t="s">
        <v>105</v>
      </c>
    </row>
    <row r="2625" customFormat="false" ht="15" hidden="false" customHeight="false" outlineLevel="0" collapsed="false">
      <c r="A2625" s="0" t="s">
        <v>21</v>
      </c>
      <c r="B2625" s="0" t="s">
        <v>8447</v>
      </c>
      <c r="C2625" s="0" t="s">
        <v>97</v>
      </c>
      <c r="D2625" s="0" t="s">
        <v>8448</v>
      </c>
      <c r="E2625" s="0" t="s">
        <v>8448</v>
      </c>
      <c r="M2625" s="0" t="s">
        <v>442</v>
      </c>
      <c r="N2625" s="0" t="s">
        <v>101</v>
      </c>
      <c r="P2625" s="0" t="s">
        <v>102</v>
      </c>
      <c r="Q2625" s="0" t="s">
        <v>102</v>
      </c>
      <c r="R2625" s="0" t="s">
        <v>131</v>
      </c>
      <c r="S2625" s="0" t="s">
        <v>21</v>
      </c>
      <c r="T2625" s="0" t="s">
        <v>104</v>
      </c>
      <c r="W2625" s="0" t="s">
        <v>105</v>
      </c>
    </row>
    <row r="2626" customFormat="false" ht="15" hidden="false" customHeight="false" outlineLevel="0" collapsed="false">
      <c r="A2626" s="0" t="s">
        <v>21</v>
      </c>
      <c r="B2626" s="0" t="s">
        <v>8449</v>
      </c>
      <c r="C2626" s="0" t="s">
        <v>97</v>
      </c>
      <c r="D2626" s="0" t="s">
        <v>8450</v>
      </c>
      <c r="E2626" s="0" t="s">
        <v>8450</v>
      </c>
      <c r="M2626" s="0" t="s">
        <v>442</v>
      </c>
      <c r="N2626" s="0" t="s">
        <v>101</v>
      </c>
      <c r="P2626" s="0" t="s">
        <v>102</v>
      </c>
      <c r="Q2626" s="0" t="s">
        <v>102</v>
      </c>
      <c r="R2626" s="0" t="s">
        <v>131</v>
      </c>
      <c r="S2626" s="0" t="s">
        <v>21</v>
      </c>
      <c r="T2626" s="0" t="s">
        <v>104</v>
      </c>
      <c r="W2626" s="0" t="s">
        <v>105</v>
      </c>
    </row>
    <row r="2627" customFormat="false" ht="15" hidden="false" customHeight="false" outlineLevel="0" collapsed="false">
      <c r="A2627" s="0" t="s">
        <v>21</v>
      </c>
      <c r="B2627" s="0" t="s">
        <v>8451</v>
      </c>
      <c r="C2627" s="0" t="s">
        <v>97</v>
      </c>
      <c r="D2627" s="0" t="s">
        <v>8452</v>
      </c>
      <c r="E2627" s="0" t="s">
        <v>8452</v>
      </c>
      <c r="M2627" s="0" t="s">
        <v>442</v>
      </c>
      <c r="N2627" s="0" t="s">
        <v>101</v>
      </c>
      <c r="P2627" s="0" t="s">
        <v>102</v>
      </c>
      <c r="Q2627" s="0" t="s">
        <v>102</v>
      </c>
      <c r="R2627" s="0" t="s">
        <v>131</v>
      </c>
      <c r="S2627" s="0" t="s">
        <v>21</v>
      </c>
      <c r="T2627" s="0" t="s">
        <v>104</v>
      </c>
      <c r="W2627" s="0" t="s">
        <v>105</v>
      </c>
    </row>
    <row r="2628" customFormat="false" ht="15" hidden="false" customHeight="false" outlineLevel="0" collapsed="false">
      <c r="A2628" s="0" t="s">
        <v>21</v>
      </c>
      <c r="B2628" s="0" t="s">
        <v>8453</v>
      </c>
      <c r="C2628" s="0" t="s">
        <v>97</v>
      </c>
      <c r="D2628" s="0" t="s">
        <v>8454</v>
      </c>
      <c r="E2628" s="0" t="s">
        <v>8454</v>
      </c>
      <c r="M2628" s="0" t="s">
        <v>442</v>
      </c>
      <c r="N2628" s="0" t="s">
        <v>101</v>
      </c>
      <c r="P2628" s="0" t="s">
        <v>102</v>
      </c>
      <c r="Q2628" s="0" t="s">
        <v>102</v>
      </c>
      <c r="R2628" s="0" t="s">
        <v>131</v>
      </c>
      <c r="S2628" s="0" t="s">
        <v>21</v>
      </c>
      <c r="T2628" s="0" t="s">
        <v>104</v>
      </c>
      <c r="W2628" s="0" t="s">
        <v>105</v>
      </c>
    </row>
    <row r="2629" customFormat="false" ht="15" hidden="false" customHeight="false" outlineLevel="0" collapsed="false">
      <c r="A2629" s="0" t="s">
        <v>21</v>
      </c>
      <c r="B2629" s="0" t="s">
        <v>8455</v>
      </c>
      <c r="C2629" s="0" t="s">
        <v>97</v>
      </c>
      <c r="D2629" s="0" t="s">
        <v>8456</v>
      </c>
      <c r="E2629" s="0" t="s">
        <v>8456</v>
      </c>
      <c r="M2629" s="0" t="s">
        <v>442</v>
      </c>
      <c r="N2629" s="0" t="s">
        <v>101</v>
      </c>
      <c r="P2629" s="0" t="s">
        <v>102</v>
      </c>
      <c r="Q2629" s="0" t="s">
        <v>102</v>
      </c>
      <c r="R2629" s="0" t="s">
        <v>131</v>
      </c>
      <c r="S2629" s="0" t="s">
        <v>21</v>
      </c>
      <c r="T2629" s="0" t="s">
        <v>104</v>
      </c>
      <c r="W2629" s="0" t="s">
        <v>105</v>
      </c>
    </row>
    <row r="2630" customFormat="false" ht="15" hidden="false" customHeight="false" outlineLevel="0" collapsed="false">
      <c r="A2630" s="0" t="s">
        <v>21</v>
      </c>
      <c r="B2630" s="0" t="s">
        <v>8457</v>
      </c>
      <c r="C2630" s="0" t="s">
        <v>97</v>
      </c>
      <c r="D2630" s="0" t="s">
        <v>8458</v>
      </c>
      <c r="E2630" s="0" t="s">
        <v>8458</v>
      </c>
      <c r="F2630" s="0" t="s">
        <v>8458</v>
      </c>
      <c r="M2630" s="0" t="s">
        <v>100</v>
      </c>
      <c r="N2630" s="0" t="s">
        <v>101</v>
      </c>
      <c r="P2630" s="0" t="s">
        <v>102</v>
      </c>
      <c r="Q2630" s="0" t="s">
        <v>102</v>
      </c>
      <c r="R2630" s="0" t="s">
        <v>131</v>
      </c>
      <c r="S2630" s="0" t="s">
        <v>21</v>
      </c>
      <c r="T2630" s="0" t="s">
        <v>104</v>
      </c>
      <c r="W2630" s="0" t="s">
        <v>105</v>
      </c>
    </row>
    <row r="2631" customFormat="false" ht="15" hidden="false" customHeight="false" outlineLevel="0" collapsed="false">
      <c r="A2631" s="0" t="s">
        <v>21</v>
      </c>
      <c r="B2631" s="0" t="s">
        <v>8459</v>
      </c>
      <c r="C2631" s="0" t="s">
        <v>97</v>
      </c>
      <c r="D2631" s="0" t="s">
        <v>8460</v>
      </c>
      <c r="E2631" s="0" t="s">
        <v>8460</v>
      </c>
      <c r="F2631" s="0" t="s">
        <v>8460</v>
      </c>
      <c r="M2631" s="0" t="s">
        <v>100</v>
      </c>
      <c r="N2631" s="0" t="s">
        <v>101</v>
      </c>
      <c r="P2631" s="0" t="s">
        <v>102</v>
      </c>
      <c r="Q2631" s="0" t="s">
        <v>102</v>
      </c>
      <c r="R2631" s="0" t="s">
        <v>131</v>
      </c>
      <c r="S2631" s="0" t="s">
        <v>21</v>
      </c>
      <c r="T2631" s="0" t="s">
        <v>104</v>
      </c>
      <c r="W2631" s="0" t="s">
        <v>105</v>
      </c>
    </row>
    <row r="2632" customFormat="false" ht="15" hidden="false" customHeight="false" outlineLevel="0" collapsed="false">
      <c r="A2632" s="0" t="s">
        <v>21</v>
      </c>
      <c r="B2632" s="0" t="s">
        <v>8461</v>
      </c>
      <c r="C2632" s="0" t="s">
        <v>97</v>
      </c>
      <c r="D2632" s="0" t="s">
        <v>8462</v>
      </c>
      <c r="E2632" s="0" t="s">
        <v>8462</v>
      </c>
      <c r="M2632" s="0" t="s">
        <v>442</v>
      </c>
      <c r="N2632" s="0" t="s">
        <v>101</v>
      </c>
      <c r="P2632" s="0" t="s">
        <v>102</v>
      </c>
      <c r="Q2632" s="0" t="s">
        <v>102</v>
      </c>
      <c r="R2632" s="0" t="s">
        <v>131</v>
      </c>
      <c r="S2632" s="0" t="s">
        <v>21</v>
      </c>
      <c r="T2632" s="0" t="s">
        <v>104</v>
      </c>
      <c r="W2632" s="0" t="s">
        <v>105</v>
      </c>
    </row>
    <row r="2633" customFormat="false" ht="15" hidden="false" customHeight="false" outlineLevel="0" collapsed="false">
      <c r="A2633" s="0" t="s">
        <v>21</v>
      </c>
      <c r="B2633" s="0" t="s">
        <v>8463</v>
      </c>
      <c r="C2633" s="0" t="s">
        <v>97</v>
      </c>
      <c r="D2633" s="0" t="s">
        <v>8464</v>
      </c>
      <c r="E2633" s="0" t="s">
        <v>8464</v>
      </c>
      <c r="M2633" s="0" t="s">
        <v>442</v>
      </c>
      <c r="N2633" s="0" t="s">
        <v>101</v>
      </c>
      <c r="P2633" s="0" t="s">
        <v>102</v>
      </c>
      <c r="Q2633" s="0" t="s">
        <v>102</v>
      </c>
      <c r="R2633" s="0" t="s">
        <v>131</v>
      </c>
      <c r="S2633" s="0" t="s">
        <v>21</v>
      </c>
      <c r="T2633" s="0" t="s">
        <v>104</v>
      </c>
      <c r="W2633" s="0" t="s">
        <v>105</v>
      </c>
    </row>
    <row r="2634" customFormat="false" ht="15" hidden="false" customHeight="false" outlineLevel="0" collapsed="false">
      <c r="A2634" s="0" t="s">
        <v>21</v>
      </c>
      <c r="B2634" s="0" t="s">
        <v>8465</v>
      </c>
      <c r="C2634" s="0" t="s">
        <v>97</v>
      </c>
      <c r="D2634" s="0" t="s">
        <v>8466</v>
      </c>
      <c r="E2634" s="0" t="s">
        <v>8466</v>
      </c>
      <c r="M2634" s="0" t="s">
        <v>442</v>
      </c>
      <c r="N2634" s="0" t="s">
        <v>101</v>
      </c>
      <c r="P2634" s="0" t="s">
        <v>102</v>
      </c>
      <c r="Q2634" s="0" t="s">
        <v>102</v>
      </c>
      <c r="R2634" s="0" t="s">
        <v>131</v>
      </c>
      <c r="S2634" s="0" t="s">
        <v>21</v>
      </c>
      <c r="T2634" s="0" t="s">
        <v>104</v>
      </c>
      <c r="W2634" s="0" t="s">
        <v>105</v>
      </c>
    </row>
    <row r="2635" customFormat="false" ht="15" hidden="false" customHeight="false" outlineLevel="0" collapsed="false">
      <c r="A2635" s="0" t="s">
        <v>21</v>
      </c>
      <c r="B2635" s="0" t="s">
        <v>8467</v>
      </c>
      <c r="C2635" s="0" t="s">
        <v>97</v>
      </c>
      <c r="D2635" s="0" t="s">
        <v>8468</v>
      </c>
      <c r="E2635" s="0" t="s">
        <v>8468</v>
      </c>
      <c r="M2635" s="0" t="s">
        <v>442</v>
      </c>
      <c r="N2635" s="0" t="s">
        <v>101</v>
      </c>
      <c r="P2635" s="0" t="s">
        <v>102</v>
      </c>
      <c r="Q2635" s="0" t="s">
        <v>102</v>
      </c>
      <c r="R2635" s="0" t="s">
        <v>131</v>
      </c>
      <c r="S2635" s="0" t="s">
        <v>21</v>
      </c>
      <c r="T2635" s="0" t="s">
        <v>104</v>
      </c>
      <c r="W2635" s="0" t="s">
        <v>105</v>
      </c>
    </row>
    <row r="2636" customFormat="false" ht="15" hidden="false" customHeight="false" outlineLevel="0" collapsed="false">
      <c r="A2636" s="0" t="s">
        <v>21</v>
      </c>
      <c r="B2636" s="0" t="s">
        <v>8469</v>
      </c>
      <c r="C2636" s="0" t="s">
        <v>97</v>
      </c>
      <c r="D2636" s="0" t="s">
        <v>8470</v>
      </c>
      <c r="E2636" s="0" t="s">
        <v>8470</v>
      </c>
      <c r="M2636" s="0" t="s">
        <v>442</v>
      </c>
      <c r="N2636" s="0" t="s">
        <v>101</v>
      </c>
      <c r="P2636" s="0" t="s">
        <v>102</v>
      </c>
      <c r="Q2636" s="0" t="s">
        <v>102</v>
      </c>
      <c r="R2636" s="0" t="s">
        <v>131</v>
      </c>
      <c r="S2636" s="0" t="s">
        <v>21</v>
      </c>
      <c r="T2636" s="0" t="s">
        <v>104</v>
      </c>
      <c r="W2636" s="0" t="s">
        <v>105</v>
      </c>
    </row>
    <row r="2637" customFormat="false" ht="15" hidden="false" customHeight="false" outlineLevel="0" collapsed="false">
      <c r="A2637" s="0" t="s">
        <v>21</v>
      </c>
      <c r="B2637" s="0" t="s">
        <v>8471</v>
      </c>
      <c r="C2637" s="0" t="s">
        <v>97</v>
      </c>
      <c r="D2637" s="0" t="s">
        <v>8472</v>
      </c>
      <c r="E2637" s="0" t="s">
        <v>8472</v>
      </c>
      <c r="M2637" s="0" t="s">
        <v>442</v>
      </c>
      <c r="N2637" s="0" t="s">
        <v>101</v>
      </c>
      <c r="P2637" s="0" t="s">
        <v>102</v>
      </c>
      <c r="Q2637" s="0" t="s">
        <v>102</v>
      </c>
      <c r="R2637" s="0" t="s">
        <v>131</v>
      </c>
      <c r="S2637" s="0" t="s">
        <v>21</v>
      </c>
      <c r="T2637" s="0" t="s">
        <v>104</v>
      </c>
      <c r="W2637" s="0" t="s">
        <v>105</v>
      </c>
    </row>
    <row r="2638" customFormat="false" ht="15" hidden="false" customHeight="false" outlineLevel="0" collapsed="false">
      <c r="A2638" s="0" t="s">
        <v>21</v>
      </c>
      <c r="B2638" s="0" t="s">
        <v>8473</v>
      </c>
      <c r="C2638" s="0" t="s">
        <v>97</v>
      </c>
      <c r="D2638" s="0" t="s">
        <v>8474</v>
      </c>
      <c r="E2638" s="0" t="s">
        <v>8474</v>
      </c>
      <c r="M2638" s="0" t="s">
        <v>442</v>
      </c>
      <c r="N2638" s="0" t="s">
        <v>101</v>
      </c>
      <c r="P2638" s="0" t="s">
        <v>102</v>
      </c>
      <c r="Q2638" s="0" t="s">
        <v>102</v>
      </c>
      <c r="R2638" s="0" t="s">
        <v>131</v>
      </c>
      <c r="S2638" s="0" t="s">
        <v>21</v>
      </c>
      <c r="T2638" s="0" t="s">
        <v>104</v>
      </c>
      <c r="W2638" s="0" t="s">
        <v>105</v>
      </c>
    </row>
    <row r="2639" customFormat="false" ht="15" hidden="false" customHeight="false" outlineLevel="0" collapsed="false">
      <c r="A2639" s="0" t="s">
        <v>21</v>
      </c>
      <c r="B2639" s="0" t="s">
        <v>8475</v>
      </c>
      <c r="C2639" s="0" t="s">
        <v>97</v>
      </c>
      <c r="D2639" s="0" t="s">
        <v>8476</v>
      </c>
      <c r="E2639" s="0" t="s">
        <v>8476</v>
      </c>
      <c r="M2639" s="0" t="s">
        <v>442</v>
      </c>
      <c r="N2639" s="0" t="s">
        <v>101</v>
      </c>
      <c r="P2639" s="0" t="s">
        <v>102</v>
      </c>
      <c r="Q2639" s="0" t="s">
        <v>102</v>
      </c>
      <c r="R2639" s="0" t="s">
        <v>131</v>
      </c>
      <c r="S2639" s="0" t="s">
        <v>21</v>
      </c>
      <c r="T2639" s="0" t="s">
        <v>104</v>
      </c>
      <c r="W2639" s="0" t="s">
        <v>105</v>
      </c>
    </row>
    <row r="2640" customFormat="false" ht="15" hidden="false" customHeight="false" outlineLevel="0" collapsed="false">
      <c r="A2640" s="0" t="s">
        <v>21</v>
      </c>
      <c r="B2640" s="0" t="s">
        <v>8477</v>
      </c>
      <c r="C2640" s="0" t="s">
        <v>97</v>
      </c>
      <c r="D2640" s="0" t="s">
        <v>8478</v>
      </c>
      <c r="E2640" s="0" t="s">
        <v>8478</v>
      </c>
      <c r="F2640" s="0" t="s">
        <v>8478</v>
      </c>
      <c r="M2640" s="0" t="s">
        <v>100</v>
      </c>
      <c r="N2640" s="0" t="s">
        <v>101</v>
      </c>
      <c r="P2640" s="0" t="s">
        <v>102</v>
      </c>
      <c r="Q2640" s="0" t="s">
        <v>102</v>
      </c>
      <c r="R2640" s="0" t="s">
        <v>131</v>
      </c>
      <c r="S2640" s="0" t="s">
        <v>21</v>
      </c>
      <c r="T2640" s="0" t="s">
        <v>104</v>
      </c>
      <c r="W2640" s="0" t="s">
        <v>105</v>
      </c>
    </row>
    <row r="2641" customFormat="false" ht="15" hidden="false" customHeight="false" outlineLevel="0" collapsed="false">
      <c r="A2641" s="0" t="s">
        <v>21</v>
      </c>
      <c r="B2641" s="0" t="s">
        <v>8479</v>
      </c>
      <c r="C2641" s="0" t="s">
        <v>97</v>
      </c>
      <c r="D2641" s="0" t="s">
        <v>8480</v>
      </c>
      <c r="E2641" s="0" t="s">
        <v>8480</v>
      </c>
      <c r="M2641" s="0" t="s">
        <v>442</v>
      </c>
      <c r="N2641" s="0" t="s">
        <v>101</v>
      </c>
      <c r="P2641" s="0" t="s">
        <v>102</v>
      </c>
      <c r="Q2641" s="0" t="s">
        <v>102</v>
      </c>
      <c r="R2641" s="0" t="s">
        <v>131</v>
      </c>
      <c r="S2641" s="0" t="s">
        <v>21</v>
      </c>
      <c r="T2641" s="0" t="s">
        <v>104</v>
      </c>
      <c r="W2641" s="0" t="s">
        <v>105</v>
      </c>
    </row>
    <row r="2642" customFormat="false" ht="15" hidden="false" customHeight="false" outlineLevel="0" collapsed="false">
      <c r="A2642" s="0" t="s">
        <v>21</v>
      </c>
      <c r="B2642" s="0" t="s">
        <v>8481</v>
      </c>
      <c r="C2642" s="0" t="s">
        <v>97</v>
      </c>
      <c r="D2642" s="0" t="s">
        <v>3282</v>
      </c>
      <c r="E2642" s="0" t="s">
        <v>3282</v>
      </c>
      <c r="M2642" s="0" t="s">
        <v>442</v>
      </c>
      <c r="N2642" s="0" t="s">
        <v>101</v>
      </c>
      <c r="P2642" s="0" t="s">
        <v>102</v>
      </c>
      <c r="Q2642" s="0" t="s">
        <v>102</v>
      </c>
      <c r="R2642" s="0" t="s">
        <v>131</v>
      </c>
      <c r="S2642" s="0" t="s">
        <v>21</v>
      </c>
      <c r="T2642" s="0" t="s">
        <v>104</v>
      </c>
      <c r="W2642" s="0" t="s">
        <v>105</v>
      </c>
    </row>
    <row r="2643" customFormat="false" ht="15" hidden="false" customHeight="false" outlineLevel="0" collapsed="false">
      <c r="A2643" s="0" t="s">
        <v>21</v>
      </c>
      <c r="B2643" s="0" t="s">
        <v>8482</v>
      </c>
      <c r="C2643" s="0" t="s">
        <v>97</v>
      </c>
      <c r="D2643" s="0" t="s">
        <v>8483</v>
      </c>
      <c r="E2643" s="0" t="s">
        <v>8483</v>
      </c>
      <c r="M2643" s="0" t="s">
        <v>442</v>
      </c>
      <c r="N2643" s="0" t="s">
        <v>101</v>
      </c>
      <c r="P2643" s="0" t="s">
        <v>102</v>
      </c>
      <c r="Q2643" s="0" t="s">
        <v>102</v>
      </c>
      <c r="R2643" s="0" t="s">
        <v>131</v>
      </c>
      <c r="S2643" s="0" t="s">
        <v>21</v>
      </c>
      <c r="T2643" s="0" t="s">
        <v>104</v>
      </c>
      <c r="W2643" s="0" t="s">
        <v>105</v>
      </c>
    </row>
    <row r="2644" customFormat="false" ht="15" hidden="false" customHeight="false" outlineLevel="0" collapsed="false">
      <c r="A2644" s="0" t="s">
        <v>21</v>
      </c>
      <c r="B2644" s="0" t="s">
        <v>8484</v>
      </c>
      <c r="C2644" s="0" t="s">
        <v>97</v>
      </c>
      <c r="D2644" s="0" t="s">
        <v>8485</v>
      </c>
      <c r="E2644" s="0" t="s">
        <v>8485</v>
      </c>
      <c r="F2644" s="0" t="s">
        <v>8485</v>
      </c>
      <c r="M2644" s="0" t="s">
        <v>100</v>
      </c>
      <c r="N2644" s="0" t="s">
        <v>101</v>
      </c>
      <c r="P2644" s="0" t="s">
        <v>102</v>
      </c>
      <c r="Q2644" s="0" t="s">
        <v>102</v>
      </c>
      <c r="R2644" s="0" t="s">
        <v>131</v>
      </c>
      <c r="S2644" s="0" t="s">
        <v>21</v>
      </c>
      <c r="T2644" s="0" t="s">
        <v>104</v>
      </c>
      <c r="W2644" s="0" t="s">
        <v>105</v>
      </c>
    </row>
    <row r="2645" customFormat="false" ht="15" hidden="false" customHeight="false" outlineLevel="0" collapsed="false">
      <c r="A2645" s="0" t="s">
        <v>21</v>
      </c>
      <c r="B2645" s="0" t="s">
        <v>8486</v>
      </c>
      <c r="C2645" s="0" t="s">
        <v>97</v>
      </c>
      <c r="D2645" s="0" t="s">
        <v>8487</v>
      </c>
      <c r="E2645" s="0" t="s">
        <v>8487</v>
      </c>
      <c r="M2645" s="0" t="s">
        <v>442</v>
      </c>
      <c r="N2645" s="0" t="s">
        <v>101</v>
      </c>
      <c r="P2645" s="0" t="s">
        <v>102</v>
      </c>
      <c r="Q2645" s="0" t="s">
        <v>102</v>
      </c>
      <c r="R2645" s="0" t="s">
        <v>131</v>
      </c>
      <c r="S2645" s="0" t="s">
        <v>21</v>
      </c>
      <c r="T2645" s="0" t="s">
        <v>104</v>
      </c>
      <c r="W2645" s="0" t="s">
        <v>105</v>
      </c>
    </row>
    <row r="2646" customFormat="false" ht="15" hidden="false" customHeight="false" outlineLevel="0" collapsed="false">
      <c r="A2646" s="0" t="s">
        <v>21</v>
      </c>
      <c r="B2646" s="0" t="s">
        <v>8488</v>
      </c>
      <c r="C2646" s="0" t="s">
        <v>97</v>
      </c>
      <c r="D2646" s="0" t="s">
        <v>8489</v>
      </c>
      <c r="E2646" s="0" t="s">
        <v>8489</v>
      </c>
      <c r="M2646" s="0" t="s">
        <v>442</v>
      </c>
      <c r="N2646" s="0" t="s">
        <v>101</v>
      </c>
      <c r="P2646" s="0" t="s">
        <v>102</v>
      </c>
      <c r="Q2646" s="0" t="s">
        <v>102</v>
      </c>
      <c r="R2646" s="0" t="s">
        <v>131</v>
      </c>
      <c r="S2646" s="0" t="s">
        <v>21</v>
      </c>
      <c r="T2646" s="0" t="s">
        <v>104</v>
      </c>
      <c r="W2646" s="0" t="s">
        <v>105</v>
      </c>
    </row>
    <row r="2647" customFormat="false" ht="15" hidden="false" customHeight="false" outlineLevel="0" collapsed="false">
      <c r="A2647" s="0" t="s">
        <v>21</v>
      </c>
      <c r="B2647" s="0" t="s">
        <v>8490</v>
      </c>
      <c r="C2647" s="0" t="s">
        <v>97</v>
      </c>
      <c r="D2647" s="0" t="s">
        <v>8491</v>
      </c>
      <c r="E2647" s="0" t="s">
        <v>8491</v>
      </c>
      <c r="M2647" s="0" t="s">
        <v>442</v>
      </c>
      <c r="N2647" s="0" t="s">
        <v>101</v>
      </c>
      <c r="P2647" s="0" t="s">
        <v>102</v>
      </c>
      <c r="Q2647" s="0" t="s">
        <v>102</v>
      </c>
      <c r="R2647" s="0" t="s">
        <v>131</v>
      </c>
      <c r="S2647" s="0" t="s">
        <v>21</v>
      </c>
      <c r="T2647" s="0" t="s">
        <v>104</v>
      </c>
      <c r="W2647" s="0" t="s">
        <v>105</v>
      </c>
    </row>
    <row r="2648" customFormat="false" ht="15" hidden="false" customHeight="false" outlineLevel="0" collapsed="false">
      <c r="A2648" s="0" t="s">
        <v>21</v>
      </c>
      <c r="B2648" s="0" t="s">
        <v>8492</v>
      </c>
      <c r="C2648" s="0" t="s">
        <v>97</v>
      </c>
      <c r="D2648" s="0" t="s">
        <v>8493</v>
      </c>
      <c r="E2648" s="0" t="s">
        <v>8493</v>
      </c>
      <c r="M2648" s="0" t="s">
        <v>442</v>
      </c>
      <c r="N2648" s="0" t="s">
        <v>101</v>
      </c>
      <c r="P2648" s="0" t="s">
        <v>102</v>
      </c>
      <c r="Q2648" s="0" t="s">
        <v>102</v>
      </c>
      <c r="R2648" s="0" t="s">
        <v>131</v>
      </c>
      <c r="S2648" s="0" t="s">
        <v>21</v>
      </c>
      <c r="T2648" s="0" t="s">
        <v>104</v>
      </c>
      <c r="W2648" s="0" t="s">
        <v>105</v>
      </c>
    </row>
    <row r="2649" customFormat="false" ht="15" hidden="false" customHeight="false" outlineLevel="0" collapsed="false">
      <c r="A2649" s="0" t="s">
        <v>21</v>
      </c>
      <c r="B2649" s="0" t="s">
        <v>8494</v>
      </c>
      <c r="C2649" s="0" t="s">
        <v>97</v>
      </c>
      <c r="D2649" s="0" t="s">
        <v>8495</v>
      </c>
      <c r="E2649" s="0" t="s">
        <v>8495</v>
      </c>
      <c r="M2649" s="0" t="s">
        <v>442</v>
      </c>
      <c r="N2649" s="0" t="s">
        <v>101</v>
      </c>
      <c r="P2649" s="0" t="s">
        <v>102</v>
      </c>
      <c r="Q2649" s="0" t="s">
        <v>102</v>
      </c>
      <c r="R2649" s="0" t="s">
        <v>131</v>
      </c>
      <c r="S2649" s="0" t="s">
        <v>21</v>
      </c>
      <c r="T2649" s="0" t="s">
        <v>104</v>
      </c>
      <c r="W2649" s="0" t="s">
        <v>105</v>
      </c>
    </row>
    <row r="2650" customFormat="false" ht="15" hidden="false" customHeight="false" outlineLevel="0" collapsed="false">
      <c r="A2650" s="0" t="s">
        <v>21</v>
      </c>
      <c r="B2650" s="0" t="s">
        <v>8496</v>
      </c>
      <c r="C2650" s="0" t="s">
        <v>97</v>
      </c>
      <c r="D2650" s="0" t="s">
        <v>8497</v>
      </c>
      <c r="E2650" s="0" t="s">
        <v>8497</v>
      </c>
      <c r="F2650" s="0" t="s">
        <v>8497</v>
      </c>
      <c r="M2650" s="0" t="s">
        <v>100</v>
      </c>
      <c r="N2650" s="0" t="s">
        <v>101</v>
      </c>
      <c r="P2650" s="0" t="s">
        <v>102</v>
      </c>
      <c r="Q2650" s="0" t="s">
        <v>102</v>
      </c>
      <c r="R2650" s="0" t="s">
        <v>131</v>
      </c>
      <c r="S2650" s="0" t="s">
        <v>21</v>
      </c>
      <c r="T2650" s="0" t="s">
        <v>104</v>
      </c>
      <c r="W2650" s="0" t="s">
        <v>105</v>
      </c>
    </row>
    <row r="2651" customFormat="false" ht="15" hidden="false" customHeight="false" outlineLevel="0" collapsed="false">
      <c r="A2651" s="0" t="s">
        <v>21</v>
      </c>
      <c r="B2651" s="0" t="s">
        <v>8498</v>
      </c>
      <c r="C2651" s="0" t="s">
        <v>97</v>
      </c>
      <c r="D2651" s="0" t="s">
        <v>8499</v>
      </c>
      <c r="E2651" s="0" t="s">
        <v>8499</v>
      </c>
      <c r="M2651" s="0" t="s">
        <v>442</v>
      </c>
      <c r="N2651" s="0" t="s">
        <v>101</v>
      </c>
      <c r="P2651" s="0" t="s">
        <v>102</v>
      </c>
      <c r="Q2651" s="0" t="s">
        <v>102</v>
      </c>
      <c r="R2651" s="0" t="s">
        <v>131</v>
      </c>
      <c r="S2651" s="0" t="s">
        <v>21</v>
      </c>
      <c r="T2651" s="0" t="s">
        <v>104</v>
      </c>
      <c r="W2651" s="0" t="s">
        <v>105</v>
      </c>
    </row>
    <row r="2652" customFormat="false" ht="15" hidden="false" customHeight="false" outlineLevel="0" collapsed="false">
      <c r="A2652" s="0" t="s">
        <v>21</v>
      </c>
      <c r="B2652" s="0" t="s">
        <v>8500</v>
      </c>
      <c r="C2652" s="0" t="s">
        <v>97</v>
      </c>
      <c r="D2652" s="0" t="s">
        <v>8501</v>
      </c>
      <c r="E2652" s="0" t="s">
        <v>8501</v>
      </c>
      <c r="M2652" s="0" t="s">
        <v>442</v>
      </c>
      <c r="N2652" s="0" t="s">
        <v>101</v>
      </c>
      <c r="P2652" s="0" t="s">
        <v>102</v>
      </c>
      <c r="Q2652" s="0" t="s">
        <v>102</v>
      </c>
      <c r="R2652" s="0" t="s">
        <v>131</v>
      </c>
      <c r="S2652" s="0" t="s">
        <v>21</v>
      </c>
      <c r="T2652" s="0" t="s">
        <v>104</v>
      </c>
      <c r="W2652" s="0" t="s">
        <v>105</v>
      </c>
    </row>
    <row r="2653" customFormat="false" ht="15" hidden="false" customHeight="false" outlineLevel="0" collapsed="false">
      <c r="A2653" s="0" t="s">
        <v>21</v>
      </c>
      <c r="B2653" s="0" t="s">
        <v>8502</v>
      </c>
      <c r="C2653" s="0" t="s">
        <v>97</v>
      </c>
      <c r="D2653" s="0" t="s">
        <v>8503</v>
      </c>
      <c r="E2653" s="0" t="s">
        <v>8503</v>
      </c>
      <c r="M2653" s="0" t="s">
        <v>442</v>
      </c>
      <c r="N2653" s="0" t="s">
        <v>101</v>
      </c>
      <c r="P2653" s="0" t="s">
        <v>102</v>
      </c>
      <c r="Q2653" s="0" t="s">
        <v>102</v>
      </c>
      <c r="R2653" s="0" t="s">
        <v>131</v>
      </c>
      <c r="S2653" s="0" t="s">
        <v>21</v>
      </c>
      <c r="T2653" s="0" t="s">
        <v>104</v>
      </c>
      <c r="W2653" s="0" t="s">
        <v>105</v>
      </c>
    </row>
    <row r="2654" customFormat="false" ht="15" hidden="false" customHeight="false" outlineLevel="0" collapsed="false">
      <c r="A2654" s="0" t="s">
        <v>21</v>
      </c>
      <c r="B2654" s="0" t="s">
        <v>8504</v>
      </c>
      <c r="C2654" s="0" t="s">
        <v>97</v>
      </c>
      <c r="D2654" s="0" t="s">
        <v>8505</v>
      </c>
      <c r="E2654" s="0" t="s">
        <v>8505</v>
      </c>
      <c r="M2654" s="0" t="s">
        <v>442</v>
      </c>
      <c r="N2654" s="0" t="s">
        <v>101</v>
      </c>
      <c r="P2654" s="0" t="s">
        <v>102</v>
      </c>
      <c r="Q2654" s="0" t="s">
        <v>102</v>
      </c>
      <c r="R2654" s="0" t="s">
        <v>131</v>
      </c>
      <c r="S2654" s="0" t="s">
        <v>21</v>
      </c>
      <c r="T2654" s="0" t="s">
        <v>104</v>
      </c>
      <c r="W2654" s="0" t="s">
        <v>105</v>
      </c>
    </row>
    <row r="2655" customFormat="false" ht="15" hidden="false" customHeight="false" outlineLevel="0" collapsed="false">
      <c r="A2655" s="0" t="s">
        <v>21</v>
      </c>
      <c r="B2655" s="0" t="s">
        <v>8506</v>
      </c>
      <c r="C2655" s="0" t="s">
        <v>97</v>
      </c>
      <c r="D2655" s="0" t="s">
        <v>8507</v>
      </c>
      <c r="E2655" s="0" t="s">
        <v>8507</v>
      </c>
      <c r="F2655" s="0" t="s">
        <v>8507</v>
      </c>
      <c r="M2655" s="0" t="s">
        <v>100</v>
      </c>
      <c r="N2655" s="0" t="s">
        <v>101</v>
      </c>
      <c r="P2655" s="0" t="s">
        <v>102</v>
      </c>
      <c r="Q2655" s="0" t="s">
        <v>102</v>
      </c>
      <c r="R2655" s="0" t="s">
        <v>131</v>
      </c>
      <c r="S2655" s="0" t="s">
        <v>21</v>
      </c>
      <c r="T2655" s="0" t="s">
        <v>104</v>
      </c>
      <c r="W2655" s="0" t="s">
        <v>105</v>
      </c>
    </row>
    <row r="2656" customFormat="false" ht="15" hidden="false" customHeight="false" outlineLevel="0" collapsed="false">
      <c r="A2656" s="0" t="s">
        <v>21</v>
      </c>
      <c r="B2656" s="0" t="s">
        <v>8508</v>
      </c>
      <c r="C2656" s="0" t="s">
        <v>97</v>
      </c>
      <c r="D2656" s="0" t="s">
        <v>8509</v>
      </c>
      <c r="E2656" s="0" t="s">
        <v>8509</v>
      </c>
      <c r="F2656" s="0" t="s">
        <v>8509</v>
      </c>
      <c r="M2656" s="0" t="s">
        <v>100</v>
      </c>
      <c r="N2656" s="0" t="s">
        <v>101</v>
      </c>
      <c r="P2656" s="0" t="s">
        <v>102</v>
      </c>
      <c r="Q2656" s="0" t="s">
        <v>102</v>
      </c>
      <c r="R2656" s="0" t="s">
        <v>131</v>
      </c>
      <c r="S2656" s="0" t="s">
        <v>21</v>
      </c>
      <c r="T2656" s="0" t="s">
        <v>104</v>
      </c>
      <c r="W2656" s="0" t="s">
        <v>105</v>
      </c>
    </row>
    <row r="2657" customFormat="false" ht="15" hidden="false" customHeight="false" outlineLevel="0" collapsed="false">
      <c r="A2657" s="0" t="s">
        <v>21</v>
      </c>
      <c r="B2657" s="0" t="s">
        <v>8510</v>
      </c>
      <c r="C2657" s="0" t="s">
        <v>97</v>
      </c>
      <c r="D2657" s="0" t="s">
        <v>8511</v>
      </c>
      <c r="E2657" s="0" t="s">
        <v>8511</v>
      </c>
      <c r="M2657" s="0" t="s">
        <v>442</v>
      </c>
      <c r="N2657" s="0" t="s">
        <v>101</v>
      </c>
      <c r="P2657" s="0" t="s">
        <v>102</v>
      </c>
      <c r="Q2657" s="0" t="s">
        <v>102</v>
      </c>
      <c r="R2657" s="0" t="s">
        <v>131</v>
      </c>
      <c r="S2657" s="0" t="s">
        <v>21</v>
      </c>
      <c r="T2657" s="0" t="s">
        <v>104</v>
      </c>
      <c r="W2657" s="0" t="s">
        <v>105</v>
      </c>
    </row>
    <row r="2658" customFormat="false" ht="15" hidden="false" customHeight="false" outlineLevel="0" collapsed="false">
      <c r="A2658" s="0" t="s">
        <v>21</v>
      </c>
      <c r="B2658" s="0" t="s">
        <v>8512</v>
      </c>
      <c r="C2658" s="0" t="s">
        <v>97</v>
      </c>
      <c r="D2658" s="0" t="s">
        <v>8513</v>
      </c>
      <c r="E2658" s="0" t="s">
        <v>8513</v>
      </c>
      <c r="M2658" s="0" t="s">
        <v>442</v>
      </c>
      <c r="N2658" s="0" t="s">
        <v>101</v>
      </c>
      <c r="P2658" s="0" t="s">
        <v>102</v>
      </c>
      <c r="Q2658" s="0" t="s">
        <v>102</v>
      </c>
      <c r="R2658" s="0" t="s">
        <v>131</v>
      </c>
      <c r="S2658" s="0" t="s">
        <v>21</v>
      </c>
      <c r="T2658" s="0" t="s">
        <v>104</v>
      </c>
      <c r="W2658" s="0" t="s">
        <v>105</v>
      </c>
    </row>
    <row r="2659" customFormat="false" ht="15" hidden="false" customHeight="false" outlineLevel="0" collapsed="false">
      <c r="A2659" s="0" t="s">
        <v>21</v>
      </c>
      <c r="B2659" s="0" t="s">
        <v>8514</v>
      </c>
      <c r="C2659" s="0" t="s">
        <v>97</v>
      </c>
      <c r="D2659" s="0" t="s">
        <v>8515</v>
      </c>
      <c r="E2659" s="0" t="s">
        <v>8515</v>
      </c>
      <c r="M2659" s="0" t="s">
        <v>442</v>
      </c>
      <c r="N2659" s="0" t="s">
        <v>101</v>
      </c>
      <c r="P2659" s="0" t="s">
        <v>102</v>
      </c>
      <c r="Q2659" s="0" t="s">
        <v>102</v>
      </c>
      <c r="R2659" s="0" t="s">
        <v>131</v>
      </c>
      <c r="S2659" s="0" t="s">
        <v>21</v>
      </c>
      <c r="T2659" s="0" t="s">
        <v>104</v>
      </c>
      <c r="W2659" s="0" t="s">
        <v>105</v>
      </c>
    </row>
    <row r="2660" customFormat="false" ht="15" hidden="false" customHeight="false" outlineLevel="0" collapsed="false">
      <c r="A2660" s="0" t="s">
        <v>21</v>
      </c>
      <c r="B2660" s="0" t="s">
        <v>8516</v>
      </c>
      <c r="C2660" s="0" t="s">
        <v>97</v>
      </c>
      <c r="D2660" s="0" t="s">
        <v>8517</v>
      </c>
      <c r="E2660" s="0" t="s">
        <v>8517</v>
      </c>
      <c r="M2660" s="0" t="s">
        <v>442</v>
      </c>
      <c r="N2660" s="0" t="s">
        <v>101</v>
      </c>
      <c r="P2660" s="0" t="s">
        <v>102</v>
      </c>
      <c r="Q2660" s="0" t="s">
        <v>102</v>
      </c>
      <c r="R2660" s="0" t="s">
        <v>131</v>
      </c>
      <c r="S2660" s="0" t="s">
        <v>21</v>
      </c>
      <c r="T2660" s="0" t="s">
        <v>104</v>
      </c>
      <c r="W2660" s="0" t="s">
        <v>105</v>
      </c>
    </row>
    <row r="2661" customFormat="false" ht="15" hidden="false" customHeight="false" outlineLevel="0" collapsed="false">
      <c r="A2661" s="0" t="s">
        <v>21</v>
      </c>
      <c r="B2661" s="0" t="s">
        <v>8518</v>
      </c>
      <c r="C2661" s="0" t="s">
        <v>97</v>
      </c>
      <c r="D2661" s="0" t="s">
        <v>8519</v>
      </c>
      <c r="E2661" s="0" t="s">
        <v>8519</v>
      </c>
      <c r="M2661" s="0" t="s">
        <v>442</v>
      </c>
      <c r="N2661" s="0" t="s">
        <v>101</v>
      </c>
      <c r="P2661" s="0" t="s">
        <v>102</v>
      </c>
      <c r="Q2661" s="0" t="s">
        <v>102</v>
      </c>
      <c r="R2661" s="0" t="s">
        <v>131</v>
      </c>
      <c r="S2661" s="0" t="s">
        <v>21</v>
      </c>
      <c r="T2661" s="0" t="s">
        <v>104</v>
      </c>
      <c r="W2661" s="0" t="s">
        <v>105</v>
      </c>
    </row>
    <row r="2662" customFormat="false" ht="15" hidden="false" customHeight="false" outlineLevel="0" collapsed="false">
      <c r="A2662" s="0" t="s">
        <v>21</v>
      </c>
      <c r="B2662" s="0" t="s">
        <v>8520</v>
      </c>
      <c r="C2662" s="0" t="s">
        <v>97</v>
      </c>
      <c r="D2662" s="0" t="s">
        <v>8183</v>
      </c>
      <c r="E2662" s="0" t="s">
        <v>8521</v>
      </c>
      <c r="M2662" s="0" t="s">
        <v>136</v>
      </c>
      <c r="N2662" s="0" t="s">
        <v>124</v>
      </c>
      <c r="P2662" s="0" t="s">
        <v>102</v>
      </c>
      <c r="Q2662" s="0" t="s">
        <v>102</v>
      </c>
      <c r="R2662" s="0" t="s">
        <v>131</v>
      </c>
      <c r="S2662" s="0" t="s">
        <v>21</v>
      </c>
      <c r="T2662" s="0" t="s">
        <v>104</v>
      </c>
      <c r="W2662" s="0" t="s">
        <v>105</v>
      </c>
    </row>
    <row r="2663" customFormat="false" ht="15" hidden="false" customHeight="false" outlineLevel="0" collapsed="false">
      <c r="A2663" s="0" t="s">
        <v>21</v>
      </c>
      <c r="B2663" s="0" t="s">
        <v>8522</v>
      </c>
      <c r="C2663" s="0" t="s">
        <v>97</v>
      </c>
      <c r="D2663" s="0" t="s">
        <v>668</v>
      </c>
      <c r="E2663" s="0" t="s">
        <v>8523</v>
      </c>
      <c r="F2663" s="0" t="s">
        <v>8523</v>
      </c>
      <c r="M2663" s="0" t="s">
        <v>456</v>
      </c>
      <c r="N2663" s="0" t="s">
        <v>101</v>
      </c>
      <c r="P2663" s="0" t="s">
        <v>102</v>
      </c>
      <c r="Q2663" s="0" t="s">
        <v>102</v>
      </c>
      <c r="R2663" s="0" t="s">
        <v>113</v>
      </c>
      <c r="S2663" s="0" t="s">
        <v>21</v>
      </c>
      <c r="T2663" s="0" t="s">
        <v>104</v>
      </c>
      <c r="W2663" s="0" t="s">
        <v>105</v>
      </c>
    </row>
    <row r="2664" customFormat="false" ht="15" hidden="false" customHeight="false" outlineLevel="0" collapsed="false">
      <c r="A2664" s="0" t="s">
        <v>21</v>
      </c>
      <c r="B2664" s="0" t="s">
        <v>8524</v>
      </c>
      <c r="C2664" s="0" t="s">
        <v>97</v>
      </c>
      <c r="E2664" s="0" t="s">
        <v>8525</v>
      </c>
      <c r="G2664" s="0" t="s">
        <v>8526</v>
      </c>
      <c r="M2664" s="0" t="s">
        <v>442</v>
      </c>
      <c r="N2664" s="0" t="s">
        <v>101</v>
      </c>
      <c r="P2664" s="0" t="s">
        <v>1044</v>
      </c>
      <c r="Q2664" s="0" t="s">
        <v>1044</v>
      </c>
      <c r="R2664" s="0" t="s">
        <v>248</v>
      </c>
      <c r="S2664" s="0" t="s">
        <v>21</v>
      </c>
      <c r="T2664" s="0" t="s">
        <v>104</v>
      </c>
      <c r="W2664" s="0" t="s">
        <v>105</v>
      </c>
    </row>
    <row r="2665" customFormat="false" ht="15" hidden="false" customHeight="false" outlineLevel="0" collapsed="false">
      <c r="A2665" s="0" t="s">
        <v>21</v>
      </c>
      <c r="B2665" s="0" t="s">
        <v>8527</v>
      </c>
      <c r="C2665" s="0" t="s">
        <v>97</v>
      </c>
      <c r="D2665" s="0" t="s">
        <v>8528</v>
      </c>
      <c r="E2665" s="0" t="s">
        <v>8528</v>
      </c>
      <c r="M2665" s="0" t="s">
        <v>136</v>
      </c>
      <c r="N2665" s="0" t="s">
        <v>124</v>
      </c>
      <c r="P2665" s="0" t="s">
        <v>102</v>
      </c>
      <c r="Q2665" s="0" t="s">
        <v>102</v>
      </c>
      <c r="R2665" s="0" t="s">
        <v>131</v>
      </c>
      <c r="S2665" s="0" t="s">
        <v>21</v>
      </c>
      <c r="T2665" s="0" t="s">
        <v>104</v>
      </c>
      <c r="W2665" s="0" t="s">
        <v>105</v>
      </c>
    </row>
    <row r="2666" customFormat="false" ht="15" hidden="false" customHeight="false" outlineLevel="0" collapsed="false">
      <c r="A2666" s="0" t="s">
        <v>21</v>
      </c>
      <c r="B2666" s="0" t="s">
        <v>8529</v>
      </c>
      <c r="C2666" s="0" t="s">
        <v>97</v>
      </c>
      <c r="D2666" s="0" t="s">
        <v>8530</v>
      </c>
      <c r="E2666" s="0" t="s">
        <v>8531</v>
      </c>
      <c r="M2666" s="0" t="s">
        <v>136</v>
      </c>
      <c r="N2666" s="0" t="s">
        <v>124</v>
      </c>
      <c r="P2666" s="0" t="s">
        <v>102</v>
      </c>
      <c r="Q2666" s="0" t="s">
        <v>102</v>
      </c>
      <c r="R2666" s="0" t="s">
        <v>131</v>
      </c>
      <c r="S2666" s="0" t="s">
        <v>21</v>
      </c>
      <c r="T2666" s="0" t="s">
        <v>104</v>
      </c>
      <c r="W2666" s="0" t="s">
        <v>105</v>
      </c>
    </row>
    <row r="2667" customFormat="false" ht="15" hidden="false" customHeight="false" outlineLevel="0" collapsed="false">
      <c r="A2667" s="0" t="s">
        <v>21</v>
      </c>
      <c r="B2667" s="0" t="s">
        <v>8532</v>
      </c>
      <c r="C2667" s="0" t="s">
        <v>97</v>
      </c>
      <c r="D2667" s="0" t="s">
        <v>8533</v>
      </c>
      <c r="E2667" s="0" t="s">
        <v>8534</v>
      </c>
      <c r="M2667" s="0" t="s">
        <v>136</v>
      </c>
      <c r="N2667" s="0" t="s">
        <v>124</v>
      </c>
      <c r="P2667" s="0" t="s">
        <v>102</v>
      </c>
      <c r="Q2667" s="0" t="s">
        <v>102</v>
      </c>
      <c r="R2667" s="0" t="s">
        <v>131</v>
      </c>
      <c r="S2667" s="0" t="s">
        <v>21</v>
      </c>
      <c r="T2667" s="0" t="s">
        <v>104</v>
      </c>
      <c r="W2667" s="0" t="s">
        <v>105</v>
      </c>
    </row>
    <row r="2668" customFormat="false" ht="15" hidden="false" customHeight="false" outlineLevel="0" collapsed="false">
      <c r="A2668" s="0" t="s">
        <v>21</v>
      </c>
      <c r="B2668" s="0" t="s">
        <v>8535</v>
      </c>
      <c r="C2668" s="0" t="s">
        <v>97</v>
      </c>
      <c r="D2668" s="0" t="s">
        <v>8536</v>
      </c>
      <c r="E2668" s="0" t="s">
        <v>8537</v>
      </c>
      <c r="M2668" s="0" t="s">
        <v>136</v>
      </c>
      <c r="N2668" s="0" t="s">
        <v>124</v>
      </c>
      <c r="P2668" s="0" t="s">
        <v>102</v>
      </c>
      <c r="Q2668" s="0" t="s">
        <v>102</v>
      </c>
      <c r="R2668" s="0" t="s">
        <v>131</v>
      </c>
      <c r="S2668" s="0" t="s">
        <v>21</v>
      </c>
      <c r="T2668" s="0" t="s">
        <v>104</v>
      </c>
      <c r="W2668" s="0" t="s">
        <v>105</v>
      </c>
    </row>
    <row r="2669" customFormat="false" ht="15" hidden="false" customHeight="false" outlineLevel="0" collapsed="false">
      <c r="A2669" s="0" t="s">
        <v>21</v>
      </c>
      <c r="B2669" s="0" t="s">
        <v>8538</v>
      </c>
      <c r="C2669" s="0" t="s">
        <v>863</v>
      </c>
      <c r="D2669" s="0" t="s">
        <v>1656</v>
      </c>
      <c r="E2669" s="0" t="s">
        <v>8539</v>
      </c>
      <c r="G2669" s="0" t="s">
        <v>8540</v>
      </c>
      <c r="M2669" s="0" t="s">
        <v>247</v>
      </c>
      <c r="N2669" s="0" t="s">
        <v>124</v>
      </c>
      <c r="P2669" s="0" t="s">
        <v>233</v>
      </c>
      <c r="Q2669" s="0" t="s">
        <v>233</v>
      </c>
      <c r="R2669" s="0" t="s">
        <v>233</v>
      </c>
      <c r="S2669" s="0" t="s">
        <v>21</v>
      </c>
      <c r="T2669" s="0" t="s">
        <v>104</v>
      </c>
      <c r="W2669" s="0" t="s">
        <v>183</v>
      </c>
      <c r="Z2669" s="0" t="s">
        <v>134</v>
      </c>
    </row>
    <row r="2670" customFormat="false" ht="15" hidden="false" customHeight="false" outlineLevel="0" collapsed="false">
      <c r="A2670" s="0" t="s">
        <v>21</v>
      </c>
      <c r="B2670" s="0" t="s">
        <v>8538</v>
      </c>
      <c r="C2670" s="0" t="s">
        <v>863</v>
      </c>
      <c r="D2670" s="0" t="s">
        <v>1656</v>
      </c>
      <c r="E2670" s="0" t="s">
        <v>8539</v>
      </c>
      <c r="G2670" s="0" t="s">
        <v>8540</v>
      </c>
      <c r="M2670" s="0" t="s">
        <v>247</v>
      </c>
      <c r="N2670" s="0" t="s">
        <v>124</v>
      </c>
      <c r="P2670" s="0" t="s">
        <v>102</v>
      </c>
      <c r="Q2670" s="0" t="s">
        <v>102</v>
      </c>
      <c r="R2670" s="0" t="s">
        <v>234</v>
      </c>
      <c r="S2670" s="0" t="s">
        <v>21</v>
      </c>
      <c r="T2670" s="0" t="s">
        <v>104</v>
      </c>
      <c r="V2670" s="0" t="s">
        <v>235</v>
      </c>
      <c r="W2670" s="0" t="s">
        <v>105</v>
      </c>
      <c r="Z2670" s="0" t="s">
        <v>134</v>
      </c>
    </row>
    <row r="2671" customFormat="false" ht="15" hidden="false" customHeight="false" outlineLevel="0" collapsed="false">
      <c r="A2671" s="0" t="s">
        <v>21</v>
      </c>
      <c r="B2671" s="0" t="s">
        <v>8538</v>
      </c>
      <c r="C2671" s="0" t="s">
        <v>863</v>
      </c>
      <c r="D2671" s="0" t="s">
        <v>1656</v>
      </c>
      <c r="E2671" s="0" t="s">
        <v>8539</v>
      </c>
      <c r="G2671" s="0" t="s">
        <v>8540</v>
      </c>
      <c r="M2671" s="0" t="s">
        <v>247</v>
      </c>
      <c r="N2671" s="0" t="s">
        <v>124</v>
      </c>
      <c r="P2671" s="0" t="s">
        <v>236</v>
      </c>
      <c r="Q2671" s="0" t="s">
        <v>236</v>
      </c>
      <c r="R2671" s="0" t="s">
        <v>237</v>
      </c>
      <c r="S2671" s="0" t="s">
        <v>21</v>
      </c>
      <c r="T2671" s="0" t="s">
        <v>104</v>
      </c>
      <c r="U2671" s="0" t="s">
        <v>238</v>
      </c>
      <c r="W2671" s="0" t="s">
        <v>105</v>
      </c>
      <c r="Z2671" s="0" t="s">
        <v>134</v>
      </c>
    </row>
    <row r="2672" customFormat="false" ht="15" hidden="false" customHeight="false" outlineLevel="0" collapsed="false">
      <c r="A2672" s="0" t="s">
        <v>21</v>
      </c>
      <c r="B2672" s="0" t="s">
        <v>8541</v>
      </c>
      <c r="C2672" s="0" t="s">
        <v>863</v>
      </c>
      <c r="D2672" s="0" t="s">
        <v>8542</v>
      </c>
      <c r="E2672" s="0" t="s">
        <v>8543</v>
      </c>
      <c r="M2672" s="0" t="s">
        <v>232</v>
      </c>
      <c r="N2672" s="0" t="s">
        <v>124</v>
      </c>
      <c r="P2672" s="0" t="s">
        <v>102</v>
      </c>
      <c r="Q2672" s="0" t="s">
        <v>102</v>
      </c>
      <c r="R2672" s="0" t="s">
        <v>137</v>
      </c>
      <c r="S2672" s="0" t="s">
        <v>21</v>
      </c>
      <c r="T2672" s="0" t="s">
        <v>104</v>
      </c>
      <c r="W2672" s="0" t="s">
        <v>105</v>
      </c>
    </row>
    <row r="2673" customFormat="false" ht="15" hidden="false" customHeight="false" outlineLevel="0" collapsed="false">
      <c r="A2673" s="0" t="s">
        <v>21</v>
      </c>
      <c r="B2673" s="0" t="s">
        <v>8544</v>
      </c>
      <c r="C2673" s="0" t="s">
        <v>863</v>
      </c>
      <c r="D2673" s="0" t="s">
        <v>8545</v>
      </c>
      <c r="E2673" s="0" t="s">
        <v>8545</v>
      </c>
      <c r="M2673" s="0" t="s">
        <v>136</v>
      </c>
      <c r="N2673" s="0" t="s">
        <v>124</v>
      </c>
      <c r="P2673" s="0" t="s">
        <v>102</v>
      </c>
      <c r="Q2673" s="0" t="s">
        <v>102</v>
      </c>
      <c r="R2673" s="0" t="s">
        <v>137</v>
      </c>
      <c r="S2673" s="0" t="s">
        <v>21</v>
      </c>
      <c r="T2673" s="0" t="s">
        <v>104</v>
      </c>
      <c r="W2673" s="0" t="s">
        <v>105</v>
      </c>
    </row>
    <row r="2674" customFormat="false" ht="15" hidden="false" customHeight="false" outlineLevel="0" collapsed="false">
      <c r="A2674" s="0" t="s">
        <v>21</v>
      </c>
      <c r="B2674" s="0" t="s">
        <v>8546</v>
      </c>
      <c r="C2674" s="0" t="s">
        <v>863</v>
      </c>
      <c r="D2674" s="0" t="s">
        <v>8547</v>
      </c>
      <c r="E2674" s="0" t="s">
        <v>8547</v>
      </c>
      <c r="M2674" s="0" t="s">
        <v>136</v>
      </c>
      <c r="N2674" s="0" t="s">
        <v>124</v>
      </c>
      <c r="P2674" s="0" t="s">
        <v>102</v>
      </c>
      <c r="Q2674" s="0" t="s">
        <v>102</v>
      </c>
      <c r="R2674" s="0" t="s">
        <v>137</v>
      </c>
      <c r="S2674" s="0" t="s">
        <v>21</v>
      </c>
      <c r="T2674" s="0" t="s">
        <v>104</v>
      </c>
      <c r="W2674" s="0" t="s">
        <v>105</v>
      </c>
    </row>
    <row r="2675" customFormat="false" ht="15" hidden="false" customHeight="false" outlineLevel="0" collapsed="false">
      <c r="A2675" s="0" t="s">
        <v>21</v>
      </c>
      <c r="B2675" s="0" t="s">
        <v>8548</v>
      </c>
      <c r="C2675" s="0" t="s">
        <v>863</v>
      </c>
      <c r="D2675" s="0" t="s">
        <v>7794</v>
      </c>
      <c r="E2675" s="0" t="s">
        <v>8549</v>
      </c>
      <c r="G2675" s="0" t="s">
        <v>8550</v>
      </c>
      <c r="M2675" s="0" t="s">
        <v>232</v>
      </c>
      <c r="N2675" s="0" t="s">
        <v>124</v>
      </c>
      <c r="P2675" s="0" t="s">
        <v>102</v>
      </c>
      <c r="Q2675" s="0" t="s">
        <v>102</v>
      </c>
      <c r="R2675" s="0" t="s">
        <v>137</v>
      </c>
      <c r="S2675" s="0" t="s">
        <v>21</v>
      </c>
      <c r="T2675" s="0" t="s">
        <v>104</v>
      </c>
      <c r="W2675" s="0" t="s">
        <v>105</v>
      </c>
    </row>
    <row r="2676" customFormat="false" ht="15" hidden="false" customHeight="false" outlineLevel="0" collapsed="false">
      <c r="A2676" s="0" t="s">
        <v>21</v>
      </c>
      <c r="B2676" s="0" t="s">
        <v>8551</v>
      </c>
      <c r="C2676" s="0" t="s">
        <v>863</v>
      </c>
      <c r="D2676" s="0" t="s">
        <v>8552</v>
      </c>
      <c r="E2676" s="0" t="s">
        <v>8552</v>
      </c>
      <c r="M2676" s="0" t="s">
        <v>136</v>
      </c>
      <c r="N2676" s="0" t="s">
        <v>124</v>
      </c>
      <c r="P2676" s="0" t="s">
        <v>102</v>
      </c>
      <c r="Q2676" s="0" t="s">
        <v>102</v>
      </c>
      <c r="R2676" s="0" t="s">
        <v>137</v>
      </c>
      <c r="S2676" s="0" t="s">
        <v>21</v>
      </c>
      <c r="T2676" s="0" t="s">
        <v>104</v>
      </c>
      <c r="W2676" s="0" t="s">
        <v>105</v>
      </c>
    </row>
    <row r="2677" customFormat="false" ht="15" hidden="false" customHeight="false" outlineLevel="0" collapsed="false">
      <c r="A2677" s="0" t="s">
        <v>21</v>
      </c>
      <c r="B2677" s="0" t="s">
        <v>8553</v>
      </c>
      <c r="C2677" s="0" t="s">
        <v>863</v>
      </c>
      <c r="D2677" s="0" t="s">
        <v>8554</v>
      </c>
      <c r="E2677" s="0" t="s">
        <v>8554</v>
      </c>
      <c r="M2677" s="0" t="s">
        <v>136</v>
      </c>
      <c r="N2677" s="0" t="s">
        <v>124</v>
      </c>
      <c r="P2677" s="0" t="s">
        <v>1044</v>
      </c>
      <c r="Q2677" s="0" t="s">
        <v>1044</v>
      </c>
      <c r="R2677" s="0" t="s">
        <v>103</v>
      </c>
      <c r="S2677" s="0" t="s">
        <v>21</v>
      </c>
      <c r="T2677" s="0" t="s">
        <v>104</v>
      </c>
      <c r="W2677" s="0" t="s">
        <v>105</v>
      </c>
    </row>
    <row r="2678" customFormat="false" ht="15" hidden="false" customHeight="false" outlineLevel="0" collapsed="false">
      <c r="A2678" s="0" t="s">
        <v>21</v>
      </c>
      <c r="B2678" s="0" t="s">
        <v>8555</v>
      </c>
      <c r="C2678" s="0" t="s">
        <v>863</v>
      </c>
      <c r="D2678" s="0" t="s">
        <v>8556</v>
      </c>
      <c r="E2678" s="0" t="s">
        <v>8556</v>
      </c>
      <c r="M2678" s="0" t="s">
        <v>136</v>
      </c>
      <c r="N2678" s="0" t="s">
        <v>124</v>
      </c>
      <c r="P2678" s="0" t="s">
        <v>102</v>
      </c>
      <c r="Q2678" s="0" t="s">
        <v>102</v>
      </c>
      <c r="R2678" s="0" t="s">
        <v>3947</v>
      </c>
      <c r="S2678" s="0" t="s">
        <v>21</v>
      </c>
      <c r="T2678" s="0" t="s">
        <v>104</v>
      </c>
      <c r="W2678" s="0" t="s">
        <v>105</v>
      </c>
    </row>
    <row r="2679" customFormat="false" ht="15" hidden="false" customHeight="false" outlineLevel="0" collapsed="false">
      <c r="A2679" s="0" t="s">
        <v>21</v>
      </c>
      <c r="B2679" s="0" t="s">
        <v>8557</v>
      </c>
      <c r="C2679" s="0" t="s">
        <v>863</v>
      </c>
      <c r="D2679" s="0" t="s">
        <v>8558</v>
      </c>
      <c r="E2679" s="0" t="s">
        <v>8558</v>
      </c>
      <c r="M2679" s="0" t="s">
        <v>136</v>
      </c>
      <c r="N2679" s="0" t="s">
        <v>124</v>
      </c>
      <c r="P2679" s="0" t="s">
        <v>102</v>
      </c>
      <c r="Q2679" s="0" t="s">
        <v>102</v>
      </c>
      <c r="R2679" s="0" t="s">
        <v>224</v>
      </c>
      <c r="S2679" s="0" t="s">
        <v>21</v>
      </c>
      <c r="T2679" s="0" t="s">
        <v>104</v>
      </c>
      <c r="W2679" s="0" t="s">
        <v>105</v>
      </c>
    </row>
    <row r="2680" customFormat="false" ht="15" hidden="false" customHeight="false" outlineLevel="0" collapsed="false">
      <c r="A2680" s="0" t="s">
        <v>21</v>
      </c>
      <c r="B2680" s="0" t="s">
        <v>8559</v>
      </c>
      <c r="C2680" s="0" t="s">
        <v>863</v>
      </c>
      <c r="D2680" s="0" t="s">
        <v>8560</v>
      </c>
      <c r="E2680" s="0" t="s">
        <v>8560</v>
      </c>
      <c r="M2680" s="0" t="s">
        <v>136</v>
      </c>
      <c r="N2680" s="0" t="s">
        <v>124</v>
      </c>
      <c r="P2680" s="0" t="s">
        <v>102</v>
      </c>
      <c r="Q2680" s="0" t="s">
        <v>102</v>
      </c>
      <c r="R2680" s="0" t="s">
        <v>131</v>
      </c>
      <c r="S2680" s="0" t="s">
        <v>21</v>
      </c>
      <c r="T2680" s="0" t="s">
        <v>104</v>
      </c>
      <c r="W2680" s="0" t="s">
        <v>105</v>
      </c>
    </row>
    <row r="2681" customFormat="false" ht="15" hidden="false" customHeight="false" outlineLevel="0" collapsed="false">
      <c r="A2681" s="0" t="s">
        <v>21</v>
      </c>
      <c r="B2681" s="0" t="s">
        <v>8561</v>
      </c>
      <c r="C2681" s="0" t="s">
        <v>863</v>
      </c>
      <c r="D2681" s="0" t="s">
        <v>8562</v>
      </c>
      <c r="E2681" s="0" t="s">
        <v>8562</v>
      </c>
      <c r="M2681" s="0" t="s">
        <v>136</v>
      </c>
      <c r="N2681" s="0" t="s">
        <v>124</v>
      </c>
      <c r="P2681" s="0" t="s">
        <v>102</v>
      </c>
      <c r="Q2681" s="0" t="s">
        <v>102</v>
      </c>
      <c r="R2681" s="0" t="s">
        <v>131</v>
      </c>
      <c r="S2681" s="0" t="s">
        <v>21</v>
      </c>
      <c r="T2681" s="0" t="s">
        <v>104</v>
      </c>
      <c r="W2681" s="0" t="s">
        <v>105</v>
      </c>
    </row>
    <row r="2682" customFormat="false" ht="15" hidden="false" customHeight="false" outlineLevel="0" collapsed="false">
      <c r="A2682" s="0" t="s">
        <v>21</v>
      </c>
      <c r="B2682" s="0" t="s">
        <v>8563</v>
      </c>
      <c r="C2682" s="0" t="s">
        <v>863</v>
      </c>
      <c r="D2682" s="0" t="s">
        <v>8536</v>
      </c>
      <c r="E2682" s="0" t="s">
        <v>8536</v>
      </c>
      <c r="M2682" s="0" t="s">
        <v>136</v>
      </c>
      <c r="N2682" s="0" t="s">
        <v>124</v>
      </c>
      <c r="P2682" s="0" t="s">
        <v>102</v>
      </c>
      <c r="Q2682" s="0" t="s">
        <v>102</v>
      </c>
      <c r="R2682" s="0" t="s">
        <v>131</v>
      </c>
      <c r="S2682" s="0" t="s">
        <v>21</v>
      </c>
      <c r="T2682" s="0" t="s">
        <v>104</v>
      </c>
      <c r="W2682" s="0" t="s">
        <v>105</v>
      </c>
    </row>
    <row r="2683" customFormat="false" ht="15" hidden="false" customHeight="false" outlineLevel="0" collapsed="false">
      <c r="A2683" s="0" t="s">
        <v>21</v>
      </c>
      <c r="B2683" s="0" t="s">
        <v>8564</v>
      </c>
      <c r="C2683" s="0" t="s">
        <v>863</v>
      </c>
      <c r="D2683" s="0" t="s">
        <v>8565</v>
      </c>
      <c r="E2683" s="0" t="s">
        <v>8565</v>
      </c>
      <c r="M2683" s="0" t="s">
        <v>136</v>
      </c>
      <c r="N2683" s="0" t="s">
        <v>124</v>
      </c>
      <c r="P2683" s="0" t="s">
        <v>102</v>
      </c>
      <c r="Q2683" s="0" t="s">
        <v>102</v>
      </c>
      <c r="R2683" s="0" t="s">
        <v>131</v>
      </c>
      <c r="S2683" s="0" t="s">
        <v>21</v>
      </c>
      <c r="T2683" s="0" t="s">
        <v>104</v>
      </c>
      <c r="W2683" s="0" t="s">
        <v>105</v>
      </c>
    </row>
    <row r="2684" customFormat="false" ht="15" hidden="false" customHeight="false" outlineLevel="0" collapsed="false">
      <c r="A2684" s="0" t="s">
        <v>21</v>
      </c>
      <c r="B2684" s="0" t="s">
        <v>8566</v>
      </c>
      <c r="C2684" s="0" t="s">
        <v>863</v>
      </c>
      <c r="D2684" s="0" t="s">
        <v>8567</v>
      </c>
      <c r="E2684" s="0" t="s">
        <v>8567</v>
      </c>
      <c r="M2684" s="0" t="s">
        <v>136</v>
      </c>
      <c r="N2684" s="0" t="s">
        <v>124</v>
      </c>
      <c r="P2684" s="0" t="s">
        <v>102</v>
      </c>
      <c r="Q2684" s="0" t="s">
        <v>102</v>
      </c>
      <c r="R2684" s="0" t="s">
        <v>131</v>
      </c>
      <c r="S2684" s="0" t="s">
        <v>21</v>
      </c>
      <c r="T2684" s="0" t="s">
        <v>104</v>
      </c>
      <c r="W2684" s="0" t="s">
        <v>105</v>
      </c>
    </row>
    <row r="2685" customFormat="false" ht="15" hidden="false" customHeight="false" outlineLevel="0" collapsed="false">
      <c r="A2685" s="0" t="s">
        <v>21</v>
      </c>
      <c r="B2685" s="0" t="s">
        <v>8568</v>
      </c>
      <c r="C2685" s="0" t="s">
        <v>863</v>
      </c>
      <c r="D2685" s="0" t="s">
        <v>8569</v>
      </c>
      <c r="E2685" s="0" t="s">
        <v>8569</v>
      </c>
      <c r="M2685" s="0" t="s">
        <v>136</v>
      </c>
      <c r="N2685" s="0" t="s">
        <v>124</v>
      </c>
      <c r="P2685" s="0" t="s">
        <v>102</v>
      </c>
      <c r="Q2685" s="0" t="s">
        <v>102</v>
      </c>
      <c r="R2685" s="0" t="s">
        <v>131</v>
      </c>
      <c r="S2685" s="0" t="s">
        <v>21</v>
      </c>
      <c r="T2685" s="0" t="s">
        <v>104</v>
      </c>
      <c r="W2685" s="0" t="s">
        <v>105</v>
      </c>
    </row>
    <row r="2686" customFormat="false" ht="15" hidden="false" customHeight="false" outlineLevel="0" collapsed="false">
      <c r="A2686" s="0" t="s">
        <v>21</v>
      </c>
      <c r="B2686" s="0" t="s">
        <v>8570</v>
      </c>
      <c r="C2686" s="0" t="s">
        <v>863</v>
      </c>
      <c r="D2686" s="0" t="s">
        <v>8571</v>
      </c>
      <c r="E2686" s="0" t="s">
        <v>8571</v>
      </c>
      <c r="M2686" s="0" t="s">
        <v>136</v>
      </c>
      <c r="N2686" s="0" t="s">
        <v>124</v>
      </c>
      <c r="P2686" s="0" t="s">
        <v>102</v>
      </c>
      <c r="Q2686" s="0" t="s">
        <v>102</v>
      </c>
      <c r="R2686" s="0" t="s">
        <v>131</v>
      </c>
      <c r="S2686" s="0" t="s">
        <v>21</v>
      </c>
      <c r="T2686" s="0" t="s">
        <v>104</v>
      </c>
      <c r="W2686" s="0" t="s">
        <v>105</v>
      </c>
    </row>
    <row r="2687" customFormat="false" ht="15" hidden="false" customHeight="false" outlineLevel="0" collapsed="false">
      <c r="A2687" s="0" t="s">
        <v>21</v>
      </c>
      <c r="B2687" s="0" t="s">
        <v>8572</v>
      </c>
      <c r="C2687" s="0" t="s">
        <v>863</v>
      </c>
      <c r="D2687" s="0" t="s">
        <v>8573</v>
      </c>
      <c r="E2687" s="0" t="s">
        <v>8573</v>
      </c>
      <c r="M2687" s="0" t="s">
        <v>136</v>
      </c>
      <c r="N2687" s="0" t="s">
        <v>124</v>
      </c>
      <c r="P2687" s="0" t="s">
        <v>102</v>
      </c>
      <c r="Q2687" s="0" t="s">
        <v>102</v>
      </c>
      <c r="R2687" s="0" t="s">
        <v>131</v>
      </c>
      <c r="S2687" s="0" t="s">
        <v>21</v>
      </c>
      <c r="T2687" s="0" t="s">
        <v>104</v>
      </c>
      <c r="W2687" s="0" t="s">
        <v>105</v>
      </c>
    </row>
    <row r="2688" customFormat="false" ht="15" hidden="false" customHeight="false" outlineLevel="0" collapsed="false">
      <c r="A2688" s="0" t="s">
        <v>21</v>
      </c>
      <c r="B2688" s="0" t="s">
        <v>8574</v>
      </c>
      <c r="C2688" s="0" t="s">
        <v>863</v>
      </c>
      <c r="D2688" s="0" t="s">
        <v>8575</v>
      </c>
      <c r="E2688" s="0" t="s">
        <v>8575</v>
      </c>
      <c r="G2688" s="0" t="s">
        <v>8576</v>
      </c>
      <c r="M2688" s="0" t="s">
        <v>136</v>
      </c>
      <c r="N2688" s="0" t="s">
        <v>124</v>
      </c>
      <c r="P2688" s="0" t="s">
        <v>102</v>
      </c>
      <c r="Q2688" s="0" t="s">
        <v>102</v>
      </c>
      <c r="R2688" s="0" t="s">
        <v>131</v>
      </c>
      <c r="S2688" s="0" t="s">
        <v>21</v>
      </c>
      <c r="T2688" s="0" t="s">
        <v>104</v>
      </c>
      <c r="W2688" s="0" t="s">
        <v>105</v>
      </c>
    </row>
    <row r="2689" customFormat="false" ht="15" hidden="false" customHeight="false" outlineLevel="0" collapsed="false">
      <c r="A2689" s="0" t="s">
        <v>21</v>
      </c>
      <c r="B2689" s="0" t="s">
        <v>8577</v>
      </c>
      <c r="C2689" s="0" t="s">
        <v>863</v>
      </c>
      <c r="D2689" s="0" t="s">
        <v>8578</v>
      </c>
      <c r="E2689" s="0" t="s">
        <v>8578</v>
      </c>
      <c r="G2689" s="0" t="s">
        <v>8579</v>
      </c>
      <c r="M2689" s="0" t="s">
        <v>136</v>
      </c>
      <c r="N2689" s="0" t="s">
        <v>124</v>
      </c>
      <c r="P2689" s="0" t="s">
        <v>102</v>
      </c>
      <c r="Q2689" s="0" t="s">
        <v>102</v>
      </c>
      <c r="R2689" s="0" t="s">
        <v>131</v>
      </c>
      <c r="S2689" s="0" t="s">
        <v>21</v>
      </c>
      <c r="T2689" s="0" t="s">
        <v>104</v>
      </c>
      <c r="W2689" s="0" t="s">
        <v>105</v>
      </c>
    </row>
    <row r="2690" customFormat="false" ht="15" hidden="false" customHeight="false" outlineLevel="0" collapsed="false">
      <c r="A2690" s="0" t="s">
        <v>21</v>
      </c>
      <c r="B2690" s="0" t="s">
        <v>8580</v>
      </c>
      <c r="C2690" s="0" t="s">
        <v>863</v>
      </c>
      <c r="D2690" s="0" t="s">
        <v>8581</v>
      </c>
      <c r="E2690" s="0" t="s">
        <v>8581</v>
      </c>
      <c r="G2690" s="0" t="s">
        <v>8582</v>
      </c>
      <c r="M2690" s="0" t="s">
        <v>136</v>
      </c>
      <c r="N2690" s="0" t="s">
        <v>124</v>
      </c>
      <c r="P2690" s="0" t="s">
        <v>102</v>
      </c>
      <c r="Q2690" s="0" t="s">
        <v>102</v>
      </c>
      <c r="R2690" s="0" t="s">
        <v>131</v>
      </c>
      <c r="S2690" s="0" t="s">
        <v>21</v>
      </c>
      <c r="T2690" s="0" t="s">
        <v>104</v>
      </c>
      <c r="W2690" s="0" t="s">
        <v>105</v>
      </c>
    </row>
    <row r="2691" customFormat="false" ht="15" hidden="false" customHeight="false" outlineLevel="0" collapsed="false">
      <c r="A2691" s="0" t="s">
        <v>21</v>
      </c>
      <c r="B2691" s="0" t="s">
        <v>8583</v>
      </c>
      <c r="C2691" s="0" t="s">
        <v>97</v>
      </c>
      <c r="D2691" s="0" t="s">
        <v>8584</v>
      </c>
      <c r="E2691" s="0" t="s">
        <v>8584</v>
      </c>
      <c r="M2691" s="0" t="s">
        <v>136</v>
      </c>
      <c r="N2691" s="0" t="s">
        <v>124</v>
      </c>
      <c r="P2691" s="0" t="s">
        <v>102</v>
      </c>
      <c r="Q2691" s="0" t="s">
        <v>102</v>
      </c>
      <c r="R2691" s="0" t="s">
        <v>131</v>
      </c>
      <c r="S2691" s="0" t="s">
        <v>21</v>
      </c>
      <c r="T2691" s="0" t="s">
        <v>104</v>
      </c>
      <c r="W2691" s="0" t="s">
        <v>105</v>
      </c>
    </row>
    <row r="2692" customFormat="false" ht="15" hidden="false" customHeight="false" outlineLevel="0" collapsed="false">
      <c r="A2692" s="0" t="s">
        <v>21</v>
      </c>
      <c r="B2692" s="0" t="s">
        <v>8585</v>
      </c>
      <c r="C2692" s="0" t="s">
        <v>863</v>
      </c>
      <c r="D2692" s="0" t="s">
        <v>8586</v>
      </c>
      <c r="E2692" s="0" t="s">
        <v>8586</v>
      </c>
      <c r="G2692" s="0" t="s">
        <v>8587</v>
      </c>
      <c r="M2692" s="0" t="s">
        <v>136</v>
      </c>
      <c r="N2692" s="0" t="s">
        <v>124</v>
      </c>
      <c r="P2692" s="0" t="s">
        <v>102</v>
      </c>
      <c r="Q2692" s="0" t="s">
        <v>102</v>
      </c>
      <c r="R2692" s="0" t="s">
        <v>131</v>
      </c>
      <c r="S2692" s="0" t="s">
        <v>21</v>
      </c>
      <c r="T2692" s="0" t="s">
        <v>104</v>
      </c>
      <c r="W2692" s="0" t="s">
        <v>105</v>
      </c>
    </row>
    <row r="2693" customFormat="false" ht="15" hidden="false" customHeight="false" outlineLevel="0" collapsed="false">
      <c r="A2693" s="0" t="s">
        <v>21</v>
      </c>
      <c r="B2693" s="0" t="s">
        <v>8588</v>
      </c>
      <c r="C2693" s="0" t="s">
        <v>863</v>
      </c>
      <c r="D2693" s="0" t="s">
        <v>8589</v>
      </c>
      <c r="E2693" s="0" t="s">
        <v>8590</v>
      </c>
      <c r="G2693" s="0" t="s">
        <v>8591</v>
      </c>
      <c r="M2693" s="0" t="s">
        <v>247</v>
      </c>
      <c r="N2693" s="0" t="s">
        <v>124</v>
      </c>
      <c r="P2693" s="0" t="s">
        <v>102</v>
      </c>
      <c r="Q2693" s="0" t="s">
        <v>102</v>
      </c>
      <c r="R2693" s="0" t="s">
        <v>131</v>
      </c>
      <c r="S2693" s="0" t="s">
        <v>21</v>
      </c>
      <c r="T2693" s="0" t="s">
        <v>104</v>
      </c>
      <c r="W2693" s="0" t="s">
        <v>105</v>
      </c>
    </row>
    <row r="2694" customFormat="false" ht="15" hidden="false" customHeight="false" outlineLevel="0" collapsed="false">
      <c r="A2694" s="0" t="s">
        <v>21</v>
      </c>
      <c r="B2694" s="0" t="s">
        <v>8592</v>
      </c>
      <c r="C2694" s="0" t="s">
        <v>863</v>
      </c>
      <c r="D2694" s="0" t="s">
        <v>8593</v>
      </c>
      <c r="E2694" s="0" t="s">
        <v>8594</v>
      </c>
      <c r="G2694" s="0" t="s">
        <v>8595</v>
      </c>
      <c r="M2694" s="0" t="s">
        <v>247</v>
      </c>
      <c r="N2694" s="0" t="s">
        <v>124</v>
      </c>
      <c r="P2694" s="0" t="s">
        <v>102</v>
      </c>
      <c r="Q2694" s="0" t="s">
        <v>102</v>
      </c>
      <c r="R2694" s="0" t="s">
        <v>131</v>
      </c>
      <c r="S2694" s="0" t="s">
        <v>21</v>
      </c>
      <c r="T2694" s="0" t="s">
        <v>104</v>
      </c>
      <c r="W2694" s="0" t="s">
        <v>105</v>
      </c>
    </row>
    <row r="2695" customFormat="false" ht="15" hidden="false" customHeight="false" outlineLevel="0" collapsed="false">
      <c r="A2695" s="0" t="s">
        <v>21</v>
      </c>
      <c r="B2695" s="0" t="s">
        <v>8596</v>
      </c>
      <c r="C2695" s="0" t="s">
        <v>863</v>
      </c>
      <c r="D2695" s="0" t="s">
        <v>8597</v>
      </c>
      <c r="E2695" s="0" t="s">
        <v>8598</v>
      </c>
      <c r="G2695" s="0" t="s">
        <v>8599</v>
      </c>
      <c r="M2695" s="0" t="s">
        <v>247</v>
      </c>
      <c r="N2695" s="0" t="s">
        <v>124</v>
      </c>
      <c r="P2695" s="0" t="s">
        <v>102</v>
      </c>
      <c r="Q2695" s="0" t="s">
        <v>102</v>
      </c>
      <c r="R2695" s="0" t="s">
        <v>131</v>
      </c>
      <c r="S2695" s="0" t="s">
        <v>21</v>
      </c>
      <c r="T2695" s="0" t="s">
        <v>104</v>
      </c>
      <c r="W2695" s="0" t="s">
        <v>105</v>
      </c>
    </row>
    <row r="2696" customFormat="false" ht="15" hidden="false" customHeight="false" outlineLevel="0" collapsed="false">
      <c r="A2696" s="0" t="s">
        <v>21</v>
      </c>
      <c r="B2696" s="0" t="s">
        <v>8600</v>
      </c>
      <c r="C2696" s="0" t="s">
        <v>863</v>
      </c>
      <c r="D2696" s="0" t="s">
        <v>8601</v>
      </c>
      <c r="E2696" s="0" t="s">
        <v>8601</v>
      </c>
      <c r="G2696" s="0" t="s">
        <v>8602</v>
      </c>
      <c r="M2696" s="0" t="s">
        <v>136</v>
      </c>
      <c r="N2696" s="0" t="s">
        <v>124</v>
      </c>
      <c r="P2696" s="0" t="s">
        <v>102</v>
      </c>
      <c r="Q2696" s="0" t="s">
        <v>102</v>
      </c>
      <c r="R2696" s="0" t="s">
        <v>131</v>
      </c>
      <c r="S2696" s="0" t="s">
        <v>21</v>
      </c>
      <c r="T2696" s="0" t="s">
        <v>104</v>
      </c>
      <c r="W2696" s="0" t="s">
        <v>105</v>
      </c>
    </row>
    <row r="2697" customFormat="false" ht="15" hidden="false" customHeight="false" outlineLevel="0" collapsed="false">
      <c r="A2697" s="0" t="s">
        <v>21</v>
      </c>
      <c r="B2697" s="0" t="s">
        <v>8603</v>
      </c>
      <c r="C2697" s="0" t="s">
        <v>863</v>
      </c>
      <c r="D2697" s="0" t="s">
        <v>7494</v>
      </c>
      <c r="E2697" s="0" t="s">
        <v>7494</v>
      </c>
      <c r="M2697" s="0" t="s">
        <v>136</v>
      </c>
      <c r="N2697" s="0" t="s">
        <v>124</v>
      </c>
      <c r="P2697" s="0" t="s">
        <v>130</v>
      </c>
      <c r="Q2697" s="0" t="s">
        <v>130</v>
      </c>
      <c r="R2697" s="0" t="s">
        <v>131</v>
      </c>
      <c r="S2697" s="0" t="s">
        <v>21</v>
      </c>
      <c r="T2697" s="0" t="s">
        <v>104</v>
      </c>
      <c r="W2697" s="0" t="s">
        <v>105</v>
      </c>
    </row>
    <row r="2698" customFormat="false" ht="15" hidden="false" customHeight="false" outlineLevel="0" collapsed="false">
      <c r="A2698" s="0" t="s">
        <v>21</v>
      </c>
      <c r="B2698" s="0" t="s">
        <v>8604</v>
      </c>
      <c r="C2698" s="0" t="s">
        <v>863</v>
      </c>
      <c r="D2698" s="0" t="s">
        <v>8605</v>
      </c>
      <c r="E2698" s="0" t="s">
        <v>8605</v>
      </c>
      <c r="M2698" s="0" t="s">
        <v>136</v>
      </c>
      <c r="N2698" s="0" t="s">
        <v>124</v>
      </c>
      <c r="P2698" s="0" t="s">
        <v>102</v>
      </c>
      <c r="Q2698" s="0" t="s">
        <v>102</v>
      </c>
      <c r="R2698" s="0" t="s">
        <v>131</v>
      </c>
      <c r="S2698" s="0" t="s">
        <v>21</v>
      </c>
      <c r="T2698" s="0" t="s">
        <v>104</v>
      </c>
      <c r="W2698" s="0" t="s">
        <v>105</v>
      </c>
    </row>
    <row r="2699" customFormat="false" ht="15" hidden="false" customHeight="false" outlineLevel="0" collapsed="false">
      <c r="A2699" s="0" t="s">
        <v>21</v>
      </c>
      <c r="B2699" s="0" t="s">
        <v>8606</v>
      </c>
      <c r="C2699" s="0" t="s">
        <v>863</v>
      </c>
      <c r="D2699" s="0" t="s">
        <v>8607</v>
      </c>
      <c r="E2699" s="0" t="s">
        <v>8607</v>
      </c>
      <c r="M2699" s="0" t="s">
        <v>136</v>
      </c>
      <c r="N2699" s="0" t="s">
        <v>124</v>
      </c>
      <c r="P2699" s="0" t="s">
        <v>130</v>
      </c>
      <c r="Q2699" s="0" t="s">
        <v>130</v>
      </c>
      <c r="R2699" s="0" t="s">
        <v>467</v>
      </c>
      <c r="S2699" s="0" t="s">
        <v>21</v>
      </c>
      <c r="T2699" s="0" t="s">
        <v>104</v>
      </c>
      <c r="W2699" s="0" t="s">
        <v>105</v>
      </c>
    </row>
    <row r="2700" customFormat="false" ht="15" hidden="false" customHeight="false" outlineLevel="0" collapsed="false">
      <c r="A2700" s="0" t="s">
        <v>21</v>
      </c>
      <c r="B2700" s="0" t="s">
        <v>8608</v>
      </c>
      <c r="C2700" s="0" t="s">
        <v>863</v>
      </c>
      <c r="D2700" s="0" t="s">
        <v>8609</v>
      </c>
      <c r="E2700" s="0" t="s">
        <v>8609</v>
      </c>
      <c r="M2700" s="0" t="s">
        <v>232</v>
      </c>
      <c r="N2700" s="0" t="s">
        <v>124</v>
      </c>
      <c r="P2700" s="0" t="s">
        <v>221</v>
      </c>
      <c r="Q2700" s="0" t="s">
        <v>221</v>
      </c>
      <c r="R2700" s="0" t="s">
        <v>221</v>
      </c>
      <c r="S2700" s="0" t="s">
        <v>21</v>
      </c>
      <c r="T2700" s="0" t="s">
        <v>104</v>
      </c>
      <c r="W2700" s="0" t="s">
        <v>183</v>
      </c>
    </row>
    <row r="2701" customFormat="false" ht="15" hidden="false" customHeight="false" outlineLevel="0" collapsed="false">
      <c r="A2701" s="0" t="s">
        <v>21</v>
      </c>
      <c r="B2701" s="0" t="s">
        <v>8608</v>
      </c>
      <c r="C2701" s="0" t="s">
        <v>863</v>
      </c>
      <c r="D2701" s="0" t="s">
        <v>8609</v>
      </c>
      <c r="E2701" s="0" t="s">
        <v>8609</v>
      </c>
      <c r="M2701" s="0" t="s">
        <v>232</v>
      </c>
      <c r="N2701" s="0" t="s">
        <v>124</v>
      </c>
      <c r="P2701" s="0" t="s">
        <v>102</v>
      </c>
      <c r="Q2701" s="0" t="s">
        <v>102</v>
      </c>
      <c r="R2701" s="0" t="s">
        <v>224</v>
      </c>
      <c r="S2701" s="0" t="s">
        <v>21</v>
      </c>
      <c r="T2701" s="0" t="s">
        <v>104</v>
      </c>
      <c r="V2701" s="0" t="s">
        <v>225</v>
      </c>
      <c r="W2701" s="0" t="s">
        <v>105</v>
      </c>
    </row>
    <row r="2702" customFormat="false" ht="15" hidden="false" customHeight="false" outlineLevel="0" collapsed="false">
      <c r="A2702" s="0" t="s">
        <v>21</v>
      </c>
      <c r="B2702" s="0" t="s">
        <v>8608</v>
      </c>
      <c r="C2702" s="0" t="s">
        <v>863</v>
      </c>
      <c r="D2702" s="0" t="s">
        <v>8609</v>
      </c>
      <c r="E2702" s="0" t="s">
        <v>8609</v>
      </c>
      <c r="M2702" s="0" t="s">
        <v>232</v>
      </c>
      <c r="N2702" s="0" t="s">
        <v>124</v>
      </c>
      <c r="P2702" s="0" t="s">
        <v>130</v>
      </c>
      <c r="Q2702" s="0" t="s">
        <v>130</v>
      </c>
      <c r="R2702" s="0" t="s">
        <v>226</v>
      </c>
      <c r="S2702" s="0" t="s">
        <v>21</v>
      </c>
      <c r="T2702" s="0" t="s">
        <v>104</v>
      </c>
      <c r="U2702" s="0" t="s">
        <v>227</v>
      </c>
      <c r="W2702" s="0" t="s">
        <v>105</v>
      </c>
    </row>
    <row r="2703" customFormat="false" ht="15" hidden="false" customHeight="false" outlineLevel="0" collapsed="false">
      <c r="A2703" s="0" t="s">
        <v>21</v>
      </c>
      <c r="B2703" s="0" t="s">
        <v>8610</v>
      </c>
      <c r="C2703" s="0" t="s">
        <v>863</v>
      </c>
      <c r="D2703" s="0" t="s">
        <v>8611</v>
      </c>
      <c r="E2703" s="0" t="s">
        <v>8611</v>
      </c>
      <c r="M2703" s="0" t="s">
        <v>136</v>
      </c>
      <c r="N2703" s="0" t="s">
        <v>124</v>
      </c>
      <c r="P2703" s="0" t="s">
        <v>1044</v>
      </c>
      <c r="Q2703" s="0" t="s">
        <v>1044</v>
      </c>
      <c r="R2703" s="0" t="s">
        <v>103</v>
      </c>
      <c r="S2703" s="0" t="s">
        <v>21</v>
      </c>
      <c r="T2703" s="0" t="s">
        <v>104</v>
      </c>
      <c r="W2703" s="0" t="s">
        <v>105</v>
      </c>
    </row>
    <row r="2704" customFormat="false" ht="15" hidden="false" customHeight="false" outlineLevel="0" collapsed="false">
      <c r="A2704" s="0" t="s">
        <v>21</v>
      </c>
      <c r="B2704" s="0" t="s">
        <v>8612</v>
      </c>
      <c r="C2704" s="0" t="s">
        <v>863</v>
      </c>
      <c r="D2704" s="0" t="s">
        <v>4140</v>
      </c>
      <c r="E2704" s="0" t="s">
        <v>4140</v>
      </c>
      <c r="M2704" s="0" t="s">
        <v>232</v>
      </c>
      <c r="N2704" s="0" t="s">
        <v>124</v>
      </c>
      <c r="P2704" s="0" t="s">
        <v>102</v>
      </c>
      <c r="Q2704" s="0" t="s">
        <v>102</v>
      </c>
      <c r="R2704" s="0" t="s">
        <v>804</v>
      </c>
      <c r="S2704" s="0" t="s">
        <v>21</v>
      </c>
      <c r="T2704" s="0" t="s">
        <v>104</v>
      </c>
      <c r="W2704" s="0" t="s">
        <v>105</v>
      </c>
      <c r="AB2704" s="0" t="s">
        <v>832</v>
      </c>
    </row>
    <row r="2705" customFormat="false" ht="15" hidden="false" customHeight="false" outlineLevel="0" collapsed="false">
      <c r="A2705" s="0" t="s">
        <v>21</v>
      </c>
      <c r="B2705" s="0" t="s">
        <v>8613</v>
      </c>
      <c r="C2705" s="0" t="s">
        <v>863</v>
      </c>
      <c r="D2705" s="0" t="s">
        <v>8614</v>
      </c>
      <c r="E2705" s="0" t="s">
        <v>8614</v>
      </c>
      <c r="M2705" s="0" t="s">
        <v>136</v>
      </c>
      <c r="N2705" s="0" t="s">
        <v>124</v>
      </c>
      <c r="P2705" s="0" t="s">
        <v>102</v>
      </c>
      <c r="Q2705" s="0" t="s">
        <v>102</v>
      </c>
      <c r="R2705" s="0" t="s">
        <v>804</v>
      </c>
      <c r="S2705" s="0" t="s">
        <v>21</v>
      </c>
      <c r="T2705" s="0" t="s">
        <v>104</v>
      </c>
      <c r="W2705" s="0" t="s">
        <v>105</v>
      </c>
      <c r="AB2705" s="0" t="s">
        <v>832</v>
      </c>
    </row>
    <row r="2706" customFormat="false" ht="15" hidden="false" customHeight="false" outlineLevel="0" collapsed="false">
      <c r="A2706" s="0" t="s">
        <v>21</v>
      </c>
      <c r="B2706" s="0" t="s">
        <v>8615</v>
      </c>
      <c r="C2706" s="0" t="s">
        <v>863</v>
      </c>
      <c r="D2706" s="0" t="s">
        <v>7732</v>
      </c>
      <c r="E2706" s="0" t="s">
        <v>7732</v>
      </c>
      <c r="M2706" s="0" t="s">
        <v>136</v>
      </c>
      <c r="N2706" s="0" t="s">
        <v>124</v>
      </c>
      <c r="P2706" s="0" t="s">
        <v>102</v>
      </c>
      <c r="Q2706" s="0" t="s">
        <v>102</v>
      </c>
      <c r="R2706" s="0" t="s">
        <v>144</v>
      </c>
      <c r="S2706" s="0" t="s">
        <v>21</v>
      </c>
      <c r="T2706" s="0" t="s">
        <v>104</v>
      </c>
      <c r="W2706" s="0" t="s">
        <v>105</v>
      </c>
    </row>
    <row r="2707" customFormat="false" ht="15" hidden="false" customHeight="false" outlineLevel="0" collapsed="false">
      <c r="A2707" s="0" t="s">
        <v>21</v>
      </c>
      <c r="B2707" s="0" t="s">
        <v>8616</v>
      </c>
      <c r="C2707" s="0" t="s">
        <v>863</v>
      </c>
      <c r="D2707" s="0" t="s">
        <v>8617</v>
      </c>
      <c r="E2707" s="0" t="s">
        <v>8617</v>
      </c>
      <c r="M2707" s="0" t="s">
        <v>232</v>
      </c>
      <c r="N2707" s="0" t="s">
        <v>124</v>
      </c>
      <c r="P2707" s="0" t="s">
        <v>102</v>
      </c>
      <c r="Q2707" s="0" t="s">
        <v>102</v>
      </c>
      <c r="R2707" s="0" t="s">
        <v>144</v>
      </c>
      <c r="S2707" s="0" t="s">
        <v>21</v>
      </c>
      <c r="T2707" s="0" t="s">
        <v>104</v>
      </c>
      <c r="W2707" s="0" t="s">
        <v>105</v>
      </c>
    </row>
    <row r="2708" customFormat="false" ht="15" hidden="false" customHeight="false" outlineLevel="0" collapsed="false">
      <c r="A2708" s="0" t="s">
        <v>21</v>
      </c>
      <c r="B2708" s="0" t="s">
        <v>8618</v>
      </c>
      <c r="C2708" s="0" t="s">
        <v>863</v>
      </c>
      <c r="D2708" s="0" t="s">
        <v>8619</v>
      </c>
      <c r="E2708" s="0" t="s">
        <v>8619</v>
      </c>
      <c r="M2708" s="0" t="s">
        <v>136</v>
      </c>
      <c r="N2708" s="0" t="s">
        <v>124</v>
      </c>
      <c r="P2708" s="0" t="s">
        <v>102</v>
      </c>
      <c r="Q2708" s="0" t="s">
        <v>102</v>
      </c>
      <c r="R2708" s="0" t="s">
        <v>144</v>
      </c>
      <c r="S2708" s="0" t="s">
        <v>21</v>
      </c>
      <c r="T2708" s="0" t="s">
        <v>104</v>
      </c>
      <c r="W2708" s="0" t="s">
        <v>105</v>
      </c>
    </row>
    <row r="2709" customFormat="false" ht="15" hidden="false" customHeight="false" outlineLevel="0" collapsed="false">
      <c r="A2709" s="0" t="s">
        <v>21</v>
      </c>
      <c r="B2709" s="0" t="s">
        <v>8620</v>
      </c>
      <c r="C2709" s="0" t="s">
        <v>863</v>
      </c>
      <c r="D2709" s="0" t="s">
        <v>8621</v>
      </c>
      <c r="E2709" s="0" t="s">
        <v>8621</v>
      </c>
      <c r="M2709" s="0" t="s">
        <v>136</v>
      </c>
      <c r="N2709" s="0" t="s">
        <v>124</v>
      </c>
      <c r="P2709" s="0" t="s">
        <v>102</v>
      </c>
      <c r="Q2709" s="0" t="s">
        <v>102</v>
      </c>
      <c r="R2709" s="0" t="s">
        <v>144</v>
      </c>
      <c r="S2709" s="0" t="s">
        <v>21</v>
      </c>
      <c r="T2709" s="0" t="s">
        <v>104</v>
      </c>
      <c r="W2709" s="0" t="s">
        <v>105</v>
      </c>
    </row>
    <row r="2710" customFormat="false" ht="15" hidden="false" customHeight="false" outlineLevel="0" collapsed="false">
      <c r="A2710" s="0" t="s">
        <v>21</v>
      </c>
      <c r="B2710" s="0" t="s">
        <v>8622</v>
      </c>
      <c r="C2710" s="0" t="s">
        <v>863</v>
      </c>
      <c r="D2710" s="0" t="s">
        <v>8623</v>
      </c>
      <c r="E2710" s="0" t="s">
        <v>8623</v>
      </c>
      <c r="M2710" s="0" t="s">
        <v>136</v>
      </c>
      <c r="N2710" s="0" t="s">
        <v>124</v>
      </c>
      <c r="P2710" s="0" t="s">
        <v>102</v>
      </c>
      <c r="Q2710" s="0" t="s">
        <v>102</v>
      </c>
      <c r="R2710" s="0" t="s">
        <v>144</v>
      </c>
      <c r="S2710" s="0" t="s">
        <v>21</v>
      </c>
      <c r="T2710" s="0" t="s">
        <v>104</v>
      </c>
      <c r="W2710" s="0" t="s">
        <v>105</v>
      </c>
    </row>
    <row r="2711" customFormat="false" ht="15" hidden="false" customHeight="false" outlineLevel="0" collapsed="false">
      <c r="A2711" s="0" t="s">
        <v>21</v>
      </c>
      <c r="B2711" s="0" t="s">
        <v>8624</v>
      </c>
      <c r="C2711" s="0" t="s">
        <v>863</v>
      </c>
      <c r="D2711" s="0" t="s">
        <v>8625</v>
      </c>
      <c r="E2711" s="0" t="s">
        <v>8625</v>
      </c>
      <c r="M2711" s="0" t="s">
        <v>136</v>
      </c>
      <c r="N2711" s="0" t="s">
        <v>124</v>
      </c>
      <c r="P2711" s="0" t="s">
        <v>236</v>
      </c>
      <c r="Q2711" s="0" t="s">
        <v>236</v>
      </c>
      <c r="R2711" s="0" t="s">
        <v>957</v>
      </c>
      <c r="S2711" s="0" t="s">
        <v>21</v>
      </c>
      <c r="T2711" s="0" t="s">
        <v>104</v>
      </c>
      <c r="W2711" s="0" t="s">
        <v>105</v>
      </c>
    </row>
    <row r="2712" customFormat="false" ht="15" hidden="false" customHeight="false" outlineLevel="0" collapsed="false">
      <c r="A2712" s="0" t="s">
        <v>21</v>
      </c>
      <c r="B2712" s="0" t="s">
        <v>8626</v>
      </c>
      <c r="C2712" s="0" t="s">
        <v>863</v>
      </c>
      <c r="D2712" s="0" t="s">
        <v>8627</v>
      </c>
      <c r="E2712" s="0" t="s">
        <v>8627</v>
      </c>
      <c r="M2712" s="0" t="s">
        <v>136</v>
      </c>
      <c r="N2712" s="0" t="s">
        <v>124</v>
      </c>
      <c r="P2712" s="0" t="s">
        <v>130</v>
      </c>
      <c r="Q2712" s="0" t="s">
        <v>130</v>
      </c>
      <c r="R2712" s="0" t="s">
        <v>144</v>
      </c>
      <c r="S2712" s="0" t="s">
        <v>21</v>
      </c>
      <c r="T2712" s="0" t="s">
        <v>104</v>
      </c>
      <c r="W2712" s="0" t="s">
        <v>105</v>
      </c>
    </row>
    <row r="2713" customFormat="false" ht="15" hidden="false" customHeight="false" outlineLevel="0" collapsed="false">
      <c r="A2713" s="0" t="s">
        <v>21</v>
      </c>
      <c r="B2713" s="0" t="s">
        <v>8628</v>
      </c>
      <c r="C2713" s="0" t="s">
        <v>863</v>
      </c>
      <c r="D2713" s="0" t="s">
        <v>7623</v>
      </c>
      <c r="E2713" s="0" t="s">
        <v>7623</v>
      </c>
      <c r="M2713" s="0" t="s">
        <v>136</v>
      </c>
      <c r="N2713" s="0" t="s">
        <v>124</v>
      </c>
      <c r="P2713" s="0" t="s">
        <v>102</v>
      </c>
      <c r="Q2713" s="0" t="s">
        <v>102</v>
      </c>
      <c r="R2713" s="0" t="s">
        <v>144</v>
      </c>
      <c r="S2713" s="0" t="s">
        <v>21</v>
      </c>
      <c r="T2713" s="0" t="s">
        <v>104</v>
      </c>
      <c r="W2713" s="0" t="s">
        <v>105</v>
      </c>
    </row>
    <row r="2714" customFormat="false" ht="15" hidden="false" customHeight="false" outlineLevel="0" collapsed="false">
      <c r="A2714" s="0" t="s">
        <v>21</v>
      </c>
      <c r="B2714" s="0" t="s">
        <v>8629</v>
      </c>
      <c r="C2714" s="0" t="s">
        <v>863</v>
      </c>
      <c r="D2714" s="0" t="s">
        <v>8630</v>
      </c>
      <c r="E2714" s="0" t="s">
        <v>8631</v>
      </c>
      <c r="G2714" s="0" t="s">
        <v>8632</v>
      </c>
      <c r="M2714" s="0" t="s">
        <v>178</v>
      </c>
      <c r="N2714" s="0" t="s">
        <v>124</v>
      </c>
      <c r="P2714" s="0" t="s">
        <v>102</v>
      </c>
      <c r="Q2714" s="0" t="s">
        <v>102</v>
      </c>
      <c r="R2714" s="0" t="s">
        <v>113</v>
      </c>
      <c r="S2714" s="0" t="s">
        <v>21</v>
      </c>
      <c r="T2714" s="0" t="s">
        <v>104</v>
      </c>
      <c r="W2714" s="0" t="s">
        <v>105</v>
      </c>
    </row>
    <row r="2715" customFormat="false" ht="15" hidden="false" customHeight="false" outlineLevel="0" collapsed="false">
      <c r="A2715" s="0" t="s">
        <v>21</v>
      </c>
      <c r="B2715" s="0" t="s">
        <v>8633</v>
      </c>
      <c r="C2715" s="0" t="s">
        <v>863</v>
      </c>
      <c r="D2715" s="0" t="s">
        <v>8634</v>
      </c>
      <c r="E2715" s="0" t="s">
        <v>8634</v>
      </c>
      <c r="G2715" s="0" t="s">
        <v>8635</v>
      </c>
      <c r="M2715" s="0" t="s">
        <v>136</v>
      </c>
      <c r="N2715" s="0" t="s">
        <v>124</v>
      </c>
      <c r="P2715" s="0" t="s">
        <v>102</v>
      </c>
      <c r="Q2715" s="0" t="s">
        <v>102</v>
      </c>
      <c r="R2715" s="0" t="s">
        <v>113</v>
      </c>
      <c r="S2715" s="0" t="s">
        <v>21</v>
      </c>
      <c r="T2715" s="0" t="s">
        <v>104</v>
      </c>
      <c r="W2715" s="0" t="s">
        <v>105</v>
      </c>
    </row>
    <row r="2716" customFormat="false" ht="15" hidden="false" customHeight="false" outlineLevel="0" collapsed="false">
      <c r="A2716" s="0" t="s">
        <v>21</v>
      </c>
      <c r="B2716" s="0" t="s">
        <v>8636</v>
      </c>
      <c r="C2716" s="0" t="s">
        <v>863</v>
      </c>
      <c r="D2716" s="0" t="s">
        <v>8637</v>
      </c>
      <c r="E2716" s="0" t="s">
        <v>8638</v>
      </c>
      <c r="G2716" s="0" t="s">
        <v>8639</v>
      </c>
      <c r="M2716" s="0" t="s">
        <v>220</v>
      </c>
      <c r="N2716" s="0" t="s">
        <v>124</v>
      </c>
      <c r="P2716" s="0" t="s">
        <v>102</v>
      </c>
      <c r="Q2716" s="0" t="s">
        <v>102</v>
      </c>
      <c r="R2716" s="0" t="s">
        <v>113</v>
      </c>
      <c r="S2716" s="0" t="s">
        <v>21</v>
      </c>
      <c r="T2716" s="0" t="s">
        <v>104</v>
      </c>
      <c r="W2716" s="0" t="s">
        <v>105</v>
      </c>
    </row>
    <row r="2717" customFormat="false" ht="15" hidden="false" customHeight="false" outlineLevel="0" collapsed="false">
      <c r="A2717" s="0" t="s">
        <v>21</v>
      </c>
      <c r="B2717" s="0" t="s">
        <v>8640</v>
      </c>
      <c r="C2717" s="0" t="s">
        <v>863</v>
      </c>
      <c r="D2717" s="0" t="s">
        <v>8641</v>
      </c>
      <c r="E2717" s="0" t="s">
        <v>8641</v>
      </c>
      <c r="G2717" s="0" t="s">
        <v>8642</v>
      </c>
      <c r="M2717" s="0" t="s">
        <v>136</v>
      </c>
      <c r="N2717" s="0" t="s">
        <v>124</v>
      </c>
      <c r="P2717" s="0" t="s">
        <v>102</v>
      </c>
      <c r="Q2717" s="0" t="s">
        <v>102</v>
      </c>
      <c r="R2717" s="0" t="s">
        <v>113</v>
      </c>
      <c r="S2717" s="0" t="s">
        <v>21</v>
      </c>
      <c r="T2717" s="0" t="s">
        <v>104</v>
      </c>
      <c r="W2717" s="0" t="s">
        <v>105</v>
      </c>
    </row>
    <row r="2718" customFormat="false" ht="15" hidden="false" customHeight="false" outlineLevel="0" collapsed="false">
      <c r="A2718" s="0" t="s">
        <v>21</v>
      </c>
      <c r="B2718" s="0" t="s">
        <v>8643</v>
      </c>
      <c r="C2718" s="0" t="s">
        <v>863</v>
      </c>
      <c r="D2718" s="0" t="s">
        <v>8644</v>
      </c>
      <c r="E2718" s="0" t="s">
        <v>8645</v>
      </c>
      <c r="G2718" s="0" t="s">
        <v>8646</v>
      </c>
      <c r="M2718" s="0" t="s">
        <v>208</v>
      </c>
      <c r="N2718" s="0" t="s">
        <v>124</v>
      </c>
      <c r="P2718" s="0" t="s">
        <v>102</v>
      </c>
      <c r="Q2718" s="0" t="s">
        <v>102</v>
      </c>
      <c r="R2718" s="0" t="s">
        <v>113</v>
      </c>
      <c r="S2718" s="0" t="s">
        <v>21</v>
      </c>
      <c r="T2718" s="0" t="s">
        <v>104</v>
      </c>
      <c r="W2718" s="0" t="s">
        <v>105</v>
      </c>
    </row>
    <row r="2719" customFormat="false" ht="15" hidden="false" customHeight="false" outlineLevel="0" collapsed="false">
      <c r="A2719" s="0" t="s">
        <v>21</v>
      </c>
      <c r="B2719" s="0" t="s">
        <v>8647</v>
      </c>
      <c r="C2719" s="0" t="s">
        <v>863</v>
      </c>
      <c r="D2719" s="0" t="s">
        <v>8648</v>
      </c>
      <c r="E2719" s="0" t="s">
        <v>8649</v>
      </c>
      <c r="G2719" s="0" t="s">
        <v>8650</v>
      </c>
      <c r="M2719" s="0" t="s">
        <v>136</v>
      </c>
      <c r="N2719" s="0" t="s">
        <v>124</v>
      </c>
      <c r="P2719" s="0" t="s">
        <v>102</v>
      </c>
      <c r="Q2719" s="0" t="s">
        <v>102</v>
      </c>
      <c r="R2719" s="0" t="s">
        <v>113</v>
      </c>
      <c r="S2719" s="0" t="s">
        <v>21</v>
      </c>
      <c r="T2719" s="0" t="s">
        <v>104</v>
      </c>
      <c r="W2719" s="0" t="s">
        <v>105</v>
      </c>
    </row>
    <row r="2720" customFormat="false" ht="15" hidden="false" customHeight="false" outlineLevel="0" collapsed="false">
      <c r="A2720" s="0" t="s">
        <v>21</v>
      </c>
      <c r="B2720" s="0" t="s">
        <v>8651</v>
      </c>
      <c r="C2720" s="0" t="s">
        <v>97</v>
      </c>
      <c r="D2720" s="0" t="s">
        <v>8652</v>
      </c>
      <c r="E2720" s="0" t="s">
        <v>8652</v>
      </c>
      <c r="M2720" s="0" t="s">
        <v>136</v>
      </c>
      <c r="N2720" s="0" t="s">
        <v>124</v>
      </c>
      <c r="P2720" s="0" t="s">
        <v>102</v>
      </c>
      <c r="Q2720" s="0" t="s">
        <v>102</v>
      </c>
      <c r="R2720" s="0" t="s">
        <v>113</v>
      </c>
      <c r="S2720" s="0" t="s">
        <v>21</v>
      </c>
      <c r="T2720" s="0" t="s">
        <v>104</v>
      </c>
      <c r="W2720" s="0" t="s">
        <v>105</v>
      </c>
    </row>
    <row r="2721" customFormat="false" ht="15" hidden="false" customHeight="false" outlineLevel="0" collapsed="false">
      <c r="A2721" s="0" t="s">
        <v>21</v>
      </c>
      <c r="B2721" s="0" t="s">
        <v>8653</v>
      </c>
      <c r="C2721" s="0" t="s">
        <v>863</v>
      </c>
      <c r="D2721" s="0" t="s">
        <v>8654</v>
      </c>
      <c r="E2721" s="0" t="s">
        <v>8655</v>
      </c>
      <c r="G2721" s="0" t="s">
        <v>8656</v>
      </c>
      <c r="M2721" s="0" t="s">
        <v>881</v>
      </c>
      <c r="N2721" s="0" t="s">
        <v>124</v>
      </c>
      <c r="P2721" s="0" t="s">
        <v>102</v>
      </c>
      <c r="Q2721" s="0" t="s">
        <v>102</v>
      </c>
      <c r="R2721" s="0" t="s">
        <v>113</v>
      </c>
      <c r="S2721" s="0" t="s">
        <v>21</v>
      </c>
      <c r="T2721" s="0" t="s">
        <v>104</v>
      </c>
      <c r="W2721" s="0" t="s">
        <v>105</v>
      </c>
    </row>
    <row r="2722" customFormat="false" ht="15" hidden="false" customHeight="false" outlineLevel="0" collapsed="false">
      <c r="A2722" s="0" t="s">
        <v>21</v>
      </c>
      <c r="B2722" s="0" t="s">
        <v>8657</v>
      </c>
      <c r="C2722" s="0" t="s">
        <v>863</v>
      </c>
      <c r="D2722" s="0" t="s">
        <v>8658</v>
      </c>
      <c r="E2722" s="0" t="s">
        <v>8659</v>
      </c>
      <c r="G2722" s="0" t="s">
        <v>8660</v>
      </c>
      <c r="M2722" s="0" t="s">
        <v>208</v>
      </c>
      <c r="N2722" s="0" t="s">
        <v>124</v>
      </c>
      <c r="P2722" s="0" t="s">
        <v>102</v>
      </c>
      <c r="Q2722" s="0" t="s">
        <v>102</v>
      </c>
      <c r="R2722" s="0" t="s">
        <v>113</v>
      </c>
      <c r="S2722" s="0" t="s">
        <v>21</v>
      </c>
      <c r="T2722" s="0" t="s">
        <v>104</v>
      </c>
      <c r="W2722" s="0" t="s">
        <v>105</v>
      </c>
    </row>
    <row r="2723" customFormat="false" ht="15" hidden="false" customHeight="false" outlineLevel="0" collapsed="false">
      <c r="A2723" s="0" t="s">
        <v>21</v>
      </c>
      <c r="B2723" s="0" t="s">
        <v>8661</v>
      </c>
      <c r="C2723" s="0" t="s">
        <v>863</v>
      </c>
      <c r="D2723" s="0" t="s">
        <v>8662</v>
      </c>
      <c r="E2723" s="0" t="s">
        <v>8662</v>
      </c>
      <c r="G2723" s="0" t="s">
        <v>8663</v>
      </c>
      <c r="M2723" s="0" t="s">
        <v>136</v>
      </c>
      <c r="N2723" s="0" t="s">
        <v>124</v>
      </c>
      <c r="P2723" s="0" t="s">
        <v>102</v>
      </c>
      <c r="Q2723" s="0" t="s">
        <v>102</v>
      </c>
      <c r="R2723" s="0" t="s">
        <v>113</v>
      </c>
      <c r="S2723" s="0" t="s">
        <v>21</v>
      </c>
      <c r="T2723" s="0" t="s">
        <v>104</v>
      </c>
      <c r="W2723" s="0" t="s">
        <v>105</v>
      </c>
    </row>
    <row r="2724" customFormat="false" ht="15" hidden="false" customHeight="false" outlineLevel="0" collapsed="false">
      <c r="A2724" s="0" t="s">
        <v>21</v>
      </c>
      <c r="B2724" s="0" t="s">
        <v>8664</v>
      </c>
      <c r="C2724" s="0" t="s">
        <v>863</v>
      </c>
      <c r="D2724" s="0" t="s">
        <v>5345</v>
      </c>
      <c r="E2724" s="0" t="s">
        <v>8665</v>
      </c>
      <c r="G2724" s="0" t="s">
        <v>8666</v>
      </c>
      <c r="M2724" s="0" t="s">
        <v>247</v>
      </c>
      <c r="N2724" s="0" t="s">
        <v>124</v>
      </c>
      <c r="P2724" s="0" t="s">
        <v>102</v>
      </c>
      <c r="Q2724" s="0" t="s">
        <v>102</v>
      </c>
      <c r="R2724" s="0" t="s">
        <v>113</v>
      </c>
      <c r="S2724" s="0" t="s">
        <v>21</v>
      </c>
      <c r="T2724" s="0" t="s">
        <v>104</v>
      </c>
      <c r="W2724" s="0" t="s">
        <v>105</v>
      </c>
    </row>
    <row r="2725" customFormat="false" ht="15" hidden="false" customHeight="false" outlineLevel="0" collapsed="false">
      <c r="A2725" s="0" t="s">
        <v>21</v>
      </c>
      <c r="B2725" s="0" t="s">
        <v>8667</v>
      </c>
      <c r="C2725" s="0" t="s">
        <v>863</v>
      </c>
      <c r="D2725" s="0" t="s">
        <v>8668</v>
      </c>
      <c r="E2725" s="0" t="s">
        <v>8669</v>
      </c>
      <c r="M2725" s="0" t="s">
        <v>136</v>
      </c>
      <c r="N2725" s="0" t="s">
        <v>124</v>
      </c>
      <c r="P2725" s="0" t="s">
        <v>102</v>
      </c>
      <c r="Q2725" s="0" t="s">
        <v>102</v>
      </c>
      <c r="R2725" s="0" t="s">
        <v>113</v>
      </c>
      <c r="S2725" s="0" t="s">
        <v>21</v>
      </c>
      <c r="T2725" s="0" t="s">
        <v>104</v>
      </c>
      <c r="W2725" s="0" t="s">
        <v>105</v>
      </c>
    </row>
    <row r="2726" customFormat="false" ht="15" hidden="false" customHeight="false" outlineLevel="0" collapsed="false">
      <c r="A2726" s="0" t="s">
        <v>21</v>
      </c>
      <c r="B2726" s="0" t="s">
        <v>8670</v>
      </c>
      <c r="C2726" s="0" t="s">
        <v>863</v>
      </c>
      <c r="D2726" s="0" t="s">
        <v>8671</v>
      </c>
      <c r="E2726" s="0" t="s">
        <v>8672</v>
      </c>
      <c r="M2726" s="0" t="s">
        <v>232</v>
      </c>
      <c r="N2726" s="0" t="s">
        <v>124</v>
      </c>
      <c r="P2726" s="0" t="s">
        <v>102</v>
      </c>
      <c r="Q2726" s="0" t="s">
        <v>102</v>
      </c>
      <c r="R2726" s="0" t="s">
        <v>131</v>
      </c>
      <c r="S2726" s="0" t="s">
        <v>21</v>
      </c>
      <c r="T2726" s="0" t="s">
        <v>104</v>
      </c>
      <c r="W2726" s="0" t="s">
        <v>105</v>
      </c>
    </row>
    <row r="2727" customFormat="false" ht="15" hidden="false" customHeight="false" outlineLevel="0" collapsed="false">
      <c r="A2727" s="0" t="s">
        <v>21</v>
      </c>
      <c r="B2727" s="0" t="s">
        <v>8673</v>
      </c>
      <c r="C2727" s="0" t="s">
        <v>863</v>
      </c>
      <c r="D2727" s="0" t="s">
        <v>8674</v>
      </c>
      <c r="E2727" s="0" t="s">
        <v>8675</v>
      </c>
      <c r="M2727" s="0" t="s">
        <v>232</v>
      </c>
      <c r="N2727" s="0" t="s">
        <v>124</v>
      </c>
      <c r="P2727" s="0" t="s">
        <v>102</v>
      </c>
      <c r="Q2727" s="0" t="s">
        <v>102</v>
      </c>
      <c r="R2727" s="0" t="s">
        <v>131</v>
      </c>
      <c r="S2727" s="0" t="s">
        <v>21</v>
      </c>
      <c r="T2727" s="0" t="s">
        <v>104</v>
      </c>
      <c r="W2727" s="0" t="s">
        <v>105</v>
      </c>
    </row>
    <row r="2728" customFormat="false" ht="15" hidden="false" customHeight="false" outlineLevel="0" collapsed="false">
      <c r="A2728" s="0" t="s">
        <v>21</v>
      </c>
      <c r="B2728" s="0" t="s">
        <v>8676</v>
      </c>
      <c r="C2728" s="0" t="s">
        <v>863</v>
      </c>
      <c r="D2728" s="0" t="s">
        <v>8677</v>
      </c>
      <c r="E2728" s="0" t="s">
        <v>8678</v>
      </c>
      <c r="M2728" s="0" t="s">
        <v>178</v>
      </c>
      <c r="N2728" s="0" t="s">
        <v>124</v>
      </c>
      <c r="P2728" s="0" t="s">
        <v>102</v>
      </c>
      <c r="Q2728" s="0" t="s">
        <v>102</v>
      </c>
      <c r="R2728" s="0" t="s">
        <v>131</v>
      </c>
      <c r="S2728" s="0" t="s">
        <v>21</v>
      </c>
      <c r="T2728" s="0" t="s">
        <v>104</v>
      </c>
      <c r="W2728" s="0" t="s">
        <v>105</v>
      </c>
    </row>
    <row r="2729" customFormat="false" ht="15" hidden="false" customHeight="false" outlineLevel="0" collapsed="false">
      <c r="A2729" s="0" t="s">
        <v>21</v>
      </c>
      <c r="B2729" s="0" t="s">
        <v>8679</v>
      </c>
      <c r="C2729" s="0" t="s">
        <v>863</v>
      </c>
      <c r="D2729" s="0" t="s">
        <v>5228</v>
      </c>
      <c r="E2729" s="0" t="s">
        <v>8680</v>
      </c>
      <c r="M2729" s="0" t="s">
        <v>178</v>
      </c>
      <c r="N2729" s="0" t="s">
        <v>124</v>
      </c>
      <c r="P2729" s="0" t="s">
        <v>102</v>
      </c>
      <c r="Q2729" s="0" t="s">
        <v>102</v>
      </c>
      <c r="R2729" s="0" t="s">
        <v>131</v>
      </c>
      <c r="S2729" s="0" t="s">
        <v>21</v>
      </c>
      <c r="T2729" s="0" t="s">
        <v>104</v>
      </c>
      <c r="W2729" s="0" t="s">
        <v>105</v>
      </c>
    </row>
    <row r="2730" customFormat="false" ht="15" hidden="false" customHeight="false" outlineLevel="0" collapsed="false">
      <c r="A2730" s="0" t="s">
        <v>21</v>
      </c>
      <c r="B2730" s="0" t="s">
        <v>8681</v>
      </c>
      <c r="C2730" s="0" t="s">
        <v>863</v>
      </c>
      <c r="D2730" s="0" t="s">
        <v>7494</v>
      </c>
      <c r="E2730" s="0" t="s">
        <v>8682</v>
      </c>
      <c r="M2730" s="0" t="s">
        <v>232</v>
      </c>
      <c r="N2730" s="0" t="s">
        <v>124</v>
      </c>
      <c r="P2730" s="0" t="s">
        <v>102</v>
      </c>
      <c r="Q2730" s="0" t="s">
        <v>102</v>
      </c>
      <c r="R2730" s="0" t="s">
        <v>131</v>
      </c>
      <c r="S2730" s="0" t="s">
        <v>21</v>
      </c>
      <c r="T2730" s="0" t="s">
        <v>104</v>
      </c>
      <c r="W2730" s="0" t="s">
        <v>105</v>
      </c>
    </row>
    <row r="2731" customFormat="false" ht="15" hidden="false" customHeight="false" outlineLevel="0" collapsed="false">
      <c r="A2731" s="0" t="s">
        <v>21</v>
      </c>
      <c r="B2731" s="0" t="s">
        <v>8683</v>
      </c>
      <c r="C2731" s="0" t="s">
        <v>863</v>
      </c>
      <c r="D2731" s="0" t="s">
        <v>8684</v>
      </c>
      <c r="E2731" s="0" t="s">
        <v>8685</v>
      </c>
      <c r="G2731" s="0" t="s">
        <v>8686</v>
      </c>
      <c r="M2731" s="0" t="s">
        <v>232</v>
      </c>
      <c r="N2731" s="0" t="s">
        <v>124</v>
      </c>
      <c r="P2731" s="0" t="s">
        <v>102</v>
      </c>
      <c r="Q2731" s="0" t="s">
        <v>102</v>
      </c>
      <c r="R2731" s="0" t="s">
        <v>131</v>
      </c>
      <c r="S2731" s="0" t="s">
        <v>21</v>
      </c>
      <c r="T2731" s="0" t="s">
        <v>104</v>
      </c>
      <c r="W2731" s="0" t="s">
        <v>105</v>
      </c>
    </row>
    <row r="2732" customFormat="false" ht="15" hidden="false" customHeight="false" outlineLevel="0" collapsed="false">
      <c r="A2732" s="0" t="s">
        <v>21</v>
      </c>
      <c r="B2732" s="0" t="s">
        <v>8687</v>
      </c>
      <c r="C2732" s="0" t="s">
        <v>863</v>
      </c>
      <c r="D2732" s="0" t="s">
        <v>8688</v>
      </c>
      <c r="E2732" s="0" t="s">
        <v>8689</v>
      </c>
      <c r="M2732" s="0" t="s">
        <v>232</v>
      </c>
      <c r="N2732" s="0" t="s">
        <v>124</v>
      </c>
      <c r="P2732" s="0" t="s">
        <v>102</v>
      </c>
      <c r="Q2732" s="0" t="s">
        <v>102</v>
      </c>
      <c r="R2732" s="0" t="s">
        <v>131</v>
      </c>
      <c r="S2732" s="0" t="s">
        <v>21</v>
      </c>
      <c r="T2732" s="0" t="s">
        <v>104</v>
      </c>
      <c r="W2732" s="0" t="s">
        <v>105</v>
      </c>
    </row>
    <row r="2733" customFormat="false" ht="15" hidden="false" customHeight="false" outlineLevel="0" collapsed="false">
      <c r="A2733" s="0" t="s">
        <v>21</v>
      </c>
      <c r="B2733" s="0" t="s">
        <v>8690</v>
      </c>
      <c r="C2733" s="0" t="s">
        <v>863</v>
      </c>
      <c r="D2733" s="0" t="s">
        <v>8691</v>
      </c>
      <c r="E2733" s="0" t="s">
        <v>8692</v>
      </c>
      <c r="M2733" s="0" t="s">
        <v>232</v>
      </c>
      <c r="N2733" s="0" t="s">
        <v>124</v>
      </c>
      <c r="P2733" s="0" t="s">
        <v>102</v>
      </c>
      <c r="Q2733" s="0" t="s">
        <v>102</v>
      </c>
      <c r="R2733" s="0" t="s">
        <v>131</v>
      </c>
      <c r="S2733" s="0" t="s">
        <v>21</v>
      </c>
      <c r="T2733" s="0" t="s">
        <v>104</v>
      </c>
      <c r="W2733" s="0" t="s">
        <v>105</v>
      </c>
      <c r="Z2733" s="0" t="s">
        <v>134</v>
      </c>
    </row>
    <row r="2734" customFormat="false" ht="15" hidden="false" customHeight="false" outlineLevel="0" collapsed="false">
      <c r="A2734" s="0" t="s">
        <v>21</v>
      </c>
      <c r="B2734" s="0" t="s">
        <v>8693</v>
      </c>
      <c r="C2734" s="0" t="s">
        <v>863</v>
      </c>
      <c r="D2734" s="0" t="s">
        <v>8694</v>
      </c>
      <c r="E2734" s="0" t="s">
        <v>8694</v>
      </c>
      <c r="M2734" s="0" t="s">
        <v>136</v>
      </c>
      <c r="N2734" s="0" t="s">
        <v>124</v>
      </c>
      <c r="P2734" s="0" t="s">
        <v>130</v>
      </c>
      <c r="Q2734" s="0" t="s">
        <v>130</v>
      </c>
      <c r="R2734" s="0" t="s">
        <v>137</v>
      </c>
      <c r="S2734" s="0" t="s">
        <v>21</v>
      </c>
      <c r="T2734" s="0" t="s">
        <v>104</v>
      </c>
      <c r="W2734" s="0" t="s">
        <v>105</v>
      </c>
    </row>
    <row r="2735" customFormat="false" ht="15" hidden="false" customHeight="false" outlineLevel="0" collapsed="false">
      <c r="A2735" s="0" t="s">
        <v>21</v>
      </c>
      <c r="B2735" s="0" t="s">
        <v>8695</v>
      </c>
      <c r="C2735" s="0" t="s">
        <v>863</v>
      </c>
      <c r="D2735" s="0" t="s">
        <v>8641</v>
      </c>
      <c r="E2735" s="0" t="s">
        <v>8641</v>
      </c>
      <c r="M2735" s="0" t="s">
        <v>136</v>
      </c>
      <c r="N2735" s="0" t="s">
        <v>124</v>
      </c>
      <c r="P2735" s="0" t="s">
        <v>130</v>
      </c>
      <c r="Q2735" s="0" t="s">
        <v>130</v>
      </c>
      <c r="R2735" s="0" t="s">
        <v>113</v>
      </c>
      <c r="S2735" s="0" t="s">
        <v>21</v>
      </c>
      <c r="T2735" s="0" t="s">
        <v>104</v>
      </c>
      <c r="W2735" s="0" t="s">
        <v>105</v>
      </c>
    </row>
    <row r="2736" customFormat="false" ht="15" hidden="false" customHeight="false" outlineLevel="0" collapsed="false">
      <c r="A2736" s="0" t="s">
        <v>21</v>
      </c>
      <c r="B2736" s="0" t="s">
        <v>8696</v>
      </c>
      <c r="C2736" s="0" t="s">
        <v>863</v>
      </c>
      <c r="D2736" s="0" t="s">
        <v>8697</v>
      </c>
      <c r="E2736" s="0" t="s">
        <v>8697</v>
      </c>
      <c r="M2736" s="0" t="s">
        <v>136</v>
      </c>
      <c r="N2736" s="0" t="s">
        <v>124</v>
      </c>
      <c r="P2736" s="0" t="s">
        <v>130</v>
      </c>
      <c r="Q2736" s="0" t="s">
        <v>130</v>
      </c>
      <c r="R2736" s="0" t="s">
        <v>113</v>
      </c>
      <c r="S2736" s="0" t="s">
        <v>21</v>
      </c>
      <c r="T2736" s="0" t="s">
        <v>104</v>
      </c>
      <c r="W2736" s="0" t="s">
        <v>105</v>
      </c>
    </row>
    <row r="2737" customFormat="false" ht="15" hidden="false" customHeight="false" outlineLevel="0" collapsed="false">
      <c r="A2737" s="0" t="s">
        <v>21</v>
      </c>
      <c r="B2737" s="0" t="s">
        <v>8698</v>
      </c>
      <c r="C2737" s="0" t="s">
        <v>863</v>
      </c>
      <c r="D2737" s="0" t="s">
        <v>2045</v>
      </c>
      <c r="M2737" s="0" t="s">
        <v>232</v>
      </c>
      <c r="N2737" s="0" t="s">
        <v>124</v>
      </c>
      <c r="P2737" s="0" t="s">
        <v>102</v>
      </c>
      <c r="Q2737" s="0" t="s">
        <v>102</v>
      </c>
      <c r="R2737" s="0" t="s">
        <v>131</v>
      </c>
      <c r="S2737" s="0" t="s">
        <v>21</v>
      </c>
      <c r="T2737" s="0" t="s">
        <v>104</v>
      </c>
      <c r="W2737" s="0" t="s">
        <v>105</v>
      </c>
    </row>
    <row r="2738" customFormat="false" ht="15" hidden="false" customHeight="false" outlineLevel="0" collapsed="false">
      <c r="A2738" s="0" t="s">
        <v>21</v>
      </c>
      <c r="B2738" s="0" t="s">
        <v>8699</v>
      </c>
      <c r="C2738" s="0" t="s">
        <v>97</v>
      </c>
      <c r="D2738" s="0" t="s">
        <v>8700</v>
      </c>
      <c r="E2738" s="0" t="s">
        <v>8700</v>
      </c>
      <c r="M2738" s="0" t="s">
        <v>136</v>
      </c>
      <c r="N2738" s="0" t="s">
        <v>124</v>
      </c>
      <c r="P2738" s="0" t="s">
        <v>102</v>
      </c>
      <c r="Q2738" s="0" t="s">
        <v>102</v>
      </c>
      <c r="R2738" s="0" t="s">
        <v>131</v>
      </c>
      <c r="S2738" s="0" t="s">
        <v>21</v>
      </c>
      <c r="T2738" s="0" t="s">
        <v>104</v>
      </c>
      <c r="W2738" s="0" t="s">
        <v>105</v>
      </c>
    </row>
    <row r="2739" customFormat="false" ht="15" hidden="false" customHeight="false" outlineLevel="0" collapsed="false">
      <c r="A2739" s="0" t="s">
        <v>21</v>
      </c>
      <c r="B2739" s="0" t="s">
        <v>8701</v>
      </c>
      <c r="C2739" s="0" t="s">
        <v>97</v>
      </c>
      <c r="D2739" s="0" t="s">
        <v>8702</v>
      </c>
      <c r="E2739" s="0" t="s">
        <v>8702</v>
      </c>
      <c r="M2739" s="0" t="s">
        <v>136</v>
      </c>
      <c r="N2739" s="0" t="s">
        <v>124</v>
      </c>
      <c r="P2739" s="0" t="s">
        <v>130</v>
      </c>
      <c r="Q2739" s="0" t="s">
        <v>130</v>
      </c>
      <c r="R2739" s="0" t="s">
        <v>113</v>
      </c>
      <c r="S2739" s="0" t="s">
        <v>21</v>
      </c>
      <c r="T2739" s="0" t="s">
        <v>104</v>
      </c>
      <c r="W2739" s="0" t="s">
        <v>105</v>
      </c>
      <c r="AB2739" s="0" t="s">
        <v>209</v>
      </c>
    </row>
    <row r="2740" customFormat="false" ht="15" hidden="false" customHeight="false" outlineLevel="0" collapsed="false">
      <c r="A2740" s="0" t="s">
        <v>21</v>
      </c>
      <c r="B2740" s="0" t="s">
        <v>8703</v>
      </c>
      <c r="C2740" s="0" t="s">
        <v>97</v>
      </c>
      <c r="D2740" s="0" t="s">
        <v>4115</v>
      </c>
      <c r="E2740" s="0" t="s">
        <v>4115</v>
      </c>
      <c r="M2740" s="0" t="s">
        <v>136</v>
      </c>
      <c r="N2740" s="0" t="s">
        <v>124</v>
      </c>
      <c r="P2740" s="0" t="s">
        <v>102</v>
      </c>
      <c r="Q2740" s="0" t="s">
        <v>102</v>
      </c>
      <c r="R2740" s="0" t="s">
        <v>113</v>
      </c>
      <c r="S2740" s="0" t="s">
        <v>21</v>
      </c>
      <c r="T2740" s="0" t="s">
        <v>104</v>
      </c>
      <c r="W2740" s="0" t="s">
        <v>105</v>
      </c>
      <c r="AB2740" s="0" t="s">
        <v>209</v>
      </c>
    </row>
    <row r="2741" customFormat="false" ht="15" hidden="false" customHeight="false" outlineLevel="0" collapsed="false">
      <c r="A2741" s="0" t="s">
        <v>21</v>
      </c>
      <c r="B2741" s="0" t="s">
        <v>8704</v>
      </c>
      <c r="C2741" s="0" t="s">
        <v>97</v>
      </c>
      <c r="D2741" s="0" t="s">
        <v>8705</v>
      </c>
      <c r="E2741" s="0" t="s">
        <v>8706</v>
      </c>
      <c r="M2741" s="0" t="s">
        <v>136</v>
      </c>
      <c r="N2741" s="0" t="s">
        <v>124</v>
      </c>
      <c r="P2741" s="0" t="s">
        <v>102</v>
      </c>
      <c r="Q2741" s="0" t="s">
        <v>102</v>
      </c>
      <c r="R2741" s="0" t="s">
        <v>131</v>
      </c>
      <c r="S2741" s="0" t="s">
        <v>21</v>
      </c>
      <c r="T2741" s="0" t="s">
        <v>104</v>
      </c>
      <c r="W2741" s="0" t="s">
        <v>105</v>
      </c>
    </row>
    <row r="2742" customFormat="false" ht="15" hidden="false" customHeight="false" outlineLevel="0" collapsed="false">
      <c r="A2742" s="0" t="s">
        <v>21</v>
      </c>
      <c r="B2742" s="0" t="s">
        <v>8707</v>
      </c>
      <c r="C2742" s="0" t="s">
        <v>97</v>
      </c>
      <c r="D2742" s="0" t="s">
        <v>8708</v>
      </c>
      <c r="E2742" s="0" t="s">
        <v>8708</v>
      </c>
      <c r="F2742" s="0" t="s">
        <v>8708</v>
      </c>
      <c r="M2742" s="0" t="s">
        <v>100</v>
      </c>
      <c r="N2742" s="0" t="s">
        <v>101</v>
      </c>
      <c r="P2742" s="0" t="s">
        <v>102</v>
      </c>
      <c r="Q2742" s="0" t="s">
        <v>102</v>
      </c>
      <c r="R2742" s="0" t="s">
        <v>131</v>
      </c>
      <c r="S2742" s="0" t="s">
        <v>21</v>
      </c>
      <c r="T2742" s="0" t="s">
        <v>104</v>
      </c>
      <c r="W2742" s="0" t="s">
        <v>105</v>
      </c>
    </row>
    <row r="2743" customFormat="false" ht="15" hidden="false" customHeight="false" outlineLevel="0" collapsed="false">
      <c r="A2743" s="0" t="s">
        <v>21</v>
      </c>
      <c r="B2743" s="0" t="s">
        <v>8709</v>
      </c>
      <c r="C2743" s="0" t="s">
        <v>97</v>
      </c>
      <c r="D2743" s="0" t="s">
        <v>8710</v>
      </c>
      <c r="E2743" s="0" t="s">
        <v>8711</v>
      </c>
      <c r="H2743" s="0" t="s">
        <v>654</v>
      </c>
      <c r="I2743" s="0" t="s">
        <v>655</v>
      </c>
      <c r="J2743" s="0" t="s">
        <v>100</v>
      </c>
      <c r="K2743" s="0" t="s">
        <v>168</v>
      </c>
      <c r="L2743" s="0" t="s">
        <v>101</v>
      </c>
      <c r="M2743" s="0" t="s">
        <v>656</v>
      </c>
      <c r="N2743" s="0" t="s">
        <v>101</v>
      </c>
      <c r="P2743" s="0" t="s">
        <v>102</v>
      </c>
      <c r="Q2743" s="0" t="s">
        <v>102</v>
      </c>
      <c r="R2743" s="0" t="s">
        <v>131</v>
      </c>
      <c r="S2743" s="0" t="s">
        <v>21</v>
      </c>
      <c r="T2743" s="0" t="s">
        <v>104</v>
      </c>
      <c r="W2743" s="0" t="s">
        <v>105</v>
      </c>
      <c r="X2743" s="0" t="s">
        <v>658</v>
      </c>
      <c r="Y2743" s="0" t="s">
        <v>659</v>
      </c>
    </row>
    <row r="2744" customFormat="false" ht="15" hidden="false" customHeight="false" outlineLevel="0" collapsed="false">
      <c r="A2744" s="0" t="s">
        <v>21</v>
      </c>
      <c r="B2744" s="0" t="s">
        <v>8712</v>
      </c>
      <c r="C2744" s="0" t="s">
        <v>97</v>
      </c>
      <c r="D2744" s="0" t="s">
        <v>8713</v>
      </c>
      <c r="E2744" s="0" t="s">
        <v>8714</v>
      </c>
      <c r="H2744" s="0" t="s">
        <v>654</v>
      </c>
      <c r="I2744" s="0" t="s">
        <v>655</v>
      </c>
      <c r="J2744" s="0" t="s">
        <v>100</v>
      </c>
      <c r="K2744" s="0" t="s">
        <v>168</v>
      </c>
      <c r="L2744" s="0" t="s">
        <v>101</v>
      </c>
      <c r="M2744" s="0" t="s">
        <v>656</v>
      </c>
      <c r="N2744" s="0" t="s">
        <v>101</v>
      </c>
      <c r="P2744" s="0" t="s">
        <v>102</v>
      </c>
      <c r="Q2744" s="0" t="s">
        <v>102</v>
      </c>
      <c r="R2744" s="0" t="s">
        <v>131</v>
      </c>
      <c r="S2744" s="0" t="s">
        <v>21</v>
      </c>
      <c r="T2744" s="0" t="s">
        <v>104</v>
      </c>
      <c r="W2744" s="0" t="s">
        <v>105</v>
      </c>
      <c r="X2744" s="0" t="s">
        <v>658</v>
      </c>
      <c r="Y2744" s="0" t="s">
        <v>659</v>
      </c>
    </row>
    <row r="2745" customFormat="false" ht="15" hidden="false" customHeight="false" outlineLevel="0" collapsed="false">
      <c r="A2745" s="0" t="s">
        <v>21</v>
      </c>
      <c r="B2745" s="0" t="s">
        <v>8715</v>
      </c>
      <c r="C2745" s="0" t="s">
        <v>97</v>
      </c>
      <c r="D2745" s="0" t="s">
        <v>5185</v>
      </c>
      <c r="E2745" s="0" t="s">
        <v>8716</v>
      </c>
      <c r="H2745" s="0" t="s">
        <v>654</v>
      </c>
      <c r="I2745" s="0" t="s">
        <v>655</v>
      </c>
      <c r="J2745" s="0" t="s">
        <v>100</v>
      </c>
      <c r="K2745" s="0" t="s">
        <v>168</v>
      </c>
      <c r="L2745" s="0" t="s">
        <v>101</v>
      </c>
      <c r="M2745" s="0" t="s">
        <v>656</v>
      </c>
      <c r="N2745" s="0" t="s">
        <v>101</v>
      </c>
      <c r="P2745" s="0" t="s">
        <v>102</v>
      </c>
      <c r="Q2745" s="0" t="s">
        <v>102</v>
      </c>
      <c r="R2745" s="0" t="s">
        <v>131</v>
      </c>
      <c r="S2745" s="0" t="s">
        <v>21</v>
      </c>
      <c r="T2745" s="0" t="s">
        <v>104</v>
      </c>
      <c r="W2745" s="0" t="s">
        <v>105</v>
      </c>
      <c r="X2745" s="0" t="s">
        <v>658</v>
      </c>
      <c r="Y2745" s="0" t="s">
        <v>659</v>
      </c>
    </row>
    <row r="2746" customFormat="false" ht="15" hidden="false" customHeight="false" outlineLevel="0" collapsed="false">
      <c r="A2746" s="0" t="s">
        <v>21</v>
      </c>
      <c r="B2746" s="0" t="s">
        <v>8717</v>
      </c>
      <c r="C2746" s="0" t="s">
        <v>97</v>
      </c>
      <c r="D2746" s="0" t="s">
        <v>8718</v>
      </c>
      <c r="E2746" s="0" t="s">
        <v>8719</v>
      </c>
      <c r="M2746" s="0" t="s">
        <v>136</v>
      </c>
      <c r="N2746" s="0" t="s">
        <v>124</v>
      </c>
      <c r="P2746" s="0" t="s">
        <v>102</v>
      </c>
      <c r="Q2746" s="0" t="s">
        <v>102</v>
      </c>
      <c r="R2746" s="0" t="s">
        <v>131</v>
      </c>
      <c r="S2746" s="0" t="s">
        <v>21</v>
      </c>
      <c r="T2746" s="0" t="s">
        <v>104</v>
      </c>
      <c r="W2746" s="0" t="s">
        <v>105</v>
      </c>
    </row>
    <row r="2747" customFormat="false" ht="15" hidden="false" customHeight="false" outlineLevel="0" collapsed="false">
      <c r="A2747" s="0" t="s">
        <v>21</v>
      </c>
      <c r="B2747" s="0" t="s">
        <v>8720</v>
      </c>
      <c r="C2747" s="0" t="s">
        <v>97</v>
      </c>
      <c r="D2747" s="0" t="s">
        <v>8721</v>
      </c>
      <c r="E2747" s="0" t="s">
        <v>8722</v>
      </c>
      <c r="H2747" s="0" t="s">
        <v>654</v>
      </c>
      <c r="I2747" s="0" t="s">
        <v>655</v>
      </c>
      <c r="J2747" s="0" t="s">
        <v>100</v>
      </c>
      <c r="K2747" s="0" t="s">
        <v>168</v>
      </c>
      <c r="L2747" s="0" t="s">
        <v>101</v>
      </c>
      <c r="M2747" s="0" t="s">
        <v>656</v>
      </c>
      <c r="N2747" s="0" t="s">
        <v>101</v>
      </c>
      <c r="P2747" s="0" t="s">
        <v>102</v>
      </c>
      <c r="Q2747" s="0" t="s">
        <v>102</v>
      </c>
      <c r="R2747" s="0" t="s">
        <v>131</v>
      </c>
      <c r="S2747" s="0" t="s">
        <v>21</v>
      </c>
      <c r="T2747" s="0" t="s">
        <v>104</v>
      </c>
      <c r="W2747" s="0" t="s">
        <v>105</v>
      </c>
      <c r="X2747" s="0" t="s">
        <v>658</v>
      </c>
      <c r="Y2747" s="0" t="s">
        <v>659</v>
      </c>
    </row>
    <row r="2748" customFormat="false" ht="15" hidden="false" customHeight="false" outlineLevel="0" collapsed="false">
      <c r="A2748" s="0" t="s">
        <v>21</v>
      </c>
      <c r="B2748" s="0" t="s">
        <v>8723</v>
      </c>
      <c r="C2748" s="0" t="s">
        <v>97</v>
      </c>
      <c r="D2748" s="0" t="s">
        <v>8724</v>
      </c>
      <c r="E2748" s="0" t="s">
        <v>8725</v>
      </c>
      <c r="H2748" s="0" t="s">
        <v>654</v>
      </c>
      <c r="I2748" s="0" t="s">
        <v>655</v>
      </c>
      <c r="J2748" s="0" t="s">
        <v>100</v>
      </c>
      <c r="K2748" s="0" t="s">
        <v>168</v>
      </c>
      <c r="L2748" s="0" t="s">
        <v>101</v>
      </c>
      <c r="M2748" s="0" t="s">
        <v>656</v>
      </c>
      <c r="N2748" s="0" t="s">
        <v>101</v>
      </c>
      <c r="P2748" s="0" t="s">
        <v>102</v>
      </c>
      <c r="Q2748" s="0" t="s">
        <v>102</v>
      </c>
      <c r="R2748" s="0" t="s">
        <v>131</v>
      </c>
      <c r="S2748" s="0" t="s">
        <v>21</v>
      </c>
      <c r="T2748" s="0" t="s">
        <v>104</v>
      </c>
      <c r="W2748" s="0" t="s">
        <v>105</v>
      </c>
      <c r="X2748" s="0" t="s">
        <v>658</v>
      </c>
      <c r="Y2748" s="0" t="s">
        <v>659</v>
      </c>
    </row>
    <row r="2749" customFormat="false" ht="15" hidden="false" customHeight="false" outlineLevel="0" collapsed="false">
      <c r="A2749" s="0" t="s">
        <v>21</v>
      </c>
      <c r="B2749" s="0" t="s">
        <v>8726</v>
      </c>
      <c r="C2749" s="0" t="s">
        <v>97</v>
      </c>
      <c r="D2749" s="0" t="s">
        <v>8727</v>
      </c>
      <c r="E2749" s="0" t="s">
        <v>8728</v>
      </c>
      <c r="M2749" s="0" t="s">
        <v>100</v>
      </c>
      <c r="N2749" s="0" t="s">
        <v>101</v>
      </c>
      <c r="P2749" s="0" t="s">
        <v>102</v>
      </c>
      <c r="Q2749" s="0" t="s">
        <v>102</v>
      </c>
      <c r="R2749" s="0" t="s">
        <v>131</v>
      </c>
      <c r="S2749" s="0" t="s">
        <v>21</v>
      </c>
      <c r="T2749" s="0" t="s">
        <v>104</v>
      </c>
      <c r="W2749" s="0" t="s">
        <v>105</v>
      </c>
    </row>
    <row r="2750" customFormat="false" ht="15" hidden="false" customHeight="false" outlineLevel="0" collapsed="false">
      <c r="A2750" s="0" t="s">
        <v>21</v>
      </c>
      <c r="B2750" s="0" t="s">
        <v>8729</v>
      </c>
      <c r="C2750" s="0" t="s">
        <v>97</v>
      </c>
      <c r="D2750" s="0" t="s">
        <v>8730</v>
      </c>
      <c r="E2750" s="0" t="s">
        <v>8731</v>
      </c>
      <c r="M2750" s="0" t="s">
        <v>100</v>
      </c>
      <c r="N2750" s="0" t="s">
        <v>101</v>
      </c>
      <c r="P2750" s="0" t="s">
        <v>102</v>
      </c>
      <c r="Q2750" s="0" t="s">
        <v>102</v>
      </c>
      <c r="R2750" s="0" t="s">
        <v>131</v>
      </c>
      <c r="S2750" s="0" t="s">
        <v>21</v>
      </c>
      <c r="T2750" s="0" t="s">
        <v>104</v>
      </c>
      <c r="W2750" s="0" t="s">
        <v>105</v>
      </c>
    </row>
    <row r="2751" customFormat="false" ht="15" hidden="false" customHeight="false" outlineLevel="0" collapsed="false">
      <c r="A2751" s="0" t="s">
        <v>21</v>
      </c>
      <c r="B2751" s="0" t="s">
        <v>8732</v>
      </c>
      <c r="C2751" s="0" t="s">
        <v>97</v>
      </c>
      <c r="D2751" s="0" t="s">
        <v>8733</v>
      </c>
      <c r="E2751" s="0" t="s">
        <v>8734</v>
      </c>
      <c r="H2751" s="0" t="s">
        <v>654</v>
      </c>
      <c r="I2751" s="0" t="s">
        <v>655</v>
      </c>
      <c r="J2751" s="0" t="s">
        <v>100</v>
      </c>
      <c r="K2751" s="0" t="s">
        <v>168</v>
      </c>
      <c r="L2751" s="0" t="s">
        <v>101</v>
      </c>
      <c r="M2751" s="0" t="s">
        <v>656</v>
      </c>
      <c r="N2751" s="0" t="s">
        <v>101</v>
      </c>
      <c r="P2751" s="0" t="s">
        <v>102</v>
      </c>
      <c r="Q2751" s="0" t="s">
        <v>102</v>
      </c>
      <c r="R2751" s="0" t="s">
        <v>131</v>
      </c>
      <c r="S2751" s="0" t="s">
        <v>21</v>
      </c>
      <c r="T2751" s="0" t="s">
        <v>104</v>
      </c>
      <c r="W2751" s="0" t="s">
        <v>105</v>
      </c>
      <c r="X2751" s="0" t="s">
        <v>658</v>
      </c>
      <c r="Y2751" s="0" t="s">
        <v>659</v>
      </c>
    </row>
    <row r="2752" customFormat="false" ht="15" hidden="false" customHeight="false" outlineLevel="0" collapsed="false">
      <c r="A2752" s="0" t="s">
        <v>21</v>
      </c>
      <c r="B2752" s="0" t="s">
        <v>8735</v>
      </c>
      <c r="C2752" s="0" t="s">
        <v>97</v>
      </c>
      <c r="D2752" s="0" t="s">
        <v>8736</v>
      </c>
      <c r="E2752" s="0" t="s">
        <v>8737</v>
      </c>
      <c r="M2752" s="0" t="s">
        <v>656</v>
      </c>
      <c r="N2752" s="0" t="s">
        <v>101</v>
      </c>
      <c r="P2752" s="0" t="s">
        <v>102</v>
      </c>
      <c r="Q2752" s="0" t="s">
        <v>102</v>
      </c>
      <c r="R2752" s="0" t="s">
        <v>131</v>
      </c>
      <c r="S2752" s="0" t="s">
        <v>21</v>
      </c>
      <c r="T2752" s="0" t="s">
        <v>104</v>
      </c>
      <c r="W2752" s="0" t="s">
        <v>105</v>
      </c>
    </row>
    <row r="2753" customFormat="false" ht="15" hidden="false" customHeight="false" outlineLevel="0" collapsed="false">
      <c r="A2753" s="0" t="s">
        <v>21</v>
      </c>
      <c r="B2753" s="0" t="s">
        <v>8738</v>
      </c>
      <c r="C2753" s="0" t="s">
        <v>97</v>
      </c>
      <c r="D2753" s="0" t="s">
        <v>8739</v>
      </c>
      <c r="E2753" s="0" t="s">
        <v>8740</v>
      </c>
      <c r="M2753" s="0" t="s">
        <v>100</v>
      </c>
      <c r="N2753" s="0" t="s">
        <v>101</v>
      </c>
      <c r="P2753" s="0" t="s">
        <v>102</v>
      </c>
      <c r="Q2753" s="0" t="s">
        <v>102</v>
      </c>
      <c r="R2753" s="0" t="s">
        <v>131</v>
      </c>
      <c r="S2753" s="0" t="s">
        <v>21</v>
      </c>
      <c r="T2753" s="0" t="s">
        <v>104</v>
      </c>
      <c r="W2753" s="0" t="s">
        <v>105</v>
      </c>
    </row>
    <row r="2754" customFormat="false" ht="15" hidden="false" customHeight="false" outlineLevel="0" collapsed="false">
      <c r="A2754" s="0" t="s">
        <v>21</v>
      </c>
      <c r="B2754" s="0" t="s">
        <v>8741</v>
      </c>
      <c r="C2754" s="0" t="s">
        <v>97</v>
      </c>
      <c r="D2754" s="0" t="s">
        <v>8742</v>
      </c>
      <c r="E2754" s="0" t="s">
        <v>8743</v>
      </c>
      <c r="M2754" s="0" t="s">
        <v>136</v>
      </c>
      <c r="N2754" s="0" t="s">
        <v>124</v>
      </c>
      <c r="P2754" s="0" t="s">
        <v>102</v>
      </c>
      <c r="Q2754" s="0" t="s">
        <v>102</v>
      </c>
      <c r="R2754" s="0" t="s">
        <v>131</v>
      </c>
      <c r="S2754" s="0" t="s">
        <v>21</v>
      </c>
      <c r="T2754" s="0" t="s">
        <v>104</v>
      </c>
      <c r="W2754" s="0" t="s">
        <v>105</v>
      </c>
    </row>
    <row r="2755" customFormat="false" ht="15" hidden="false" customHeight="false" outlineLevel="0" collapsed="false">
      <c r="A2755" s="0" t="s">
        <v>21</v>
      </c>
      <c r="B2755" s="0" t="s">
        <v>8744</v>
      </c>
      <c r="C2755" s="0" t="s">
        <v>174</v>
      </c>
      <c r="D2755" s="0" t="s">
        <v>8742</v>
      </c>
      <c r="E2755" s="0" t="s">
        <v>8743</v>
      </c>
      <c r="M2755" s="0" t="s">
        <v>8745</v>
      </c>
      <c r="N2755" s="0" t="s">
        <v>124</v>
      </c>
      <c r="P2755" s="0" t="s">
        <v>102</v>
      </c>
      <c r="Q2755" s="0" t="s">
        <v>102</v>
      </c>
      <c r="R2755" s="0" t="s">
        <v>131</v>
      </c>
      <c r="S2755" s="0" t="s">
        <v>21</v>
      </c>
      <c r="T2755" s="0" t="s">
        <v>104</v>
      </c>
      <c r="W2755" s="0" t="s">
        <v>105</v>
      </c>
    </row>
    <row r="2756" customFormat="false" ht="15" hidden="false" customHeight="false" outlineLevel="0" collapsed="false">
      <c r="A2756" s="0" t="s">
        <v>21</v>
      </c>
      <c r="B2756" s="0" t="s">
        <v>8746</v>
      </c>
      <c r="C2756" s="0" t="s">
        <v>97</v>
      </c>
      <c r="D2756" s="0" t="s">
        <v>8747</v>
      </c>
      <c r="E2756" s="0" t="s">
        <v>8748</v>
      </c>
      <c r="M2756" s="0" t="s">
        <v>136</v>
      </c>
      <c r="N2756" s="0" t="s">
        <v>124</v>
      </c>
      <c r="P2756" s="0" t="s">
        <v>102</v>
      </c>
      <c r="Q2756" s="0" t="s">
        <v>102</v>
      </c>
      <c r="R2756" s="0" t="s">
        <v>113</v>
      </c>
      <c r="S2756" s="0" t="s">
        <v>21</v>
      </c>
      <c r="T2756" s="0" t="s">
        <v>104</v>
      </c>
      <c r="W2756" s="0" t="s">
        <v>105</v>
      </c>
    </row>
    <row r="2757" customFormat="false" ht="15" hidden="false" customHeight="false" outlineLevel="0" collapsed="false">
      <c r="A2757" s="0" t="s">
        <v>21</v>
      </c>
      <c r="B2757" s="0" t="s">
        <v>8749</v>
      </c>
      <c r="C2757" s="0" t="s">
        <v>97</v>
      </c>
      <c r="D2757" s="0" t="s">
        <v>8750</v>
      </c>
      <c r="E2757" s="0" t="s">
        <v>8751</v>
      </c>
      <c r="M2757" s="0" t="s">
        <v>136</v>
      </c>
      <c r="N2757" s="0" t="s">
        <v>124</v>
      </c>
      <c r="P2757" s="0" t="s">
        <v>102</v>
      </c>
      <c r="Q2757" s="0" t="s">
        <v>102</v>
      </c>
      <c r="R2757" s="0" t="s">
        <v>113</v>
      </c>
      <c r="S2757" s="0" t="s">
        <v>21</v>
      </c>
      <c r="T2757" s="0" t="s">
        <v>104</v>
      </c>
      <c r="W2757" s="0" t="s">
        <v>105</v>
      </c>
    </row>
    <row r="2758" customFormat="false" ht="15" hidden="false" customHeight="false" outlineLevel="0" collapsed="false">
      <c r="A2758" s="0" t="s">
        <v>21</v>
      </c>
      <c r="B2758" s="0" t="s">
        <v>8752</v>
      </c>
      <c r="C2758" s="0" t="s">
        <v>97</v>
      </c>
      <c r="D2758" s="0" t="s">
        <v>8753</v>
      </c>
      <c r="E2758" s="0" t="s">
        <v>8754</v>
      </c>
      <c r="M2758" s="0" t="s">
        <v>136</v>
      </c>
      <c r="N2758" s="0" t="s">
        <v>124</v>
      </c>
      <c r="P2758" s="0" t="s">
        <v>102</v>
      </c>
      <c r="Q2758" s="0" t="s">
        <v>102</v>
      </c>
      <c r="R2758" s="0" t="s">
        <v>113</v>
      </c>
      <c r="S2758" s="0" t="s">
        <v>21</v>
      </c>
      <c r="T2758" s="0" t="s">
        <v>104</v>
      </c>
      <c r="W2758" s="0" t="s">
        <v>105</v>
      </c>
    </row>
    <row r="2759" customFormat="false" ht="15" hidden="false" customHeight="false" outlineLevel="0" collapsed="false">
      <c r="A2759" s="0" t="s">
        <v>21</v>
      </c>
      <c r="B2759" s="0" t="s">
        <v>8755</v>
      </c>
      <c r="C2759" s="0" t="s">
        <v>174</v>
      </c>
      <c r="D2759" s="0" t="s">
        <v>8756</v>
      </c>
      <c r="E2759" s="0" t="s">
        <v>8757</v>
      </c>
      <c r="G2759" s="0" t="s">
        <v>8758</v>
      </c>
      <c r="M2759" s="0" t="s">
        <v>178</v>
      </c>
      <c r="N2759" s="0" t="s">
        <v>124</v>
      </c>
      <c r="P2759" s="0" t="s">
        <v>102</v>
      </c>
      <c r="Q2759" s="0" t="s">
        <v>102</v>
      </c>
      <c r="R2759" s="0" t="s">
        <v>131</v>
      </c>
      <c r="S2759" s="0" t="s">
        <v>21</v>
      </c>
      <c r="T2759" s="0" t="s">
        <v>104</v>
      </c>
      <c r="W2759" s="0" t="s">
        <v>105</v>
      </c>
    </row>
    <row r="2760" customFormat="false" ht="15" hidden="false" customHeight="false" outlineLevel="0" collapsed="false">
      <c r="A2760" s="0" t="s">
        <v>21</v>
      </c>
      <c r="B2760" s="0" t="s">
        <v>8755</v>
      </c>
      <c r="C2760" s="0" t="s">
        <v>174</v>
      </c>
      <c r="D2760" s="0" t="s">
        <v>8756</v>
      </c>
      <c r="E2760" s="0" t="s">
        <v>8757</v>
      </c>
      <c r="G2760" s="0" t="s">
        <v>8758</v>
      </c>
      <c r="M2760" s="0" t="s">
        <v>178</v>
      </c>
      <c r="N2760" s="0" t="s">
        <v>124</v>
      </c>
      <c r="P2760" s="0" t="s">
        <v>180</v>
      </c>
      <c r="Q2760" s="0" t="s">
        <v>181</v>
      </c>
      <c r="R2760" s="0" t="s">
        <v>182</v>
      </c>
      <c r="S2760" s="0" t="s">
        <v>21</v>
      </c>
      <c r="T2760" s="0" t="s">
        <v>104</v>
      </c>
      <c r="W2760" s="0" t="s">
        <v>183</v>
      </c>
    </row>
    <row r="2761" customFormat="false" ht="15" hidden="false" customHeight="false" outlineLevel="0" collapsed="false">
      <c r="A2761" s="0" t="s">
        <v>21</v>
      </c>
      <c r="B2761" s="0" t="s">
        <v>8759</v>
      </c>
      <c r="C2761" s="0" t="s">
        <v>97</v>
      </c>
      <c r="D2761" s="0" t="s">
        <v>8760</v>
      </c>
      <c r="E2761" s="0" t="s">
        <v>8761</v>
      </c>
      <c r="M2761" s="0" t="s">
        <v>100</v>
      </c>
      <c r="N2761" s="0" t="s">
        <v>101</v>
      </c>
      <c r="P2761" s="0" t="s">
        <v>102</v>
      </c>
      <c r="Q2761" s="0" t="s">
        <v>102</v>
      </c>
      <c r="R2761" s="0" t="s">
        <v>131</v>
      </c>
      <c r="S2761" s="0" t="s">
        <v>21</v>
      </c>
      <c r="T2761" s="0" t="s">
        <v>104</v>
      </c>
      <c r="W2761" s="0" t="s">
        <v>105</v>
      </c>
    </row>
    <row r="2762" customFormat="false" ht="15" hidden="false" customHeight="false" outlineLevel="0" collapsed="false">
      <c r="A2762" s="0" t="s">
        <v>21</v>
      </c>
      <c r="B2762" s="0" t="s">
        <v>8762</v>
      </c>
      <c r="C2762" s="0" t="s">
        <v>139</v>
      </c>
      <c r="D2762" s="0" t="s">
        <v>8763</v>
      </c>
      <c r="G2762" s="0" t="s">
        <v>8764</v>
      </c>
      <c r="H2762" s="0" t="s">
        <v>8765</v>
      </c>
      <c r="I2762" s="0" t="s">
        <v>8762</v>
      </c>
      <c r="J2762" s="0" t="s">
        <v>218</v>
      </c>
      <c r="K2762" s="0" t="s">
        <v>1941</v>
      </c>
      <c r="L2762" s="0" t="s">
        <v>124</v>
      </c>
      <c r="M2762" s="0" t="s">
        <v>220</v>
      </c>
      <c r="N2762" s="0" t="s">
        <v>124</v>
      </c>
      <c r="P2762" s="0" t="s">
        <v>102</v>
      </c>
      <c r="Q2762" s="0" t="s">
        <v>102</v>
      </c>
      <c r="R2762" s="0" t="s">
        <v>137</v>
      </c>
      <c r="S2762" s="0" t="s">
        <v>21</v>
      </c>
      <c r="T2762" s="0" t="s">
        <v>104</v>
      </c>
      <c r="W2762" s="0" t="s">
        <v>105</v>
      </c>
    </row>
    <row r="2763" customFormat="false" ht="15" hidden="false" customHeight="false" outlineLevel="0" collapsed="false">
      <c r="A2763" s="0" t="s">
        <v>21</v>
      </c>
      <c r="B2763" s="0" t="s">
        <v>8766</v>
      </c>
      <c r="C2763" s="0" t="s">
        <v>110</v>
      </c>
      <c r="D2763" s="0" t="s">
        <v>8767</v>
      </c>
      <c r="E2763" s="0" t="s">
        <v>8768</v>
      </c>
      <c r="M2763" s="0" t="s">
        <v>220</v>
      </c>
      <c r="N2763" s="0" t="s">
        <v>124</v>
      </c>
      <c r="P2763" s="0" t="s">
        <v>102</v>
      </c>
      <c r="Q2763" s="0" t="s">
        <v>102</v>
      </c>
      <c r="R2763" s="0" t="s">
        <v>113</v>
      </c>
      <c r="S2763" s="0" t="s">
        <v>21</v>
      </c>
      <c r="T2763" s="0" t="s">
        <v>104</v>
      </c>
      <c r="W2763" s="0" t="s">
        <v>105</v>
      </c>
    </row>
    <row r="2764" customFormat="false" ht="15" hidden="false" customHeight="false" outlineLevel="0" collapsed="false">
      <c r="A2764" s="0" t="s">
        <v>21</v>
      </c>
      <c r="B2764" s="0" t="s">
        <v>8769</v>
      </c>
      <c r="C2764" s="0" t="s">
        <v>110</v>
      </c>
      <c r="D2764" s="0" t="s">
        <v>8770</v>
      </c>
      <c r="M2764" s="0" t="s">
        <v>220</v>
      </c>
      <c r="N2764" s="0" t="s">
        <v>124</v>
      </c>
      <c r="P2764" s="0" t="s">
        <v>102</v>
      </c>
      <c r="Q2764" s="0" t="s">
        <v>102</v>
      </c>
      <c r="R2764" s="0" t="s">
        <v>113</v>
      </c>
      <c r="S2764" s="0" t="s">
        <v>21</v>
      </c>
      <c r="T2764" s="0" t="s">
        <v>104</v>
      </c>
      <c r="W2764" s="0" t="s">
        <v>105</v>
      </c>
    </row>
    <row r="2765" customFormat="false" ht="15" hidden="false" customHeight="false" outlineLevel="0" collapsed="false">
      <c r="A2765" s="0" t="s">
        <v>21</v>
      </c>
      <c r="B2765" s="0" t="s">
        <v>8771</v>
      </c>
      <c r="C2765" s="0" t="s">
        <v>110</v>
      </c>
      <c r="D2765" s="0" t="s">
        <v>8772</v>
      </c>
      <c r="E2765" s="0" t="s">
        <v>8772</v>
      </c>
      <c r="H2765" s="0" t="s">
        <v>8773</v>
      </c>
      <c r="I2765" s="0" t="s">
        <v>8774</v>
      </c>
      <c r="J2765" s="0" t="s">
        <v>218</v>
      </c>
      <c r="K2765" s="0" t="s">
        <v>418</v>
      </c>
      <c r="L2765" s="0" t="s">
        <v>124</v>
      </c>
      <c r="M2765" s="0" t="s">
        <v>220</v>
      </c>
      <c r="N2765" s="0" t="s">
        <v>124</v>
      </c>
      <c r="P2765" s="0" t="s">
        <v>102</v>
      </c>
      <c r="Q2765" s="0" t="s">
        <v>102</v>
      </c>
      <c r="R2765" s="0" t="s">
        <v>113</v>
      </c>
      <c r="S2765" s="0" t="s">
        <v>21</v>
      </c>
      <c r="T2765" s="0" t="s">
        <v>104</v>
      </c>
      <c r="W2765" s="0" t="s">
        <v>105</v>
      </c>
      <c r="X2765" s="0" t="s">
        <v>8775</v>
      </c>
      <c r="Y2765" s="0" t="s">
        <v>8776</v>
      </c>
      <c r="Z2765" s="0" t="s">
        <v>134</v>
      </c>
    </row>
    <row r="2766" customFormat="false" ht="15" hidden="false" customHeight="false" outlineLevel="0" collapsed="false">
      <c r="A2766" s="0" t="s">
        <v>21</v>
      </c>
      <c r="B2766" s="0" t="s">
        <v>8777</v>
      </c>
      <c r="C2766" s="0" t="s">
        <v>97</v>
      </c>
      <c r="D2766" s="0" t="s">
        <v>8770</v>
      </c>
      <c r="E2766" s="0" t="s">
        <v>8778</v>
      </c>
      <c r="M2766" s="0" t="s">
        <v>136</v>
      </c>
      <c r="N2766" s="0" t="s">
        <v>124</v>
      </c>
      <c r="P2766" s="0" t="s">
        <v>102</v>
      </c>
      <c r="Q2766" s="0" t="s">
        <v>102</v>
      </c>
      <c r="R2766" s="0" t="s">
        <v>113</v>
      </c>
      <c r="S2766" s="0" t="s">
        <v>21</v>
      </c>
      <c r="T2766" s="0" t="s">
        <v>104</v>
      </c>
      <c r="W2766" s="0" t="s">
        <v>105</v>
      </c>
    </row>
    <row r="2767" customFormat="false" ht="15" hidden="false" customHeight="false" outlineLevel="0" collapsed="false">
      <c r="A2767" s="0" t="s">
        <v>21</v>
      </c>
      <c r="B2767" s="0" t="s">
        <v>8779</v>
      </c>
      <c r="C2767" s="0" t="s">
        <v>97</v>
      </c>
      <c r="D2767" s="0" t="s">
        <v>8780</v>
      </c>
      <c r="E2767" s="0" t="s">
        <v>8781</v>
      </c>
      <c r="M2767" s="0" t="s">
        <v>136</v>
      </c>
      <c r="N2767" s="0" t="s">
        <v>124</v>
      </c>
      <c r="P2767" s="0" t="s">
        <v>102</v>
      </c>
      <c r="Q2767" s="0" t="s">
        <v>102</v>
      </c>
      <c r="R2767" s="0" t="s">
        <v>131</v>
      </c>
      <c r="S2767" s="0" t="s">
        <v>21</v>
      </c>
      <c r="T2767" s="0" t="s">
        <v>104</v>
      </c>
      <c r="W2767" s="0" t="s">
        <v>105</v>
      </c>
    </row>
    <row r="2768" customFormat="false" ht="15" hidden="false" customHeight="false" outlineLevel="0" collapsed="false">
      <c r="A2768" s="0" t="s">
        <v>21</v>
      </c>
      <c r="B2768" s="0" t="s">
        <v>8782</v>
      </c>
      <c r="C2768" s="0" t="s">
        <v>372</v>
      </c>
      <c r="D2768" s="0" t="s">
        <v>8783</v>
      </c>
      <c r="E2768" s="0" t="s">
        <v>8784</v>
      </c>
      <c r="M2768" s="0" t="s">
        <v>178</v>
      </c>
      <c r="N2768" s="0" t="s">
        <v>124</v>
      </c>
      <c r="P2768" s="0" t="s">
        <v>102</v>
      </c>
      <c r="Q2768" s="0" t="s">
        <v>102</v>
      </c>
      <c r="R2768" s="0" t="s">
        <v>113</v>
      </c>
      <c r="S2768" s="0" t="s">
        <v>21</v>
      </c>
      <c r="T2768" s="0" t="s">
        <v>104</v>
      </c>
      <c r="U2768" s="0" t="s">
        <v>8785</v>
      </c>
      <c r="W2768" s="0" t="s">
        <v>105</v>
      </c>
    </row>
    <row r="2769" customFormat="false" ht="28.35" hidden="false" customHeight="false" outlineLevel="0" collapsed="false">
      <c r="A2769" s="0" t="s">
        <v>21</v>
      </c>
      <c r="B2769" s="0" t="s">
        <v>8786</v>
      </c>
      <c r="C2769" s="0" t="s">
        <v>8787</v>
      </c>
      <c r="D2769" s="0" t="s">
        <v>8788</v>
      </c>
      <c r="E2769" s="0" t="s">
        <v>8789</v>
      </c>
      <c r="G2769" s="9" t="s">
        <v>8790</v>
      </c>
      <c r="M2769" s="0" t="s">
        <v>1245</v>
      </c>
      <c r="N2769" s="0" t="s">
        <v>101</v>
      </c>
      <c r="P2769" s="0" t="s">
        <v>102</v>
      </c>
      <c r="Q2769" s="0" t="s">
        <v>102</v>
      </c>
      <c r="R2769" s="0" t="s">
        <v>113</v>
      </c>
      <c r="S2769" s="0" t="s">
        <v>21</v>
      </c>
      <c r="T2769" s="0" t="s">
        <v>104</v>
      </c>
      <c r="W2769" s="0" t="s">
        <v>105</v>
      </c>
    </row>
    <row r="2770" customFormat="false" ht="15" hidden="false" customHeight="false" outlineLevel="0" collapsed="false">
      <c r="A2770" s="0" t="s">
        <v>21</v>
      </c>
      <c r="B2770" s="0" t="s">
        <v>8791</v>
      </c>
      <c r="C2770" s="0" t="s">
        <v>97</v>
      </c>
      <c r="D2770" s="0" t="s">
        <v>8792</v>
      </c>
      <c r="E2770" s="0" t="s">
        <v>8793</v>
      </c>
      <c r="H2770" s="0" t="s">
        <v>8794</v>
      </c>
      <c r="I2770" s="0" t="s">
        <v>1245</v>
      </c>
      <c r="J2770" s="0" t="s">
        <v>1245</v>
      </c>
      <c r="K2770" s="0" t="s">
        <v>1059</v>
      </c>
      <c r="L2770" s="0" t="s">
        <v>101</v>
      </c>
      <c r="M2770" s="0" t="s">
        <v>1245</v>
      </c>
      <c r="N2770" s="0" t="s">
        <v>101</v>
      </c>
      <c r="P2770" s="0" t="s">
        <v>102</v>
      </c>
      <c r="Q2770" s="0" t="s">
        <v>102</v>
      </c>
      <c r="R2770" s="0" t="s">
        <v>137</v>
      </c>
      <c r="S2770" s="0" t="s">
        <v>21</v>
      </c>
      <c r="T2770" s="0" t="s">
        <v>104</v>
      </c>
      <c r="W2770" s="0" t="s">
        <v>105</v>
      </c>
      <c r="X2770" s="0" t="s">
        <v>8795</v>
      </c>
      <c r="Y2770" s="0" t="s">
        <v>8796</v>
      </c>
    </row>
    <row r="2771" customFormat="false" ht="15" hidden="false" customHeight="false" outlineLevel="0" collapsed="false">
      <c r="A2771" s="0" t="s">
        <v>21</v>
      </c>
      <c r="B2771" s="0" t="s">
        <v>8797</v>
      </c>
      <c r="C2771" s="0" t="s">
        <v>97</v>
      </c>
      <c r="D2771" s="0" t="s">
        <v>8798</v>
      </c>
      <c r="E2771" s="0" t="s">
        <v>8799</v>
      </c>
      <c r="M2771" s="0" t="s">
        <v>1245</v>
      </c>
      <c r="N2771" s="0" t="s">
        <v>101</v>
      </c>
      <c r="P2771" s="0" t="s">
        <v>102</v>
      </c>
      <c r="Q2771" s="0" t="s">
        <v>102</v>
      </c>
      <c r="R2771" s="0" t="s">
        <v>113</v>
      </c>
      <c r="S2771" s="0" t="s">
        <v>21</v>
      </c>
      <c r="T2771" s="0" t="s">
        <v>104</v>
      </c>
      <c r="W2771" s="0" t="s">
        <v>105</v>
      </c>
    </row>
    <row r="2772" customFormat="false" ht="15" hidden="false" customHeight="false" outlineLevel="0" collapsed="false">
      <c r="A2772" s="0" t="s">
        <v>21</v>
      </c>
      <c r="B2772" s="0" t="s">
        <v>8800</v>
      </c>
      <c r="C2772" s="0" t="s">
        <v>97</v>
      </c>
      <c r="D2772" s="0" t="s">
        <v>8801</v>
      </c>
      <c r="E2772" s="0" t="s">
        <v>8802</v>
      </c>
      <c r="F2772" s="0" t="s">
        <v>8803</v>
      </c>
      <c r="H2772" s="0" t="s">
        <v>8804</v>
      </c>
      <c r="I2772" s="0" t="s">
        <v>8805</v>
      </c>
      <c r="J2772" s="0" t="s">
        <v>1245</v>
      </c>
      <c r="K2772" s="0" t="s">
        <v>1059</v>
      </c>
      <c r="L2772" s="0" t="s">
        <v>101</v>
      </c>
      <c r="M2772" s="0" t="s">
        <v>1245</v>
      </c>
      <c r="N2772" s="0" t="s">
        <v>101</v>
      </c>
      <c r="P2772" s="0" t="s">
        <v>102</v>
      </c>
      <c r="Q2772" s="0" t="s">
        <v>102</v>
      </c>
      <c r="R2772" s="0" t="s">
        <v>113</v>
      </c>
      <c r="S2772" s="0" t="s">
        <v>21</v>
      </c>
      <c r="T2772" s="0" t="s">
        <v>104</v>
      </c>
      <c r="W2772" s="0" t="s">
        <v>105</v>
      </c>
      <c r="X2772" s="0" t="s">
        <v>8806</v>
      </c>
      <c r="Y2772" s="0" t="s">
        <v>8807</v>
      </c>
    </row>
    <row r="2773" customFormat="false" ht="15" hidden="false" customHeight="false" outlineLevel="0" collapsed="false">
      <c r="A2773" s="0" t="s">
        <v>21</v>
      </c>
      <c r="B2773" s="0" t="s">
        <v>8808</v>
      </c>
      <c r="C2773" s="0" t="s">
        <v>97</v>
      </c>
      <c r="D2773" s="0" t="s">
        <v>8809</v>
      </c>
      <c r="E2773" s="0" t="s">
        <v>8810</v>
      </c>
      <c r="G2773" s="0" t="s">
        <v>8811</v>
      </c>
      <c r="H2773" s="0" t="s">
        <v>654</v>
      </c>
      <c r="I2773" s="0" t="s">
        <v>655</v>
      </c>
      <c r="J2773" s="0" t="s">
        <v>100</v>
      </c>
      <c r="K2773" s="0" t="s">
        <v>168</v>
      </c>
      <c r="L2773" s="0" t="s">
        <v>101</v>
      </c>
      <c r="M2773" s="0" t="s">
        <v>656</v>
      </c>
      <c r="N2773" s="0" t="s">
        <v>101</v>
      </c>
      <c r="P2773" s="0" t="s">
        <v>102</v>
      </c>
      <c r="Q2773" s="0" t="s">
        <v>102</v>
      </c>
      <c r="R2773" s="0" t="s">
        <v>131</v>
      </c>
      <c r="S2773" s="0" t="s">
        <v>21</v>
      </c>
      <c r="T2773" s="0" t="s">
        <v>104</v>
      </c>
      <c r="W2773" s="0" t="s">
        <v>105</v>
      </c>
      <c r="X2773" s="0" t="s">
        <v>658</v>
      </c>
      <c r="Y2773" s="0" t="s">
        <v>659</v>
      </c>
    </row>
    <row r="2774" customFormat="false" ht="15" hidden="false" customHeight="false" outlineLevel="0" collapsed="false">
      <c r="A2774" s="0" t="s">
        <v>21</v>
      </c>
      <c r="B2774" s="0" t="s">
        <v>8812</v>
      </c>
      <c r="C2774" s="0" t="s">
        <v>97</v>
      </c>
      <c r="D2774" s="0" t="s">
        <v>8813</v>
      </c>
      <c r="E2774" s="0" t="s">
        <v>8814</v>
      </c>
      <c r="M2774" s="0" t="s">
        <v>136</v>
      </c>
      <c r="N2774" s="0" t="s">
        <v>124</v>
      </c>
      <c r="P2774" s="0" t="s">
        <v>102</v>
      </c>
      <c r="Q2774" s="0" t="s">
        <v>102</v>
      </c>
      <c r="R2774" s="0" t="s">
        <v>131</v>
      </c>
      <c r="S2774" s="0" t="s">
        <v>21</v>
      </c>
      <c r="T2774" s="0" t="s">
        <v>104</v>
      </c>
      <c r="W2774" s="0" t="s">
        <v>105</v>
      </c>
    </row>
    <row r="2775" customFormat="false" ht="15" hidden="false" customHeight="false" outlineLevel="0" collapsed="false">
      <c r="A2775" s="0" t="s">
        <v>21</v>
      </c>
      <c r="B2775" s="0" t="s">
        <v>8815</v>
      </c>
      <c r="C2775" s="0" t="s">
        <v>97</v>
      </c>
      <c r="D2775" s="0" t="s">
        <v>8816</v>
      </c>
      <c r="E2775" s="0" t="s">
        <v>8817</v>
      </c>
      <c r="M2775" s="0" t="s">
        <v>136</v>
      </c>
      <c r="N2775" s="0" t="s">
        <v>124</v>
      </c>
      <c r="P2775" s="0" t="s">
        <v>102</v>
      </c>
      <c r="Q2775" s="0" t="s">
        <v>102</v>
      </c>
      <c r="R2775" s="0" t="s">
        <v>131</v>
      </c>
      <c r="S2775" s="0" t="s">
        <v>21</v>
      </c>
      <c r="T2775" s="0" t="s">
        <v>104</v>
      </c>
      <c r="W2775" s="0" t="s">
        <v>105</v>
      </c>
    </row>
    <row r="2776" customFormat="false" ht="15" hidden="false" customHeight="false" outlineLevel="0" collapsed="false">
      <c r="A2776" s="0" t="s">
        <v>21</v>
      </c>
      <c r="B2776" s="0" t="s">
        <v>8818</v>
      </c>
      <c r="C2776" s="0" t="s">
        <v>97</v>
      </c>
      <c r="D2776" s="0" t="s">
        <v>8819</v>
      </c>
      <c r="E2776" s="0" t="s">
        <v>8820</v>
      </c>
      <c r="M2776" s="0" t="s">
        <v>136</v>
      </c>
      <c r="N2776" s="0" t="s">
        <v>124</v>
      </c>
      <c r="P2776" s="0" t="s">
        <v>102</v>
      </c>
      <c r="Q2776" s="0" t="s">
        <v>102</v>
      </c>
      <c r="R2776" s="0" t="s">
        <v>131</v>
      </c>
      <c r="S2776" s="0" t="s">
        <v>21</v>
      </c>
      <c r="T2776" s="0" t="s">
        <v>104</v>
      </c>
      <c r="W2776" s="0" t="s">
        <v>105</v>
      </c>
    </row>
    <row r="2777" customFormat="false" ht="15" hidden="false" customHeight="false" outlineLevel="0" collapsed="false">
      <c r="A2777" s="0" t="s">
        <v>21</v>
      </c>
      <c r="B2777" s="0" t="s">
        <v>8821</v>
      </c>
      <c r="C2777" s="0" t="s">
        <v>97</v>
      </c>
      <c r="D2777" s="0" t="s">
        <v>8819</v>
      </c>
      <c r="E2777" s="0" t="s">
        <v>8819</v>
      </c>
      <c r="M2777" s="0" t="s">
        <v>136</v>
      </c>
      <c r="N2777" s="0" t="s">
        <v>124</v>
      </c>
      <c r="P2777" s="0" t="s">
        <v>102</v>
      </c>
      <c r="Q2777" s="0" t="s">
        <v>102</v>
      </c>
      <c r="R2777" s="0" t="s">
        <v>131</v>
      </c>
      <c r="S2777" s="0" t="s">
        <v>21</v>
      </c>
      <c r="T2777" s="0" t="s">
        <v>104</v>
      </c>
      <c r="W2777" s="0" t="s">
        <v>105</v>
      </c>
    </row>
    <row r="2778" customFormat="false" ht="15" hidden="false" customHeight="false" outlineLevel="0" collapsed="false">
      <c r="A2778" s="0" t="s">
        <v>21</v>
      </c>
      <c r="B2778" s="0" t="s">
        <v>8822</v>
      </c>
      <c r="C2778" s="0" t="s">
        <v>97</v>
      </c>
      <c r="D2778" s="0" t="s">
        <v>8823</v>
      </c>
      <c r="E2778" s="0" t="s">
        <v>8824</v>
      </c>
      <c r="M2778" s="0" t="s">
        <v>100</v>
      </c>
      <c r="N2778" s="0" t="s">
        <v>101</v>
      </c>
      <c r="P2778" s="0" t="s">
        <v>102</v>
      </c>
      <c r="Q2778" s="0" t="s">
        <v>102</v>
      </c>
      <c r="R2778" s="0" t="s">
        <v>113</v>
      </c>
      <c r="S2778" s="0" t="s">
        <v>21</v>
      </c>
      <c r="T2778" s="0" t="s">
        <v>104</v>
      </c>
      <c r="W2778" s="0" t="s">
        <v>105</v>
      </c>
    </row>
    <row r="2779" customFormat="false" ht="15" hidden="false" customHeight="false" outlineLevel="0" collapsed="false">
      <c r="A2779" s="0" t="s">
        <v>21</v>
      </c>
      <c r="B2779" s="0" t="s">
        <v>8825</v>
      </c>
      <c r="C2779" s="0" t="s">
        <v>97</v>
      </c>
      <c r="D2779" s="0" t="s">
        <v>8826</v>
      </c>
      <c r="E2779" s="0" t="s">
        <v>8827</v>
      </c>
      <c r="M2779" s="0" t="s">
        <v>136</v>
      </c>
      <c r="N2779" s="0" t="s">
        <v>124</v>
      </c>
      <c r="P2779" s="0" t="s">
        <v>102</v>
      </c>
      <c r="Q2779" s="0" t="s">
        <v>102</v>
      </c>
      <c r="R2779" s="0" t="s">
        <v>131</v>
      </c>
      <c r="S2779" s="0" t="s">
        <v>21</v>
      </c>
      <c r="T2779" s="0" t="s">
        <v>104</v>
      </c>
      <c r="W2779" s="0" t="s">
        <v>105</v>
      </c>
    </row>
    <row r="2780" customFormat="false" ht="15" hidden="false" customHeight="false" outlineLevel="0" collapsed="false">
      <c r="A2780" s="0" t="s">
        <v>21</v>
      </c>
      <c r="B2780" s="0" t="s">
        <v>8828</v>
      </c>
      <c r="C2780" s="0" t="s">
        <v>97</v>
      </c>
      <c r="D2780" s="0" t="s">
        <v>7497</v>
      </c>
      <c r="E2780" s="0" t="s">
        <v>8829</v>
      </c>
      <c r="H2780" s="0" t="s">
        <v>8830</v>
      </c>
      <c r="I2780" s="0" t="s">
        <v>8830</v>
      </c>
      <c r="J2780" s="0" t="s">
        <v>245</v>
      </c>
      <c r="K2780" s="0" t="s">
        <v>8831</v>
      </c>
      <c r="L2780" s="0" t="s">
        <v>124</v>
      </c>
      <c r="M2780" s="0" t="s">
        <v>247</v>
      </c>
      <c r="N2780" s="0" t="s">
        <v>124</v>
      </c>
      <c r="P2780" s="0" t="s">
        <v>1044</v>
      </c>
      <c r="Q2780" s="0" t="s">
        <v>1044</v>
      </c>
      <c r="R2780" s="0" t="s">
        <v>248</v>
      </c>
      <c r="S2780" s="0" t="s">
        <v>21</v>
      </c>
      <c r="T2780" s="0" t="s">
        <v>104</v>
      </c>
      <c r="U2780" s="0" t="s">
        <v>368</v>
      </c>
      <c r="W2780" s="0" t="s">
        <v>105</v>
      </c>
      <c r="X2780" s="0" t="s">
        <v>8832</v>
      </c>
      <c r="Y2780" s="0" t="s">
        <v>8833</v>
      </c>
      <c r="Z2780" s="0" t="s">
        <v>134</v>
      </c>
    </row>
    <row r="2781" customFormat="false" ht="15" hidden="false" customHeight="false" outlineLevel="0" collapsed="false">
      <c r="A2781" s="0" t="s">
        <v>21</v>
      </c>
      <c r="B2781" s="0" t="s">
        <v>8834</v>
      </c>
      <c r="C2781" s="0" t="s">
        <v>97</v>
      </c>
      <c r="D2781" s="0" t="s">
        <v>8835</v>
      </c>
      <c r="E2781" s="0" t="s">
        <v>8836</v>
      </c>
      <c r="M2781" s="0" t="s">
        <v>136</v>
      </c>
      <c r="N2781" s="0" t="s">
        <v>124</v>
      </c>
      <c r="P2781" s="0" t="s">
        <v>102</v>
      </c>
      <c r="Q2781" s="0" t="s">
        <v>102</v>
      </c>
      <c r="R2781" s="0" t="s">
        <v>131</v>
      </c>
      <c r="S2781" s="0" t="s">
        <v>21</v>
      </c>
      <c r="T2781" s="0" t="s">
        <v>104</v>
      </c>
      <c r="W2781" s="0" t="s">
        <v>105</v>
      </c>
    </row>
    <row r="2782" customFormat="false" ht="15" hidden="false" customHeight="false" outlineLevel="0" collapsed="false">
      <c r="A2782" s="0" t="s">
        <v>21</v>
      </c>
      <c r="B2782" s="0" t="s">
        <v>8837</v>
      </c>
      <c r="C2782" s="0" t="s">
        <v>97</v>
      </c>
      <c r="D2782" s="0" t="s">
        <v>8838</v>
      </c>
      <c r="E2782" s="0" t="s">
        <v>7378</v>
      </c>
      <c r="M2782" s="0" t="s">
        <v>100</v>
      </c>
      <c r="N2782" s="0" t="s">
        <v>101</v>
      </c>
      <c r="P2782" s="0" t="s">
        <v>102</v>
      </c>
      <c r="Q2782" s="0" t="s">
        <v>102</v>
      </c>
      <c r="R2782" s="0" t="s">
        <v>131</v>
      </c>
      <c r="S2782" s="0" t="s">
        <v>21</v>
      </c>
      <c r="T2782" s="0" t="s">
        <v>104</v>
      </c>
      <c r="W2782" s="0" t="s">
        <v>105</v>
      </c>
    </row>
    <row r="2783" customFormat="false" ht="15" hidden="false" customHeight="false" outlineLevel="0" collapsed="false">
      <c r="A2783" s="0" t="s">
        <v>21</v>
      </c>
      <c r="B2783" s="0" t="s">
        <v>8839</v>
      </c>
      <c r="C2783" s="0" t="s">
        <v>97</v>
      </c>
      <c r="D2783" s="0" t="s">
        <v>8840</v>
      </c>
      <c r="E2783" s="0" t="s">
        <v>8841</v>
      </c>
      <c r="M2783" s="0" t="s">
        <v>136</v>
      </c>
      <c r="N2783" s="0" t="s">
        <v>124</v>
      </c>
      <c r="P2783" s="0" t="s">
        <v>102</v>
      </c>
      <c r="Q2783" s="0" t="s">
        <v>102</v>
      </c>
      <c r="R2783" s="0" t="s">
        <v>113</v>
      </c>
      <c r="S2783" s="0" t="s">
        <v>21</v>
      </c>
      <c r="T2783" s="0" t="s">
        <v>104</v>
      </c>
      <c r="W2783" s="0" t="s">
        <v>105</v>
      </c>
    </row>
    <row r="2784" customFormat="false" ht="15" hidden="false" customHeight="false" outlineLevel="0" collapsed="false">
      <c r="A2784" s="0" t="s">
        <v>21</v>
      </c>
      <c r="B2784" s="0" t="s">
        <v>8842</v>
      </c>
      <c r="C2784" s="0" t="s">
        <v>97</v>
      </c>
      <c r="D2784" s="0" t="s">
        <v>5940</v>
      </c>
      <c r="E2784" s="0" t="s">
        <v>8843</v>
      </c>
      <c r="M2784" s="0" t="s">
        <v>656</v>
      </c>
      <c r="N2784" s="0" t="s">
        <v>101</v>
      </c>
      <c r="P2784" s="0" t="s">
        <v>102</v>
      </c>
      <c r="Q2784" s="0" t="s">
        <v>102</v>
      </c>
      <c r="R2784" s="0" t="s">
        <v>113</v>
      </c>
      <c r="S2784" s="0" t="s">
        <v>21</v>
      </c>
      <c r="T2784" s="0" t="s">
        <v>104</v>
      </c>
      <c r="W2784" s="0" t="s">
        <v>105</v>
      </c>
    </row>
    <row r="2785" customFormat="false" ht="15" hidden="false" customHeight="false" outlineLevel="0" collapsed="false">
      <c r="A2785" s="0" t="s">
        <v>21</v>
      </c>
      <c r="B2785" s="0" t="s">
        <v>8844</v>
      </c>
      <c r="C2785" s="0" t="s">
        <v>97</v>
      </c>
      <c r="D2785" s="0" t="s">
        <v>2179</v>
      </c>
      <c r="E2785" s="0" t="s">
        <v>8845</v>
      </c>
      <c r="F2785" s="0" t="s">
        <v>8846</v>
      </c>
      <c r="H2785" s="0" t="s">
        <v>8847</v>
      </c>
      <c r="I2785" s="0" t="s">
        <v>8848</v>
      </c>
      <c r="J2785" s="0" t="s">
        <v>100</v>
      </c>
      <c r="K2785" s="0" t="s">
        <v>1246</v>
      </c>
      <c r="L2785" s="0" t="s">
        <v>101</v>
      </c>
      <c r="M2785" s="0" t="s">
        <v>2183</v>
      </c>
      <c r="N2785" s="0" t="s">
        <v>101</v>
      </c>
      <c r="P2785" s="0" t="s">
        <v>102</v>
      </c>
      <c r="Q2785" s="0" t="s">
        <v>102</v>
      </c>
      <c r="R2785" s="0" t="s">
        <v>113</v>
      </c>
      <c r="S2785" s="0" t="s">
        <v>21</v>
      </c>
      <c r="T2785" s="0" t="s">
        <v>104</v>
      </c>
      <c r="W2785" s="0" t="s">
        <v>105</v>
      </c>
      <c r="X2785" s="0" t="s">
        <v>8849</v>
      </c>
      <c r="Y2785" s="0" t="s">
        <v>8850</v>
      </c>
    </row>
    <row r="2786" customFormat="false" ht="15" hidden="false" customHeight="false" outlineLevel="0" collapsed="false">
      <c r="A2786" s="0" t="s">
        <v>21</v>
      </c>
      <c r="B2786" s="0" t="s">
        <v>8851</v>
      </c>
      <c r="C2786" s="0" t="s">
        <v>2145</v>
      </c>
      <c r="M2786" s="0" t="s">
        <v>247</v>
      </c>
      <c r="N2786" s="0" t="s">
        <v>124</v>
      </c>
      <c r="P2786" s="0" t="s">
        <v>130</v>
      </c>
      <c r="Q2786" s="0" t="s">
        <v>130</v>
      </c>
      <c r="R2786" s="0" t="s">
        <v>144</v>
      </c>
      <c r="S2786" s="0" t="s">
        <v>21</v>
      </c>
      <c r="T2786" s="0" t="s">
        <v>104</v>
      </c>
      <c r="W2786" s="0" t="s">
        <v>105</v>
      </c>
    </row>
    <row r="2787" customFormat="false" ht="15" hidden="false" customHeight="false" outlineLevel="0" collapsed="false">
      <c r="A2787" s="0" t="s">
        <v>21</v>
      </c>
      <c r="B2787" s="0" t="s">
        <v>8852</v>
      </c>
      <c r="C2787" s="0" t="s">
        <v>97</v>
      </c>
      <c r="D2787" s="0" t="s">
        <v>3894</v>
      </c>
      <c r="E2787" s="0" t="s">
        <v>3894</v>
      </c>
      <c r="M2787" s="0" t="s">
        <v>136</v>
      </c>
      <c r="N2787" s="0" t="s">
        <v>124</v>
      </c>
      <c r="P2787" s="0" t="s">
        <v>102</v>
      </c>
      <c r="Q2787" s="0" t="s">
        <v>102</v>
      </c>
      <c r="R2787" s="0" t="s">
        <v>131</v>
      </c>
      <c r="S2787" s="0" t="s">
        <v>21</v>
      </c>
      <c r="T2787" s="0" t="s">
        <v>104</v>
      </c>
      <c r="W2787" s="0" t="s">
        <v>105</v>
      </c>
    </row>
    <row r="2788" customFormat="false" ht="15" hidden="false" customHeight="false" outlineLevel="0" collapsed="false">
      <c r="A2788" s="0" t="s">
        <v>21</v>
      </c>
      <c r="B2788" s="0" t="s">
        <v>8853</v>
      </c>
      <c r="C2788" s="0" t="s">
        <v>97</v>
      </c>
      <c r="D2788" s="0" t="s">
        <v>8854</v>
      </c>
      <c r="E2788" s="0" t="s">
        <v>8855</v>
      </c>
      <c r="M2788" s="0" t="s">
        <v>232</v>
      </c>
      <c r="N2788" s="0" t="s">
        <v>124</v>
      </c>
      <c r="P2788" s="0" t="s">
        <v>102</v>
      </c>
      <c r="Q2788" s="0" t="s">
        <v>102</v>
      </c>
      <c r="R2788" s="0" t="s">
        <v>137</v>
      </c>
      <c r="S2788" s="0" t="s">
        <v>21</v>
      </c>
      <c r="T2788" s="0" t="s">
        <v>104</v>
      </c>
      <c r="W2788" s="0" t="s">
        <v>105</v>
      </c>
      <c r="X2788" s="0" t="s">
        <v>2798</v>
      </c>
      <c r="Y2788" s="0" t="s">
        <v>2799</v>
      </c>
      <c r="Z2788" s="0" t="s">
        <v>159</v>
      </c>
    </row>
    <row r="2789" customFormat="false" ht="15" hidden="false" customHeight="false" outlineLevel="0" collapsed="false">
      <c r="A2789" s="0" t="s">
        <v>21</v>
      </c>
      <c r="B2789" s="0" t="s">
        <v>8856</v>
      </c>
      <c r="C2789" s="0" t="s">
        <v>97</v>
      </c>
      <c r="D2789" s="0" t="s">
        <v>8857</v>
      </c>
      <c r="E2789" s="0" t="s">
        <v>8857</v>
      </c>
      <c r="G2789" s="0" t="s">
        <v>8858</v>
      </c>
      <c r="H2789" s="0" t="s">
        <v>8859</v>
      </c>
      <c r="I2789" s="0" t="s">
        <v>136</v>
      </c>
      <c r="J2789" s="0" t="s">
        <v>232</v>
      </c>
      <c r="K2789" s="0" t="s">
        <v>158</v>
      </c>
      <c r="L2789" s="0" t="s">
        <v>124</v>
      </c>
      <c r="M2789" s="0" t="s">
        <v>100</v>
      </c>
      <c r="N2789" s="0" t="s">
        <v>101</v>
      </c>
      <c r="P2789" s="0" t="s">
        <v>102</v>
      </c>
      <c r="Q2789" s="0" t="s">
        <v>102</v>
      </c>
      <c r="R2789" s="0" t="s">
        <v>137</v>
      </c>
      <c r="S2789" s="0" t="s">
        <v>21</v>
      </c>
      <c r="T2789" s="0" t="s">
        <v>104</v>
      </c>
      <c r="W2789" s="0" t="s">
        <v>105</v>
      </c>
      <c r="X2789" s="0" t="s">
        <v>2798</v>
      </c>
      <c r="Y2789" s="0" t="s">
        <v>2799</v>
      </c>
      <c r="Z2789" s="0" t="s">
        <v>159</v>
      </c>
    </row>
    <row r="2790" customFormat="false" ht="15" hidden="false" customHeight="false" outlineLevel="0" collapsed="false">
      <c r="A2790" s="0" t="s">
        <v>21</v>
      </c>
      <c r="B2790" s="0" t="s">
        <v>8860</v>
      </c>
      <c r="C2790" s="0" t="s">
        <v>97</v>
      </c>
      <c r="D2790" s="0" t="s">
        <v>8861</v>
      </c>
      <c r="E2790" s="0" t="s">
        <v>8857</v>
      </c>
      <c r="M2790" s="0" t="s">
        <v>156</v>
      </c>
      <c r="N2790" s="0" t="s">
        <v>124</v>
      </c>
      <c r="P2790" s="0" t="s">
        <v>102</v>
      </c>
      <c r="Q2790" s="0" t="s">
        <v>102</v>
      </c>
      <c r="R2790" s="0" t="s">
        <v>137</v>
      </c>
      <c r="S2790" s="0" t="s">
        <v>21</v>
      </c>
      <c r="T2790" s="0" t="s">
        <v>104</v>
      </c>
      <c r="W2790" s="0" t="s">
        <v>105</v>
      </c>
      <c r="Z2790" s="0" t="s">
        <v>159</v>
      </c>
    </row>
    <row r="2791" customFormat="false" ht="15" hidden="false" customHeight="false" outlineLevel="0" collapsed="false">
      <c r="A2791" s="0" t="s">
        <v>21</v>
      </c>
      <c r="B2791" s="0" t="s">
        <v>8862</v>
      </c>
      <c r="C2791" s="0" t="s">
        <v>97</v>
      </c>
      <c r="D2791" s="0" t="s">
        <v>8863</v>
      </c>
      <c r="E2791" s="0" t="s">
        <v>8863</v>
      </c>
      <c r="F2791" s="0" t="s">
        <v>8863</v>
      </c>
      <c r="M2791" s="0" t="s">
        <v>100</v>
      </c>
      <c r="N2791" s="0" t="s">
        <v>101</v>
      </c>
      <c r="P2791" s="0" t="s">
        <v>102</v>
      </c>
      <c r="Q2791" s="0" t="s">
        <v>102</v>
      </c>
      <c r="R2791" s="0" t="s">
        <v>131</v>
      </c>
      <c r="S2791" s="0" t="s">
        <v>21</v>
      </c>
      <c r="T2791" s="0" t="s">
        <v>104</v>
      </c>
      <c r="W2791" s="0" t="s">
        <v>105</v>
      </c>
    </row>
    <row r="2792" customFormat="false" ht="15" hidden="false" customHeight="false" outlineLevel="0" collapsed="false">
      <c r="A2792" s="0" t="s">
        <v>21</v>
      </c>
      <c r="B2792" s="0" t="s">
        <v>8864</v>
      </c>
      <c r="C2792" s="0" t="s">
        <v>97</v>
      </c>
      <c r="D2792" s="0" t="s">
        <v>8865</v>
      </c>
      <c r="E2792" s="0" t="s">
        <v>8865</v>
      </c>
      <c r="M2792" s="0" t="s">
        <v>136</v>
      </c>
      <c r="N2792" s="0" t="s">
        <v>124</v>
      </c>
      <c r="P2792" s="0" t="s">
        <v>102</v>
      </c>
      <c r="Q2792" s="0" t="s">
        <v>102</v>
      </c>
      <c r="R2792" s="0" t="s">
        <v>131</v>
      </c>
      <c r="S2792" s="0" t="s">
        <v>21</v>
      </c>
      <c r="T2792" s="0" t="s">
        <v>104</v>
      </c>
      <c r="W2792" s="0" t="s">
        <v>105</v>
      </c>
    </row>
    <row r="2793" customFormat="false" ht="15" hidden="false" customHeight="false" outlineLevel="0" collapsed="false">
      <c r="A2793" s="0" t="s">
        <v>21</v>
      </c>
      <c r="B2793" s="0" t="s">
        <v>8866</v>
      </c>
      <c r="C2793" s="0" t="s">
        <v>97</v>
      </c>
      <c r="D2793" s="0" t="s">
        <v>8865</v>
      </c>
      <c r="E2793" s="0" t="s">
        <v>8865</v>
      </c>
      <c r="M2793" s="0" t="s">
        <v>136</v>
      </c>
      <c r="N2793" s="0" t="s">
        <v>124</v>
      </c>
      <c r="P2793" s="0" t="s">
        <v>102</v>
      </c>
      <c r="Q2793" s="0" t="s">
        <v>102</v>
      </c>
      <c r="R2793" s="0" t="s">
        <v>131</v>
      </c>
      <c r="S2793" s="0" t="s">
        <v>21</v>
      </c>
      <c r="T2793" s="0" t="s">
        <v>104</v>
      </c>
      <c r="W2793" s="0" t="s">
        <v>105</v>
      </c>
    </row>
    <row r="2794" customFormat="false" ht="15" hidden="false" customHeight="false" outlineLevel="0" collapsed="false">
      <c r="A2794" s="0" t="s">
        <v>21</v>
      </c>
      <c r="B2794" s="0" t="s">
        <v>8867</v>
      </c>
      <c r="C2794" s="0" t="s">
        <v>97</v>
      </c>
      <c r="D2794" s="0" t="s">
        <v>8868</v>
      </c>
      <c r="E2794" s="0" t="s">
        <v>8869</v>
      </c>
      <c r="M2794" s="0" t="s">
        <v>136</v>
      </c>
      <c r="N2794" s="0" t="s">
        <v>124</v>
      </c>
      <c r="P2794" s="0" t="s">
        <v>102</v>
      </c>
      <c r="Q2794" s="0" t="s">
        <v>102</v>
      </c>
      <c r="R2794" s="0" t="s">
        <v>131</v>
      </c>
      <c r="S2794" s="0" t="s">
        <v>21</v>
      </c>
      <c r="T2794" s="0" t="s">
        <v>104</v>
      </c>
      <c r="W2794" s="0" t="s">
        <v>105</v>
      </c>
    </row>
    <row r="2795" customFormat="false" ht="15" hidden="false" customHeight="false" outlineLevel="0" collapsed="false">
      <c r="A2795" s="0" t="s">
        <v>21</v>
      </c>
      <c r="B2795" s="0" t="s">
        <v>8870</v>
      </c>
      <c r="C2795" s="0" t="s">
        <v>97</v>
      </c>
      <c r="D2795" s="0" t="s">
        <v>8871</v>
      </c>
      <c r="E2795" s="0" t="s">
        <v>8872</v>
      </c>
      <c r="M2795" s="0" t="s">
        <v>136</v>
      </c>
      <c r="N2795" s="0" t="s">
        <v>124</v>
      </c>
      <c r="P2795" s="0" t="s">
        <v>102</v>
      </c>
      <c r="Q2795" s="0" t="s">
        <v>102</v>
      </c>
      <c r="R2795" s="0" t="s">
        <v>131</v>
      </c>
      <c r="S2795" s="0" t="s">
        <v>21</v>
      </c>
      <c r="T2795" s="0" t="s">
        <v>104</v>
      </c>
      <c r="W2795" s="0" t="s">
        <v>105</v>
      </c>
    </row>
    <row r="2796" customFormat="false" ht="15" hidden="false" customHeight="false" outlineLevel="0" collapsed="false">
      <c r="A2796" s="0" t="s">
        <v>21</v>
      </c>
      <c r="B2796" s="0" t="s">
        <v>8873</v>
      </c>
      <c r="C2796" s="0" t="s">
        <v>97</v>
      </c>
      <c r="D2796" s="0" t="s">
        <v>8874</v>
      </c>
      <c r="E2796" s="0" t="s">
        <v>8875</v>
      </c>
      <c r="M2796" s="0" t="s">
        <v>136</v>
      </c>
      <c r="N2796" s="0" t="s">
        <v>124</v>
      </c>
      <c r="P2796" s="0" t="s">
        <v>102</v>
      </c>
      <c r="Q2796" s="0" t="s">
        <v>102</v>
      </c>
      <c r="R2796" s="0" t="s">
        <v>131</v>
      </c>
      <c r="S2796" s="0" t="s">
        <v>21</v>
      </c>
      <c r="T2796" s="0" t="s">
        <v>104</v>
      </c>
      <c r="W2796" s="0" t="s">
        <v>105</v>
      </c>
    </row>
    <row r="2797" customFormat="false" ht="15" hidden="false" customHeight="false" outlineLevel="0" collapsed="false">
      <c r="A2797" s="0" t="s">
        <v>21</v>
      </c>
      <c r="B2797" s="0" t="s">
        <v>8876</v>
      </c>
      <c r="C2797" s="0" t="s">
        <v>97</v>
      </c>
      <c r="D2797" s="0" t="s">
        <v>8877</v>
      </c>
      <c r="E2797" s="0" t="s">
        <v>8878</v>
      </c>
      <c r="M2797" s="0" t="s">
        <v>136</v>
      </c>
      <c r="N2797" s="0" t="s">
        <v>124</v>
      </c>
      <c r="P2797" s="0" t="s">
        <v>102</v>
      </c>
      <c r="Q2797" s="0" t="s">
        <v>102</v>
      </c>
      <c r="R2797" s="0" t="s">
        <v>131</v>
      </c>
      <c r="S2797" s="0" t="s">
        <v>21</v>
      </c>
      <c r="T2797" s="0" t="s">
        <v>104</v>
      </c>
      <c r="W2797" s="0" t="s">
        <v>105</v>
      </c>
    </row>
    <row r="2798" customFormat="false" ht="15" hidden="false" customHeight="false" outlineLevel="0" collapsed="false">
      <c r="A2798" s="0" t="s">
        <v>21</v>
      </c>
      <c r="B2798" s="0" t="s">
        <v>8879</v>
      </c>
      <c r="C2798" s="0" t="s">
        <v>97</v>
      </c>
      <c r="D2798" s="0" t="s">
        <v>8880</v>
      </c>
      <c r="E2798" s="0" t="s">
        <v>8881</v>
      </c>
      <c r="M2798" s="0" t="s">
        <v>136</v>
      </c>
      <c r="N2798" s="0" t="s">
        <v>124</v>
      </c>
      <c r="P2798" s="0" t="s">
        <v>102</v>
      </c>
      <c r="Q2798" s="0" t="s">
        <v>102</v>
      </c>
      <c r="R2798" s="0" t="s">
        <v>131</v>
      </c>
      <c r="S2798" s="0" t="s">
        <v>21</v>
      </c>
      <c r="T2798" s="0" t="s">
        <v>104</v>
      </c>
      <c r="W2798" s="0" t="s">
        <v>105</v>
      </c>
    </row>
    <row r="2799" customFormat="false" ht="15" hidden="false" customHeight="false" outlineLevel="0" collapsed="false">
      <c r="A2799" s="0" t="s">
        <v>21</v>
      </c>
      <c r="B2799" s="0" t="s">
        <v>8882</v>
      </c>
      <c r="C2799" s="0" t="s">
        <v>97</v>
      </c>
      <c r="D2799" s="0" t="s">
        <v>8883</v>
      </c>
      <c r="E2799" s="0" t="s">
        <v>8884</v>
      </c>
      <c r="M2799" s="0" t="s">
        <v>136</v>
      </c>
      <c r="N2799" s="0" t="s">
        <v>124</v>
      </c>
      <c r="P2799" s="0" t="s">
        <v>102</v>
      </c>
      <c r="Q2799" s="0" t="s">
        <v>102</v>
      </c>
      <c r="R2799" s="0" t="s">
        <v>131</v>
      </c>
      <c r="S2799" s="0" t="s">
        <v>21</v>
      </c>
      <c r="T2799" s="0" t="s">
        <v>104</v>
      </c>
      <c r="W2799" s="0" t="s">
        <v>105</v>
      </c>
    </row>
    <row r="2800" customFormat="false" ht="15" hidden="false" customHeight="false" outlineLevel="0" collapsed="false">
      <c r="A2800" s="0" t="s">
        <v>21</v>
      </c>
      <c r="B2800" s="0" t="s">
        <v>8885</v>
      </c>
      <c r="C2800" s="0" t="s">
        <v>97</v>
      </c>
      <c r="D2800" s="0" t="s">
        <v>8886</v>
      </c>
      <c r="E2800" s="0" t="s">
        <v>8887</v>
      </c>
      <c r="M2800" s="0" t="s">
        <v>136</v>
      </c>
      <c r="N2800" s="0" t="s">
        <v>124</v>
      </c>
      <c r="P2800" s="0" t="s">
        <v>102</v>
      </c>
      <c r="Q2800" s="0" t="s">
        <v>102</v>
      </c>
      <c r="R2800" s="0" t="s">
        <v>131</v>
      </c>
      <c r="S2800" s="0" t="s">
        <v>21</v>
      </c>
      <c r="T2800" s="0" t="s">
        <v>104</v>
      </c>
      <c r="W2800" s="0" t="s">
        <v>105</v>
      </c>
    </row>
    <row r="2801" customFormat="false" ht="15" hidden="false" customHeight="false" outlineLevel="0" collapsed="false">
      <c r="A2801" s="0" t="s">
        <v>21</v>
      </c>
      <c r="B2801" s="0" t="s">
        <v>8888</v>
      </c>
      <c r="C2801" s="0" t="s">
        <v>97</v>
      </c>
      <c r="D2801" s="0" t="s">
        <v>8889</v>
      </c>
      <c r="E2801" s="0" t="s">
        <v>8890</v>
      </c>
      <c r="M2801" s="0" t="s">
        <v>136</v>
      </c>
      <c r="N2801" s="0" t="s">
        <v>124</v>
      </c>
      <c r="P2801" s="0" t="s">
        <v>102</v>
      </c>
      <c r="Q2801" s="0" t="s">
        <v>102</v>
      </c>
      <c r="R2801" s="0" t="s">
        <v>131</v>
      </c>
      <c r="S2801" s="0" t="s">
        <v>21</v>
      </c>
      <c r="T2801" s="0" t="s">
        <v>104</v>
      </c>
      <c r="W2801" s="0" t="s">
        <v>105</v>
      </c>
    </row>
    <row r="2802" customFormat="false" ht="15" hidden="false" customHeight="false" outlineLevel="0" collapsed="false">
      <c r="A2802" s="0" t="s">
        <v>21</v>
      </c>
      <c r="B2802" s="0" t="s">
        <v>8891</v>
      </c>
      <c r="C2802" s="0" t="s">
        <v>97</v>
      </c>
      <c r="D2802" s="0" t="s">
        <v>8892</v>
      </c>
      <c r="E2802" s="0" t="s">
        <v>8893</v>
      </c>
      <c r="M2802" s="0" t="s">
        <v>136</v>
      </c>
      <c r="N2802" s="0" t="s">
        <v>124</v>
      </c>
      <c r="P2802" s="0" t="s">
        <v>102</v>
      </c>
      <c r="Q2802" s="0" t="s">
        <v>102</v>
      </c>
      <c r="R2802" s="0" t="s">
        <v>131</v>
      </c>
      <c r="S2802" s="0" t="s">
        <v>21</v>
      </c>
      <c r="T2802" s="0" t="s">
        <v>104</v>
      </c>
      <c r="W2802" s="0" t="s">
        <v>105</v>
      </c>
    </row>
    <row r="2803" customFormat="false" ht="15" hidden="false" customHeight="false" outlineLevel="0" collapsed="false">
      <c r="A2803" s="0" t="s">
        <v>21</v>
      </c>
      <c r="B2803" s="0" t="s">
        <v>8894</v>
      </c>
      <c r="C2803" s="0" t="s">
        <v>97</v>
      </c>
      <c r="D2803" s="0" t="s">
        <v>8895</v>
      </c>
      <c r="E2803" s="0" t="s">
        <v>8896</v>
      </c>
      <c r="M2803" s="0" t="s">
        <v>136</v>
      </c>
      <c r="N2803" s="0" t="s">
        <v>124</v>
      </c>
      <c r="P2803" s="0" t="s">
        <v>102</v>
      </c>
      <c r="Q2803" s="0" t="s">
        <v>102</v>
      </c>
      <c r="R2803" s="0" t="s">
        <v>131</v>
      </c>
      <c r="S2803" s="0" t="s">
        <v>21</v>
      </c>
      <c r="T2803" s="0" t="s">
        <v>104</v>
      </c>
      <c r="W2803" s="0" t="s">
        <v>105</v>
      </c>
    </row>
    <row r="2804" customFormat="false" ht="15" hidden="false" customHeight="false" outlineLevel="0" collapsed="false">
      <c r="A2804" s="0" t="s">
        <v>21</v>
      </c>
      <c r="B2804" s="0" t="s">
        <v>8897</v>
      </c>
      <c r="C2804" s="0" t="s">
        <v>97</v>
      </c>
      <c r="D2804" s="0" t="s">
        <v>8898</v>
      </c>
      <c r="E2804" s="0" t="s">
        <v>8899</v>
      </c>
      <c r="M2804" s="0" t="s">
        <v>136</v>
      </c>
      <c r="N2804" s="0" t="s">
        <v>124</v>
      </c>
      <c r="P2804" s="0" t="s">
        <v>102</v>
      </c>
      <c r="Q2804" s="0" t="s">
        <v>102</v>
      </c>
      <c r="R2804" s="0" t="s">
        <v>131</v>
      </c>
      <c r="S2804" s="0" t="s">
        <v>21</v>
      </c>
      <c r="T2804" s="0" t="s">
        <v>104</v>
      </c>
      <c r="W2804" s="0" t="s">
        <v>105</v>
      </c>
    </row>
    <row r="2805" customFormat="false" ht="15" hidden="false" customHeight="false" outlineLevel="0" collapsed="false">
      <c r="A2805" s="0" t="s">
        <v>21</v>
      </c>
      <c r="B2805" s="0" t="s">
        <v>8900</v>
      </c>
      <c r="C2805" s="0" t="s">
        <v>97</v>
      </c>
      <c r="D2805" s="0" t="s">
        <v>8901</v>
      </c>
      <c r="E2805" s="0" t="s">
        <v>8902</v>
      </c>
      <c r="M2805" s="0" t="s">
        <v>136</v>
      </c>
      <c r="N2805" s="0" t="s">
        <v>124</v>
      </c>
      <c r="P2805" s="0" t="s">
        <v>102</v>
      </c>
      <c r="Q2805" s="0" t="s">
        <v>102</v>
      </c>
      <c r="R2805" s="0" t="s">
        <v>131</v>
      </c>
      <c r="S2805" s="0" t="s">
        <v>21</v>
      </c>
      <c r="T2805" s="0" t="s">
        <v>104</v>
      </c>
      <c r="W2805" s="0" t="s">
        <v>105</v>
      </c>
    </row>
    <row r="2806" customFormat="false" ht="15" hidden="false" customHeight="false" outlineLevel="0" collapsed="false">
      <c r="A2806" s="0" t="s">
        <v>21</v>
      </c>
      <c r="B2806" s="0" t="s">
        <v>8903</v>
      </c>
      <c r="C2806" s="0" t="s">
        <v>97</v>
      </c>
      <c r="D2806" s="0" t="s">
        <v>8904</v>
      </c>
      <c r="E2806" s="0" t="s">
        <v>8905</v>
      </c>
      <c r="M2806" s="0" t="s">
        <v>136</v>
      </c>
      <c r="N2806" s="0" t="s">
        <v>124</v>
      </c>
      <c r="P2806" s="0" t="s">
        <v>102</v>
      </c>
      <c r="Q2806" s="0" t="s">
        <v>102</v>
      </c>
      <c r="R2806" s="0" t="s">
        <v>131</v>
      </c>
      <c r="S2806" s="0" t="s">
        <v>21</v>
      </c>
      <c r="T2806" s="0" t="s">
        <v>104</v>
      </c>
      <c r="W2806" s="0" t="s">
        <v>105</v>
      </c>
    </row>
    <row r="2807" customFormat="false" ht="15" hidden="false" customHeight="false" outlineLevel="0" collapsed="false">
      <c r="A2807" s="0" t="s">
        <v>21</v>
      </c>
      <c r="B2807" s="0" t="s">
        <v>8906</v>
      </c>
      <c r="C2807" s="0" t="s">
        <v>97</v>
      </c>
      <c r="D2807" s="0" t="s">
        <v>8907</v>
      </c>
      <c r="E2807" s="0" t="s">
        <v>8908</v>
      </c>
      <c r="M2807" s="0" t="s">
        <v>136</v>
      </c>
      <c r="N2807" s="0" t="s">
        <v>124</v>
      </c>
      <c r="P2807" s="0" t="s">
        <v>102</v>
      </c>
      <c r="Q2807" s="0" t="s">
        <v>102</v>
      </c>
      <c r="R2807" s="0" t="s">
        <v>131</v>
      </c>
      <c r="S2807" s="0" t="s">
        <v>21</v>
      </c>
      <c r="T2807" s="0" t="s">
        <v>104</v>
      </c>
      <c r="W2807" s="0" t="s">
        <v>105</v>
      </c>
    </row>
    <row r="2808" customFormat="false" ht="15" hidden="false" customHeight="false" outlineLevel="0" collapsed="false">
      <c r="A2808" s="0" t="s">
        <v>21</v>
      </c>
      <c r="B2808" s="0" t="s">
        <v>8909</v>
      </c>
      <c r="C2808" s="0" t="s">
        <v>97</v>
      </c>
      <c r="D2808" s="0" t="s">
        <v>8910</v>
      </c>
      <c r="E2808" s="0" t="s">
        <v>8911</v>
      </c>
      <c r="M2808" s="0" t="s">
        <v>136</v>
      </c>
      <c r="N2808" s="0" t="s">
        <v>124</v>
      </c>
      <c r="P2808" s="0" t="s">
        <v>102</v>
      </c>
      <c r="Q2808" s="0" t="s">
        <v>102</v>
      </c>
      <c r="R2808" s="0" t="s">
        <v>131</v>
      </c>
      <c r="S2808" s="0" t="s">
        <v>21</v>
      </c>
      <c r="T2808" s="0" t="s">
        <v>104</v>
      </c>
      <c r="W2808" s="0" t="s">
        <v>105</v>
      </c>
    </row>
    <row r="2809" customFormat="false" ht="15" hidden="false" customHeight="false" outlineLevel="0" collapsed="false">
      <c r="A2809" s="0" t="s">
        <v>21</v>
      </c>
      <c r="B2809" s="0" t="s">
        <v>8912</v>
      </c>
      <c r="C2809" s="0" t="s">
        <v>97</v>
      </c>
      <c r="D2809" s="0" t="s">
        <v>8913</v>
      </c>
      <c r="E2809" s="0" t="s">
        <v>8914</v>
      </c>
      <c r="M2809" s="0" t="s">
        <v>136</v>
      </c>
      <c r="N2809" s="0" t="s">
        <v>124</v>
      </c>
      <c r="P2809" s="0" t="s">
        <v>102</v>
      </c>
      <c r="Q2809" s="0" t="s">
        <v>102</v>
      </c>
      <c r="R2809" s="0" t="s">
        <v>131</v>
      </c>
      <c r="S2809" s="0" t="s">
        <v>21</v>
      </c>
      <c r="T2809" s="0" t="s">
        <v>104</v>
      </c>
      <c r="W2809" s="0" t="s">
        <v>105</v>
      </c>
    </row>
    <row r="2810" customFormat="false" ht="15" hidden="false" customHeight="false" outlineLevel="0" collapsed="false">
      <c r="A2810" s="0" t="s">
        <v>21</v>
      </c>
      <c r="B2810" s="0" t="s">
        <v>8915</v>
      </c>
      <c r="C2810" s="0" t="s">
        <v>97</v>
      </c>
      <c r="D2810" s="0" t="s">
        <v>8916</v>
      </c>
      <c r="E2810" s="0" t="s">
        <v>8917</v>
      </c>
      <c r="M2810" s="0" t="s">
        <v>136</v>
      </c>
      <c r="N2810" s="0" t="s">
        <v>124</v>
      </c>
      <c r="P2810" s="0" t="s">
        <v>102</v>
      </c>
      <c r="Q2810" s="0" t="s">
        <v>102</v>
      </c>
      <c r="R2810" s="0" t="s">
        <v>131</v>
      </c>
      <c r="S2810" s="0" t="s">
        <v>21</v>
      </c>
      <c r="T2810" s="0" t="s">
        <v>104</v>
      </c>
      <c r="W2810" s="0" t="s">
        <v>105</v>
      </c>
    </row>
    <row r="2811" customFormat="false" ht="15" hidden="false" customHeight="false" outlineLevel="0" collapsed="false">
      <c r="A2811" s="0" t="s">
        <v>21</v>
      </c>
      <c r="B2811" s="0" t="s">
        <v>8918</v>
      </c>
      <c r="C2811" s="0" t="s">
        <v>97</v>
      </c>
      <c r="D2811" s="0" t="s">
        <v>8919</v>
      </c>
      <c r="E2811" s="0" t="s">
        <v>8920</v>
      </c>
      <c r="M2811" s="0" t="s">
        <v>136</v>
      </c>
      <c r="N2811" s="0" t="s">
        <v>124</v>
      </c>
      <c r="P2811" s="0" t="s">
        <v>102</v>
      </c>
      <c r="Q2811" s="0" t="s">
        <v>102</v>
      </c>
      <c r="R2811" s="0" t="s">
        <v>131</v>
      </c>
      <c r="S2811" s="0" t="s">
        <v>21</v>
      </c>
      <c r="T2811" s="0" t="s">
        <v>104</v>
      </c>
      <c r="W2811" s="0" t="s">
        <v>105</v>
      </c>
    </row>
    <row r="2812" customFormat="false" ht="15" hidden="false" customHeight="false" outlineLevel="0" collapsed="false">
      <c r="A2812" s="0" t="s">
        <v>21</v>
      </c>
      <c r="B2812" s="0" t="s">
        <v>8921</v>
      </c>
      <c r="C2812" s="0" t="s">
        <v>97</v>
      </c>
      <c r="D2812" s="0" t="s">
        <v>8922</v>
      </c>
      <c r="E2812" s="0" t="s">
        <v>8923</v>
      </c>
      <c r="M2812" s="0" t="s">
        <v>136</v>
      </c>
      <c r="N2812" s="0" t="s">
        <v>124</v>
      </c>
      <c r="P2812" s="0" t="s">
        <v>102</v>
      </c>
      <c r="Q2812" s="0" t="s">
        <v>102</v>
      </c>
      <c r="R2812" s="0" t="s">
        <v>131</v>
      </c>
      <c r="S2812" s="0" t="s">
        <v>21</v>
      </c>
      <c r="T2812" s="0" t="s">
        <v>104</v>
      </c>
      <c r="W2812" s="0" t="s">
        <v>105</v>
      </c>
    </row>
    <row r="2813" customFormat="false" ht="15" hidden="false" customHeight="false" outlineLevel="0" collapsed="false">
      <c r="A2813" s="0" t="s">
        <v>21</v>
      </c>
      <c r="B2813" s="0" t="s">
        <v>8924</v>
      </c>
      <c r="C2813" s="0" t="s">
        <v>97</v>
      </c>
      <c r="D2813" s="0" t="s">
        <v>8925</v>
      </c>
      <c r="E2813" s="0" t="s">
        <v>8926</v>
      </c>
      <c r="M2813" s="0" t="s">
        <v>136</v>
      </c>
      <c r="N2813" s="0" t="s">
        <v>124</v>
      </c>
      <c r="P2813" s="0" t="s">
        <v>102</v>
      </c>
      <c r="Q2813" s="0" t="s">
        <v>102</v>
      </c>
      <c r="R2813" s="0" t="s">
        <v>131</v>
      </c>
      <c r="S2813" s="0" t="s">
        <v>21</v>
      </c>
      <c r="T2813" s="0" t="s">
        <v>104</v>
      </c>
      <c r="W2813" s="0" t="s">
        <v>105</v>
      </c>
    </row>
    <row r="2814" customFormat="false" ht="15" hidden="false" customHeight="false" outlineLevel="0" collapsed="false">
      <c r="A2814" s="0" t="s">
        <v>21</v>
      </c>
      <c r="B2814" s="0" t="s">
        <v>8927</v>
      </c>
      <c r="C2814" s="0" t="s">
        <v>97</v>
      </c>
      <c r="D2814" s="0" t="s">
        <v>8928</v>
      </c>
      <c r="E2814" s="0" t="s">
        <v>8929</v>
      </c>
      <c r="M2814" s="0" t="s">
        <v>136</v>
      </c>
      <c r="N2814" s="0" t="s">
        <v>124</v>
      </c>
      <c r="P2814" s="0" t="s">
        <v>102</v>
      </c>
      <c r="Q2814" s="0" t="s">
        <v>102</v>
      </c>
      <c r="R2814" s="0" t="s">
        <v>131</v>
      </c>
      <c r="S2814" s="0" t="s">
        <v>21</v>
      </c>
      <c r="T2814" s="0" t="s">
        <v>104</v>
      </c>
      <c r="W2814" s="0" t="s">
        <v>105</v>
      </c>
    </row>
    <row r="2815" customFormat="false" ht="15" hidden="false" customHeight="false" outlineLevel="0" collapsed="false">
      <c r="A2815" s="0" t="s">
        <v>21</v>
      </c>
      <c r="B2815" s="0" t="s">
        <v>8930</v>
      </c>
      <c r="C2815" s="0" t="s">
        <v>97</v>
      </c>
      <c r="D2815" s="0" t="s">
        <v>8931</v>
      </c>
      <c r="E2815" s="0" t="s">
        <v>8932</v>
      </c>
      <c r="M2815" s="0" t="s">
        <v>136</v>
      </c>
      <c r="N2815" s="0" t="s">
        <v>124</v>
      </c>
      <c r="P2815" s="0" t="s">
        <v>102</v>
      </c>
      <c r="Q2815" s="0" t="s">
        <v>102</v>
      </c>
      <c r="R2815" s="0" t="s">
        <v>131</v>
      </c>
      <c r="S2815" s="0" t="s">
        <v>21</v>
      </c>
      <c r="T2815" s="0" t="s">
        <v>104</v>
      </c>
      <c r="W2815" s="0" t="s">
        <v>105</v>
      </c>
    </row>
    <row r="2816" customFormat="false" ht="15" hidden="false" customHeight="false" outlineLevel="0" collapsed="false">
      <c r="A2816" s="0" t="s">
        <v>21</v>
      </c>
      <c r="B2816" s="0" t="s">
        <v>8933</v>
      </c>
      <c r="C2816" s="0" t="s">
        <v>97</v>
      </c>
      <c r="D2816" s="0" t="s">
        <v>8934</v>
      </c>
      <c r="E2816" s="0" t="s">
        <v>8935</v>
      </c>
      <c r="M2816" s="0" t="s">
        <v>136</v>
      </c>
      <c r="N2816" s="0" t="s">
        <v>124</v>
      </c>
      <c r="P2816" s="0" t="s">
        <v>102</v>
      </c>
      <c r="Q2816" s="0" t="s">
        <v>102</v>
      </c>
      <c r="R2816" s="0" t="s">
        <v>131</v>
      </c>
      <c r="S2816" s="0" t="s">
        <v>21</v>
      </c>
      <c r="T2816" s="0" t="s">
        <v>104</v>
      </c>
      <c r="W2816" s="0" t="s">
        <v>105</v>
      </c>
    </row>
    <row r="2817" customFormat="false" ht="15" hidden="false" customHeight="false" outlineLevel="0" collapsed="false">
      <c r="A2817" s="0" t="s">
        <v>21</v>
      </c>
      <c r="B2817" s="0" t="s">
        <v>8936</v>
      </c>
      <c r="C2817" s="0" t="s">
        <v>97</v>
      </c>
      <c r="D2817" s="0" t="s">
        <v>8937</v>
      </c>
      <c r="E2817" s="0" t="s">
        <v>8938</v>
      </c>
      <c r="M2817" s="0" t="s">
        <v>136</v>
      </c>
      <c r="N2817" s="0" t="s">
        <v>124</v>
      </c>
      <c r="P2817" s="0" t="s">
        <v>102</v>
      </c>
      <c r="Q2817" s="0" t="s">
        <v>102</v>
      </c>
      <c r="R2817" s="0" t="s">
        <v>131</v>
      </c>
      <c r="S2817" s="0" t="s">
        <v>21</v>
      </c>
      <c r="T2817" s="0" t="s">
        <v>104</v>
      </c>
      <c r="W2817" s="0" t="s">
        <v>105</v>
      </c>
    </row>
    <row r="2818" customFormat="false" ht="15" hidden="false" customHeight="false" outlineLevel="0" collapsed="false">
      <c r="A2818" s="0" t="s">
        <v>21</v>
      </c>
      <c r="B2818" s="0" t="s">
        <v>8939</v>
      </c>
      <c r="C2818" s="0" t="s">
        <v>97</v>
      </c>
      <c r="D2818" s="0" t="s">
        <v>8940</v>
      </c>
      <c r="E2818" s="0" t="s">
        <v>8941</v>
      </c>
      <c r="G2818" s="0" t="s">
        <v>8942</v>
      </c>
      <c r="M2818" s="0" t="s">
        <v>100</v>
      </c>
      <c r="N2818" s="0" t="s">
        <v>101</v>
      </c>
      <c r="P2818" s="0" t="s">
        <v>102</v>
      </c>
      <c r="Q2818" s="0" t="s">
        <v>102</v>
      </c>
      <c r="R2818" s="0" t="s">
        <v>113</v>
      </c>
      <c r="S2818" s="0" t="s">
        <v>21</v>
      </c>
      <c r="T2818" s="0" t="s">
        <v>104</v>
      </c>
      <c r="W2818" s="0" t="s">
        <v>105</v>
      </c>
    </row>
    <row r="2819" customFormat="false" ht="15" hidden="false" customHeight="false" outlineLevel="0" collapsed="false">
      <c r="A2819" s="0" t="s">
        <v>21</v>
      </c>
      <c r="B2819" s="0" t="s">
        <v>8943</v>
      </c>
      <c r="C2819" s="0" t="s">
        <v>110</v>
      </c>
      <c r="D2819" s="0" t="s">
        <v>8944</v>
      </c>
      <c r="G2819" s="0" t="s">
        <v>8945</v>
      </c>
      <c r="H2819" s="0" t="s">
        <v>8946</v>
      </c>
      <c r="I2819" s="0" t="s">
        <v>8947</v>
      </c>
      <c r="J2819" s="0" t="s">
        <v>275</v>
      </c>
      <c r="K2819" s="0" t="s">
        <v>8948</v>
      </c>
      <c r="M2819" s="0" t="s">
        <v>178</v>
      </c>
      <c r="N2819" s="0" t="s">
        <v>124</v>
      </c>
      <c r="P2819" s="0" t="s">
        <v>102</v>
      </c>
      <c r="Q2819" s="0" t="s">
        <v>102</v>
      </c>
      <c r="R2819" s="0" t="s">
        <v>131</v>
      </c>
      <c r="S2819" s="0" t="s">
        <v>21</v>
      </c>
      <c r="T2819" s="0" t="s">
        <v>104</v>
      </c>
      <c r="W2819" s="0" t="s">
        <v>105</v>
      </c>
    </row>
    <row r="2820" customFormat="false" ht="15" hidden="false" customHeight="false" outlineLevel="0" collapsed="false">
      <c r="A2820" s="0" t="s">
        <v>21</v>
      </c>
      <c r="B2820" s="0" t="s">
        <v>8949</v>
      </c>
      <c r="C2820" s="0" t="s">
        <v>372</v>
      </c>
      <c r="D2820" s="0" t="s">
        <v>8950</v>
      </c>
      <c r="E2820" s="0" t="s">
        <v>8951</v>
      </c>
      <c r="H2820" s="0" t="s">
        <v>8952</v>
      </c>
      <c r="I2820" s="0" t="s">
        <v>8949</v>
      </c>
      <c r="J2820" s="0" t="s">
        <v>254</v>
      </c>
      <c r="K2820" s="0" t="s">
        <v>8953</v>
      </c>
      <c r="L2820" s="0" t="s">
        <v>124</v>
      </c>
      <c r="M2820" s="0" t="s">
        <v>208</v>
      </c>
      <c r="N2820" s="0" t="s">
        <v>124</v>
      </c>
      <c r="P2820" s="0" t="s">
        <v>379</v>
      </c>
      <c r="Q2820" s="0" t="s">
        <v>379</v>
      </c>
      <c r="R2820" s="0" t="s">
        <v>379</v>
      </c>
      <c r="S2820" s="0" t="s">
        <v>21</v>
      </c>
      <c r="T2820" s="0" t="s">
        <v>104</v>
      </c>
      <c r="W2820" s="0" t="s">
        <v>183</v>
      </c>
      <c r="X2820" s="0" t="s">
        <v>8954</v>
      </c>
      <c r="Y2820" s="0" t="s">
        <v>8955</v>
      </c>
      <c r="Z2820" s="0" t="s">
        <v>382</v>
      </c>
    </row>
    <row r="2821" customFormat="false" ht="15" hidden="false" customHeight="false" outlineLevel="0" collapsed="false">
      <c r="A2821" s="0" t="s">
        <v>21</v>
      </c>
      <c r="B2821" s="0" t="s">
        <v>8949</v>
      </c>
      <c r="C2821" s="0" t="s">
        <v>372</v>
      </c>
      <c r="D2821" s="0" t="s">
        <v>8950</v>
      </c>
      <c r="E2821" s="0" t="s">
        <v>8951</v>
      </c>
      <c r="H2821" s="0" t="s">
        <v>8952</v>
      </c>
      <c r="I2821" s="0" t="s">
        <v>8949</v>
      </c>
      <c r="J2821" s="0" t="s">
        <v>254</v>
      </c>
      <c r="K2821" s="0" t="s">
        <v>8953</v>
      </c>
      <c r="L2821" s="0" t="s">
        <v>124</v>
      </c>
      <c r="M2821" s="0" t="s">
        <v>208</v>
      </c>
      <c r="N2821" s="0" t="s">
        <v>124</v>
      </c>
      <c r="P2821" s="0" t="s">
        <v>102</v>
      </c>
      <c r="Q2821" s="0" t="s">
        <v>102</v>
      </c>
      <c r="R2821" s="0" t="s">
        <v>113</v>
      </c>
      <c r="S2821" s="0" t="s">
        <v>21</v>
      </c>
      <c r="T2821" s="0" t="s">
        <v>104</v>
      </c>
      <c r="W2821" s="0" t="s">
        <v>105</v>
      </c>
      <c r="X2821" s="0" t="s">
        <v>8954</v>
      </c>
      <c r="Y2821" s="0" t="s">
        <v>8955</v>
      </c>
      <c r="Z2821" s="0" t="s">
        <v>382</v>
      </c>
    </row>
    <row r="2822" customFormat="false" ht="15" hidden="false" customHeight="false" outlineLevel="0" collapsed="false">
      <c r="A2822" s="0" t="s">
        <v>21</v>
      </c>
      <c r="B2822" s="0" t="s">
        <v>8956</v>
      </c>
      <c r="C2822" s="0" t="s">
        <v>8957</v>
      </c>
      <c r="M2822" s="0" t="s">
        <v>8958</v>
      </c>
      <c r="N2822" s="0" t="s">
        <v>124</v>
      </c>
      <c r="P2822" s="0" t="s">
        <v>130</v>
      </c>
      <c r="Q2822" s="0" t="s">
        <v>130</v>
      </c>
      <c r="R2822" s="0" t="s">
        <v>144</v>
      </c>
      <c r="S2822" s="0" t="s">
        <v>21</v>
      </c>
      <c r="T2822" s="0" t="s">
        <v>104</v>
      </c>
      <c r="W2822" s="0" t="s">
        <v>105</v>
      </c>
    </row>
    <row r="2823" customFormat="false" ht="15" hidden="false" customHeight="false" outlineLevel="0" collapsed="false">
      <c r="A2823" s="0" t="s">
        <v>21</v>
      </c>
      <c r="B2823" s="0" t="s">
        <v>8959</v>
      </c>
      <c r="C2823" s="0" t="s">
        <v>97</v>
      </c>
      <c r="D2823" s="0" t="s">
        <v>8960</v>
      </c>
      <c r="E2823" s="0" t="s">
        <v>8961</v>
      </c>
      <c r="G2823" s="0" t="s">
        <v>8962</v>
      </c>
      <c r="H2823" s="0" t="s">
        <v>654</v>
      </c>
      <c r="I2823" s="0" t="s">
        <v>655</v>
      </c>
      <c r="J2823" s="0" t="s">
        <v>100</v>
      </c>
      <c r="K2823" s="0" t="s">
        <v>168</v>
      </c>
      <c r="L2823" s="0" t="s">
        <v>101</v>
      </c>
      <c r="M2823" s="0" t="s">
        <v>656</v>
      </c>
      <c r="N2823" s="0" t="s">
        <v>101</v>
      </c>
      <c r="P2823" s="0" t="s">
        <v>102</v>
      </c>
      <c r="Q2823" s="0" t="s">
        <v>102</v>
      </c>
      <c r="R2823" s="0" t="s">
        <v>131</v>
      </c>
      <c r="S2823" s="0" t="s">
        <v>21</v>
      </c>
      <c r="T2823" s="0" t="s">
        <v>104</v>
      </c>
      <c r="W2823" s="0" t="s">
        <v>105</v>
      </c>
      <c r="X2823" s="0" t="s">
        <v>658</v>
      </c>
      <c r="Y2823" s="0" t="s">
        <v>659</v>
      </c>
    </row>
    <row r="2824" customFormat="false" ht="15" hidden="false" customHeight="false" outlineLevel="0" collapsed="false">
      <c r="A2824" s="0" t="s">
        <v>21</v>
      </c>
      <c r="B2824" s="0" t="s">
        <v>8963</v>
      </c>
      <c r="C2824" s="0" t="s">
        <v>97</v>
      </c>
      <c r="D2824" s="0" t="s">
        <v>8964</v>
      </c>
      <c r="E2824" s="0" t="s">
        <v>8964</v>
      </c>
      <c r="F2824" s="0" t="s">
        <v>8964</v>
      </c>
      <c r="M2824" s="0" t="s">
        <v>136</v>
      </c>
      <c r="N2824" s="0" t="s">
        <v>124</v>
      </c>
      <c r="P2824" s="0" t="s">
        <v>102</v>
      </c>
      <c r="Q2824" s="0" t="s">
        <v>102</v>
      </c>
      <c r="R2824" s="0" t="s">
        <v>131</v>
      </c>
      <c r="S2824" s="0" t="s">
        <v>21</v>
      </c>
      <c r="T2824" s="0" t="s">
        <v>104</v>
      </c>
      <c r="W2824" s="0" t="s">
        <v>105</v>
      </c>
    </row>
    <row r="2825" customFormat="false" ht="15" hidden="false" customHeight="false" outlineLevel="0" collapsed="false">
      <c r="A2825" s="0" t="s">
        <v>21</v>
      </c>
      <c r="B2825" s="0" t="s">
        <v>8965</v>
      </c>
      <c r="C2825" s="0" t="s">
        <v>97</v>
      </c>
      <c r="D2825" s="0" t="s">
        <v>8966</v>
      </c>
      <c r="E2825" s="0" t="s">
        <v>8967</v>
      </c>
      <c r="G2825" s="0" t="s">
        <v>8968</v>
      </c>
      <c r="M2825" s="0" t="s">
        <v>420</v>
      </c>
      <c r="N2825" s="0" t="s">
        <v>101</v>
      </c>
      <c r="P2825" s="0" t="s">
        <v>102</v>
      </c>
      <c r="Q2825" s="0" t="s">
        <v>102</v>
      </c>
      <c r="R2825" s="0" t="s">
        <v>137</v>
      </c>
      <c r="S2825" s="0" t="s">
        <v>21</v>
      </c>
      <c r="T2825" s="0" t="s">
        <v>104</v>
      </c>
      <c r="W2825" s="0" t="s">
        <v>105</v>
      </c>
    </row>
    <row r="2826" customFormat="false" ht="15" hidden="false" customHeight="false" outlineLevel="0" collapsed="false">
      <c r="A2826" s="0" t="s">
        <v>21</v>
      </c>
      <c r="B2826" s="0" t="s">
        <v>8969</v>
      </c>
      <c r="C2826" s="0" t="s">
        <v>97</v>
      </c>
      <c r="D2826" s="0" t="s">
        <v>8970</v>
      </c>
      <c r="E2826" s="0" t="s">
        <v>8971</v>
      </c>
      <c r="F2826" s="0" t="s">
        <v>8971</v>
      </c>
      <c r="M2826" s="0" t="s">
        <v>420</v>
      </c>
      <c r="N2826" s="0" t="s">
        <v>101</v>
      </c>
      <c r="P2826" s="0" t="s">
        <v>102</v>
      </c>
      <c r="Q2826" s="0" t="s">
        <v>102</v>
      </c>
      <c r="R2826" s="0" t="s">
        <v>144</v>
      </c>
      <c r="S2826" s="0" t="s">
        <v>21</v>
      </c>
      <c r="T2826" s="0" t="s">
        <v>104</v>
      </c>
      <c r="W2826" s="0" t="s">
        <v>105</v>
      </c>
    </row>
    <row r="2827" customFormat="false" ht="15" hidden="false" customHeight="false" outlineLevel="0" collapsed="false">
      <c r="A2827" s="0" t="s">
        <v>21</v>
      </c>
      <c r="B2827" s="0" t="s">
        <v>8972</v>
      </c>
      <c r="C2827" s="0" t="s">
        <v>97</v>
      </c>
      <c r="D2827" s="0" t="s">
        <v>1250</v>
      </c>
      <c r="E2827" s="0" t="s">
        <v>8973</v>
      </c>
      <c r="H2827" s="0" t="s">
        <v>8974</v>
      </c>
      <c r="I2827" s="0" t="s">
        <v>8975</v>
      </c>
      <c r="J2827" s="0" t="s">
        <v>420</v>
      </c>
      <c r="K2827" s="0" t="s">
        <v>2859</v>
      </c>
      <c r="L2827" s="0" t="s">
        <v>101</v>
      </c>
      <c r="M2827" s="0" t="s">
        <v>420</v>
      </c>
      <c r="N2827" s="0" t="s">
        <v>101</v>
      </c>
      <c r="P2827" s="0" t="s">
        <v>102</v>
      </c>
      <c r="Q2827" s="0" t="s">
        <v>102</v>
      </c>
      <c r="R2827" s="0" t="s">
        <v>113</v>
      </c>
      <c r="S2827" s="0" t="s">
        <v>21</v>
      </c>
      <c r="T2827" s="0" t="s">
        <v>104</v>
      </c>
      <c r="W2827" s="0" t="s">
        <v>105</v>
      </c>
      <c r="X2827" s="0" t="s">
        <v>8976</v>
      </c>
      <c r="Y2827" s="0" t="s">
        <v>8977</v>
      </c>
    </row>
    <row r="2828" customFormat="false" ht="15" hidden="false" customHeight="false" outlineLevel="0" collapsed="false">
      <c r="A2828" s="0" t="s">
        <v>21</v>
      </c>
      <c r="B2828" s="0" t="s">
        <v>8978</v>
      </c>
      <c r="C2828" s="0" t="s">
        <v>97</v>
      </c>
      <c r="D2828" s="0" t="s">
        <v>8979</v>
      </c>
      <c r="E2828" s="0" t="s">
        <v>8980</v>
      </c>
      <c r="M2828" s="0" t="s">
        <v>656</v>
      </c>
      <c r="N2828" s="0" t="s">
        <v>101</v>
      </c>
      <c r="P2828" s="0" t="s">
        <v>102</v>
      </c>
      <c r="Q2828" s="0" t="s">
        <v>102</v>
      </c>
      <c r="R2828" s="0" t="s">
        <v>131</v>
      </c>
      <c r="S2828" s="0" t="s">
        <v>21</v>
      </c>
      <c r="T2828" s="0" t="s">
        <v>104</v>
      </c>
      <c r="W2828" s="0" t="s">
        <v>105</v>
      </c>
    </row>
    <row r="2829" customFormat="false" ht="15" hidden="false" customHeight="false" outlineLevel="0" collapsed="false">
      <c r="A2829" s="0" t="s">
        <v>21</v>
      </c>
      <c r="B2829" s="0" t="s">
        <v>8981</v>
      </c>
      <c r="C2829" s="0" t="s">
        <v>97</v>
      </c>
      <c r="D2829" s="0" t="s">
        <v>8982</v>
      </c>
      <c r="E2829" s="0" t="s">
        <v>8983</v>
      </c>
      <c r="G2829" s="0" t="s">
        <v>8984</v>
      </c>
      <c r="H2829" s="0" t="s">
        <v>654</v>
      </c>
      <c r="I2829" s="0" t="s">
        <v>655</v>
      </c>
      <c r="J2829" s="0" t="s">
        <v>100</v>
      </c>
      <c r="K2829" s="0" t="s">
        <v>168</v>
      </c>
      <c r="L2829" s="0" t="s">
        <v>101</v>
      </c>
      <c r="M2829" s="0" t="s">
        <v>656</v>
      </c>
      <c r="N2829" s="0" t="s">
        <v>101</v>
      </c>
      <c r="P2829" s="0" t="s">
        <v>102</v>
      </c>
      <c r="Q2829" s="0" t="s">
        <v>102</v>
      </c>
      <c r="R2829" s="0" t="s">
        <v>131</v>
      </c>
      <c r="S2829" s="0" t="s">
        <v>21</v>
      </c>
      <c r="T2829" s="0" t="s">
        <v>104</v>
      </c>
      <c r="W2829" s="0" t="s">
        <v>105</v>
      </c>
      <c r="X2829" s="0" t="s">
        <v>658</v>
      </c>
      <c r="Y2829" s="0" t="s">
        <v>659</v>
      </c>
    </row>
    <row r="2830" customFormat="false" ht="15" hidden="false" customHeight="false" outlineLevel="0" collapsed="false">
      <c r="A2830" s="0" t="s">
        <v>21</v>
      </c>
      <c r="B2830" s="0" t="s">
        <v>8985</v>
      </c>
      <c r="C2830" s="0" t="s">
        <v>97</v>
      </c>
      <c r="D2830" s="0" t="s">
        <v>8986</v>
      </c>
      <c r="E2830" s="0" t="s">
        <v>8987</v>
      </c>
      <c r="M2830" s="0" t="s">
        <v>100</v>
      </c>
      <c r="N2830" s="0" t="s">
        <v>101</v>
      </c>
      <c r="P2830" s="0" t="s">
        <v>102</v>
      </c>
      <c r="Q2830" s="0" t="s">
        <v>102</v>
      </c>
      <c r="R2830" s="0" t="s">
        <v>144</v>
      </c>
      <c r="S2830" s="0" t="s">
        <v>21</v>
      </c>
      <c r="T2830" s="0" t="s">
        <v>104</v>
      </c>
      <c r="W2830" s="0" t="s">
        <v>105</v>
      </c>
    </row>
    <row r="2831" customFormat="false" ht="15" hidden="false" customHeight="false" outlineLevel="0" collapsed="false">
      <c r="A2831" s="0" t="s">
        <v>21</v>
      </c>
      <c r="B2831" s="0" t="s">
        <v>8988</v>
      </c>
      <c r="C2831" s="0" t="s">
        <v>97</v>
      </c>
      <c r="D2831" s="0" t="s">
        <v>8989</v>
      </c>
      <c r="E2831" s="0" t="s">
        <v>8990</v>
      </c>
      <c r="H2831" s="0" t="s">
        <v>8991</v>
      </c>
      <c r="I2831" s="0" t="s">
        <v>1231</v>
      </c>
      <c r="J2831" s="0" t="s">
        <v>1231</v>
      </c>
      <c r="K2831" s="0" t="s">
        <v>8992</v>
      </c>
      <c r="L2831" s="0" t="s">
        <v>101</v>
      </c>
      <c r="M2831" s="0" t="s">
        <v>1231</v>
      </c>
      <c r="N2831" s="0" t="s">
        <v>101</v>
      </c>
      <c r="P2831" s="0" t="s">
        <v>102</v>
      </c>
      <c r="Q2831" s="0" t="s">
        <v>102</v>
      </c>
      <c r="R2831" s="0" t="s">
        <v>137</v>
      </c>
      <c r="S2831" s="0" t="s">
        <v>21</v>
      </c>
      <c r="T2831" s="0" t="s">
        <v>104</v>
      </c>
      <c r="W2831" s="0" t="s">
        <v>105</v>
      </c>
      <c r="X2831" s="0" t="s">
        <v>8993</v>
      </c>
      <c r="Y2831" s="0" t="s">
        <v>8994</v>
      </c>
    </row>
    <row r="2832" customFormat="false" ht="15" hidden="false" customHeight="false" outlineLevel="0" collapsed="false">
      <c r="A2832" s="0" t="s">
        <v>21</v>
      </c>
      <c r="B2832" s="0" t="s">
        <v>8995</v>
      </c>
      <c r="C2832" s="0" t="s">
        <v>97</v>
      </c>
      <c r="D2832" s="0" t="s">
        <v>8996</v>
      </c>
      <c r="E2832" s="0" t="s">
        <v>8996</v>
      </c>
      <c r="M2832" s="0" t="s">
        <v>136</v>
      </c>
      <c r="N2832" s="0" t="s">
        <v>124</v>
      </c>
      <c r="P2832" s="0" t="s">
        <v>102</v>
      </c>
      <c r="Q2832" s="0" t="s">
        <v>102</v>
      </c>
      <c r="R2832" s="0" t="s">
        <v>131</v>
      </c>
      <c r="S2832" s="0" t="s">
        <v>21</v>
      </c>
      <c r="T2832" s="0" t="s">
        <v>104</v>
      </c>
      <c r="W2832" s="0" t="s">
        <v>105</v>
      </c>
    </row>
    <row r="2833" customFormat="false" ht="15" hidden="false" customHeight="false" outlineLevel="0" collapsed="false">
      <c r="A2833" s="0" t="s">
        <v>21</v>
      </c>
      <c r="B2833" s="0" t="s">
        <v>8997</v>
      </c>
      <c r="C2833" s="0" t="s">
        <v>97</v>
      </c>
      <c r="D2833" s="0" t="s">
        <v>8998</v>
      </c>
      <c r="E2833" s="0" t="s">
        <v>8999</v>
      </c>
      <c r="M2833" s="0" t="s">
        <v>656</v>
      </c>
      <c r="N2833" s="0" t="s">
        <v>101</v>
      </c>
      <c r="P2833" s="0" t="s">
        <v>102</v>
      </c>
      <c r="Q2833" s="0" t="s">
        <v>102</v>
      </c>
      <c r="R2833" s="0" t="s">
        <v>137</v>
      </c>
      <c r="S2833" s="0" t="s">
        <v>21</v>
      </c>
      <c r="T2833" s="0" t="s">
        <v>104</v>
      </c>
      <c r="W2833" s="0" t="s">
        <v>105</v>
      </c>
    </row>
    <row r="2834" customFormat="false" ht="15" hidden="false" customHeight="false" outlineLevel="0" collapsed="false">
      <c r="A2834" s="0" t="s">
        <v>21</v>
      </c>
      <c r="B2834" s="0" t="s">
        <v>9000</v>
      </c>
      <c r="C2834" s="0" t="s">
        <v>9001</v>
      </c>
      <c r="D2834" s="0" t="s">
        <v>9002</v>
      </c>
      <c r="E2834" s="0" t="s">
        <v>9003</v>
      </c>
      <c r="G2834" s="0" t="s">
        <v>9004</v>
      </c>
      <c r="M2834" s="0" t="s">
        <v>100</v>
      </c>
      <c r="N2834" s="0" t="s">
        <v>101</v>
      </c>
      <c r="P2834" s="0" t="s">
        <v>102</v>
      </c>
      <c r="Q2834" s="0" t="s">
        <v>102</v>
      </c>
      <c r="R2834" s="0" t="s">
        <v>113</v>
      </c>
      <c r="S2834" s="0" t="s">
        <v>21</v>
      </c>
      <c r="T2834" s="0" t="s">
        <v>104</v>
      </c>
      <c r="W2834" s="0" t="s">
        <v>105</v>
      </c>
    </row>
    <row r="2835" customFormat="false" ht="15" hidden="false" customHeight="false" outlineLevel="0" collapsed="false">
      <c r="A2835" s="0" t="s">
        <v>21</v>
      </c>
      <c r="B2835" s="0" t="s">
        <v>9005</v>
      </c>
      <c r="C2835" s="0" t="s">
        <v>97</v>
      </c>
      <c r="D2835" s="0" t="s">
        <v>9006</v>
      </c>
      <c r="E2835" s="0" t="s">
        <v>9007</v>
      </c>
      <c r="M2835" s="0" t="s">
        <v>136</v>
      </c>
      <c r="N2835" s="0" t="s">
        <v>124</v>
      </c>
      <c r="P2835" s="0" t="s">
        <v>102</v>
      </c>
      <c r="Q2835" s="0" t="s">
        <v>102</v>
      </c>
      <c r="R2835" s="0" t="s">
        <v>144</v>
      </c>
      <c r="S2835" s="0" t="s">
        <v>21</v>
      </c>
      <c r="T2835" s="0" t="s">
        <v>104</v>
      </c>
      <c r="W2835" s="0" t="s">
        <v>105</v>
      </c>
    </row>
    <row r="2836" customFormat="false" ht="15" hidden="false" customHeight="false" outlineLevel="0" collapsed="false">
      <c r="A2836" s="0" t="s">
        <v>21</v>
      </c>
      <c r="B2836" s="0" t="s">
        <v>9008</v>
      </c>
      <c r="C2836" s="0" t="s">
        <v>97</v>
      </c>
      <c r="D2836" s="0" t="s">
        <v>9009</v>
      </c>
      <c r="E2836" s="0" t="s">
        <v>9010</v>
      </c>
      <c r="M2836" s="0" t="s">
        <v>136</v>
      </c>
      <c r="N2836" s="0" t="s">
        <v>124</v>
      </c>
      <c r="P2836" s="0" t="s">
        <v>102</v>
      </c>
      <c r="Q2836" s="0" t="s">
        <v>102</v>
      </c>
      <c r="R2836" s="0" t="s">
        <v>144</v>
      </c>
      <c r="S2836" s="0" t="s">
        <v>21</v>
      </c>
      <c r="T2836" s="0" t="s">
        <v>104</v>
      </c>
      <c r="W2836" s="0" t="s">
        <v>105</v>
      </c>
    </row>
    <row r="2837" customFormat="false" ht="15" hidden="false" customHeight="false" outlineLevel="0" collapsed="false">
      <c r="A2837" s="0" t="s">
        <v>21</v>
      </c>
      <c r="B2837" s="0" t="s">
        <v>9011</v>
      </c>
      <c r="C2837" s="0" t="s">
        <v>97</v>
      </c>
      <c r="D2837" s="0" t="s">
        <v>2191</v>
      </c>
      <c r="E2837" s="0" t="s">
        <v>9012</v>
      </c>
      <c r="M2837" s="0" t="s">
        <v>136</v>
      </c>
      <c r="N2837" s="0" t="s">
        <v>124</v>
      </c>
      <c r="P2837" s="0" t="s">
        <v>102</v>
      </c>
      <c r="Q2837" s="0" t="s">
        <v>102</v>
      </c>
      <c r="R2837" s="0" t="s">
        <v>131</v>
      </c>
      <c r="S2837" s="0" t="s">
        <v>21</v>
      </c>
      <c r="T2837" s="0" t="s">
        <v>104</v>
      </c>
      <c r="W2837" s="0" t="s">
        <v>105</v>
      </c>
    </row>
    <row r="2838" customFormat="false" ht="15" hidden="false" customHeight="false" outlineLevel="0" collapsed="false">
      <c r="A2838" s="0" t="s">
        <v>21</v>
      </c>
      <c r="B2838" s="0" t="s">
        <v>9013</v>
      </c>
      <c r="C2838" s="0" t="s">
        <v>97</v>
      </c>
      <c r="D2838" s="0" t="s">
        <v>9014</v>
      </c>
      <c r="E2838" s="0" t="s">
        <v>9015</v>
      </c>
      <c r="M2838" s="0" t="s">
        <v>136</v>
      </c>
      <c r="N2838" s="0" t="s">
        <v>124</v>
      </c>
      <c r="P2838" s="0" t="s">
        <v>102</v>
      </c>
      <c r="Q2838" s="0" t="s">
        <v>102</v>
      </c>
      <c r="R2838" s="0" t="s">
        <v>131</v>
      </c>
      <c r="S2838" s="0" t="s">
        <v>21</v>
      </c>
      <c r="T2838" s="0" t="s">
        <v>104</v>
      </c>
      <c r="W2838" s="0" t="s">
        <v>105</v>
      </c>
    </row>
    <row r="2839" customFormat="false" ht="15" hidden="false" customHeight="false" outlineLevel="0" collapsed="false">
      <c r="A2839" s="0" t="s">
        <v>21</v>
      </c>
      <c r="B2839" s="0" t="s">
        <v>9016</v>
      </c>
      <c r="C2839" s="0" t="s">
        <v>97</v>
      </c>
      <c r="D2839" s="0" t="s">
        <v>1254</v>
      </c>
      <c r="E2839" s="0" t="s">
        <v>9017</v>
      </c>
      <c r="H2839" s="0" t="s">
        <v>9018</v>
      </c>
      <c r="I2839" s="0" t="s">
        <v>9019</v>
      </c>
      <c r="J2839" s="0" t="s">
        <v>9019</v>
      </c>
      <c r="K2839" s="0" t="s">
        <v>3293</v>
      </c>
      <c r="L2839" s="0" t="s">
        <v>101</v>
      </c>
      <c r="M2839" s="0" t="s">
        <v>1257</v>
      </c>
      <c r="N2839" s="0" t="s">
        <v>101</v>
      </c>
      <c r="P2839" s="0" t="s">
        <v>102</v>
      </c>
      <c r="Q2839" s="0" t="s">
        <v>102</v>
      </c>
      <c r="R2839" s="0" t="s">
        <v>113</v>
      </c>
      <c r="S2839" s="0" t="s">
        <v>21</v>
      </c>
      <c r="T2839" s="0" t="s">
        <v>104</v>
      </c>
      <c r="W2839" s="0" t="s">
        <v>105</v>
      </c>
      <c r="X2839" s="0" t="s">
        <v>9020</v>
      </c>
      <c r="Y2839" s="0" t="s">
        <v>9021</v>
      </c>
    </row>
    <row r="2840" customFormat="false" ht="15" hidden="false" customHeight="false" outlineLevel="0" collapsed="false">
      <c r="A2840" s="0" t="s">
        <v>21</v>
      </c>
      <c r="B2840" s="0" t="s">
        <v>9022</v>
      </c>
      <c r="C2840" s="0" t="s">
        <v>97</v>
      </c>
      <c r="D2840" s="0" t="s">
        <v>9023</v>
      </c>
      <c r="E2840" s="0" t="s">
        <v>9024</v>
      </c>
      <c r="M2840" s="0" t="s">
        <v>100</v>
      </c>
      <c r="N2840" s="0" t="s">
        <v>101</v>
      </c>
      <c r="P2840" s="0" t="s">
        <v>102</v>
      </c>
      <c r="Q2840" s="0" t="s">
        <v>102</v>
      </c>
      <c r="R2840" s="0" t="s">
        <v>131</v>
      </c>
      <c r="S2840" s="0" t="s">
        <v>21</v>
      </c>
      <c r="T2840" s="0" t="s">
        <v>104</v>
      </c>
      <c r="W2840" s="0" t="s">
        <v>105</v>
      </c>
    </row>
    <row r="2841" customFormat="false" ht="15" hidden="false" customHeight="false" outlineLevel="0" collapsed="false">
      <c r="A2841" s="0" t="s">
        <v>21</v>
      </c>
      <c r="B2841" s="0" t="s">
        <v>9025</v>
      </c>
      <c r="C2841" s="0" t="s">
        <v>97</v>
      </c>
      <c r="D2841" s="0" t="s">
        <v>5193</v>
      </c>
      <c r="E2841" s="0" t="s">
        <v>9026</v>
      </c>
      <c r="H2841" s="0" t="s">
        <v>654</v>
      </c>
      <c r="I2841" s="0" t="s">
        <v>655</v>
      </c>
      <c r="J2841" s="0" t="s">
        <v>100</v>
      </c>
      <c r="K2841" s="0" t="s">
        <v>168</v>
      </c>
      <c r="L2841" s="0" t="s">
        <v>101</v>
      </c>
      <c r="M2841" s="0" t="s">
        <v>656</v>
      </c>
      <c r="N2841" s="0" t="s">
        <v>101</v>
      </c>
      <c r="P2841" s="0" t="s">
        <v>102</v>
      </c>
      <c r="Q2841" s="0" t="s">
        <v>102</v>
      </c>
      <c r="R2841" s="0" t="s">
        <v>131</v>
      </c>
      <c r="S2841" s="0" t="s">
        <v>21</v>
      </c>
      <c r="T2841" s="0" t="s">
        <v>104</v>
      </c>
      <c r="W2841" s="0" t="s">
        <v>105</v>
      </c>
      <c r="X2841" s="0" t="s">
        <v>658</v>
      </c>
      <c r="Y2841" s="0" t="s">
        <v>659</v>
      </c>
    </row>
    <row r="2842" customFormat="false" ht="15" hidden="false" customHeight="false" outlineLevel="0" collapsed="false">
      <c r="A2842" s="0" t="s">
        <v>21</v>
      </c>
      <c r="B2842" s="0" t="s">
        <v>9027</v>
      </c>
      <c r="C2842" s="0" t="s">
        <v>97</v>
      </c>
      <c r="D2842" s="0" t="s">
        <v>9028</v>
      </c>
      <c r="E2842" s="0" t="s">
        <v>9029</v>
      </c>
      <c r="H2842" s="0" t="s">
        <v>9030</v>
      </c>
      <c r="I2842" s="0" t="s">
        <v>9031</v>
      </c>
      <c r="J2842" s="0" t="s">
        <v>9032</v>
      </c>
      <c r="K2842" s="0" t="s">
        <v>9033</v>
      </c>
      <c r="M2842" s="0" t="s">
        <v>656</v>
      </c>
      <c r="N2842" s="0" t="s">
        <v>101</v>
      </c>
      <c r="P2842" s="0" t="s">
        <v>102</v>
      </c>
      <c r="Q2842" s="0" t="s">
        <v>102</v>
      </c>
      <c r="R2842" s="0" t="s">
        <v>137</v>
      </c>
      <c r="S2842" s="0" t="s">
        <v>21</v>
      </c>
      <c r="T2842" s="0" t="s">
        <v>104</v>
      </c>
      <c r="W2842" s="0" t="s">
        <v>105</v>
      </c>
    </row>
    <row r="2843" customFormat="false" ht="15" hidden="false" customHeight="false" outlineLevel="0" collapsed="false">
      <c r="A2843" s="0" t="s">
        <v>21</v>
      </c>
      <c r="B2843" s="0" t="s">
        <v>9034</v>
      </c>
      <c r="C2843" s="0" t="s">
        <v>97</v>
      </c>
      <c r="D2843" s="0" t="s">
        <v>1263</v>
      </c>
      <c r="E2843" s="0" t="s">
        <v>9035</v>
      </c>
      <c r="H2843" s="0" t="s">
        <v>1264</v>
      </c>
      <c r="I2843" s="0" t="s">
        <v>1265</v>
      </c>
      <c r="J2843" s="0" t="s">
        <v>1265</v>
      </c>
      <c r="K2843" s="0" t="s">
        <v>1252</v>
      </c>
      <c r="L2843" s="0" t="s">
        <v>101</v>
      </c>
      <c r="M2843" s="0" t="s">
        <v>1265</v>
      </c>
      <c r="N2843" s="0" t="s">
        <v>101</v>
      </c>
      <c r="P2843" s="0" t="s">
        <v>102</v>
      </c>
      <c r="Q2843" s="0" t="s">
        <v>102</v>
      </c>
      <c r="R2843" s="0" t="s">
        <v>113</v>
      </c>
      <c r="S2843" s="0" t="s">
        <v>21</v>
      </c>
      <c r="T2843" s="0" t="s">
        <v>104</v>
      </c>
      <c r="W2843" s="0" t="s">
        <v>105</v>
      </c>
      <c r="X2843" s="0" t="s">
        <v>2204</v>
      </c>
      <c r="Y2843" s="0" t="s">
        <v>2205</v>
      </c>
    </row>
    <row r="2844" customFormat="false" ht="15" hidden="false" customHeight="false" outlineLevel="0" collapsed="false">
      <c r="A2844" s="0" t="s">
        <v>21</v>
      </c>
      <c r="B2844" s="0" t="s">
        <v>9036</v>
      </c>
      <c r="C2844" s="0" t="s">
        <v>97</v>
      </c>
      <c r="D2844" s="0" t="s">
        <v>9037</v>
      </c>
      <c r="E2844" s="0" t="s">
        <v>9038</v>
      </c>
      <c r="M2844" s="0" t="s">
        <v>100</v>
      </c>
      <c r="N2844" s="0" t="s">
        <v>101</v>
      </c>
      <c r="P2844" s="0" t="s">
        <v>102</v>
      </c>
      <c r="Q2844" s="0" t="s">
        <v>102</v>
      </c>
      <c r="R2844" s="0" t="s">
        <v>131</v>
      </c>
      <c r="S2844" s="0" t="s">
        <v>21</v>
      </c>
      <c r="T2844" s="0" t="s">
        <v>104</v>
      </c>
      <c r="W2844" s="0" t="s">
        <v>105</v>
      </c>
    </row>
    <row r="2845" customFormat="false" ht="15" hidden="false" customHeight="false" outlineLevel="0" collapsed="false">
      <c r="A2845" s="0" t="s">
        <v>21</v>
      </c>
      <c r="B2845" s="0" t="s">
        <v>9039</v>
      </c>
      <c r="C2845" s="0" t="s">
        <v>97</v>
      </c>
      <c r="D2845" s="0" t="s">
        <v>9040</v>
      </c>
      <c r="E2845" s="0" t="s">
        <v>9041</v>
      </c>
      <c r="G2845" s="0" t="s">
        <v>9042</v>
      </c>
      <c r="H2845" s="0" t="s">
        <v>654</v>
      </c>
      <c r="I2845" s="0" t="s">
        <v>655</v>
      </c>
      <c r="J2845" s="0" t="s">
        <v>100</v>
      </c>
      <c r="K2845" s="0" t="s">
        <v>168</v>
      </c>
      <c r="L2845" s="0" t="s">
        <v>101</v>
      </c>
      <c r="M2845" s="0" t="s">
        <v>656</v>
      </c>
      <c r="N2845" s="0" t="s">
        <v>101</v>
      </c>
      <c r="P2845" s="0" t="s">
        <v>102</v>
      </c>
      <c r="Q2845" s="0" t="s">
        <v>102</v>
      </c>
      <c r="R2845" s="0" t="s">
        <v>131</v>
      </c>
      <c r="S2845" s="0" t="s">
        <v>21</v>
      </c>
      <c r="T2845" s="0" t="s">
        <v>104</v>
      </c>
      <c r="W2845" s="0" t="s">
        <v>105</v>
      </c>
      <c r="X2845" s="0" t="s">
        <v>658</v>
      </c>
      <c r="Y2845" s="0" t="s">
        <v>659</v>
      </c>
    </row>
    <row r="2846" customFormat="false" ht="15" hidden="false" customHeight="false" outlineLevel="0" collapsed="false">
      <c r="A2846" s="0" t="s">
        <v>21</v>
      </c>
      <c r="B2846" s="0" t="s">
        <v>9043</v>
      </c>
      <c r="C2846" s="0" t="s">
        <v>97</v>
      </c>
      <c r="D2846" s="0" t="s">
        <v>5182</v>
      </c>
      <c r="E2846" s="0" t="s">
        <v>9044</v>
      </c>
      <c r="G2846" s="0" t="s">
        <v>9045</v>
      </c>
      <c r="H2846" s="0" t="s">
        <v>654</v>
      </c>
      <c r="I2846" s="0" t="s">
        <v>655</v>
      </c>
      <c r="J2846" s="0" t="s">
        <v>100</v>
      </c>
      <c r="K2846" s="0" t="s">
        <v>168</v>
      </c>
      <c r="L2846" s="0" t="s">
        <v>101</v>
      </c>
      <c r="M2846" s="0" t="s">
        <v>656</v>
      </c>
      <c r="N2846" s="0" t="s">
        <v>101</v>
      </c>
      <c r="P2846" s="0" t="s">
        <v>102</v>
      </c>
      <c r="Q2846" s="0" t="s">
        <v>102</v>
      </c>
      <c r="R2846" s="0" t="s">
        <v>131</v>
      </c>
      <c r="S2846" s="0" t="s">
        <v>21</v>
      </c>
      <c r="T2846" s="0" t="s">
        <v>104</v>
      </c>
      <c r="W2846" s="0" t="s">
        <v>105</v>
      </c>
      <c r="X2846" s="0" t="s">
        <v>658</v>
      </c>
      <c r="Y2846" s="0" t="s">
        <v>659</v>
      </c>
    </row>
    <row r="2847" customFormat="false" ht="15" hidden="false" customHeight="false" outlineLevel="0" collapsed="false">
      <c r="A2847" s="0" t="s">
        <v>21</v>
      </c>
      <c r="B2847" s="0" t="s">
        <v>9046</v>
      </c>
      <c r="C2847" s="0" t="s">
        <v>97</v>
      </c>
      <c r="D2847" s="0" t="s">
        <v>9047</v>
      </c>
      <c r="E2847" s="0" t="s">
        <v>9047</v>
      </c>
      <c r="H2847" s="0" t="s">
        <v>654</v>
      </c>
      <c r="I2847" s="0" t="s">
        <v>655</v>
      </c>
      <c r="J2847" s="0" t="s">
        <v>100</v>
      </c>
      <c r="K2847" s="0" t="s">
        <v>168</v>
      </c>
      <c r="L2847" s="0" t="s">
        <v>101</v>
      </c>
      <c r="M2847" s="0" t="s">
        <v>656</v>
      </c>
      <c r="N2847" s="0" t="s">
        <v>101</v>
      </c>
      <c r="P2847" s="0" t="s">
        <v>102</v>
      </c>
      <c r="Q2847" s="0" t="s">
        <v>102</v>
      </c>
      <c r="R2847" s="0" t="s">
        <v>113</v>
      </c>
      <c r="S2847" s="0" t="s">
        <v>21</v>
      </c>
      <c r="T2847" s="0" t="s">
        <v>104</v>
      </c>
      <c r="W2847" s="0" t="s">
        <v>105</v>
      </c>
      <c r="X2847" s="0" t="s">
        <v>658</v>
      </c>
      <c r="Y2847" s="0" t="s">
        <v>659</v>
      </c>
    </row>
    <row r="2848" customFormat="false" ht="15" hidden="false" customHeight="false" outlineLevel="0" collapsed="false">
      <c r="A2848" s="0" t="s">
        <v>21</v>
      </c>
      <c r="B2848" s="0" t="s">
        <v>9048</v>
      </c>
      <c r="C2848" s="0" t="s">
        <v>97</v>
      </c>
      <c r="D2848" s="0" t="s">
        <v>9049</v>
      </c>
      <c r="E2848" s="0" t="s">
        <v>9050</v>
      </c>
      <c r="H2848" s="0" t="s">
        <v>654</v>
      </c>
      <c r="I2848" s="0" t="s">
        <v>655</v>
      </c>
      <c r="J2848" s="0" t="s">
        <v>100</v>
      </c>
      <c r="K2848" s="0" t="s">
        <v>168</v>
      </c>
      <c r="L2848" s="0" t="s">
        <v>101</v>
      </c>
      <c r="M2848" s="0" t="s">
        <v>656</v>
      </c>
      <c r="N2848" s="0" t="s">
        <v>101</v>
      </c>
      <c r="P2848" s="0" t="s">
        <v>102</v>
      </c>
      <c r="Q2848" s="0" t="s">
        <v>102</v>
      </c>
      <c r="R2848" s="0" t="s">
        <v>137</v>
      </c>
      <c r="S2848" s="0" t="s">
        <v>21</v>
      </c>
      <c r="T2848" s="0" t="s">
        <v>104</v>
      </c>
      <c r="W2848" s="0" t="s">
        <v>105</v>
      </c>
      <c r="X2848" s="0" t="s">
        <v>658</v>
      </c>
      <c r="Y2848" s="0" t="s">
        <v>659</v>
      </c>
    </row>
    <row r="2849" customFormat="false" ht="15" hidden="false" customHeight="false" outlineLevel="0" collapsed="false">
      <c r="A2849" s="0" t="s">
        <v>21</v>
      </c>
      <c r="B2849" s="0" t="s">
        <v>9051</v>
      </c>
      <c r="C2849" s="0" t="s">
        <v>116</v>
      </c>
      <c r="D2849" s="0" t="s">
        <v>9052</v>
      </c>
      <c r="E2849" s="0" t="s">
        <v>9053</v>
      </c>
      <c r="G2849" s="0" t="s">
        <v>9054</v>
      </c>
      <c r="M2849" s="0" t="s">
        <v>100</v>
      </c>
      <c r="N2849" s="0" t="s">
        <v>101</v>
      </c>
      <c r="P2849" s="0" t="s">
        <v>102</v>
      </c>
      <c r="Q2849" s="0" t="s">
        <v>102</v>
      </c>
      <c r="R2849" s="0" t="s">
        <v>113</v>
      </c>
      <c r="S2849" s="0" t="s">
        <v>21</v>
      </c>
      <c r="T2849" s="0" t="s">
        <v>104</v>
      </c>
      <c r="W2849" s="0" t="s">
        <v>105</v>
      </c>
    </row>
    <row r="2850" customFormat="false" ht="15" hidden="false" customHeight="false" outlineLevel="0" collapsed="false">
      <c r="A2850" s="0" t="s">
        <v>21</v>
      </c>
      <c r="B2850" s="0" t="s">
        <v>9055</v>
      </c>
      <c r="C2850" s="0" t="s">
        <v>4295</v>
      </c>
      <c r="D2850" s="0" t="s">
        <v>9056</v>
      </c>
      <c r="E2850" s="0" t="s">
        <v>9057</v>
      </c>
      <c r="G2850" s="0" t="s">
        <v>9058</v>
      </c>
      <c r="M2850" s="0" t="s">
        <v>1539</v>
      </c>
      <c r="N2850" s="0" t="s">
        <v>101</v>
      </c>
      <c r="P2850" s="0" t="s">
        <v>102</v>
      </c>
      <c r="Q2850" s="0" t="s">
        <v>102</v>
      </c>
      <c r="R2850" s="0" t="s">
        <v>113</v>
      </c>
      <c r="S2850" s="0" t="s">
        <v>21</v>
      </c>
      <c r="T2850" s="0" t="s">
        <v>104</v>
      </c>
      <c r="W2850" s="0" t="s">
        <v>105</v>
      </c>
    </row>
    <row r="2851" customFormat="false" ht="15" hidden="false" customHeight="false" outlineLevel="0" collapsed="false">
      <c r="A2851" s="0" t="s">
        <v>21</v>
      </c>
      <c r="B2851" s="0" t="s">
        <v>9059</v>
      </c>
      <c r="C2851" s="0" t="s">
        <v>97</v>
      </c>
      <c r="D2851" s="0" t="s">
        <v>9060</v>
      </c>
      <c r="E2851" s="0" t="s">
        <v>9061</v>
      </c>
      <c r="G2851" s="0" t="s">
        <v>9062</v>
      </c>
      <c r="M2851" s="0" t="s">
        <v>1539</v>
      </c>
      <c r="N2851" s="0" t="s">
        <v>101</v>
      </c>
      <c r="P2851" s="0" t="s">
        <v>102</v>
      </c>
      <c r="Q2851" s="0" t="s">
        <v>102</v>
      </c>
      <c r="R2851" s="0" t="s">
        <v>113</v>
      </c>
      <c r="S2851" s="0" t="s">
        <v>21</v>
      </c>
      <c r="T2851" s="0" t="s">
        <v>104</v>
      </c>
      <c r="W2851" s="0" t="s">
        <v>105</v>
      </c>
    </row>
    <row r="2852" customFormat="false" ht="15" hidden="false" customHeight="false" outlineLevel="0" collapsed="false">
      <c r="A2852" s="0" t="s">
        <v>21</v>
      </c>
      <c r="B2852" s="0" t="s">
        <v>9063</v>
      </c>
      <c r="C2852" s="0" t="s">
        <v>97</v>
      </c>
      <c r="D2852" s="0" t="s">
        <v>9064</v>
      </c>
      <c r="E2852" s="0" t="s">
        <v>9065</v>
      </c>
      <c r="M2852" s="0" t="s">
        <v>656</v>
      </c>
      <c r="N2852" s="0" t="s">
        <v>101</v>
      </c>
      <c r="P2852" s="0" t="s">
        <v>102</v>
      </c>
      <c r="Q2852" s="0" t="s">
        <v>102</v>
      </c>
      <c r="R2852" s="0" t="s">
        <v>113</v>
      </c>
      <c r="S2852" s="0" t="s">
        <v>21</v>
      </c>
      <c r="T2852" s="0" t="s">
        <v>104</v>
      </c>
      <c r="W2852" s="0" t="s">
        <v>105</v>
      </c>
    </row>
    <row r="2853" customFormat="false" ht="15" hidden="false" customHeight="false" outlineLevel="0" collapsed="false">
      <c r="A2853" s="0" t="s">
        <v>21</v>
      </c>
      <c r="B2853" s="0" t="s">
        <v>9066</v>
      </c>
      <c r="C2853" s="0" t="s">
        <v>110</v>
      </c>
      <c r="D2853" s="0" t="s">
        <v>4151</v>
      </c>
      <c r="E2853" s="0" t="s">
        <v>9067</v>
      </c>
      <c r="F2853" s="0" t="s">
        <v>9067</v>
      </c>
      <c r="M2853" s="0" t="s">
        <v>178</v>
      </c>
      <c r="N2853" s="0" t="s">
        <v>124</v>
      </c>
      <c r="P2853" s="0" t="s">
        <v>102</v>
      </c>
      <c r="Q2853" s="0" t="s">
        <v>102</v>
      </c>
      <c r="R2853" s="0" t="s">
        <v>804</v>
      </c>
      <c r="S2853" s="0" t="s">
        <v>21</v>
      </c>
      <c r="T2853" s="0" t="s">
        <v>104</v>
      </c>
      <c r="W2853" s="0" t="s">
        <v>105</v>
      </c>
      <c r="X2853" s="0" t="s">
        <v>9068</v>
      </c>
      <c r="Y2853" s="0" t="s">
        <v>9069</v>
      </c>
      <c r="Z2853" s="0" t="s">
        <v>134</v>
      </c>
    </row>
    <row r="2854" customFormat="false" ht="15" hidden="false" customHeight="false" outlineLevel="0" collapsed="false">
      <c r="A2854" s="0" t="s">
        <v>21</v>
      </c>
      <c r="B2854" s="0" t="s">
        <v>9070</v>
      </c>
      <c r="C2854" s="0" t="s">
        <v>97</v>
      </c>
      <c r="D2854" s="0" t="s">
        <v>3904</v>
      </c>
      <c r="E2854" s="0" t="s">
        <v>9071</v>
      </c>
      <c r="M2854" s="0" t="s">
        <v>136</v>
      </c>
      <c r="N2854" s="0" t="s">
        <v>124</v>
      </c>
      <c r="P2854" s="0" t="s">
        <v>102</v>
      </c>
      <c r="Q2854" s="0" t="s">
        <v>102</v>
      </c>
      <c r="R2854" s="0" t="s">
        <v>224</v>
      </c>
      <c r="S2854" s="0" t="s">
        <v>21</v>
      </c>
      <c r="T2854" s="0" t="s">
        <v>104</v>
      </c>
      <c r="W2854" s="0" t="s">
        <v>105</v>
      </c>
    </row>
    <row r="2855" customFormat="false" ht="15" hidden="false" customHeight="false" outlineLevel="0" collapsed="false">
      <c r="A2855" s="0" t="s">
        <v>21</v>
      </c>
      <c r="B2855" s="0" t="s">
        <v>9072</v>
      </c>
      <c r="C2855" s="0" t="s">
        <v>97</v>
      </c>
      <c r="D2855" s="0" t="s">
        <v>4582</v>
      </c>
      <c r="E2855" s="0" t="s">
        <v>9073</v>
      </c>
      <c r="M2855" s="0" t="s">
        <v>136</v>
      </c>
      <c r="N2855" s="0" t="s">
        <v>124</v>
      </c>
      <c r="P2855" s="0" t="s">
        <v>102</v>
      </c>
      <c r="Q2855" s="0" t="s">
        <v>102</v>
      </c>
      <c r="R2855" s="0" t="s">
        <v>804</v>
      </c>
      <c r="S2855" s="0" t="s">
        <v>21</v>
      </c>
      <c r="T2855" s="0" t="s">
        <v>104</v>
      </c>
      <c r="W2855" s="0" t="s">
        <v>105</v>
      </c>
    </row>
    <row r="2856" customFormat="false" ht="15" hidden="false" customHeight="false" outlineLevel="0" collapsed="false">
      <c r="A2856" s="0" t="s">
        <v>21</v>
      </c>
      <c r="B2856" s="0" t="s">
        <v>9074</v>
      </c>
      <c r="C2856" s="0" t="s">
        <v>97</v>
      </c>
      <c r="D2856" s="0" t="s">
        <v>9075</v>
      </c>
      <c r="E2856" s="0" t="s">
        <v>9076</v>
      </c>
      <c r="M2856" s="0" t="s">
        <v>136</v>
      </c>
      <c r="N2856" s="0" t="s">
        <v>124</v>
      </c>
      <c r="P2856" s="0" t="s">
        <v>102</v>
      </c>
      <c r="Q2856" s="0" t="s">
        <v>102</v>
      </c>
      <c r="R2856" s="0" t="s">
        <v>804</v>
      </c>
      <c r="S2856" s="0" t="s">
        <v>21</v>
      </c>
      <c r="T2856" s="0" t="s">
        <v>104</v>
      </c>
      <c r="W2856" s="0" t="s">
        <v>105</v>
      </c>
    </row>
    <row r="2857" customFormat="false" ht="15" hidden="false" customHeight="false" outlineLevel="0" collapsed="false">
      <c r="A2857" s="0" t="s">
        <v>21</v>
      </c>
      <c r="B2857" s="0" t="s">
        <v>9077</v>
      </c>
      <c r="C2857" s="0" t="s">
        <v>97</v>
      </c>
      <c r="D2857" s="0" t="s">
        <v>9078</v>
      </c>
      <c r="E2857" s="0" t="s">
        <v>9079</v>
      </c>
      <c r="M2857" s="0" t="s">
        <v>136</v>
      </c>
      <c r="N2857" s="0" t="s">
        <v>124</v>
      </c>
      <c r="P2857" s="0" t="s">
        <v>102</v>
      </c>
      <c r="Q2857" s="0" t="s">
        <v>102</v>
      </c>
      <c r="R2857" s="0" t="s">
        <v>804</v>
      </c>
      <c r="S2857" s="0" t="s">
        <v>21</v>
      </c>
      <c r="T2857" s="0" t="s">
        <v>104</v>
      </c>
      <c r="W2857" s="0" t="s">
        <v>105</v>
      </c>
    </row>
    <row r="2858" customFormat="false" ht="15" hidden="false" customHeight="false" outlineLevel="0" collapsed="false">
      <c r="A2858" s="0" t="s">
        <v>21</v>
      </c>
      <c r="B2858" s="0" t="s">
        <v>9080</v>
      </c>
      <c r="C2858" s="0" t="s">
        <v>97</v>
      </c>
      <c r="D2858" s="0" t="s">
        <v>9081</v>
      </c>
      <c r="E2858" s="0" t="s">
        <v>9082</v>
      </c>
      <c r="M2858" s="0" t="s">
        <v>136</v>
      </c>
      <c r="N2858" s="0" t="s">
        <v>124</v>
      </c>
      <c r="P2858" s="0" t="s">
        <v>102</v>
      </c>
      <c r="Q2858" s="0" t="s">
        <v>102</v>
      </c>
      <c r="R2858" s="0" t="s">
        <v>144</v>
      </c>
      <c r="S2858" s="0" t="s">
        <v>21</v>
      </c>
      <c r="T2858" s="0" t="s">
        <v>104</v>
      </c>
      <c r="W2858" s="0" t="s">
        <v>105</v>
      </c>
    </row>
    <row r="2859" customFormat="false" ht="15" hidden="false" customHeight="false" outlineLevel="0" collapsed="false">
      <c r="A2859" s="0" t="s">
        <v>21</v>
      </c>
      <c r="B2859" s="0" t="s">
        <v>9083</v>
      </c>
      <c r="C2859" s="0" t="s">
        <v>97</v>
      </c>
      <c r="D2859" s="0" t="s">
        <v>9084</v>
      </c>
      <c r="E2859" s="0" t="s">
        <v>9085</v>
      </c>
      <c r="M2859" s="0" t="s">
        <v>136</v>
      </c>
      <c r="N2859" s="0" t="s">
        <v>124</v>
      </c>
      <c r="P2859" s="0" t="s">
        <v>102</v>
      </c>
      <c r="Q2859" s="0" t="s">
        <v>102</v>
      </c>
      <c r="R2859" s="0" t="s">
        <v>144</v>
      </c>
      <c r="S2859" s="0" t="s">
        <v>21</v>
      </c>
      <c r="T2859" s="0" t="s">
        <v>104</v>
      </c>
      <c r="W2859" s="0" t="s">
        <v>105</v>
      </c>
    </row>
    <row r="2860" customFormat="false" ht="15" hidden="false" customHeight="false" outlineLevel="0" collapsed="false">
      <c r="A2860" s="0" t="s">
        <v>21</v>
      </c>
      <c r="B2860" s="0" t="s">
        <v>9086</v>
      </c>
      <c r="C2860" s="0" t="s">
        <v>97</v>
      </c>
      <c r="D2860" s="0" t="s">
        <v>9087</v>
      </c>
      <c r="E2860" s="0" t="s">
        <v>9088</v>
      </c>
      <c r="M2860" s="0" t="s">
        <v>136</v>
      </c>
      <c r="N2860" s="0" t="s">
        <v>124</v>
      </c>
      <c r="P2860" s="0" t="s">
        <v>102</v>
      </c>
      <c r="Q2860" s="0" t="s">
        <v>102</v>
      </c>
      <c r="R2860" s="0" t="s">
        <v>144</v>
      </c>
      <c r="S2860" s="0" t="s">
        <v>21</v>
      </c>
      <c r="T2860" s="0" t="s">
        <v>104</v>
      </c>
      <c r="W2860" s="0" t="s">
        <v>105</v>
      </c>
    </row>
    <row r="2861" customFormat="false" ht="15" hidden="false" customHeight="false" outlineLevel="0" collapsed="false">
      <c r="A2861" s="0" t="s">
        <v>21</v>
      </c>
      <c r="B2861" s="0" t="s">
        <v>9089</v>
      </c>
      <c r="C2861" s="0" t="s">
        <v>97</v>
      </c>
      <c r="D2861" s="0" t="s">
        <v>9090</v>
      </c>
      <c r="E2861" s="0" t="s">
        <v>9091</v>
      </c>
      <c r="M2861" s="0" t="s">
        <v>100</v>
      </c>
      <c r="N2861" s="0" t="s">
        <v>101</v>
      </c>
      <c r="P2861" s="0" t="s">
        <v>102</v>
      </c>
      <c r="Q2861" s="0" t="s">
        <v>102</v>
      </c>
      <c r="R2861" s="0" t="s">
        <v>113</v>
      </c>
      <c r="S2861" s="0" t="s">
        <v>21</v>
      </c>
      <c r="T2861" s="0" t="s">
        <v>104</v>
      </c>
      <c r="W2861" s="0" t="s">
        <v>105</v>
      </c>
    </row>
    <row r="2862" customFormat="false" ht="15" hidden="false" customHeight="false" outlineLevel="0" collapsed="false">
      <c r="A2862" s="0" t="s">
        <v>21</v>
      </c>
      <c r="B2862" s="0" t="s">
        <v>9092</v>
      </c>
      <c r="C2862" s="0" t="s">
        <v>97</v>
      </c>
      <c r="D2862" s="0" t="s">
        <v>9093</v>
      </c>
      <c r="E2862" s="0" t="s">
        <v>9094</v>
      </c>
      <c r="H2862" s="0" t="s">
        <v>654</v>
      </c>
      <c r="I2862" s="0" t="s">
        <v>655</v>
      </c>
      <c r="J2862" s="0" t="s">
        <v>100</v>
      </c>
      <c r="K2862" s="0" t="s">
        <v>168</v>
      </c>
      <c r="L2862" s="0" t="s">
        <v>101</v>
      </c>
      <c r="M2862" s="0" t="s">
        <v>656</v>
      </c>
      <c r="N2862" s="0" t="s">
        <v>101</v>
      </c>
      <c r="P2862" s="0" t="s">
        <v>102</v>
      </c>
      <c r="Q2862" s="0" t="s">
        <v>102</v>
      </c>
      <c r="R2862" s="0" t="s">
        <v>144</v>
      </c>
      <c r="S2862" s="0" t="s">
        <v>21</v>
      </c>
      <c r="T2862" s="0" t="s">
        <v>104</v>
      </c>
      <c r="W2862" s="0" t="s">
        <v>105</v>
      </c>
      <c r="X2862" s="0" t="s">
        <v>658</v>
      </c>
      <c r="Y2862" s="0" t="s">
        <v>659</v>
      </c>
    </row>
    <row r="2863" customFormat="false" ht="15" hidden="false" customHeight="false" outlineLevel="0" collapsed="false">
      <c r="A2863" s="0" t="s">
        <v>21</v>
      </c>
      <c r="B2863" s="0" t="s">
        <v>9095</v>
      </c>
      <c r="C2863" s="0" t="s">
        <v>97</v>
      </c>
      <c r="D2863" s="0" t="s">
        <v>1507</v>
      </c>
      <c r="E2863" s="0" t="s">
        <v>9096</v>
      </c>
      <c r="H2863" s="0" t="s">
        <v>9097</v>
      </c>
      <c r="I2863" s="0" t="s">
        <v>9098</v>
      </c>
      <c r="J2863" s="0" t="s">
        <v>100</v>
      </c>
      <c r="K2863" s="0" t="s">
        <v>1617</v>
      </c>
      <c r="L2863" s="0" t="s">
        <v>101</v>
      </c>
      <c r="M2863" s="0" t="s">
        <v>1511</v>
      </c>
      <c r="N2863" s="0" t="s">
        <v>101</v>
      </c>
      <c r="P2863" s="0" t="s">
        <v>102</v>
      </c>
      <c r="Q2863" s="0" t="s">
        <v>102</v>
      </c>
      <c r="R2863" s="0" t="s">
        <v>113</v>
      </c>
      <c r="S2863" s="0" t="s">
        <v>21</v>
      </c>
      <c r="T2863" s="0" t="s">
        <v>104</v>
      </c>
      <c r="W2863" s="0" t="s">
        <v>105</v>
      </c>
      <c r="X2863" s="0" t="s">
        <v>9099</v>
      </c>
      <c r="Y2863" s="0" t="s">
        <v>9100</v>
      </c>
    </row>
    <row r="2864" customFormat="false" ht="15" hidden="false" customHeight="false" outlineLevel="0" collapsed="false">
      <c r="A2864" s="0" t="s">
        <v>21</v>
      </c>
      <c r="B2864" s="0" t="s">
        <v>9101</v>
      </c>
      <c r="C2864" s="0" t="s">
        <v>97</v>
      </c>
      <c r="D2864" s="0" t="s">
        <v>5087</v>
      </c>
      <c r="E2864" s="0" t="s">
        <v>9102</v>
      </c>
      <c r="M2864" s="0" t="s">
        <v>156</v>
      </c>
      <c r="N2864" s="0" t="s">
        <v>124</v>
      </c>
      <c r="P2864" s="0" t="s">
        <v>102</v>
      </c>
      <c r="Q2864" s="0" t="s">
        <v>102</v>
      </c>
      <c r="R2864" s="0" t="s">
        <v>137</v>
      </c>
      <c r="S2864" s="0" t="s">
        <v>21</v>
      </c>
      <c r="T2864" s="0" t="s">
        <v>104</v>
      </c>
      <c r="W2864" s="0" t="s">
        <v>105</v>
      </c>
    </row>
    <row r="2865" customFormat="false" ht="15" hidden="false" customHeight="false" outlineLevel="0" collapsed="false">
      <c r="A2865" s="0" t="s">
        <v>21</v>
      </c>
      <c r="B2865" s="0" t="s">
        <v>9103</v>
      </c>
      <c r="C2865" s="0" t="s">
        <v>97</v>
      </c>
      <c r="D2865" s="0" t="s">
        <v>9104</v>
      </c>
      <c r="E2865" s="0" t="s">
        <v>9105</v>
      </c>
      <c r="M2865" s="0" t="s">
        <v>136</v>
      </c>
      <c r="N2865" s="0" t="s">
        <v>124</v>
      </c>
      <c r="P2865" s="0" t="s">
        <v>102</v>
      </c>
      <c r="Q2865" s="0" t="s">
        <v>102</v>
      </c>
      <c r="R2865" s="0" t="s">
        <v>131</v>
      </c>
      <c r="S2865" s="0" t="s">
        <v>21</v>
      </c>
      <c r="T2865" s="0" t="s">
        <v>104</v>
      </c>
      <c r="W2865" s="0" t="s">
        <v>105</v>
      </c>
    </row>
    <row r="2866" customFormat="false" ht="15" hidden="false" customHeight="false" outlineLevel="0" collapsed="false">
      <c r="A2866" s="0" t="s">
        <v>21</v>
      </c>
      <c r="B2866" s="0" t="s">
        <v>9106</v>
      </c>
      <c r="C2866" s="0" t="s">
        <v>931</v>
      </c>
      <c r="D2866" s="0" t="s">
        <v>2223</v>
      </c>
      <c r="E2866" s="0" t="s">
        <v>9107</v>
      </c>
      <c r="H2866" s="0" t="s">
        <v>9108</v>
      </c>
      <c r="I2866" s="0" t="s">
        <v>2217</v>
      </c>
      <c r="J2866" s="0" t="s">
        <v>157</v>
      </c>
      <c r="K2866" s="0" t="s">
        <v>2218</v>
      </c>
      <c r="L2866" s="0" t="s">
        <v>124</v>
      </c>
      <c r="M2866" s="0" t="s">
        <v>232</v>
      </c>
      <c r="N2866" s="0" t="s">
        <v>124</v>
      </c>
      <c r="P2866" s="0" t="s">
        <v>102</v>
      </c>
      <c r="Q2866" s="0" t="s">
        <v>102</v>
      </c>
      <c r="R2866" s="0" t="s">
        <v>137</v>
      </c>
      <c r="S2866" s="0" t="s">
        <v>21</v>
      </c>
      <c r="T2866" s="0" t="s">
        <v>104</v>
      </c>
      <c r="W2866" s="0" t="s">
        <v>105</v>
      </c>
      <c r="Z2866" s="0" t="s">
        <v>159</v>
      </c>
    </row>
    <row r="2867" customFormat="false" ht="15" hidden="false" customHeight="false" outlineLevel="0" collapsed="false">
      <c r="A2867" s="0" t="s">
        <v>21</v>
      </c>
      <c r="B2867" s="0" t="s">
        <v>9109</v>
      </c>
      <c r="C2867" s="0" t="s">
        <v>97</v>
      </c>
      <c r="D2867" s="0" t="s">
        <v>9110</v>
      </c>
      <c r="E2867" s="0" t="s">
        <v>9111</v>
      </c>
      <c r="M2867" s="0" t="s">
        <v>136</v>
      </c>
      <c r="N2867" s="0" t="s">
        <v>124</v>
      </c>
      <c r="P2867" s="0" t="s">
        <v>102</v>
      </c>
      <c r="Q2867" s="0" t="s">
        <v>102</v>
      </c>
      <c r="R2867" s="0" t="s">
        <v>131</v>
      </c>
      <c r="S2867" s="0" t="s">
        <v>21</v>
      </c>
      <c r="T2867" s="0" t="s">
        <v>104</v>
      </c>
      <c r="W2867" s="0" t="s">
        <v>105</v>
      </c>
    </row>
    <row r="2868" customFormat="false" ht="15" hidden="false" customHeight="false" outlineLevel="0" collapsed="false">
      <c r="A2868" s="0" t="s">
        <v>21</v>
      </c>
      <c r="B2868" s="0" t="s">
        <v>9112</v>
      </c>
      <c r="C2868" s="0" t="s">
        <v>97</v>
      </c>
      <c r="D2868" s="0" t="s">
        <v>9113</v>
      </c>
      <c r="E2868" s="0" t="s">
        <v>9114</v>
      </c>
      <c r="M2868" s="0" t="s">
        <v>136</v>
      </c>
      <c r="N2868" s="0" t="s">
        <v>124</v>
      </c>
      <c r="P2868" s="0" t="s">
        <v>102</v>
      </c>
      <c r="Q2868" s="0" t="s">
        <v>102</v>
      </c>
      <c r="R2868" s="0" t="s">
        <v>131</v>
      </c>
      <c r="S2868" s="0" t="s">
        <v>21</v>
      </c>
      <c r="T2868" s="0" t="s">
        <v>104</v>
      </c>
      <c r="W2868" s="0" t="s">
        <v>105</v>
      </c>
    </row>
    <row r="2869" customFormat="false" ht="15" hidden="false" customHeight="false" outlineLevel="0" collapsed="false">
      <c r="A2869" s="0" t="s">
        <v>21</v>
      </c>
      <c r="B2869" s="0" t="s">
        <v>9115</v>
      </c>
      <c r="C2869" s="0" t="s">
        <v>97</v>
      </c>
      <c r="D2869" s="0" t="s">
        <v>872</v>
      </c>
      <c r="E2869" s="0" t="s">
        <v>9116</v>
      </c>
      <c r="M2869" s="0" t="s">
        <v>136</v>
      </c>
      <c r="N2869" s="0" t="s">
        <v>124</v>
      </c>
      <c r="P2869" s="0" t="s">
        <v>102</v>
      </c>
      <c r="Q2869" s="0" t="s">
        <v>102</v>
      </c>
      <c r="R2869" s="0" t="s">
        <v>131</v>
      </c>
      <c r="S2869" s="0" t="s">
        <v>21</v>
      </c>
      <c r="T2869" s="0" t="s">
        <v>104</v>
      </c>
      <c r="W2869" s="0" t="s">
        <v>105</v>
      </c>
    </row>
    <row r="2870" customFormat="false" ht="15" hidden="false" customHeight="false" outlineLevel="0" collapsed="false">
      <c r="A2870" s="0" t="s">
        <v>21</v>
      </c>
      <c r="B2870" s="0" t="s">
        <v>9117</v>
      </c>
      <c r="C2870" s="0" t="s">
        <v>97</v>
      </c>
      <c r="D2870" s="0" t="s">
        <v>9118</v>
      </c>
      <c r="E2870" s="0" t="s">
        <v>1106</v>
      </c>
      <c r="M2870" s="0" t="s">
        <v>100</v>
      </c>
      <c r="N2870" s="0" t="s">
        <v>101</v>
      </c>
      <c r="P2870" s="0" t="s">
        <v>102</v>
      </c>
      <c r="Q2870" s="0" t="s">
        <v>102</v>
      </c>
      <c r="R2870" s="0" t="s">
        <v>137</v>
      </c>
      <c r="S2870" s="0" t="s">
        <v>21</v>
      </c>
      <c r="T2870" s="0" t="s">
        <v>104</v>
      </c>
      <c r="W2870" s="0" t="s">
        <v>105</v>
      </c>
    </row>
    <row r="2871" customFormat="false" ht="15" hidden="false" customHeight="false" outlineLevel="0" collapsed="false">
      <c r="A2871" s="0" t="s">
        <v>21</v>
      </c>
      <c r="B2871" s="0" t="s">
        <v>9119</v>
      </c>
      <c r="C2871" s="0" t="s">
        <v>97</v>
      </c>
      <c r="D2871" s="0" t="s">
        <v>9120</v>
      </c>
      <c r="E2871" s="0" t="s">
        <v>9121</v>
      </c>
      <c r="M2871" s="0" t="s">
        <v>136</v>
      </c>
      <c r="N2871" s="0" t="s">
        <v>124</v>
      </c>
      <c r="P2871" s="0" t="s">
        <v>102</v>
      </c>
      <c r="Q2871" s="0" t="s">
        <v>102</v>
      </c>
      <c r="R2871" s="0" t="s">
        <v>113</v>
      </c>
      <c r="S2871" s="0" t="s">
        <v>21</v>
      </c>
      <c r="T2871" s="0" t="s">
        <v>104</v>
      </c>
      <c r="W2871" s="0" t="s">
        <v>105</v>
      </c>
    </row>
    <row r="2872" customFormat="false" ht="15" hidden="false" customHeight="false" outlineLevel="0" collapsed="false">
      <c r="A2872" s="0" t="s">
        <v>21</v>
      </c>
      <c r="B2872" s="0" t="s">
        <v>9122</v>
      </c>
      <c r="C2872" s="0" t="s">
        <v>97</v>
      </c>
      <c r="D2872" s="0" t="s">
        <v>9123</v>
      </c>
      <c r="E2872" s="0" t="s">
        <v>9124</v>
      </c>
      <c r="M2872" s="0" t="s">
        <v>136</v>
      </c>
      <c r="N2872" s="0" t="s">
        <v>124</v>
      </c>
      <c r="P2872" s="0" t="s">
        <v>102</v>
      </c>
      <c r="Q2872" s="0" t="s">
        <v>102</v>
      </c>
      <c r="R2872" s="0" t="s">
        <v>113</v>
      </c>
      <c r="S2872" s="0" t="s">
        <v>21</v>
      </c>
      <c r="T2872" s="0" t="s">
        <v>104</v>
      </c>
      <c r="W2872" s="0" t="s">
        <v>105</v>
      </c>
    </row>
    <row r="2873" customFormat="false" ht="15" hidden="false" customHeight="false" outlineLevel="0" collapsed="false">
      <c r="A2873" s="0" t="s">
        <v>21</v>
      </c>
      <c r="B2873" s="0" t="s">
        <v>9125</v>
      </c>
      <c r="C2873" s="0" t="s">
        <v>97</v>
      </c>
      <c r="D2873" s="0" t="s">
        <v>8641</v>
      </c>
      <c r="E2873" s="0" t="s">
        <v>9126</v>
      </c>
      <c r="M2873" s="0" t="s">
        <v>136</v>
      </c>
      <c r="N2873" s="0" t="s">
        <v>124</v>
      </c>
      <c r="P2873" s="0" t="s">
        <v>102</v>
      </c>
      <c r="Q2873" s="0" t="s">
        <v>102</v>
      </c>
      <c r="R2873" s="0" t="s">
        <v>113</v>
      </c>
      <c r="S2873" s="0" t="s">
        <v>21</v>
      </c>
      <c r="T2873" s="0" t="s">
        <v>104</v>
      </c>
      <c r="W2873" s="0" t="s">
        <v>105</v>
      </c>
    </row>
    <row r="2874" customFormat="false" ht="15" hidden="false" customHeight="false" outlineLevel="0" collapsed="false">
      <c r="A2874" s="0" t="s">
        <v>21</v>
      </c>
      <c r="B2874" s="0" t="s">
        <v>9127</v>
      </c>
      <c r="C2874" s="0" t="s">
        <v>97</v>
      </c>
      <c r="D2874" s="0" t="s">
        <v>9128</v>
      </c>
      <c r="E2874" s="0" t="s">
        <v>9129</v>
      </c>
      <c r="M2874" s="0" t="s">
        <v>136</v>
      </c>
      <c r="N2874" s="0" t="s">
        <v>124</v>
      </c>
      <c r="P2874" s="0" t="s">
        <v>102</v>
      </c>
      <c r="Q2874" s="0" t="s">
        <v>102</v>
      </c>
      <c r="R2874" s="0" t="s">
        <v>113</v>
      </c>
      <c r="S2874" s="0" t="s">
        <v>21</v>
      </c>
      <c r="T2874" s="0" t="s">
        <v>104</v>
      </c>
      <c r="W2874" s="0" t="s">
        <v>105</v>
      </c>
    </row>
    <row r="2875" customFormat="false" ht="15" hidden="false" customHeight="false" outlineLevel="0" collapsed="false">
      <c r="A2875" s="0" t="s">
        <v>21</v>
      </c>
      <c r="B2875" s="0" t="s">
        <v>9130</v>
      </c>
      <c r="C2875" s="0" t="s">
        <v>4845</v>
      </c>
      <c r="D2875" s="0" t="s">
        <v>9131</v>
      </c>
      <c r="E2875" s="0" t="s">
        <v>9132</v>
      </c>
      <c r="G2875" s="0" t="s">
        <v>9133</v>
      </c>
      <c r="M2875" s="0" t="s">
        <v>100</v>
      </c>
      <c r="N2875" s="0" t="s">
        <v>101</v>
      </c>
      <c r="P2875" s="0" t="s">
        <v>102</v>
      </c>
      <c r="Q2875" s="0" t="s">
        <v>102</v>
      </c>
      <c r="R2875" s="0" t="s">
        <v>113</v>
      </c>
      <c r="S2875" s="0" t="s">
        <v>21</v>
      </c>
      <c r="T2875" s="0" t="s">
        <v>104</v>
      </c>
      <c r="W2875" s="0" t="s">
        <v>105</v>
      </c>
    </row>
    <row r="2876" customFormat="false" ht="15" hidden="false" customHeight="false" outlineLevel="0" collapsed="false">
      <c r="A2876" s="0" t="s">
        <v>21</v>
      </c>
      <c r="B2876" s="0" t="s">
        <v>9134</v>
      </c>
      <c r="C2876" s="0" t="s">
        <v>97</v>
      </c>
      <c r="D2876" s="0" t="s">
        <v>9135</v>
      </c>
      <c r="E2876" s="0" t="s">
        <v>9136</v>
      </c>
      <c r="M2876" s="0" t="s">
        <v>136</v>
      </c>
      <c r="N2876" s="0" t="s">
        <v>124</v>
      </c>
      <c r="P2876" s="0" t="s">
        <v>102</v>
      </c>
      <c r="Q2876" s="0" t="s">
        <v>102</v>
      </c>
      <c r="R2876" s="0" t="s">
        <v>113</v>
      </c>
      <c r="S2876" s="0" t="s">
        <v>21</v>
      </c>
      <c r="T2876" s="0" t="s">
        <v>104</v>
      </c>
      <c r="W2876" s="0" t="s">
        <v>105</v>
      </c>
    </row>
    <row r="2877" customFormat="false" ht="15" hidden="false" customHeight="false" outlineLevel="0" collapsed="false">
      <c r="A2877" s="0" t="s">
        <v>21</v>
      </c>
      <c r="B2877" s="0" t="s">
        <v>9137</v>
      </c>
      <c r="C2877" s="0" t="s">
        <v>97</v>
      </c>
      <c r="D2877" s="0" t="s">
        <v>9138</v>
      </c>
      <c r="E2877" s="0" t="s">
        <v>9138</v>
      </c>
      <c r="M2877" s="0" t="s">
        <v>442</v>
      </c>
      <c r="N2877" s="0" t="s">
        <v>101</v>
      </c>
      <c r="P2877" s="0" t="s">
        <v>102</v>
      </c>
      <c r="Q2877" s="0" t="s">
        <v>102</v>
      </c>
      <c r="R2877" s="0" t="s">
        <v>131</v>
      </c>
      <c r="S2877" s="0" t="s">
        <v>21</v>
      </c>
      <c r="T2877" s="0" t="s">
        <v>104</v>
      </c>
      <c r="W2877" s="0" t="s">
        <v>105</v>
      </c>
    </row>
    <row r="2878" customFormat="false" ht="15" hidden="false" customHeight="false" outlineLevel="0" collapsed="false">
      <c r="A2878" s="0" t="s">
        <v>21</v>
      </c>
      <c r="B2878" s="0" t="s">
        <v>9139</v>
      </c>
      <c r="C2878" s="0" t="s">
        <v>97</v>
      </c>
      <c r="D2878" s="0" t="s">
        <v>1269</v>
      </c>
      <c r="E2878" s="0" t="s">
        <v>9140</v>
      </c>
      <c r="H2878" s="0" t="s">
        <v>1271</v>
      </c>
      <c r="I2878" s="0" t="s">
        <v>9141</v>
      </c>
      <c r="J2878" s="0" t="s">
        <v>1272</v>
      </c>
      <c r="K2878" s="0" t="s">
        <v>1259</v>
      </c>
      <c r="L2878" s="0" t="s">
        <v>101</v>
      </c>
      <c r="M2878" s="0" t="s">
        <v>1272</v>
      </c>
      <c r="N2878" s="0" t="s">
        <v>101</v>
      </c>
      <c r="P2878" s="0" t="s">
        <v>102</v>
      </c>
      <c r="Q2878" s="0" t="s">
        <v>102</v>
      </c>
      <c r="R2878" s="0" t="s">
        <v>113</v>
      </c>
      <c r="S2878" s="0" t="s">
        <v>21</v>
      </c>
      <c r="T2878" s="0" t="s">
        <v>104</v>
      </c>
      <c r="W2878" s="0" t="s">
        <v>105</v>
      </c>
      <c r="X2878" s="0" t="s">
        <v>9142</v>
      </c>
      <c r="Y2878" s="0" t="s">
        <v>9143</v>
      </c>
    </row>
    <row r="2879" customFormat="false" ht="15" hidden="false" customHeight="false" outlineLevel="0" collapsed="false">
      <c r="A2879" s="0" t="s">
        <v>21</v>
      </c>
      <c r="B2879" s="0" t="s">
        <v>9144</v>
      </c>
      <c r="C2879" s="0" t="s">
        <v>110</v>
      </c>
      <c r="D2879" s="0" t="s">
        <v>9145</v>
      </c>
      <c r="E2879" s="0" t="s">
        <v>1952</v>
      </c>
      <c r="H2879" s="0" t="s">
        <v>9146</v>
      </c>
      <c r="I2879" s="0" t="s">
        <v>9147</v>
      </c>
      <c r="J2879" s="0" t="s">
        <v>275</v>
      </c>
      <c r="K2879" s="0" t="s">
        <v>9148</v>
      </c>
      <c r="L2879" s="0" t="s">
        <v>124</v>
      </c>
      <c r="M2879" s="0" t="s">
        <v>178</v>
      </c>
      <c r="N2879" s="0" t="s">
        <v>124</v>
      </c>
      <c r="P2879" s="0" t="s">
        <v>102</v>
      </c>
      <c r="Q2879" s="0" t="s">
        <v>102</v>
      </c>
      <c r="R2879" s="0" t="s">
        <v>131</v>
      </c>
      <c r="S2879" s="0" t="s">
        <v>21</v>
      </c>
      <c r="T2879" s="0" t="s">
        <v>104</v>
      </c>
      <c r="W2879" s="0" t="s">
        <v>105</v>
      </c>
    </row>
    <row r="2880" customFormat="false" ht="15" hidden="false" customHeight="false" outlineLevel="0" collapsed="false">
      <c r="A2880" s="0" t="s">
        <v>21</v>
      </c>
      <c r="B2880" s="0" t="s">
        <v>9149</v>
      </c>
      <c r="C2880" s="0" t="s">
        <v>4295</v>
      </c>
      <c r="D2880" s="0" t="s">
        <v>9150</v>
      </c>
      <c r="E2880" s="0" t="s">
        <v>9151</v>
      </c>
      <c r="G2880" s="0" t="s">
        <v>9152</v>
      </c>
      <c r="M2880" s="0" t="s">
        <v>598</v>
      </c>
      <c r="N2880" s="0" t="s">
        <v>124</v>
      </c>
      <c r="P2880" s="0" t="s">
        <v>130</v>
      </c>
      <c r="Q2880" s="0" t="s">
        <v>130</v>
      </c>
      <c r="R2880" s="0" t="s">
        <v>144</v>
      </c>
      <c r="S2880" s="0" t="s">
        <v>21</v>
      </c>
      <c r="T2880" s="0" t="s">
        <v>104</v>
      </c>
      <c r="W2880" s="0" t="s">
        <v>105</v>
      </c>
    </row>
    <row r="2881" customFormat="false" ht="28.35" hidden="false" customHeight="false" outlineLevel="0" collapsed="false">
      <c r="A2881" s="0" t="s">
        <v>21</v>
      </c>
      <c r="B2881" s="0" t="s">
        <v>9153</v>
      </c>
      <c r="C2881" s="0" t="s">
        <v>200</v>
      </c>
      <c r="D2881" s="0" t="s">
        <v>9154</v>
      </c>
      <c r="E2881" s="0" t="s">
        <v>9155</v>
      </c>
      <c r="G2881" s="9" t="s">
        <v>9156</v>
      </c>
      <c r="M2881" s="0" t="s">
        <v>643</v>
      </c>
      <c r="N2881" s="0" t="s">
        <v>124</v>
      </c>
      <c r="P2881" s="0" t="s">
        <v>130</v>
      </c>
      <c r="Q2881" s="0" t="s">
        <v>130</v>
      </c>
      <c r="R2881" s="0" t="s">
        <v>144</v>
      </c>
      <c r="S2881" s="0" t="s">
        <v>21</v>
      </c>
      <c r="T2881" s="0" t="s">
        <v>104</v>
      </c>
      <c r="W2881" s="0" t="s">
        <v>105</v>
      </c>
    </row>
    <row r="2882" customFormat="false" ht="15" hidden="false" customHeight="false" outlineLevel="0" collapsed="false">
      <c r="A2882" s="0" t="s">
        <v>21</v>
      </c>
      <c r="B2882" s="0" t="s">
        <v>9157</v>
      </c>
      <c r="C2882" s="0" t="s">
        <v>97</v>
      </c>
      <c r="D2882" s="0" t="s">
        <v>9158</v>
      </c>
      <c r="E2882" s="0" t="s">
        <v>9159</v>
      </c>
      <c r="M2882" s="0" t="s">
        <v>9160</v>
      </c>
      <c r="N2882" s="0" t="s">
        <v>124</v>
      </c>
      <c r="P2882" s="0" t="s">
        <v>130</v>
      </c>
      <c r="Q2882" s="0" t="s">
        <v>130</v>
      </c>
      <c r="R2882" s="0" t="s">
        <v>144</v>
      </c>
      <c r="S2882" s="0" t="s">
        <v>21</v>
      </c>
      <c r="T2882" s="0" t="s">
        <v>104</v>
      </c>
      <c r="W2882" s="0" t="s">
        <v>105</v>
      </c>
    </row>
    <row r="2883" customFormat="false" ht="15" hidden="false" customHeight="false" outlineLevel="0" collapsed="false">
      <c r="A2883" s="0" t="s">
        <v>21</v>
      </c>
      <c r="B2883" s="0" t="s">
        <v>9161</v>
      </c>
      <c r="C2883" s="0" t="s">
        <v>97</v>
      </c>
      <c r="D2883" s="0" t="s">
        <v>9162</v>
      </c>
      <c r="E2883" s="0" t="s">
        <v>9163</v>
      </c>
      <c r="M2883" s="0" t="s">
        <v>136</v>
      </c>
      <c r="N2883" s="0" t="s">
        <v>124</v>
      </c>
      <c r="P2883" s="0" t="s">
        <v>102</v>
      </c>
      <c r="Q2883" s="0" t="s">
        <v>102</v>
      </c>
      <c r="R2883" s="0" t="s">
        <v>144</v>
      </c>
      <c r="S2883" s="0" t="s">
        <v>21</v>
      </c>
      <c r="T2883" s="0" t="s">
        <v>104</v>
      </c>
      <c r="W2883" s="0" t="s">
        <v>105</v>
      </c>
    </row>
    <row r="2884" customFormat="false" ht="15" hidden="false" customHeight="false" outlineLevel="0" collapsed="false">
      <c r="A2884" s="0" t="s">
        <v>21</v>
      </c>
      <c r="B2884" s="0" t="s">
        <v>9164</v>
      </c>
      <c r="C2884" s="0" t="s">
        <v>97</v>
      </c>
      <c r="D2884" s="0" t="s">
        <v>9165</v>
      </c>
      <c r="E2884" s="0" t="s">
        <v>9166</v>
      </c>
      <c r="M2884" s="0" t="s">
        <v>136</v>
      </c>
      <c r="N2884" s="0" t="s">
        <v>124</v>
      </c>
      <c r="P2884" s="0" t="s">
        <v>102</v>
      </c>
      <c r="Q2884" s="0" t="s">
        <v>102</v>
      </c>
      <c r="R2884" s="0" t="s">
        <v>144</v>
      </c>
      <c r="S2884" s="0" t="s">
        <v>21</v>
      </c>
      <c r="T2884" s="0" t="s">
        <v>104</v>
      </c>
      <c r="W2884" s="0" t="s">
        <v>105</v>
      </c>
    </row>
    <row r="2885" customFormat="false" ht="15" hidden="false" customHeight="false" outlineLevel="0" collapsed="false">
      <c r="A2885" s="0" t="s">
        <v>21</v>
      </c>
      <c r="B2885" s="0" t="s">
        <v>9167</v>
      </c>
      <c r="C2885" s="0" t="s">
        <v>97</v>
      </c>
      <c r="D2885" s="0" t="s">
        <v>9168</v>
      </c>
      <c r="E2885" s="0" t="s">
        <v>9169</v>
      </c>
      <c r="M2885" s="0" t="s">
        <v>136</v>
      </c>
      <c r="N2885" s="0" t="s">
        <v>124</v>
      </c>
      <c r="P2885" s="0" t="s">
        <v>102</v>
      </c>
      <c r="Q2885" s="0" t="s">
        <v>102</v>
      </c>
      <c r="R2885" s="0" t="s">
        <v>144</v>
      </c>
      <c r="S2885" s="0" t="s">
        <v>21</v>
      </c>
      <c r="T2885" s="0" t="s">
        <v>104</v>
      </c>
      <c r="W2885" s="0" t="s">
        <v>105</v>
      </c>
    </row>
    <row r="2886" customFormat="false" ht="15" hidden="false" customHeight="false" outlineLevel="0" collapsed="false">
      <c r="A2886" s="0" t="s">
        <v>21</v>
      </c>
      <c r="B2886" s="0" t="s">
        <v>9170</v>
      </c>
      <c r="C2886" s="0" t="s">
        <v>97</v>
      </c>
      <c r="D2886" s="0" t="s">
        <v>9171</v>
      </c>
      <c r="E2886" s="0" t="s">
        <v>9172</v>
      </c>
      <c r="M2886" s="0" t="s">
        <v>656</v>
      </c>
      <c r="N2886" s="0" t="s">
        <v>101</v>
      </c>
      <c r="P2886" s="0" t="s">
        <v>102</v>
      </c>
      <c r="Q2886" s="0" t="s">
        <v>102</v>
      </c>
      <c r="R2886" s="0" t="s">
        <v>131</v>
      </c>
      <c r="S2886" s="0" t="s">
        <v>21</v>
      </c>
      <c r="T2886" s="0" t="s">
        <v>104</v>
      </c>
      <c r="W2886" s="0" t="s">
        <v>105</v>
      </c>
    </row>
    <row r="2887" customFormat="false" ht="15" hidden="false" customHeight="false" outlineLevel="0" collapsed="false">
      <c r="A2887" s="0" t="s">
        <v>21</v>
      </c>
      <c r="B2887" s="0" t="s">
        <v>9173</v>
      </c>
      <c r="C2887" s="0" t="s">
        <v>3708</v>
      </c>
      <c r="D2887" s="0" t="s">
        <v>9174</v>
      </c>
      <c r="E2887" s="0" t="s">
        <v>9175</v>
      </c>
      <c r="G2887" s="0" t="s">
        <v>9176</v>
      </c>
      <c r="M2887" s="0" t="s">
        <v>456</v>
      </c>
      <c r="N2887" s="0" t="s">
        <v>101</v>
      </c>
      <c r="P2887" s="0" t="s">
        <v>102</v>
      </c>
      <c r="Q2887" s="0" t="s">
        <v>102</v>
      </c>
      <c r="R2887" s="0" t="s">
        <v>113</v>
      </c>
      <c r="S2887" s="0" t="s">
        <v>21</v>
      </c>
      <c r="T2887" s="0" t="s">
        <v>104</v>
      </c>
      <c r="W2887" s="0" t="s">
        <v>105</v>
      </c>
    </row>
    <row r="2888" customFormat="false" ht="15" hidden="false" customHeight="false" outlineLevel="0" collapsed="false">
      <c r="A2888" s="0" t="s">
        <v>21</v>
      </c>
      <c r="B2888" s="0" t="s">
        <v>9177</v>
      </c>
      <c r="C2888" s="0" t="s">
        <v>97</v>
      </c>
      <c r="D2888" s="0" t="s">
        <v>9178</v>
      </c>
      <c r="E2888" s="0" t="s">
        <v>9179</v>
      </c>
      <c r="H2888" s="0" t="s">
        <v>654</v>
      </c>
      <c r="I2888" s="0" t="s">
        <v>655</v>
      </c>
      <c r="J2888" s="0" t="s">
        <v>100</v>
      </c>
      <c r="K2888" s="0" t="s">
        <v>168</v>
      </c>
      <c r="L2888" s="0" t="s">
        <v>101</v>
      </c>
      <c r="M2888" s="0" t="s">
        <v>656</v>
      </c>
      <c r="N2888" s="0" t="s">
        <v>101</v>
      </c>
      <c r="P2888" s="0" t="s">
        <v>102</v>
      </c>
      <c r="Q2888" s="0" t="s">
        <v>102</v>
      </c>
      <c r="R2888" s="0" t="s">
        <v>131</v>
      </c>
      <c r="S2888" s="0" t="s">
        <v>21</v>
      </c>
      <c r="T2888" s="0" t="s">
        <v>104</v>
      </c>
      <c r="W2888" s="0" t="s">
        <v>105</v>
      </c>
      <c r="X2888" s="0" t="s">
        <v>658</v>
      </c>
      <c r="Y2888" s="0" t="s">
        <v>659</v>
      </c>
    </row>
    <row r="2889" customFormat="false" ht="15" hidden="false" customHeight="false" outlineLevel="0" collapsed="false">
      <c r="A2889" s="0" t="s">
        <v>21</v>
      </c>
      <c r="B2889" s="0" t="s">
        <v>9180</v>
      </c>
      <c r="C2889" s="0" t="s">
        <v>97</v>
      </c>
      <c r="D2889" s="0" t="s">
        <v>9181</v>
      </c>
      <c r="E2889" s="0" t="s">
        <v>9182</v>
      </c>
      <c r="M2889" s="0" t="s">
        <v>136</v>
      </c>
      <c r="N2889" s="0" t="s">
        <v>124</v>
      </c>
      <c r="P2889" s="0" t="s">
        <v>102</v>
      </c>
      <c r="Q2889" s="0" t="s">
        <v>102</v>
      </c>
      <c r="R2889" s="0" t="s">
        <v>131</v>
      </c>
      <c r="S2889" s="0" t="s">
        <v>21</v>
      </c>
      <c r="T2889" s="0" t="s">
        <v>104</v>
      </c>
      <c r="W2889" s="0" t="s">
        <v>105</v>
      </c>
    </row>
    <row r="2890" customFormat="false" ht="15" hidden="false" customHeight="false" outlineLevel="0" collapsed="false">
      <c r="A2890" s="0" t="s">
        <v>21</v>
      </c>
      <c r="B2890" s="0" t="s">
        <v>9183</v>
      </c>
      <c r="C2890" s="0" t="s">
        <v>97</v>
      </c>
      <c r="D2890" s="0" t="s">
        <v>9184</v>
      </c>
      <c r="E2890" s="0" t="s">
        <v>9185</v>
      </c>
      <c r="H2890" s="0" t="s">
        <v>654</v>
      </c>
      <c r="I2890" s="0" t="s">
        <v>655</v>
      </c>
      <c r="J2890" s="0" t="s">
        <v>100</v>
      </c>
      <c r="K2890" s="0" t="s">
        <v>168</v>
      </c>
      <c r="L2890" s="0" t="s">
        <v>101</v>
      </c>
      <c r="M2890" s="0" t="s">
        <v>656</v>
      </c>
      <c r="N2890" s="0" t="s">
        <v>101</v>
      </c>
      <c r="P2890" s="0" t="s">
        <v>102</v>
      </c>
      <c r="Q2890" s="0" t="s">
        <v>102</v>
      </c>
      <c r="R2890" s="0" t="s">
        <v>113</v>
      </c>
      <c r="S2890" s="0" t="s">
        <v>21</v>
      </c>
      <c r="T2890" s="0" t="s">
        <v>104</v>
      </c>
      <c r="W2890" s="0" t="s">
        <v>105</v>
      </c>
      <c r="X2890" s="0" t="s">
        <v>658</v>
      </c>
      <c r="Y2890" s="0" t="s">
        <v>659</v>
      </c>
    </row>
    <row r="2891" customFormat="false" ht="15" hidden="false" customHeight="false" outlineLevel="0" collapsed="false">
      <c r="A2891" s="0" t="s">
        <v>21</v>
      </c>
      <c r="B2891" s="0" t="s">
        <v>9186</v>
      </c>
      <c r="C2891" s="0" t="s">
        <v>110</v>
      </c>
      <c r="D2891" s="0" t="s">
        <v>9187</v>
      </c>
      <c r="M2891" s="0" t="s">
        <v>143</v>
      </c>
      <c r="N2891" s="0" t="s">
        <v>124</v>
      </c>
      <c r="P2891" s="0" t="s">
        <v>102</v>
      </c>
      <c r="Q2891" s="0" t="s">
        <v>102</v>
      </c>
      <c r="R2891" s="0" t="s">
        <v>113</v>
      </c>
      <c r="S2891" s="0" t="s">
        <v>21</v>
      </c>
      <c r="T2891" s="0" t="s">
        <v>104</v>
      </c>
      <c r="W2891" s="0" t="s">
        <v>105</v>
      </c>
    </row>
    <row r="2892" customFormat="false" ht="15" hidden="false" customHeight="false" outlineLevel="0" collapsed="false">
      <c r="A2892" s="0" t="s">
        <v>21</v>
      </c>
      <c r="B2892" s="0" t="s">
        <v>9188</v>
      </c>
      <c r="C2892" s="0" t="s">
        <v>97</v>
      </c>
      <c r="D2892" s="0" t="s">
        <v>9189</v>
      </c>
      <c r="E2892" s="0" t="s">
        <v>9190</v>
      </c>
      <c r="M2892" s="0" t="s">
        <v>136</v>
      </c>
      <c r="N2892" s="0" t="s">
        <v>124</v>
      </c>
      <c r="P2892" s="0" t="s">
        <v>102</v>
      </c>
      <c r="Q2892" s="0" t="s">
        <v>102</v>
      </c>
      <c r="R2892" s="0" t="s">
        <v>113</v>
      </c>
      <c r="S2892" s="0" t="s">
        <v>21</v>
      </c>
      <c r="T2892" s="0" t="s">
        <v>104</v>
      </c>
      <c r="W2892" s="0" t="s">
        <v>105</v>
      </c>
    </row>
    <row r="2893" customFormat="false" ht="15" hidden="false" customHeight="false" outlineLevel="0" collapsed="false">
      <c r="A2893" s="0" t="s">
        <v>21</v>
      </c>
      <c r="B2893" s="0" t="s">
        <v>9191</v>
      </c>
      <c r="C2893" s="0" t="s">
        <v>97</v>
      </c>
      <c r="D2893" s="0" t="s">
        <v>9187</v>
      </c>
      <c r="E2893" s="0" t="s">
        <v>9192</v>
      </c>
      <c r="M2893" s="0" t="s">
        <v>136</v>
      </c>
      <c r="N2893" s="0" t="s">
        <v>124</v>
      </c>
      <c r="P2893" s="0" t="s">
        <v>102</v>
      </c>
      <c r="Q2893" s="0" t="s">
        <v>102</v>
      </c>
      <c r="R2893" s="0" t="s">
        <v>113</v>
      </c>
      <c r="S2893" s="0" t="s">
        <v>21</v>
      </c>
      <c r="T2893" s="0" t="s">
        <v>104</v>
      </c>
      <c r="W2893" s="0" t="s">
        <v>105</v>
      </c>
    </row>
    <row r="2894" customFormat="false" ht="15" hidden="false" customHeight="false" outlineLevel="0" collapsed="false">
      <c r="A2894" s="0" t="s">
        <v>21</v>
      </c>
      <c r="B2894" s="0" t="s">
        <v>9193</v>
      </c>
      <c r="C2894" s="0" t="s">
        <v>97</v>
      </c>
      <c r="D2894" s="0" t="s">
        <v>9194</v>
      </c>
      <c r="E2894" s="0" t="s">
        <v>9195</v>
      </c>
      <c r="H2894" s="0" t="s">
        <v>9196</v>
      </c>
      <c r="I2894" s="0" t="s">
        <v>9197</v>
      </c>
      <c r="J2894" s="0" t="s">
        <v>1307</v>
      </c>
      <c r="K2894" s="0" t="s">
        <v>363</v>
      </c>
      <c r="L2894" s="0" t="s">
        <v>101</v>
      </c>
      <c r="M2894" s="0" t="s">
        <v>1307</v>
      </c>
      <c r="N2894" s="0" t="s">
        <v>101</v>
      </c>
      <c r="P2894" s="0" t="s">
        <v>102</v>
      </c>
      <c r="Q2894" s="0" t="s">
        <v>102</v>
      </c>
      <c r="R2894" s="0" t="s">
        <v>113</v>
      </c>
      <c r="S2894" s="0" t="s">
        <v>21</v>
      </c>
      <c r="T2894" s="0" t="s">
        <v>104</v>
      </c>
      <c r="W2894" s="0" t="s">
        <v>105</v>
      </c>
      <c r="X2894" s="0" t="s">
        <v>9198</v>
      </c>
      <c r="Y2894" s="0" t="s">
        <v>9199</v>
      </c>
    </row>
    <row r="2895" customFormat="false" ht="15" hidden="false" customHeight="false" outlineLevel="0" collapsed="false">
      <c r="A2895" s="0" t="s">
        <v>21</v>
      </c>
      <c r="B2895" s="0" t="s">
        <v>9200</v>
      </c>
      <c r="C2895" s="0" t="s">
        <v>97</v>
      </c>
      <c r="D2895" s="0" t="s">
        <v>9201</v>
      </c>
      <c r="E2895" s="0" t="s">
        <v>9202</v>
      </c>
      <c r="G2895" s="0" t="s">
        <v>9203</v>
      </c>
      <c r="H2895" s="0" t="s">
        <v>654</v>
      </c>
      <c r="I2895" s="0" t="s">
        <v>655</v>
      </c>
      <c r="J2895" s="0" t="s">
        <v>100</v>
      </c>
      <c r="K2895" s="0" t="s">
        <v>168</v>
      </c>
      <c r="L2895" s="0" t="s">
        <v>101</v>
      </c>
      <c r="M2895" s="0" t="s">
        <v>656</v>
      </c>
      <c r="N2895" s="0" t="s">
        <v>101</v>
      </c>
      <c r="P2895" s="0" t="s">
        <v>102</v>
      </c>
      <c r="Q2895" s="0" t="s">
        <v>102</v>
      </c>
      <c r="R2895" s="0" t="s">
        <v>131</v>
      </c>
      <c r="S2895" s="0" t="s">
        <v>21</v>
      </c>
      <c r="T2895" s="0" t="s">
        <v>104</v>
      </c>
      <c r="W2895" s="0" t="s">
        <v>105</v>
      </c>
      <c r="X2895" s="0" t="s">
        <v>658</v>
      </c>
      <c r="Y2895" s="0" t="s">
        <v>659</v>
      </c>
    </row>
    <row r="2896" customFormat="false" ht="15" hidden="false" customHeight="false" outlineLevel="0" collapsed="false">
      <c r="A2896" s="0" t="s">
        <v>21</v>
      </c>
      <c r="B2896" s="0" t="s">
        <v>9204</v>
      </c>
      <c r="C2896" s="0" t="s">
        <v>97</v>
      </c>
      <c r="D2896" s="0" t="s">
        <v>9205</v>
      </c>
      <c r="E2896" s="0" t="s">
        <v>9206</v>
      </c>
      <c r="M2896" s="0" t="s">
        <v>136</v>
      </c>
      <c r="N2896" s="0" t="s">
        <v>124</v>
      </c>
      <c r="P2896" s="0" t="s">
        <v>102</v>
      </c>
      <c r="Q2896" s="0" t="s">
        <v>102</v>
      </c>
      <c r="R2896" s="0" t="s">
        <v>131</v>
      </c>
      <c r="S2896" s="0" t="s">
        <v>21</v>
      </c>
      <c r="T2896" s="0" t="s">
        <v>104</v>
      </c>
      <c r="W2896" s="0" t="s">
        <v>105</v>
      </c>
    </row>
    <row r="2897" customFormat="false" ht="15" hidden="false" customHeight="false" outlineLevel="0" collapsed="false">
      <c r="A2897" s="0" t="s">
        <v>21</v>
      </c>
      <c r="B2897" s="0" t="s">
        <v>9207</v>
      </c>
      <c r="C2897" s="0" t="s">
        <v>97</v>
      </c>
      <c r="D2897" s="0" t="s">
        <v>9208</v>
      </c>
      <c r="E2897" s="0" t="s">
        <v>9209</v>
      </c>
      <c r="M2897" s="0" t="s">
        <v>136</v>
      </c>
      <c r="N2897" s="0" t="s">
        <v>124</v>
      </c>
      <c r="P2897" s="0" t="s">
        <v>102</v>
      </c>
      <c r="Q2897" s="0" t="s">
        <v>102</v>
      </c>
      <c r="R2897" s="0" t="s">
        <v>131</v>
      </c>
      <c r="S2897" s="0" t="s">
        <v>21</v>
      </c>
      <c r="T2897" s="0" t="s">
        <v>104</v>
      </c>
      <c r="W2897" s="0" t="s">
        <v>105</v>
      </c>
    </row>
    <row r="2898" customFormat="false" ht="15" hidden="false" customHeight="false" outlineLevel="0" collapsed="false">
      <c r="A2898" s="0" t="s">
        <v>21</v>
      </c>
      <c r="B2898" s="0" t="s">
        <v>9210</v>
      </c>
      <c r="C2898" s="0" t="s">
        <v>97</v>
      </c>
      <c r="D2898" s="0" t="s">
        <v>9211</v>
      </c>
      <c r="E2898" s="0" t="s">
        <v>9212</v>
      </c>
      <c r="M2898" s="0" t="s">
        <v>136</v>
      </c>
      <c r="N2898" s="0" t="s">
        <v>124</v>
      </c>
      <c r="P2898" s="0" t="s">
        <v>102</v>
      </c>
      <c r="Q2898" s="0" t="s">
        <v>102</v>
      </c>
      <c r="R2898" s="0" t="s">
        <v>131</v>
      </c>
      <c r="S2898" s="0" t="s">
        <v>21</v>
      </c>
      <c r="T2898" s="0" t="s">
        <v>104</v>
      </c>
      <c r="W2898" s="0" t="s">
        <v>105</v>
      </c>
    </row>
    <row r="2899" customFormat="false" ht="15" hidden="false" customHeight="false" outlineLevel="0" collapsed="false">
      <c r="A2899" s="0" t="s">
        <v>21</v>
      </c>
      <c r="B2899" s="0" t="s">
        <v>9213</v>
      </c>
      <c r="C2899" s="0" t="s">
        <v>97</v>
      </c>
      <c r="D2899" s="0" t="s">
        <v>2244</v>
      </c>
      <c r="E2899" s="0" t="s">
        <v>2245</v>
      </c>
      <c r="M2899" s="0" t="s">
        <v>136</v>
      </c>
      <c r="N2899" s="0" t="s">
        <v>124</v>
      </c>
      <c r="P2899" s="0" t="s">
        <v>102</v>
      </c>
      <c r="Q2899" s="0" t="s">
        <v>102</v>
      </c>
      <c r="R2899" s="0" t="s">
        <v>131</v>
      </c>
      <c r="S2899" s="0" t="s">
        <v>21</v>
      </c>
      <c r="T2899" s="0" t="s">
        <v>104</v>
      </c>
      <c r="W2899" s="0" t="s">
        <v>105</v>
      </c>
    </row>
    <row r="2900" customFormat="false" ht="15" hidden="false" customHeight="false" outlineLevel="0" collapsed="false">
      <c r="A2900" s="0" t="s">
        <v>21</v>
      </c>
      <c r="B2900" s="0" t="s">
        <v>9214</v>
      </c>
      <c r="C2900" s="0" t="s">
        <v>97</v>
      </c>
      <c r="D2900" s="0" t="s">
        <v>9215</v>
      </c>
      <c r="E2900" s="0" t="s">
        <v>9216</v>
      </c>
      <c r="M2900" s="0" t="s">
        <v>136</v>
      </c>
      <c r="N2900" s="0" t="s">
        <v>124</v>
      </c>
      <c r="P2900" s="0" t="s">
        <v>102</v>
      </c>
      <c r="Q2900" s="0" t="s">
        <v>102</v>
      </c>
      <c r="R2900" s="0" t="s">
        <v>131</v>
      </c>
      <c r="S2900" s="0" t="s">
        <v>21</v>
      </c>
      <c r="T2900" s="0" t="s">
        <v>104</v>
      </c>
      <c r="W2900" s="0" t="s">
        <v>105</v>
      </c>
    </row>
    <row r="2901" customFormat="false" ht="15" hidden="false" customHeight="false" outlineLevel="0" collapsed="false">
      <c r="A2901" s="0" t="s">
        <v>21</v>
      </c>
      <c r="B2901" s="0" t="s">
        <v>9217</v>
      </c>
      <c r="C2901" s="0" t="s">
        <v>97</v>
      </c>
      <c r="D2901" s="0" t="s">
        <v>9218</v>
      </c>
      <c r="E2901" s="0" t="s">
        <v>9219</v>
      </c>
      <c r="M2901" s="0" t="s">
        <v>136</v>
      </c>
      <c r="N2901" s="0" t="s">
        <v>124</v>
      </c>
      <c r="P2901" s="0" t="s">
        <v>102</v>
      </c>
      <c r="Q2901" s="0" t="s">
        <v>102</v>
      </c>
      <c r="R2901" s="0" t="s">
        <v>131</v>
      </c>
      <c r="S2901" s="0" t="s">
        <v>21</v>
      </c>
      <c r="T2901" s="0" t="s">
        <v>104</v>
      </c>
      <c r="W2901" s="0" t="s">
        <v>105</v>
      </c>
    </row>
    <row r="2902" customFormat="false" ht="15" hidden="false" customHeight="false" outlineLevel="0" collapsed="false">
      <c r="A2902" s="0" t="s">
        <v>21</v>
      </c>
      <c r="B2902" s="0" t="s">
        <v>9220</v>
      </c>
      <c r="C2902" s="0" t="s">
        <v>97</v>
      </c>
      <c r="D2902" s="0" t="s">
        <v>9221</v>
      </c>
      <c r="E2902" s="0" t="s">
        <v>9222</v>
      </c>
      <c r="H2902" s="0" t="s">
        <v>654</v>
      </c>
      <c r="I2902" s="0" t="s">
        <v>655</v>
      </c>
      <c r="J2902" s="0" t="s">
        <v>100</v>
      </c>
      <c r="K2902" s="0" t="s">
        <v>168</v>
      </c>
      <c r="L2902" s="0" t="s">
        <v>101</v>
      </c>
      <c r="M2902" s="0" t="s">
        <v>656</v>
      </c>
      <c r="N2902" s="0" t="s">
        <v>101</v>
      </c>
      <c r="P2902" s="0" t="s">
        <v>102</v>
      </c>
      <c r="Q2902" s="0" t="s">
        <v>102</v>
      </c>
      <c r="R2902" s="0" t="s">
        <v>131</v>
      </c>
      <c r="S2902" s="0" t="s">
        <v>21</v>
      </c>
      <c r="T2902" s="0" t="s">
        <v>104</v>
      </c>
      <c r="W2902" s="0" t="s">
        <v>105</v>
      </c>
      <c r="X2902" s="0" t="s">
        <v>658</v>
      </c>
      <c r="Y2902" s="0" t="s">
        <v>659</v>
      </c>
    </row>
    <row r="2903" customFormat="false" ht="15" hidden="false" customHeight="false" outlineLevel="0" collapsed="false">
      <c r="A2903" s="0" t="s">
        <v>21</v>
      </c>
      <c r="B2903" s="0" t="s">
        <v>9223</v>
      </c>
      <c r="C2903" s="0" t="s">
        <v>97</v>
      </c>
      <c r="D2903" s="0" t="s">
        <v>9221</v>
      </c>
      <c r="E2903" s="0" t="s">
        <v>9221</v>
      </c>
      <c r="M2903" s="0" t="s">
        <v>442</v>
      </c>
      <c r="N2903" s="0" t="s">
        <v>101</v>
      </c>
      <c r="P2903" s="0" t="s">
        <v>102</v>
      </c>
      <c r="Q2903" s="0" t="s">
        <v>102</v>
      </c>
      <c r="R2903" s="0" t="s">
        <v>131</v>
      </c>
      <c r="S2903" s="0" t="s">
        <v>21</v>
      </c>
      <c r="T2903" s="0" t="s">
        <v>104</v>
      </c>
      <c r="W2903" s="0" t="s">
        <v>105</v>
      </c>
    </row>
    <row r="2904" customFormat="false" ht="15" hidden="false" customHeight="false" outlineLevel="0" collapsed="false">
      <c r="A2904" s="0" t="s">
        <v>21</v>
      </c>
      <c r="B2904" s="0" t="s">
        <v>9224</v>
      </c>
      <c r="C2904" s="0" t="s">
        <v>97</v>
      </c>
      <c r="D2904" s="0" t="s">
        <v>9225</v>
      </c>
      <c r="E2904" s="0" t="s">
        <v>9226</v>
      </c>
      <c r="H2904" s="0" t="s">
        <v>9227</v>
      </c>
      <c r="I2904" s="0" t="s">
        <v>429</v>
      </c>
      <c r="J2904" s="0" t="s">
        <v>429</v>
      </c>
      <c r="K2904" s="0" t="s">
        <v>413</v>
      </c>
      <c r="L2904" s="0" t="s">
        <v>101</v>
      </c>
      <c r="M2904" s="0" t="s">
        <v>429</v>
      </c>
      <c r="N2904" s="0" t="s">
        <v>101</v>
      </c>
      <c r="P2904" s="0" t="s">
        <v>102</v>
      </c>
      <c r="Q2904" s="0" t="s">
        <v>102</v>
      </c>
      <c r="R2904" s="0" t="s">
        <v>113</v>
      </c>
      <c r="S2904" s="0" t="s">
        <v>21</v>
      </c>
      <c r="T2904" s="0" t="s">
        <v>104</v>
      </c>
      <c r="W2904" s="0" t="s">
        <v>105</v>
      </c>
      <c r="X2904" s="0" t="s">
        <v>9228</v>
      </c>
      <c r="Y2904" s="0" t="s">
        <v>9229</v>
      </c>
    </row>
    <row r="2905" customFormat="false" ht="15" hidden="false" customHeight="false" outlineLevel="0" collapsed="false">
      <c r="A2905" s="0" t="s">
        <v>21</v>
      </c>
      <c r="B2905" s="0" t="s">
        <v>9230</v>
      </c>
      <c r="C2905" s="0" t="s">
        <v>97</v>
      </c>
      <c r="D2905" s="0" t="s">
        <v>9231</v>
      </c>
      <c r="E2905" s="0" t="s">
        <v>9231</v>
      </c>
      <c r="M2905" s="0" t="s">
        <v>136</v>
      </c>
      <c r="N2905" s="0" t="s">
        <v>124</v>
      </c>
      <c r="P2905" s="0" t="s">
        <v>102</v>
      </c>
      <c r="Q2905" s="0" t="s">
        <v>102</v>
      </c>
      <c r="R2905" s="0" t="s">
        <v>131</v>
      </c>
      <c r="S2905" s="0" t="s">
        <v>21</v>
      </c>
      <c r="T2905" s="0" t="s">
        <v>104</v>
      </c>
      <c r="W2905" s="0" t="s">
        <v>105</v>
      </c>
    </row>
    <row r="2906" customFormat="false" ht="15" hidden="false" customHeight="false" outlineLevel="0" collapsed="false">
      <c r="A2906" s="0" t="s">
        <v>21</v>
      </c>
      <c r="B2906" s="0" t="s">
        <v>9232</v>
      </c>
      <c r="C2906" s="0" t="s">
        <v>97</v>
      </c>
      <c r="D2906" s="0" t="s">
        <v>9233</v>
      </c>
      <c r="E2906" s="0" t="s">
        <v>9234</v>
      </c>
      <c r="M2906" s="0" t="s">
        <v>136</v>
      </c>
      <c r="N2906" s="0" t="s">
        <v>124</v>
      </c>
      <c r="P2906" s="0" t="s">
        <v>102</v>
      </c>
      <c r="Q2906" s="0" t="s">
        <v>102</v>
      </c>
      <c r="R2906" s="0" t="s">
        <v>131</v>
      </c>
      <c r="S2906" s="0" t="s">
        <v>21</v>
      </c>
      <c r="T2906" s="0" t="s">
        <v>104</v>
      </c>
      <c r="W2906" s="0" t="s">
        <v>105</v>
      </c>
    </row>
    <row r="2907" customFormat="false" ht="15" hidden="false" customHeight="false" outlineLevel="0" collapsed="false">
      <c r="A2907" s="0" t="s">
        <v>21</v>
      </c>
      <c r="B2907" s="0" t="s">
        <v>9235</v>
      </c>
      <c r="C2907" s="0" t="s">
        <v>97</v>
      </c>
      <c r="D2907" s="0" t="s">
        <v>9236</v>
      </c>
      <c r="E2907" s="0" t="s">
        <v>9237</v>
      </c>
      <c r="M2907" s="0" t="s">
        <v>136</v>
      </c>
      <c r="N2907" s="0" t="s">
        <v>124</v>
      </c>
      <c r="P2907" s="0" t="s">
        <v>102</v>
      </c>
      <c r="Q2907" s="0" t="s">
        <v>102</v>
      </c>
      <c r="R2907" s="0" t="s">
        <v>131</v>
      </c>
      <c r="S2907" s="0" t="s">
        <v>21</v>
      </c>
      <c r="T2907" s="0" t="s">
        <v>104</v>
      </c>
      <c r="W2907" s="0" t="s">
        <v>105</v>
      </c>
    </row>
    <row r="2908" customFormat="false" ht="15" hidden="false" customHeight="false" outlineLevel="0" collapsed="false">
      <c r="A2908" s="0" t="s">
        <v>21</v>
      </c>
      <c r="B2908" s="0" t="s">
        <v>9238</v>
      </c>
      <c r="C2908" s="0" t="s">
        <v>97</v>
      </c>
      <c r="D2908" s="0" t="s">
        <v>9239</v>
      </c>
      <c r="E2908" s="0" t="s">
        <v>9240</v>
      </c>
      <c r="M2908" s="0" t="s">
        <v>136</v>
      </c>
      <c r="N2908" s="0" t="s">
        <v>124</v>
      </c>
      <c r="P2908" s="0" t="s">
        <v>102</v>
      </c>
      <c r="Q2908" s="0" t="s">
        <v>102</v>
      </c>
      <c r="R2908" s="0" t="s">
        <v>131</v>
      </c>
      <c r="S2908" s="0" t="s">
        <v>21</v>
      </c>
      <c r="T2908" s="0" t="s">
        <v>104</v>
      </c>
      <c r="W2908" s="0" t="s">
        <v>105</v>
      </c>
    </row>
    <row r="2909" customFormat="false" ht="15" hidden="false" customHeight="false" outlineLevel="0" collapsed="false">
      <c r="A2909" s="0" t="s">
        <v>21</v>
      </c>
      <c r="B2909" s="0" t="s">
        <v>9241</v>
      </c>
      <c r="C2909" s="0" t="s">
        <v>97</v>
      </c>
      <c r="D2909" s="0" t="s">
        <v>9242</v>
      </c>
      <c r="E2909" s="0" t="s">
        <v>9243</v>
      </c>
      <c r="M2909" s="0" t="s">
        <v>136</v>
      </c>
      <c r="N2909" s="0" t="s">
        <v>124</v>
      </c>
      <c r="P2909" s="0" t="s">
        <v>102</v>
      </c>
      <c r="Q2909" s="0" t="s">
        <v>102</v>
      </c>
      <c r="R2909" s="0" t="s">
        <v>131</v>
      </c>
      <c r="S2909" s="0" t="s">
        <v>21</v>
      </c>
      <c r="T2909" s="0" t="s">
        <v>104</v>
      </c>
      <c r="W2909" s="0" t="s">
        <v>105</v>
      </c>
    </row>
    <row r="2910" customFormat="false" ht="15" hidden="false" customHeight="false" outlineLevel="0" collapsed="false">
      <c r="A2910" s="0" t="s">
        <v>21</v>
      </c>
      <c r="B2910" s="0" t="s">
        <v>9244</v>
      </c>
      <c r="C2910" s="0" t="s">
        <v>97</v>
      </c>
      <c r="D2910" s="0" t="s">
        <v>9245</v>
      </c>
      <c r="E2910" s="0" t="s">
        <v>9246</v>
      </c>
      <c r="M2910" s="0" t="s">
        <v>136</v>
      </c>
      <c r="N2910" s="0" t="s">
        <v>124</v>
      </c>
      <c r="P2910" s="0" t="s">
        <v>102</v>
      </c>
      <c r="Q2910" s="0" t="s">
        <v>102</v>
      </c>
      <c r="R2910" s="0" t="s">
        <v>131</v>
      </c>
      <c r="S2910" s="0" t="s">
        <v>21</v>
      </c>
      <c r="T2910" s="0" t="s">
        <v>104</v>
      </c>
      <c r="W2910" s="0" t="s">
        <v>105</v>
      </c>
    </row>
    <row r="2911" customFormat="false" ht="15" hidden="false" customHeight="false" outlineLevel="0" collapsed="false">
      <c r="A2911" s="0" t="s">
        <v>21</v>
      </c>
      <c r="B2911" s="0" t="s">
        <v>9247</v>
      </c>
      <c r="C2911" s="0" t="s">
        <v>97</v>
      </c>
      <c r="D2911" s="0" t="s">
        <v>9248</v>
      </c>
      <c r="E2911" s="0" t="s">
        <v>9248</v>
      </c>
      <c r="M2911" s="0" t="s">
        <v>136</v>
      </c>
      <c r="N2911" s="0" t="s">
        <v>124</v>
      </c>
      <c r="P2911" s="0" t="s">
        <v>102</v>
      </c>
      <c r="Q2911" s="0" t="s">
        <v>102</v>
      </c>
      <c r="R2911" s="0" t="s">
        <v>131</v>
      </c>
      <c r="S2911" s="0" t="s">
        <v>21</v>
      </c>
      <c r="T2911" s="0" t="s">
        <v>104</v>
      </c>
      <c r="W2911" s="0" t="s">
        <v>105</v>
      </c>
    </row>
    <row r="2912" customFormat="false" ht="15" hidden="false" customHeight="false" outlineLevel="0" collapsed="false">
      <c r="A2912" s="0" t="s">
        <v>21</v>
      </c>
      <c r="B2912" s="0" t="s">
        <v>9249</v>
      </c>
      <c r="C2912" s="0" t="s">
        <v>97</v>
      </c>
      <c r="D2912" s="0" t="s">
        <v>9250</v>
      </c>
      <c r="E2912" s="0" t="s">
        <v>9250</v>
      </c>
      <c r="M2912" s="0" t="s">
        <v>136</v>
      </c>
      <c r="N2912" s="0" t="s">
        <v>124</v>
      </c>
      <c r="P2912" s="0" t="s">
        <v>102</v>
      </c>
      <c r="Q2912" s="0" t="s">
        <v>102</v>
      </c>
      <c r="R2912" s="0" t="s">
        <v>131</v>
      </c>
      <c r="S2912" s="0" t="s">
        <v>21</v>
      </c>
      <c r="T2912" s="0" t="s">
        <v>104</v>
      </c>
      <c r="W2912" s="0" t="s">
        <v>105</v>
      </c>
    </row>
    <row r="2913" customFormat="false" ht="15" hidden="false" customHeight="false" outlineLevel="0" collapsed="false">
      <c r="A2913" s="0" t="s">
        <v>21</v>
      </c>
      <c r="B2913" s="0" t="s">
        <v>9251</v>
      </c>
      <c r="C2913" s="0" t="s">
        <v>97</v>
      </c>
      <c r="D2913" s="0" t="s">
        <v>9252</v>
      </c>
      <c r="E2913" s="0" t="s">
        <v>9253</v>
      </c>
      <c r="M2913" s="0" t="s">
        <v>136</v>
      </c>
      <c r="N2913" s="0" t="s">
        <v>124</v>
      </c>
      <c r="P2913" s="0" t="s">
        <v>102</v>
      </c>
      <c r="Q2913" s="0" t="s">
        <v>102</v>
      </c>
      <c r="R2913" s="0" t="s">
        <v>131</v>
      </c>
      <c r="S2913" s="0" t="s">
        <v>21</v>
      </c>
      <c r="T2913" s="0" t="s">
        <v>104</v>
      </c>
      <c r="W2913" s="0" t="s">
        <v>105</v>
      </c>
    </row>
    <row r="2914" customFormat="false" ht="15" hidden="false" customHeight="false" outlineLevel="0" collapsed="false">
      <c r="A2914" s="0" t="s">
        <v>21</v>
      </c>
      <c r="B2914" s="0" t="s">
        <v>9254</v>
      </c>
      <c r="C2914" s="0" t="s">
        <v>97</v>
      </c>
      <c r="D2914" s="0" t="s">
        <v>7859</v>
      </c>
      <c r="E2914" s="0" t="s">
        <v>7860</v>
      </c>
      <c r="G2914" s="0" t="s">
        <v>9255</v>
      </c>
      <c r="M2914" s="0" t="s">
        <v>442</v>
      </c>
      <c r="N2914" s="0" t="s">
        <v>101</v>
      </c>
      <c r="P2914" s="0" t="s">
        <v>102</v>
      </c>
      <c r="Q2914" s="0" t="s">
        <v>102</v>
      </c>
      <c r="R2914" s="0" t="s">
        <v>113</v>
      </c>
      <c r="S2914" s="0" t="s">
        <v>21</v>
      </c>
      <c r="T2914" s="0" t="s">
        <v>104</v>
      </c>
      <c r="W2914" s="0" t="s">
        <v>105</v>
      </c>
    </row>
    <row r="2915" customFormat="false" ht="15" hidden="false" customHeight="false" outlineLevel="0" collapsed="false">
      <c r="A2915" s="0" t="s">
        <v>21</v>
      </c>
      <c r="B2915" s="0" t="s">
        <v>9256</v>
      </c>
      <c r="C2915" s="0" t="s">
        <v>97</v>
      </c>
      <c r="D2915" s="0" t="s">
        <v>5924</v>
      </c>
      <c r="E2915" s="0" t="s">
        <v>9257</v>
      </c>
      <c r="M2915" s="0" t="s">
        <v>100</v>
      </c>
      <c r="N2915" s="0" t="s">
        <v>101</v>
      </c>
      <c r="P2915" s="0" t="s">
        <v>102</v>
      </c>
      <c r="Q2915" s="0" t="s">
        <v>102</v>
      </c>
      <c r="R2915" s="0" t="s">
        <v>113</v>
      </c>
      <c r="S2915" s="0" t="s">
        <v>21</v>
      </c>
      <c r="T2915" s="0" t="s">
        <v>104</v>
      </c>
      <c r="W2915" s="0" t="s">
        <v>105</v>
      </c>
    </row>
    <row r="2916" customFormat="false" ht="15" hidden="false" customHeight="false" outlineLevel="0" collapsed="false">
      <c r="A2916" s="0" t="s">
        <v>21</v>
      </c>
      <c r="B2916" s="0" t="s">
        <v>9258</v>
      </c>
      <c r="C2916" s="0" t="s">
        <v>97</v>
      </c>
      <c r="D2916" s="0" t="s">
        <v>8813</v>
      </c>
      <c r="E2916" s="0" t="s">
        <v>8813</v>
      </c>
      <c r="M2916" s="0" t="s">
        <v>136</v>
      </c>
      <c r="N2916" s="0" t="s">
        <v>124</v>
      </c>
      <c r="P2916" s="0" t="s">
        <v>102</v>
      </c>
      <c r="Q2916" s="0" t="s">
        <v>102</v>
      </c>
      <c r="R2916" s="0" t="s">
        <v>131</v>
      </c>
      <c r="S2916" s="0" t="s">
        <v>21</v>
      </c>
      <c r="T2916" s="0" t="s">
        <v>104</v>
      </c>
      <c r="W2916" s="0" t="s">
        <v>105</v>
      </c>
    </row>
    <row r="2917" customFormat="false" ht="15" hidden="false" customHeight="false" outlineLevel="0" collapsed="false">
      <c r="A2917" s="0" t="s">
        <v>21</v>
      </c>
      <c r="B2917" s="0" t="s">
        <v>9259</v>
      </c>
      <c r="C2917" s="0" t="s">
        <v>97</v>
      </c>
      <c r="D2917" s="0" t="s">
        <v>2271</v>
      </c>
      <c r="E2917" s="0" t="s">
        <v>2272</v>
      </c>
      <c r="M2917" s="0" t="s">
        <v>136</v>
      </c>
      <c r="N2917" s="0" t="s">
        <v>124</v>
      </c>
      <c r="P2917" s="0" t="s">
        <v>102</v>
      </c>
      <c r="Q2917" s="0" t="s">
        <v>102</v>
      </c>
      <c r="R2917" s="0" t="s">
        <v>131</v>
      </c>
      <c r="S2917" s="0" t="s">
        <v>21</v>
      </c>
      <c r="T2917" s="0" t="s">
        <v>104</v>
      </c>
      <c r="W2917" s="0" t="s">
        <v>105</v>
      </c>
    </row>
    <row r="2918" customFormat="false" ht="15" hidden="false" customHeight="false" outlineLevel="0" collapsed="false">
      <c r="A2918" s="0" t="s">
        <v>21</v>
      </c>
      <c r="B2918" s="0" t="s">
        <v>9260</v>
      </c>
      <c r="C2918" s="0" t="s">
        <v>97</v>
      </c>
      <c r="D2918" s="0" t="s">
        <v>9261</v>
      </c>
      <c r="E2918" s="0" t="s">
        <v>9262</v>
      </c>
      <c r="M2918" s="0" t="s">
        <v>136</v>
      </c>
      <c r="N2918" s="0" t="s">
        <v>124</v>
      </c>
      <c r="P2918" s="0" t="s">
        <v>102</v>
      </c>
      <c r="Q2918" s="0" t="s">
        <v>102</v>
      </c>
      <c r="R2918" s="0" t="s">
        <v>131</v>
      </c>
      <c r="S2918" s="0" t="s">
        <v>21</v>
      </c>
      <c r="T2918" s="0" t="s">
        <v>104</v>
      </c>
      <c r="W2918" s="0" t="s">
        <v>105</v>
      </c>
    </row>
    <row r="2919" customFormat="false" ht="15" hidden="false" customHeight="false" outlineLevel="0" collapsed="false">
      <c r="A2919" s="0" t="s">
        <v>21</v>
      </c>
      <c r="B2919" s="0" t="s">
        <v>9263</v>
      </c>
      <c r="C2919" s="0" t="s">
        <v>97</v>
      </c>
      <c r="D2919" s="0" t="s">
        <v>9264</v>
      </c>
      <c r="E2919" s="0" t="s">
        <v>9264</v>
      </c>
      <c r="M2919" s="0" t="s">
        <v>124</v>
      </c>
      <c r="N2919" s="0" t="s">
        <v>124</v>
      </c>
      <c r="P2919" s="0" t="s">
        <v>102</v>
      </c>
      <c r="Q2919" s="0" t="s">
        <v>102</v>
      </c>
      <c r="R2919" s="0" t="s">
        <v>131</v>
      </c>
      <c r="S2919" s="0" t="s">
        <v>21</v>
      </c>
      <c r="T2919" s="0" t="s">
        <v>104</v>
      </c>
      <c r="W2919" s="0" t="s">
        <v>105</v>
      </c>
    </row>
    <row r="2920" customFormat="false" ht="15" hidden="false" customHeight="false" outlineLevel="0" collapsed="false">
      <c r="A2920" s="0" t="s">
        <v>21</v>
      </c>
      <c r="B2920" s="0" t="s">
        <v>9265</v>
      </c>
      <c r="C2920" s="0" t="s">
        <v>97</v>
      </c>
      <c r="D2920" s="0" t="s">
        <v>9266</v>
      </c>
      <c r="E2920" s="0" t="s">
        <v>9267</v>
      </c>
      <c r="M2920" s="0" t="s">
        <v>136</v>
      </c>
      <c r="N2920" s="0" t="s">
        <v>124</v>
      </c>
      <c r="P2920" s="0" t="s">
        <v>102</v>
      </c>
      <c r="Q2920" s="0" t="s">
        <v>102</v>
      </c>
      <c r="R2920" s="0" t="s">
        <v>131</v>
      </c>
      <c r="S2920" s="0" t="s">
        <v>21</v>
      </c>
      <c r="T2920" s="0" t="s">
        <v>104</v>
      </c>
      <c r="W2920" s="0" t="s">
        <v>105</v>
      </c>
    </row>
    <row r="2921" customFormat="false" ht="15" hidden="false" customHeight="false" outlineLevel="0" collapsed="false">
      <c r="A2921" s="0" t="s">
        <v>21</v>
      </c>
      <c r="B2921" s="0" t="s">
        <v>9268</v>
      </c>
      <c r="C2921" s="0" t="s">
        <v>97</v>
      </c>
      <c r="D2921" s="0" t="s">
        <v>9269</v>
      </c>
      <c r="E2921" s="0" t="s">
        <v>9269</v>
      </c>
      <c r="M2921" s="0" t="s">
        <v>442</v>
      </c>
      <c r="N2921" s="0" t="s">
        <v>101</v>
      </c>
      <c r="P2921" s="0" t="s">
        <v>102</v>
      </c>
      <c r="Q2921" s="0" t="s">
        <v>102</v>
      </c>
      <c r="R2921" s="0" t="s">
        <v>131</v>
      </c>
      <c r="S2921" s="0" t="s">
        <v>21</v>
      </c>
      <c r="T2921" s="0" t="s">
        <v>104</v>
      </c>
      <c r="W2921" s="0" t="s">
        <v>105</v>
      </c>
    </row>
    <row r="2922" customFormat="false" ht="15" hidden="false" customHeight="false" outlineLevel="0" collapsed="false">
      <c r="A2922" s="0" t="s">
        <v>21</v>
      </c>
      <c r="B2922" s="0" t="s">
        <v>9270</v>
      </c>
      <c r="C2922" s="0" t="s">
        <v>97</v>
      </c>
      <c r="D2922" s="0" t="s">
        <v>9271</v>
      </c>
      <c r="E2922" s="0" t="s">
        <v>9272</v>
      </c>
      <c r="M2922" s="0" t="s">
        <v>100</v>
      </c>
      <c r="N2922" s="0" t="s">
        <v>101</v>
      </c>
      <c r="P2922" s="0" t="s">
        <v>102</v>
      </c>
      <c r="Q2922" s="0" t="s">
        <v>102</v>
      </c>
      <c r="R2922" s="0" t="s">
        <v>131</v>
      </c>
      <c r="S2922" s="0" t="s">
        <v>21</v>
      </c>
      <c r="T2922" s="0" t="s">
        <v>104</v>
      </c>
      <c r="W2922" s="0" t="s">
        <v>105</v>
      </c>
    </row>
    <row r="2923" customFormat="false" ht="15" hidden="false" customHeight="false" outlineLevel="0" collapsed="false">
      <c r="A2923" s="0" t="s">
        <v>21</v>
      </c>
      <c r="B2923" s="0" t="s">
        <v>9273</v>
      </c>
      <c r="C2923" s="0" t="s">
        <v>97</v>
      </c>
      <c r="D2923" s="0" t="s">
        <v>9274</v>
      </c>
      <c r="E2923" s="0" t="s">
        <v>9275</v>
      </c>
      <c r="H2923" s="0" t="s">
        <v>9276</v>
      </c>
      <c r="I2923" s="0" t="s">
        <v>9277</v>
      </c>
      <c r="J2923" s="0" t="s">
        <v>429</v>
      </c>
      <c r="K2923" s="0" t="s">
        <v>413</v>
      </c>
      <c r="L2923" s="0" t="s">
        <v>101</v>
      </c>
      <c r="M2923" s="0" t="s">
        <v>429</v>
      </c>
      <c r="N2923" s="0" t="s">
        <v>101</v>
      </c>
      <c r="P2923" s="0" t="s">
        <v>102</v>
      </c>
      <c r="Q2923" s="0" t="s">
        <v>102</v>
      </c>
      <c r="R2923" s="0" t="s">
        <v>137</v>
      </c>
      <c r="S2923" s="0" t="s">
        <v>21</v>
      </c>
      <c r="T2923" s="0" t="s">
        <v>104</v>
      </c>
      <c r="W2923" s="0" t="s">
        <v>105</v>
      </c>
      <c r="X2923" s="0" t="s">
        <v>9278</v>
      </c>
      <c r="Y2923" s="0" t="s">
        <v>9279</v>
      </c>
    </row>
    <row r="2924" customFormat="false" ht="28.35" hidden="false" customHeight="false" outlineLevel="0" collapsed="false">
      <c r="A2924" s="0" t="s">
        <v>21</v>
      </c>
      <c r="B2924" s="0" t="s">
        <v>9280</v>
      </c>
      <c r="C2924" s="0" t="s">
        <v>6988</v>
      </c>
      <c r="D2924" s="0" t="s">
        <v>9281</v>
      </c>
      <c r="E2924" s="0" t="s">
        <v>9282</v>
      </c>
      <c r="G2924" s="9" t="s">
        <v>9283</v>
      </c>
      <c r="M2924" s="0" t="s">
        <v>429</v>
      </c>
      <c r="N2924" s="0" t="s">
        <v>101</v>
      </c>
      <c r="P2924" s="0" t="s">
        <v>102</v>
      </c>
      <c r="Q2924" s="0" t="s">
        <v>102</v>
      </c>
      <c r="R2924" s="0" t="s">
        <v>137</v>
      </c>
      <c r="S2924" s="0" t="s">
        <v>21</v>
      </c>
      <c r="T2924" s="0" t="s">
        <v>104</v>
      </c>
      <c r="W2924" s="0" t="s">
        <v>105</v>
      </c>
    </row>
    <row r="2925" customFormat="false" ht="15" hidden="false" customHeight="false" outlineLevel="0" collapsed="false">
      <c r="A2925" s="0" t="s">
        <v>21</v>
      </c>
      <c r="B2925" s="0" t="s">
        <v>9284</v>
      </c>
      <c r="C2925" s="0" t="s">
        <v>97</v>
      </c>
      <c r="D2925" s="0" t="s">
        <v>9285</v>
      </c>
      <c r="E2925" s="0" t="s">
        <v>9286</v>
      </c>
      <c r="H2925" s="0" t="s">
        <v>9287</v>
      </c>
      <c r="I2925" s="0" t="s">
        <v>9288</v>
      </c>
      <c r="J2925" s="0" t="s">
        <v>429</v>
      </c>
      <c r="K2925" s="0" t="s">
        <v>9289</v>
      </c>
      <c r="L2925" s="0" t="s">
        <v>101</v>
      </c>
      <c r="M2925" s="0" t="s">
        <v>429</v>
      </c>
      <c r="N2925" s="0" t="s">
        <v>101</v>
      </c>
      <c r="P2925" s="0" t="s">
        <v>102</v>
      </c>
      <c r="Q2925" s="0" t="s">
        <v>102</v>
      </c>
      <c r="R2925" s="0" t="s">
        <v>137</v>
      </c>
      <c r="S2925" s="0" t="s">
        <v>21</v>
      </c>
      <c r="T2925" s="0" t="s">
        <v>104</v>
      </c>
      <c r="W2925" s="0" t="s">
        <v>105</v>
      </c>
      <c r="X2925" s="0" t="s">
        <v>9290</v>
      </c>
      <c r="Y2925" s="0" t="s">
        <v>9291</v>
      </c>
    </row>
    <row r="2926" customFormat="false" ht="15" hidden="false" customHeight="false" outlineLevel="0" collapsed="false">
      <c r="A2926" s="0" t="s">
        <v>21</v>
      </c>
      <c r="B2926" s="0" t="s">
        <v>9292</v>
      </c>
      <c r="C2926" s="0" t="s">
        <v>97</v>
      </c>
      <c r="D2926" s="0" t="s">
        <v>3563</v>
      </c>
      <c r="E2926" s="0" t="s">
        <v>9293</v>
      </c>
      <c r="M2926" s="0" t="s">
        <v>100</v>
      </c>
      <c r="N2926" s="0" t="s">
        <v>101</v>
      </c>
      <c r="P2926" s="0" t="s">
        <v>102</v>
      </c>
      <c r="Q2926" s="0" t="s">
        <v>102</v>
      </c>
      <c r="R2926" s="0" t="s">
        <v>144</v>
      </c>
      <c r="S2926" s="0" t="s">
        <v>21</v>
      </c>
      <c r="T2926" s="0" t="s">
        <v>104</v>
      </c>
      <c r="W2926" s="0" t="s">
        <v>105</v>
      </c>
    </row>
    <row r="2927" customFormat="false" ht="15" hidden="false" customHeight="false" outlineLevel="0" collapsed="false">
      <c r="A2927" s="0" t="s">
        <v>21</v>
      </c>
      <c r="B2927" s="0" t="s">
        <v>9294</v>
      </c>
      <c r="C2927" s="0" t="s">
        <v>97</v>
      </c>
      <c r="D2927" s="0" t="s">
        <v>9295</v>
      </c>
      <c r="E2927" s="0" t="s">
        <v>9296</v>
      </c>
      <c r="H2927" s="0" t="s">
        <v>9297</v>
      </c>
      <c r="I2927" s="0" t="s">
        <v>9297</v>
      </c>
      <c r="J2927" s="0" t="s">
        <v>9297</v>
      </c>
      <c r="K2927" s="0" t="s">
        <v>9298</v>
      </c>
      <c r="L2927" s="0" t="s">
        <v>101</v>
      </c>
      <c r="M2927" s="0" t="s">
        <v>9299</v>
      </c>
      <c r="N2927" s="0" t="s">
        <v>101</v>
      </c>
      <c r="P2927" s="0" t="s">
        <v>102</v>
      </c>
      <c r="Q2927" s="0" t="s">
        <v>102</v>
      </c>
      <c r="R2927" s="0" t="s">
        <v>131</v>
      </c>
      <c r="S2927" s="0" t="s">
        <v>21</v>
      </c>
      <c r="T2927" s="0" t="s">
        <v>104</v>
      </c>
      <c r="W2927" s="0" t="s">
        <v>105</v>
      </c>
      <c r="X2927" s="0" t="s">
        <v>9300</v>
      </c>
      <c r="Y2927" s="0" t="s">
        <v>9301</v>
      </c>
    </row>
    <row r="2928" customFormat="false" ht="15" hidden="false" customHeight="false" outlineLevel="0" collapsed="false">
      <c r="A2928" s="0" t="s">
        <v>21</v>
      </c>
      <c r="B2928" s="0" t="s">
        <v>9302</v>
      </c>
      <c r="C2928" s="0" t="s">
        <v>97</v>
      </c>
      <c r="D2928" s="0" t="s">
        <v>1278</v>
      </c>
      <c r="E2928" s="0" t="s">
        <v>9303</v>
      </c>
      <c r="H2928" s="0" t="s">
        <v>9304</v>
      </c>
      <c r="I2928" s="0" t="s">
        <v>429</v>
      </c>
      <c r="J2928" s="0" t="s">
        <v>429</v>
      </c>
      <c r="K2928" s="0" t="s">
        <v>413</v>
      </c>
      <c r="L2928" s="0" t="s">
        <v>101</v>
      </c>
      <c r="M2928" s="0" t="s">
        <v>429</v>
      </c>
      <c r="N2928" s="0" t="s">
        <v>101</v>
      </c>
      <c r="P2928" s="0" t="s">
        <v>102</v>
      </c>
      <c r="Q2928" s="0" t="s">
        <v>102</v>
      </c>
      <c r="R2928" s="0" t="s">
        <v>113</v>
      </c>
      <c r="S2928" s="0" t="s">
        <v>21</v>
      </c>
      <c r="T2928" s="0" t="s">
        <v>104</v>
      </c>
      <c r="W2928" s="0" t="s">
        <v>105</v>
      </c>
      <c r="X2928" s="0" t="s">
        <v>9305</v>
      </c>
      <c r="Y2928" s="0" t="s">
        <v>9306</v>
      </c>
    </row>
    <row r="2929" customFormat="false" ht="15" hidden="false" customHeight="false" outlineLevel="0" collapsed="false">
      <c r="A2929" s="0" t="s">
        <v>21</v>
      </c>
      <c r="B2929" s="0" t="s">
        <v>9307</v>
      </c>
      <c r="C2929" s="0" t="s">
        <v>97</v>
      </c>
      <c r="D2929" s="0" t="s">
        <v>9308</v>
      </c>
      <c r="E2929" s="0" t="s">
        <v>9309</v>
      </c>
      <c r="H2929" s="0" t="s">
        <v>9310</v>
      </c>
      <c r="I2929" s="0" t="s">
        <v>9311</v>
      </c>
      <c r="J2929" s="0" t="s">
        <v>429</v>
      </c>
      <c r="K2929" s="0" t="s">
        <v>413</v>
      </c>
      <c r="L2929" s="0" t="s">
        <v>101</v>
      </c>
      <c r="M2929" s="0" t="s">
        <v>429</v>
      </c>
      <c r="N2929" s="0" t="s">
        <v>101</v>
      </c>
      <c r="P2929" s="0" t="s">
        <v>102</v>
      </c>
      <c r="Q2929" s="0" t="s">
        <v>102</v>
      </c>
      <c r="R2929" s="0" t="s">
        <v>137</v>
      </c>
      <c r="S2929" s="0" t="s">
        <v>21</v>
      </c>
      <c r="T2929" s="0" t="s">
        <v>104</v>
      </c>
      <c r="W2929" s="0" t="s">
        <v>105</v>
      </c>
      <c r="X2929" s="0" t="s">
        <v>9312</v>
      </c>
      <c r="Y2929" s="0" t="s">
        <v>9313</v>
      </c>
    </row>
    <row r="2930" customFormat="false" ht="15" hidden="false" customHeight="false" outlineLevel="0" collapsed="false">
      <c r="A2930" s="0" t="s">
        <v>21</v>
      </c>
      <c r="B2930" s="0" t="s">
        <v>9314</v>
      </c>
      <c r="C2930" s="0" t="s">
        <v>7200</v>
      </c>
      <c r="D2930" s="0" t="s">
        <v>9315</v>
      </c>
      <c r="E2930" s="0" t="s">
        <v>9316</v>
      </c>
      <c r="H2930" s="0" t="s">
        <v>9317</v>
      </c>
      <c r="I2930" s="0" t="s">
        <v>9314</v>
      </c>
      <c r="J2930" s="0" t="s">
        <v>122</v>
      </c>
      <c r="K2930" s="0" t="s">
        <v>9318</v>
      </c>
      <c r="L2930" s="0" t="s">
        <v>124</v>
      </c>
      <c r="M2930" s="0" t="s">
        <v>121</v>
      </c>
      <c r="N2930" s="0" t="s">
        <v>124</v>
      </c>
      <c r="P2930" s="0" t="s">
        <v>102</v>
      </c>
      <c r="Q2930" s="0" t="s">
        <v>102</v>
      </c>
      <c r="R2930" s="0" t="s">
        <v>113</v>
      </c>
      <c r="S2930" s="0" t="s">
        <v>21</v>
      </c>
      <c r="T2930" s="0" t="s">
        <v>104</v>
      </c>
      <c r="W2930" s="0" t="s">
        <v>105</v>
      </c>
      <c r="X2930" s="0" t="s">
        <v>9319</v>
      </c>
      <c r="Y2930" s="0" t="s">
        <v>9320</v>
      </c>
      <c r="Z2930" s="0" t="s">
        <v>382</v>
      </c>
    </row>
    <row r="2931" customFormat="false" ht="28.35" hidden="false" customHeight="false" outlineLevel="0" collapsed="false">
      <c r="A2931" s="0" t="s">
        <v>21</v>
      </c>
      <c r="B2931" s="0" t="s">
        <v>9321</v>
      </c>
      <c r="C2931" s="0" t="s">
        <v>2145</v>
      </c>
      <c r="D2931" s="0" t="s">
        <v>9322</v>
      </c>
      <c r="E2931" s="0" t="s">
        <v>9323</v>
      </c>
      <c r="G2931" s="9" t="s">
        <v>9324</v>
      </c>
      <c r="M2931" s="0" t="s">
        <v>1384</v>
      </c>
      <c r="N2931" s="0" t="s">
        <v>101</v>
      </c>
      <c r="P2931" s="0" t="s">
        <v>130</v>
      </c>
      <c r="Q2931" s="0" t="s">
        <v>130</v>
      </c>
      <c r="R2931" s="0" t="s">
        <v>113</v>
      </c>
      <c r="S2931" s="0" t="s">
        <v>21</v>
      </c>
      <c r="T2931" s="0" t="s">
        <v>104</v>
      </c>
      <c r="W2931" s="0" t="s">
        <v>105</v>
      </c>
    </row>
    <row r="2932" customFormat="false" ht="15" hidden="false" customHeight="false" outlineLevel="0" collapsed="false">
      <c r="A2932" s="0" t="s">
        <v>21</v>
      </c>
      <c r="B2932" s="0" t="s">
        <v>9325</v>
      </c>
      <c r="C2932" s="0" t="s">
        <v>97</v>
      </c>
      <c r="D2932" s="0" t="s">
        <v>9326</v>
      </c>
      <c r="E2932" s="0" t="s">
        <v>9327</v>
      </c>
      <c r="M2932" s="0" t="s">
        <v>136</v>
      </c>
      <c r="N2932" s="0" t="s">
        <v>124</v>
      </c>
      <c r="P2932" s="0" t="s">
        <v>102</v>
      </c>
      <c r="Q2932" s="0" t="s">
        <v>102</v>
      </c>
      <c r="R2932" s="0" t="s">
        <v>137</v>
      </c>
      <c r="S2932" s="0" t="s">
        <v>21</v>
      </c>
      <c r="T2932" s="0" t="s">
        <v>104</v>
      </c>
      <c r="W2932" s="0" t="s">
        <v>105</v>
      </c>
    </row>
    <row r="2933" customFormat="false" ht="15" hidden="false" customHeight="false" outlineLevel="0" collapsed="false">
      <c r="A2933" s="0" t="s">
        <v>21</v>
      </c>
      <c r="B2933" s="0" t="s">
        <v>9328</v>
      </c>
      <c r="C2933" s="0" t="s">
        <v>97</v>
      </c>
      <c r="D2933" s="0" t="s">
        <v>9329</v>
      </c>
      <c r="E2933" s="0" t="s">
        <v>9330</v>
      </c>
      <c r="H2933" s="0" t="s">
        <v>654</v>
      </c>
      <c r="I2933" s="0" t="s">
        <v>655</v>
      </c>
      <c r="J2933" s="0" t="s">
        <v>100</v>
      </c>
      <c r="K2933" s="0" t="s">
        <v>168</v>
      </c>
      <c r="L2933" s="0" t="s">
        <v>101</v>
      </c>
      <c r="M2933" s="0" t="s">
        <v>656</v>
      </c>
      <c r="N2933" s="0" t="s">
        <v>101</v>
      </c>
      <c r="P2933" s="0" t="s">
        <v>102</v>
      </c>
      <c r="Q2933" s="0" t="s">
        <v>102</v>
      </c>
      <c r="R2933" s="0" t="s">
        <v>113</v>
      </c>
      <c r="S2933" s="0" t="s">
        <v>21</v>
      </c>
      <c r="T2933" s="0" t="s">
        <v>104</v>
      </c>
      <c r="W2933" s="0" t="s">
        <v>105</v>
      </c>
      <c r="X2933" s="0" t="s">
        <v>658</v>
      </c>
      <c r="Y2933" s="0" t="s">
        <v>659</v>
      </c>
    </row>
    <row r="2934" customFormat="false" ht="15" hidden="false" customHeight="false" outlineLevel="0" collapsed="false">
      <c r="A2934" s="0" t="s">
        <v>21</v>
      </c>
      <c r="B2934" s="0" t="s">
        <v>9331</v>
      </c>
      <c r="C2934" s="0" t="s">
        <v>97</v>
      </c>
      <c r="D2934" s="0" t="s">
        <v>9332</v>
      </c>
      <c r="E2934" s="0" t="s">
        <v>9333</v>
      </c>
      <c r="M2934" s="0" t="s">
        <v>136</v>
      </c>
      <c r="N2934" s="0" t="s">
        <v>124</v>
      </c>
      <c r="P2934" s="0" t="s">
        <v>102</v>
      </c>
      <c r="Q2934" s="0" t="s">
        <v>102</v>
      </c>
      <c r="R2934" s="0" t="s">
        <v>131</v>
      </c>
      <c r="S2934" s="0" t="s">
        <v>21</v>
      </c>
      <c r="T2934" s="0" t="s">
        <v>104</v>
      </c>
      <c r="W2934" s="0" t="s">
        <v>105</v>
      </c>
    </row>
    <row r="2935" customFormat="false" ht="15" hidden="false" customHeight="false" outlineLevel="0" collapsed="false">
      <c r="A2935" s="0" t="s">
        <v>21</v>
      </c>
      <c r="B2935" s="0" t="s">
        <v>9334</v>
      </c>
      <c r="C2935" s="0" t="s">
        <v>97</v>
      </c>
      <c r="D2935" s="0" t="s">
        <v>9335</v>
      </c>
      <c r="E2935" s="0" t="s">
        <v>9336</v>
      </c>
      <c r="G2935" s="0" t="s">
        <v>9337</v>
      </c>
      <c r="H2935" s="0" t="s">
        <v>654</v>
      </c>
      <c r="I2935" s="0" t="s">
        <v>655</v>
      </c>
      <c r="J2935" s="0" t="s">
        <v>100</v>
      </c>
      <c r="K2935" s="0" t="s">
        <v>168</v>
      </c>
      <c r="L2935" s="0" t="s">
        <v>101</v>
      </c>
      <c r="M2935" s="0" t="s">
        <v>656</v>
      </c>
      <c r="N2935" s="0" t="s">
        <v>101</v>
      </c>
      <c r="P2935" s="0" t="s">
        <v>102</v>
      </c>
      <c r="Q2935" s="0" t="s">
        <v>102</v>
      </c>
      <c r="R2935" s="0" t="s">
        <v>131</v>
      </c>
      <c r="S2935" s="0" t="s">
        <v>21</v>
      </c>
      <c r="T2935" s="0" t="s">
        <v>104</v>
      </c>
      <c r="W2935" s="0" t="s">
        <v>105</v>
      </c>
      <c r="X2935" s="0" t="s">
        <v>658</v>
      </c>
      <c r="Y2935" s="0" t="s">
        <v>659</v>
      </c>
    </row>
    <row r="2936" customFormat="false" ht="15" hidden="false" customHeight="false" outlineLevel="0" collapsed="false">
      <c r="A2936" s="0" t="s">
        <v>21</v>
      </c>
      <c r="B2936" s="0" t="s">
        <v>9338</v>
      </c>
      <c r="C2936" s="0" t="s">
        <v>97</v>
      </c>
      <c r="D2936" s="0" t="s">
        <v>9339</v>
      </c>
      <c r="E2936" s="0" t="s">
        <v>9340</v>
      </c>
      <c r="M2936" s="0" t="s">
        <v>136</v>
      </c>
      <c r="N2936" s="0" t="s">
        <v>124</v>
      </c>
      <c r="P2936" s="0" t="s">
        <v>102</v>
      </c>
      <c r="Q2936" s="0" t="s">
        <v>102</v>
      </c>
      <c r="R2936" s="0" t="s">
        <v>137</v>
      </c>
      <c r="S2936" s="0" t="s">
        <v>21</v>
      </c>
      <c r="T2936" s="0" t="s">
        <v>104</v>
      </c>
      <c r="W2936" s="0" t="s">
        <v>105</v>
      </c>
    </row>
    <row r="2937" customFormat="false" ht="15" hidden="false" customHeight="false" outlineLevel="0" collapsed="false">
      <c r="A2937" s="0" t="s">
        <v>21</v>
      </c>
      <c r="B2937" s="0" t="s">
        <v>9341</v>
      </c>
      <c r="C2937" s="0" t="s">
        <v>97</v>
      </c>
      <c r="D2937" s="0" t="s">
        <v>9342</v>
      </c>
      <c r="E2937" s="0" t="s">
        <v>9343</v>
      </c>
      <c r="H2937" s="0" t="s">
        <v>654</v>
      </c>
      <c r="I2937" s="0" t="s">
        <v>655</v>
      </c>
      <c r="J2937" s="0" t="s">
        <v>100</v>
      </c>
      <c r="K2937" s="0" t="s">
        <v>168</v>
      </c>
      <c r="L2937" s="0" t="s">
        <v>101</v>
      </c>
      <c r="M2937" s="0" t="s">
        <v>656</v>
      </c>
      <c r="N2937" s="0" t="s">
        <v>101</v>
      </c>
      <c r="P2937" s="0" t="s">
        <v>102</v>
      </c>
      <c r="Q2937" s="0" t="s">
        <v>102</v>
      </c>
      <c r="R2937" s="0" t="s">
        <v>137</v>
      </c>
      <c r="S2937" s="0" t="s">
        <v>21</v>
      </c>
      <c r="T2937" s="0" t="s">
        <v>104</v>
      </c>
      <c r="W2937" s="0" t="s">
        <v>105</v>
      </c>
      <c r="X2937" s="0" t="s">
        <v>658</v>
      </c>
      <c r="Y2937" s="0" t="s">
        <v>659</v>
      </c>
    </row>
    <row r="2938" customFormat="false" ht="15" hidden="false" customHeight="false" outlineLevel="0" collapsed="false">
      <c r="A2938" s="0" t="s">
        <v>21</v>
      </c>
      <c r="B2938" s="0" t="s">
        <v>9344</v>
      </c>
      <c r="C2938" s="0" t="s">
        <v>97</v>
      </c>
      <c r="D2938" s="0" t="s">
        <v>9345</v>
      </c>
      <c r="E2938" s="0" t="s">
        <v>9346</v>
      </c>
      <c r="M2938" s="0" t="s">
        <v>656</v>
      </c>
      <c r="N2938" s="0" t="s">
        <v>101</v>
      </c>
      <c r="P2938" s="0" t="s">
        <v>102</v>
      </c>
      <c r="Q2938" s="0" t="s">
        <v>102</v>
      </c>
      <c r="R2938" s="0" t="s">
        <v>137</v>
      </c>
      <c r="S2938" s="0" t="s">
        <v>21</v>
      </c>
      <c r="T2938" s="0" t="s">
        <v>104</v>
      </c>
      <c r="W2938" s="0" t="s">
        <v>105</v>
      </c>
    </row>
    <row r="2939" customFormat="false" ht="15" hidden="false" customHeight="false" outlineLevel="0" collapsed="false">
      <c r="A2939" s="0" t="s">
        <v>21</v>
      </c>
      <c r="B2939" s="0" t="s">
        <v>9347</v>
      </c>
      <c r="C2939" s="0" t="s">
        <v>97</v>
      </c>
      <c r="D2939" s="0" t="s">
        <v>9348</v>
      </c>
      <c r="E2939" s="0" t="s">
        <v>9349</v>
      </c>
      <c r="M2939" s="0" t="s">
        <v>656</v>
      </c>
      <c r="N2939" s="0" t="s">
        <v>101</v>
      </c>
      <c r="P2939" s="0" t="s">
        <v>102</v>
      </c>
      <c r="Q2939" s="0" t="s">
        <v>102</v>
      </c>
      <c r="R2939" s="0" t="s">
        <v>113</v>
      </c>
      <c r="S2939" s="0" t="s">
        <v>21</v>
      </c>
      <c r="T2939" s="0" t="s">
        <v>104</v>
      </c>
      <c r="W2939" s="0" t="s">
        <v>105</v>
      </c>
    </row>
    <row r="2940" customFormat="false" ht="15" hidden="false" customHeight="false" outlineLevel="0" collapsed="false">
      <c r="A2940" s="0" t="s">
        <v>21</v>
      </c>
      <c r="B2940" s="0" t="s">
        <v>9350</v>
      </c>
      <c r="C2940" s="0" t="s">
        <v>97</v>
      </c>
      <c r="D2940" s="0" t="s">
        <v>9351</v>
      </c>
      <c r="E2940" s="0" t="s">
        <v>9352</v>
      </c>
      <c r="M2940" s="0" t="s">
        <v>136</v>
      </c>
      <c r="N2940" s="0" t="s">
        <v>124</v>
      </c>
      <c r="P2940" s="0" t="s">
        <v>102</v>
      </c>
      <c r="Q2940" s="0" t="s">
        <v>102</v>
      </c>
      <c r="R2940" s="0" t="s">
        <v>113</v>
      </c>
      <c r="S2940" s="0" t="s">
        <v>21</v>
      </c>
      <c r="T2940" s="0" t="s">
        <v>104</v>
      </c>
      <c r="W2940" s="0" t="s">
        <v>105</v>
      </c>
    </row>
    <row r="2941" customFormat="false" ht="15" hidden="false" customHeight="false" outlineLevel="0" collapsed="false">
      <c r="A2941" s="0" t="s">
        <v>21</v>
      </c>
      <c r="B2941" s="0" t="s">
        <v>9353</v>
      </c>
      <c r="C2941" s="0" t="s">
        <v>97</v>
      </c>
      <c r="D2941" s="0" t="s">
        <v>9354</v>
      </c>
      <c r="E2941" s="0" t="s">
        <v>9355</v>
      </c>
      <c r="M2941" s="0" t="s">
        <v>136</v>
      </c>
      <c r="N2941" s="0" t="s">
        <v>124</v>
      </c>
      <c r="P2941" s="0" t="s">
        <v>102</v>
      </c>
      <c r="Q2941" s="0" t="s">
        <v>102</v>
      </c>
      <c r="R2941" s="0" t="s">
        <v>113</v>
      </c>
      <c r="S2941" s="0" t="s">
        <v>21</v>
      </c>
      <c r="T2941" s="0" t="s">
        <v>104</v>
      </c>
      <c r="W2941" s="0" t="s">
        <v>105</v>
      </c>
    </row>
    <row r="2942" customFormat="false" ht="15" hidden="false" customHeight="false" outlineLevel="0" collapsed="false">
      <c r="A2942" s="0" t="s">
        <v>21</v>
      </c>
      <c r="B2942" s="0" t="s">
        <v>9356</v>
      </c>
      <c r="C2942" s="0" t="s">
        <v>97</v>
      </c>
      <c r="D2942" s="0" t="s">
        <v>9357</v>
      </c>
      <c r="E2942" s="0" t="s">
        <v>9358</v>
      </c>
      <c r="G2942" s="0" t="s">
        <v>9359</v>
      </c>
      <c r="M2942" s="0" t="s">
        <v>437</v>
      </c>
      <c r="N2942" s="0" t="s">
        <v>101</v>
      </c>
      <c r="P2942" s="0" t="s">
        <v>102</v>
      </c>
      <c r="Q2942" s="0" t="s">
        <v>102</v>
      </c>
      <c r="R2942" s="0" t="s">
        <v>113</v>
      </c>
      <c r="S2942" s="0" t="s">
        <v>21</v>
      </c>
      <c r="T2942" s="0" t="s">
        <v>104</v>
      </c>
      <c r="W2942" s="0" t="s">
        <v>105</v>
      </c>
    </row>
    <row r="2943" customFormat="false" ht="15" hidden="false" customHeight="false" outlineLevel="0" collapsed="false">
      <c r="A2943" s="0" t="s">
        <v>21</v>
      </c>
      <c r="B2943" s="0" t="s">
        <v>9360</v>
      </c>
      <c r="C2943" s="0" t="s">
        <v>97</v>
      </c>
      <c r="D2943" s="0" t="s">
        <v>9361</v>
      </c>
      <c r="E2943" s="0" t="s">
        <v>9362</v>
      </c>
      <c r="M2943" s="0" t="s">
        <v>511</v>
      </c>
      <c r="N2943" s="0" t="s">
        <v>101</v>
      </c>
      <c r="P2943" s="0" t="s">
        <v>102</v>
      </c>
      <c r="Q2943" s="0" t="s">
        <v>102</v>
      </c>
      <c r="R2943" s="0" t="s">
        <v>113</v>
      </c>
      <c r="S2943" s="0" t="s">
        <v>21</v>
      </c>
      <c r="T2943" s="0" t="s">
        <v>104</v>
      </c>
      <c r="W2943" s="0" t="s">
        <v>105</v>
      </c>
    </row>
    <row r="2944" customFormat="false" ht="15" hidden="false" customHeight="false" outlineLevel="0" collapsed="false">
      <c r="A2944" s="0" t="s">
        <v>21</v>
      </c>
      <c r="B2944" s="0" t="s">
        <v>9363</v>
      </c>
      <c r="C2944" s="0" t="s">
        <v>97</v>
      </c>
      <c r="D2944" s="0" t="s">
        <v>9364</v>
      </c>
      <c r="E2944" s="0" t="s">
        <v>9364</v>
      </c>
      <c r="F2944" s="0" t="s">
        <v>9364</v>
      </c>
      <c r="M2944" s="0" t="s">
        <v>100</v>
      </c>
      <c r="N2944" s="0" t="s">
        <v>101</v>
      </c>
      <c r="P2944" s="0" t="s">
        <v>102</v>
      </c>
      <c r="Q2944" s="0" t="s">
        <v>102</v>
      </c>
      <c r="R2944" s="0" t="s">
        <v>131</v>
      </c>
      <c r="S2944" s="0" t="s">
        <v>21</v>
      </c>
      <c r="T2944" s="0" t="s">
        <v>104</v>
      </c>
      <c r="W2944" s="0" t="s">
        <v>105</v>
      </c>
    </row>
    <row r="2945" customFormat="false" ht="15" hidden="false" customHeight="false" outlineLevel="0" collapsed="false">
      <c r="A2945" s="0" t="s">
        <v>21</v>
      </c>
      <c r="B2945" s="0" t="s">
        <v>9365</v>
      </c>
      <c r="C2945" s="0" t="s">
        <v>2145</v>
      </c>
      <c r="D2945" s="0" t="s">
        <v>9366</v>
      </c>
      <c r="E2945" s="0" t="s">
        <v>9367</v>
      </c>
      <c r="G2945" s="0" t="s">
        <v>9368</v>
      </c>
      <c r="M2945" s="0" t="s">
        <v>511</v>
      </c>
      <c r="N2945" s="0" t="s">
        <v>101</v>
      </c>
      <c r="P2945" s="0" t="s">
        <v>102</v>
      </c>
      <c r="Q2945" s="0" t="s">
        <v>102</v>
      </c>
      <c r="R2945" s="0" t="s">
        <v>113</v>
      </c>
      <c r="S2945" s="0" t="s">
        <v>21</v>
      </c>
      <c r="T2945" s="0" t="s">
        <v>104</v>
      </c>
      <c r="W2945" s="0" t="s">
        <v>105</v>
      </c>
    </row>
    <row r="2946" customFormat="false" ht="15" hidden="false" customHeight="false" outlineLevel="0" collapsed="false">
      <c r="A2946" s="0" t="s">
        <v>21</v>
      </c>
      <c r="B2946" s="0" t="s">
        <v>9369</v>
      </c>
      <c r="C2946" s="0" t="s">
        <v>97</v>
      </c>
      <c r="D2946" s="0" t="s">
        <v>9370</v>
      </c>
      <c r="E2946" s="0" t="s">
        <v>9371</v>
      </c>
      <c r="H2946" s="0" t="s">
        <v>9372</v>
      </c>
      <c r="I2946" s="0" t="s">
        <v>1287</v>
      </c>
      <c r="J2946" s="0" t="s">
        <v>1287</v>
      </c>
      <c r="K2946" s="0" t="s">
        <v>9373</v>
      </c>
      <c r="L2946" s="0" t="s">
        <v>101</v>
      </c>
      <c r="M2946" s="0" t="s">
        <v>1287</v>
      </c>
      <c r="N2946" s="0" t="s">
        <v>101</v>
      </c>
      <c r="P2946" s="0" t="s">
        <v>102</v>
      </c>
      <c r="Q2946" s="0" t="s">
        <v>102</v>
      </c>
      <c r="R2946" s="0" t="s">
        <v>131</v>
      </c>
      <c r="S2946" s="0" t="s">
        <v>21</v>
      </c>
      <c r="T2946" s="0" t="s">
        <v>104</v>
      </c>
      <c r="W2946" s="0" t="s">
        <v>105</v>
      </c>
      <c r="X2946" s="0" t="s">
        <v>9374</v>
      </c>
      <c r="Y2946" s="0" t="s">
        <v>9375</v>
      </c>
    </row>
    <row r="2947" customFormat="false" ht="15" hidden="false" customHeight="false" outlineLevel="0" collapsed="false">
      <c r="A2947" s="0" t="s">
        <v>21</v>
      </c>
      <c r="B2947" s="0" t="s">
        <v>9376</v>
      </c>
      <c r="C2947" s="0" t="s">
        <v>97</v>
      </c>
      <c r="D2947" s="0" t="s">
        <v>9377</v>
      </c>
      <c r="E2947" s="0" t="s">
        <v>9378</v>
      </c>
      <c r="M2947" s="0" t="s">
        <v>136</v>
      </c>
      <c r="N2947" s="0" t="s">
        <v>124</v>
      </c>
      <c r="P2947" s="0" t="s">
        <v>102</v>
      </c>
      <c r="Q2947" s="0" t="s">
        <v>102</v>
      </c>
      <c r="R2947" s="0" t="s">
        <v>113</v>
      </c>
      <c r="S2947" s="0" t="s">
        <v>21</v>
      </c>
      <c r="T2947" s="0" t="s">
        <v>104</v>
      </c>
      <c r="W2947" s="0" t="s">
        <v>105</v>
      </c>
    </row>
    <row r="2948" customFormat="false" ht="15" hidden="false" customHeight="false" outlineLevel="0" collapsed="false">
      <c r="A2948" s="0" t="s">
        <v>21</v>
      </c>
      <c r="B2948" s="0" t="s">
        <v>9379</v>
      </c>
      <c r="C2948" s="0" t="s">
        <v>110</v>
      </c>
      <c r="D2948" s="0" t="s">
        <v>9380</v>
      </c>
      <c r="E2948" s="0" t="s">
        <v>9380</v>
      </c>
      <c r="M2948" s="0" t="s">
        <v>442</v>
      </c>
      <c r="N2948" s="0" t="s">
        <v>101</v>
      </c>
      <c r="P2948" s="0" t="s">
        <v>102</v>
      </c>
      <c r="Q2948" s="0" t="s">
        <v>102</v>
      </c>
      <c r="R2948" s="0" t="s">
        <v>113</v>
      </c>
      <c r="S2948" s="0" t="s">
        <v>21</v>
      </c>
      <c r="T2948" s="0" t="s">
        <v>104</v>
      </c>
      <c r="W2948" s="0" t="s">
        <v>105</v>
      </c>
    </row>
    <row r="2949" customFormat="false" ht="15" hidden="false" customHeight="false" outlineLevel="0" collapsed="false">
      <c r="A2949" s="0" t="s">
        <v>21</v>
      </c>
      <c r="B2949" s="0" t="s">
        <v>9381</v>
      </c>
      <c r="C2949" s="0" t="s">
        <v>97</v>
      </c>
      <c r="D2949" s="0" t="s">
        <v>9382</v>
      </c>
      <c r="E2949" s="0" t="s">
        <v>9383</v>
      </c>
      <c r="M2949" s="0" t="s">
        <v>100</v>
      </c>
      <c r="N2949" s="0" t="s">
        <v>101</v>
      </c>
      <c r="P2949" s="0" t="s">
        <v>102</v>
      </c>
      <c r="Q2949" s="0" t="s">
        <v>102</v>
      </c>
      <c r="R2949" s="0" t="s">
        <v>113</v>
      </c>
      <c r="S2949" s="0" t="s">
        <v>21</v>
      </c>
      <c r="T2949" s="0" t="s">
        <v>104</v>
      </c>
      <c r="W2949" s="0" t="s">
        <v>105</v>
      </c>
    </row>
    <row r="2950" customFormat="false" ht="15" hidden="false" customHeight="false" outlineLevel="0" collapsed="false">
      <c r="A2950" s="0" t="s">
        <v>21</v>
      </c>
      <c r="B2950" s="0" t="s">
        <v>9384</v>
      </c>
      <c r="C2950" s="0" t="s">
        <v>97</v>
      </c>
      <c r="D2950" s="0" t="s">
        <v>9385</v>
      </c>
      <c r="E2950" s="0" t="s">
        <v>9386</v>
      </c>
      <c r="M2950" s="0" t="s">
        <v>100</v>
      </c>
      <c r="N2950" s="0" t="s">
        <v>101</v>
      </c>
      <c r="P2950" s="0" t="s">
        <v>102</v>
      </c>
      <c r="Q2950" s="0" t="s">
        <v>102</v>
      </c>
      <c r="R2950" s="0" t="s">
        <v>113</v>
      </c>
      <c r="S2950" s="0" t="s">
        <v>21</v>
      </c>
      <c r="T2950" s="0" t="s">
        <v>104</v>
      </c>
      <c r="W2950" s="0" t="s">
        <v>105</v>
      </c>
    </row>
    <row r="2951" customFormat="false" ht="15" hidden="false" customHeight="false" outlineLevel="0" collapsed="false">
      <c r="A2951" s="0" t="s">
        <v>21</v>
      </c>
      <c r="B2951" s="0" t="s">
        <v>9387</v>
      </c>
      <c r="C2951" s="0" t="s">
        <v>97</v>
      </c>
      <c r="D2951" s="0" t="s">
        <v>9388</v>
      </c>
      <c r="E2951" s="0" t="s">
        <v>9389</v>
      </c>
      <c r="M2951" s="0" t="s">
        <v>100</v>
      </c>
      <c r="N2951" s="0" t="s">
        <v>101</v>
      </c>
      <c r="P2951" s="0" t="s">
        <v>102</v>
      </c>
      <c r="Q2951" s="0" t="s">
        <v>102</v>
      </c>
      <c r="R2951" s="0" t="s">
        <v>113</v>
      </c>
      <c r="S2951" s="0" t="s">
        <v>21</v>
      </c>
      <c r="T2951" s="0" t="s">
        <v>104</v>
      </c>
      <c r="W2951" s="0" t="s">
        <v>105</v>
      </c>
    </row>
    <row r="2952" customFormat="false" ht="15" hidden="false" customHeight="false" outlineLevel="0" collapsed="false">
      <c r="A2952" s="0" t="s">
        <v>21</v>
      </c>
      <c r="B2952" s="0" t="s">
        <v>9390</v>
      </c>
      <c r="C2952" s="0" t="s">
        <v>110</v>
      </c>
      <c r="D2952" s="0" t="s">
        <v>9377</v>
      </c>
      <c r="E2952" s="0" t="s">
        <v>9390</v>
      </c>
      <c r="M2952" s="0" t="s">
        <v>232</v>
      </c>
      <c r="N2952" s="0" t="s">
        <v>124</v>
      </c>
      <c r="P2952" s="0" t="s">
        <v>102</v>
      </c>
      <c r="Q2952" s="0" t="s">
        <v>102</v>
      </c>
      <c r="R2952" s="0" t="s">
        <v>113</v>
      </c>
      <c r="S2952" s="0" t="s">
        <v>21</v>
      </c>
      <c r="T2952" s="0" t="s">
        <v>104</v>
      </c>
      <c r="W2952" s="0" t="s">
        <v>105</v>
      </c>
    </row>
    <row r="2953" customFormat="false" ht="15" hidden="false" customHeight="false" outlineLevel="0" collapsed="false">
      <c r="A2953" s="0" t="s">
        <v>21</v>
      </c>
      <c r="B2953" s="0" t="s">
        <v>9391</v>
      </c>
      <c r="C2953" s="0" t="s">
        <v>97</v>
      </c>
      <c r="D2953" s="0" t="s">
        <v>9392</v>
      </c>
      <c r="E2953" s="0" t="s">
        <v>9393</v>
      </c>
      <c r="M2953" s="0" t="s">
        <v>656</v>
      </c>
      <c r="N2953" s="0" t="s">
        <v>101</v>
      </c>
      <c r="P2953" s="0" t="s">
        <v>102</v>
      </c>
      <c r="Q2953" s="0" t="s">
        <v>102</v>
      </c>
      <c r="R2953" s="0" t="s">
        <v>131</v>
      </c>
      <c r="S2953" s="0" t="s">
        <v>21</v>
      </c>
      <c r="T2953" s="0" t="s">
        <v>104</v>
      </c>
      <c r="W2953" s="0" t="s">
        <v>105</v>
      </c>
    </row>
    <row r="2954" customFormat="false" ht="15" hidden="false" customHeight="false" outlineLevel="0" collapsed="false">
      <c r="A2954" s="0" t="s">
        <v>21</v>
      </c>
      <c r="B2954" s="0" t="s">
        <v>9394</v>
      </c>
      <c r="C2954" s="0" t="s">
        <v>97</v>
      </c>
      <c r="D2954" s="0" t="s">
        <v>9395</v>
      </c>
      <c r="E2954" s="0" t="s">
        <v>9396</v>
      </c>
      <c r="M2954" s="0" t="s">
        <v>100</v>
      </c>
      <c r="N2954" s="0" t="s">
        <v>101</v>
      </c>
      <c r="P2954" s="0" t="s">
        <v>102</v>
      </c>
      <c r="Q2954" s="0" t="s">
        <v>102</v>
      </c>
      <c r="R2954" s="0" t="s">
        <v>113</v>
      </c>
      <c r="S2954" s="0" t="s">
        <v>21</v>
      </c>
      <c r="T2954" s="0" t="s">
        <v>104</v>
      </c>
      <c r="W2954" s="0" t="s">
        <v>105</v>
      </c>
    </row>
    <row r="2955" customFormat="false" ht="15" hidden="false" customHeight="false" outlineLevel="0" collapsed="false">
      <c r="A2955" s="0" t="s">
        <v>21</v>
      </c>
      <c r="B2955" s="0" t="s">
        <v>9397</v>
      </c>
      <c r="C2955" s="0" t="s">
        <v>97</v>
      </c>
      <c r="D2955" s="0" t="s">
        <v>2307</v>
      </c>
      <c r="E2955" s="0" t="s">
        <v>9398</v>
      </c>
      <c r="M2955" s="0" t="s">
        <v>136</v>
      </c>
      <c r="N2955" s="0" t="s">
        <v>124</v>
      </c>
      <c r="P2955" s="0" t="s">
        <v>102</v>
      </c>
      <c r="Q2955" s="0" t="s">
        <v>102</v>
      </c>
      <c r="R2955" s="0" t="s">
        <v>113</v>
      </c>
      <c r="S2955" s="0" t="s">
        <v>21</v>
      </c>
      <c r="T2955" s="0" t="s">
        <v>104</v>
      </c>
      <c r="W2955" s="0" t="s">
        <v>105</v>
      </c>
    </row>
    <row r="2956" customFormat="false" ht="15" hidden="false" customHeight="false" outlineLevel="0" collapsed="false">
      <c r="A2956" s="0" t="s">
        <v>21</v>
      </c>
      <c r="B2956" s="0" t="s">
        <v>9399</v>
      </c>
      <c r="C2956" s="0" t="s">
        <v>97</v>
      </c>
      <c r="D2956" s="0" t="s">
        <v>9400</v>
      </c>
      <c r="E2956" s="0" t="s">
        <v>9401</v>
      </c>
      <c r="M2956" s="0" t="s">
        <v>100</v>
      </c>
      <c r="N2956" s="0" t="s">
        <v>101</v>
      </c>
      <c r="P2956" s="0" t="s">
        <v>102</v>
      </c>
      <c r="Q2956" s="0" t="s">
        <v>102</v>
      </c>
      <c r="R2956" s="0" t="s">
        <v>113</v>
      </c>
      <c r="S2956" s="0" t="s">
        <v>21</v>
      </c>
      <c r="T2956" s="0" t="s">
        <v>104</v>
      </c>
      <c r="W2956" s="0" t="s">
        <v>105</v>
      </c>
    </row>
    <row r="2957" customFormat="false" ht="15" hidden="false" customHeight="false" outlineLevel="0" collapsed="false">
      <c r="A2957" s="0" t="s">
        <v>21</v>
      </c>
      <c r="B2957" s="0" t="s">
        <v>9402</v>
      </c>
      <c r="C2957" s="0" t="s">
        <v>97</v>
      </c>
      <c r="D2957" s="0" t="s">
        <v>9403</v>
      </c>
      <c r="E2957" s="0" t="s">
        <v>9404</v>
      </c>
      <c r="M2957" s="0" t="s">
        <v>100</v>
      </c>
      <c r="N2957" s="0" t="s">
        <v>101</v>
      </c>
      <c r="P2957" s="0" t="s">
        <v>102</v>
      </c>
      <c r="Q2957" s="0" t="s">
        <v>102</v>
      </c>
      <c r="R2957" s="0" t="s">
        <v>113</v>
      </c>
      <c r="S2957" s="0" t="s">
        <v>21</v>
      </c>
      <c r="T2957" s="0" t="s">
        <v>104</v>
      </c>
      <c r="W2957" s="0" t="s">
        <v>105</v>
      </c>
    </row>
    <row r="2958" customFormat="false" ht="15" hidden="false" customHeight="false" outlineLevel="0" collapsed="false">
      <c r="A2958" s="0" t="s">
        <v>21</v>
      </c>
      <c r="B2958" s="0" t="s">
        <v>9405</v>
      </c>
      <c r="C2958" s="0" t="s">
        <v>97</v>
      </c>
      <c r="D2958" s="0" t="s">
        <v>9392</v>
      </c>
      <c r="E2958" s="0" t="s">
        <v>9406</v>
      </c>
      <c r="F2958" s="0" t="s">
        <v>9406</v>
      </c>
      <c r="M2958" s="0" t="s">
        <v>456</v>
      </c>
      <c r="N2958" s="0" t="s">
        <v>101</v>
      </c>
      <c r="P2958" s="0" t="s">
        <v>102</v>
      </c>
      <c r="Q2958" s="0" t="s">
        <v>102</v>
      </c>
      <c r="R2958" s="0" t="s">
        <v>131</v>
      </c>
      <c r="S2958" s="0" t="s">
        <v>21</v>
      </c>
      <c r="T2958" s="0" t="s">
        <v>104</v>
      </c>
      <c r="W2958" s="0" t="s">
        <v>105</v>
      </c>
    </row>
    <row r="2959" customFormat="false" ht="15" hidden="false" customHeight="false" outlineLevel="0" collapsed="false">
      <c r="A2959" s="0" t="s">
        <v>21</v>
      </c>
      <c r="B2959" s="0" t="s">
        <v>9407</v>
      </c>
      <c r="C2959" s="0" t="s">
        <v>110</v>
      </c>
      <c r="D2959" s="0" t="s">
        <v>2734</v>
      </c>
      <c r="E2959" s="0" t="s">
        <v>9408</v>
      </c>
      <c r="M2959" s="0" t="s">
        <v>178</v>
      </c>
      <c r="N2959" s="0" t="s">
        <v>124</v>
      </c>
      <c r="P2959" s="0" t="s">
        <v>102</v>
      </c>
      <c r="Q2959" s="0" t="s">
        <v>102</v>
      </c>
      <c r="R2959" s="0" t="s">
        <v>113</v>
      </c>
      <c r="S2959" s="0" t="s">
        <v>21</v>
      </c>
      <c r="T2959" s="0" t="s">
        <v>104</v>
      </c>
      <c r="W2959" s="0" t="s">
        <v>105</v>
      </c>
    </row>
    <row r="2960" customFormat="false" ht="15" hidden="false" customHeight="false" outlineLevel="0" collapsed="false">
      <c r="A2960" s="0" t="s">
        <v>21</v>
      </c>
      <c r="B2960" s="0" t="s">
        <v>9409</v>
      </c>
      <c r="C2960" s="0" t="s">
        <v>97</v>
      </c>
      <c r="D2960" s="0" t="s">
        <v>2734</v>
      </c>
      <c r="E2960" s="0" t="s">
        <v>9410</v>
      </c>
      <c r="M2960" s="0" t="s">
        <v>136</v>
      </c>
      <c r="N2960" s="0" t="s">
        <v>124</v>
      </c>
      <c r="P2960" s="0" t="s">
        <v>102</v>
      </c>
      <c r="Q2960" s="0" t="s">
        <v>102</v>
      </c>
      <c r="R2960" s="0" t="s">
        <v>113</v>
      </c>
      <c r="S2960" s="0" t="s">
        <v>21</v>
      </c>
      <c r="T2960" s="0" t="s">
        <v>104</v>
      </c>
      <c r="W2960" s="0" t="s">
        <v>105</v>
      </c>
    </row>
    <row r="2961" customFormat="false" ht="15" hidden="false" customHeight="false" outlineLevel="0" collapsed="false">
      <c r="A2961" s="0" t="s">
        <v>21</v>
      </c>
      <c r="B2961" s="0" t="s">
        <v>9411</v>
      </c>
      <c r="C2961" s="0" t="s">
        <v>97</v>
      </c>
      <c r="D2961" s="0" t="s">
        <v>9412</v>
      </c>
      <c r="E2961" s="0" t="s">
        <v>9413</v>
      </c>
      <c r="M2961" s="0" t="s">
        <v>100</v>
      </c>
      <c r="N2961" s="0" t="s">
        <v>101</v>
      </c>
      <c r="P2961" s="0" t="s">
        <v>102</v>
      </c>
      <c r="Q2961" s="0" t="s">
        <v>102</v>
      </c>
      <c r="R2961" s="0" t="s">
        <v>113</v>
      </c>
      <c r="S2961" s="0" t="s">
        <v>21</v>
      </c>
      <c r="T2961" s="0" t="s">
        <v>104</v>
      </c>
      <c r="W2961" s="0" t="s">
        <v>105</v>
      </c>
    </row>
    <row r="2962" customFormat="false" ht="15" hidden="false" customHeight="false" outlineLevel="0" collapsed="false">
      <c r="A2962" s="0" t="s">
        <v>21</v>
      </c>
      <c r="B2962" s="0" t="s">
        <v>9414</v>
      </c>
      <c r="C2962" s="0" t="s">
        <v>97</v>
      </c>
      <c r="D2962" s="0" t="s">
        <v>9415</v>
      </c>
      <c r="E2962" s="0" t="s">
        <v>9416</v>
      </c>
      <c r="G2962" s="0" t="s">
        <v>9417</v>
      </c>
      <c r="M2962" s="0" t="s">
        <v>456</v>
      </c>
      <c r="N2962" s="0" t="s">
        <v>101</v>
      </c>
      <c r="P2962" s="0" t="s">
        <v>102</v>
      </c>
      <c r="Q2962" s="0" t="s">
        <v>102</v>
      </c>
      <c r="R2962" s="0" t="s">
        <v>113</v>
      </c>
      <c r="S2962" s="0" t="s">
        <v>21</v>
      </c>
      <c r="T2962" s="0" t="s">
        <v>104</v>
      </c>
      <c r="W2962" s="0" t="s">
        <v>105</v>
      </c>
    </row>
    <row r="2963" customFormat="false" ht="15" hidden="false" customHeight="false" outlineLevel="0" collapsed="false">
      <c r="A2963" s="0" t="s">
        <v>21</v>
      </c>
      <c r="B2963" s="0" t="s">
        <v>9418</v>
      </c>
      <c r="C2963" s="0" t="s">
        <v>4319</v>
      </c>
      <c r="D2963" s="0" t="s">
        <v>9419</v>
      </c>
      <c r="E2963" s="0" t="s">
        <v>9420</v>
      </c>
      <c r="G2963" s="0" t="s">
        <v>9421</v>
      </c>
      <c r="M2963" s="0" t="s">
        <v>429</v>
      </c>
      <c r="N2963" s="0" t="s">
        <v>101</v>
      </c>
      <c r="P2963" s="0" t="s">
        <v>102</v>
      </c>
      <c r="Q2963" s="0" t="s">
        <v>102</v>
      </c>
      <c r="R2963" s="0" t="s">
        <v>113</v>
      </c>
      <c r="S2963" s="0" t="s">
        <v>21</v>
      </c>
      <c r="T2963" s="0" t="s">
        <v>104</v>
      </c>
      <c r="W2963" s="0" t="s">
        <v>105</v>
      </c>
    </row>
    <row r="2964" customFormat="false" ht="15" hidden="false" customHeight="false" outlineLevel="0" collapsed="false">
      <c r="A2964" s="0" t="s">
        <v>21</v>
      </c>
      <c r="B2964" s="0" t="s">
        <v>9422</v>
      </c>
      <c r="C2964" s="0" t="s">
        <v>110</v>
      </c>
      <c r="D2964" s="0" t="s">
        <v>9423</v>
      </c>
      <c r="E2964" s="0" t="s">
        <v>9424</v>
      </c>
      <c r="H2964" s="0" t="s">
        <v>9425</v>
      </c>
      <c r="I2964" s="0" t="s">
        <v>9426</v>
      </c>
      <c r="J2964" s="0" t="s">
        <v>245</v>
      </c>
      <c r="K2964" s="0" t="s">
        <v>4425</v>
      </c>
      <c r="L2964" s="0" t="s">
        <v>124</v>
      </c>
      <c r="M2964" s="0" t="s">
        <v>247</v>
      </c>
      <c r="N2964" s="0" t="s">
        <v>124</v>
      </c>
      <c r="P2964" s="0" t="s">
        <v>130</v>
      </c>
      <c r="Q2964" s="0" t="s">
        <v>130</v>
      </c>
      <c r="R2964" s="0" t="s">
        <v>113</v>
      </c>
      <c r="S2964" s="0" t="s">
        <v>21</v>
      </c>
      <c r="T2964" s="0" t="s">
        <v>104</v>
      </c>
      <c r="W2964" s="0" t="s">
        <v>105</v>
      </c>
      <c r="X2964" s="0" t="s">
        <v>9427</v>
      </c>
      <c r="Y2964" s="0" t="s">
        <v>9428</v>
      </c>
      <c r="Z2964" s="0" t="s">
        <v>134</v>
      </c>
    </row>
    <row r="2965" customFormat="false" ht="15" hidden="false" customHeight="false" outlineLevel="0" collapsed="false">
      <c r="A2965" s="0" t="s">
        <v>21</v>
      </c>
      <c r="B2965" s="0" t="s">
        <v>9429</v>
      </c>
      <c r="C2965" s="0" t="s">
        <v>97</v>
      </c>
      <c r="D2965" s="0" t="s">
        <v>9430</v>
      </c>
      <c r="E2965" s="0" t="s">
        <v>9431</v>
      </c>
      <c r="M2965" s="0" t="s">
        <v>136</v>
      </c>
      <c r="N2965" s="0" t="s">
        <v>124</v>
      </c>
      <c r="P2965" s="0" t="s">
        <v>102</v>
      </c>
      <c r="Q2965" s="0" t="s">
        <v>102</v>
      </c>
      <c r="R2965" s="0" t="s">
        <v>131</v>
      </c>
      <c r="S2965" s="0" t="s">
        <v>21</v>
      </c>
      <c r="T2965" s="0" t="s">
        <v>104</v>
      </c>
      <c r="W2965" s="0" t="s">
        <v>105</v>
      </c>
    </row>
    <row r="2966" customFormat="false" ht="15" hidden="false" customHeight="false" outlineLevel="0" collapsed="false">
      <c r="A2966" s="0" t="s">
        <v>21</v>
      </c>
      <c r="B2966" s="0" t="s">
        <v>9432</v>
      </c>
      <c r="C2966" s="0" t="s">
        <v>97</v>
      </c>
      <c r="D2966" s="0" t="s">
        <v>9433</v>
      </c>
      <c r="E2966" s="0" t="s">
        <v>9434</v>
      </c>
      <c r="M2966" s="0" t="s">
        <v>136</v>
      </c>
      <c r="N2966" s="0" t="s">
        <v>124</v>
      </c>
      <c r="P2966" s="0" t="s">
        <v>102</v>
      </c>
      <c r="Q2966" s="0" t="s">
        <v>102</v>
      </c>
      <c r="R2966" s="0" t="s">
        <v>131</v>
      </c>
      <c r="S2966" s="0" t="s">
        <v>21</v>
      </c>
      <c r="T2966" s="0" t="s">
        <v>104</v>
      </c>
      <c r="W2966" s="0" t="s">
        <v>105</v>
      </c>
    </row>
    <row r="2967" customFormat="false" ht="15" hidden="false" customHeight="false" outlineLevel="0" collapsed="false">
      <c r="A2967" s="0" t="s">
        <v>21</v>
      </c>
      <c r="B2967" s="0" t="s">
        <v>9435</v>
      </c>
      <c r="C2967" s="0" t="s">
        <v>97</v>
      </c>
      <c r="D2967" s="0" t="s">
        <v>9436</v>
      </c>
      <c r="E2967" s="0" t="s">
        <v>9437</v>
      </c>
      <c r="M2967" s="0" t="s">
        <v>136</v>
      </c>
      <c r="N2967" s="0" t="s">
        <v>124</v>
      </c>
      <c r="P2967" s="0" t="s">
        <v>102</v>
      </c>
      <c r="Q2967" s="0" t="s">
        <v>102</v>
      </c>
      <c r="R2967" s="0" t="s">
        <v>131</v>
      </c>
      <c r="S2967" s="0" t="s">
        <v>21</v>
      </c>
      <c r="T2967" s="0" t="s">
        <v>104</v>
      </c>
      <c r="W2967" s="0" t="s">
        <v>105</v>
      </c>
    </row>
    <row r="2968" customFormat="false" ht="15" hidden="false" customHeight="false" outlineLevel="0" collapsed="false">
      <c r="A2968" s="0" t="s">
        <v>21</v>
      </c>
      <c r="B2968" s="0" t="s">
        <v>9438</v>
      </c>
      <c r="C2968" s="0" t="s">
        <v>7362</v>
      </c>
      <c r="D2968" s="0" t="s">
        <v>9439</v>
      </c>
      <c r="E2968" s="0" t="s">
        <v>9440</v>
      </c>
      <c r="G2968" s="0" t="s">
        <v>9441</v>
      </c>
      <c r="M2968" s="0" t="s">
        <v>456</v>
      </c>
      <c r="N2968" s="0" t="s">
        <v>101</v>
      </c>
      <c r="P2968" s="0" t="s">
        <v>102</v>
      </c>
      <c r="Q2968" s="0" t="s">
        <v>102</v>
      </c>
      <c r="R2968" s="0" t="s">
        <v>113</v>
      </c>
      <c r="S2968" s="0" t="s">
        <v>21</v>
      </c>
      <c r="T2968" s="0" t="s">
        <v>104</v>
      </c>
      <c r="W2968" s="0" t="s">
        <v>105</v>
      </c>
    </row>
    <row r="2969" customFormat="false" ht="15" hidden="false" customHeight="false" outlineLevel="0" collapsed="false">
      <c r="A2969" s="0" t="s">
        <v>21</v>
      </c>
      <c r="B2969" s="0" t="s">
        <v>9442</v>
      </c>
      <c r="C2969" s="0" t="s">
        <v>97</v>
      </c>
      <c r="D2969" s="0" t="s">
        <v>1284</v>
      </c>
      <c r="E2969" s="0" t="s">
        <v>9443</v>
      </c>
      <c r="H2969" s="0" t="s">
        <v>9444</v>
      </c>
      <c r="I2969" s="0" t="s">
        <v>1287</v>
      </c>
      <c r="J2969" s="0" t="s">
        <v>1287</v>
      </c>
      <c r="K2969" s="0" t="s">
        <v>1274</v>
      </c>
      <c r="L2969" s="0" t="s">
        <v>101</v>
      </c>
      <c r="M2969" s="0" t="s">
        <v>1287</v>
      </c>
      <c r="N2969" s="0" t="s">
        <v>101</v>
      </c>
      <c r="P2969" s="0" t="s">
        <v>102</v>
      </c>
      <c r="Q2969" s="0" t="s">
        <v>102</v>
      </c>
      <c r="R2969" s="0" t="s">
        <v>113</v>
      </c>
      <c r="S2969" s="0" t="s">
        <v>21</v>
      </c>
      <c r="T2969" s="0" t="s">
        <v>104</v>
      </c>
      <c r="W2969" s="0" t="s">
        <v>105</v>
      </c>
      <c r="X2969" s="0" t="s">
        <v>9445</v>
      </c>
      <c r="Y2969" s="0" t="s">
        <v>9446</v>
      </c>
    </row>
    <row r="2970" customFormat="false" ht="15" hidden="false" customHeight="false" outlineLevel="0" collapsed="false">
      <c r="A2970" s="0" t="s">
        <v>21</v>
      </c>
      <c r="B2970" s="0" t="s">
        <v>9447</v>
      </c>
      <c r="C2970" s="0" t="s">
        <v>97</v>
      </c>
      <c r="D2970" s="0" t="s">
        <v>9448</v>
      </c>
      <c r="E2970" s="0" t="s">
        <v>9449</v>
      </c>
      <c r="M2970" s="0" t="s">
        <v>100</v>
      </c>
      <c r="N2970" s="0" t="s">
        <v>101</v>
      </c>
      <c r="P2970" s="0" t="s">
        <v>102</v>
      </c>
      <c r="Q2970" s="0" t="s">
        <v>102</v>
      </c>
      <c r="R2970" s="0" t="s">
        <v>144</v>
      </c>
      <c r="S2970" s="0" t="s">
        <v>21</v>
      </c>
      <c r="T2970" s="0" t="s">
        <v>104</v>
      </c>
      <c r="W2970" s="0" t="s">
        <v>105</v>
      </c>
    </row>
    <row r="2971" customFormat="false" ht="15" hidden="false" customHeight="false" outlineLevel="0" collapsed="false">
      <c r="A2971" s="0" t="s">
        <v>21</v>
      </c>
      <c r="B2971" s="0" t="s">
        <v>9450</v>
      </c>
      <c r="C2971" s="0" t="s">
        <v>97</v>
      </c>
      <c r="D2971" s="0" t="s">
        <v>9451</v>
      </c>
      <c r="E2971" s="0" t="s">
        <v>9452</v>
      </c>
      <c r="M2971" s="0" t="s">
        <v>100</v>
      </c>
      <c r="N2971" s="0" t="s">
        <v>101</v>
      </c>
      <c r="P2971" s="0" t="s">
        <v>102</v>
      </c>
      <c r="Q2971" s="0" t="s">
        <v>102</v>
      </c>
      <c r="R2971" s="0" t="s">
        <v>144</v>
      </c>
      <c r="S2971" s="0" t="s">
        <v>21</v>
      </c>
      <c r="T2971" s="0" t="s">
        <v>104</v>
      </c>
      <c r="W2971" s="0" t="s">
        <v>105</v>
      </c>
    </row>
    <row r="2972" customFormat="false" ht="15" hidden="false" customHeight="false" outlineLevel="0" collapsed="false">
      <c r="A2972" s="0" t="s">
        <v>21</v>
      </c>
      <c r="B2972" s="0" t="s">
        <v>9453</v>
      </c>
      <c r="C2972" s="0" t="s">
        <v>97</v>
      </c>
      <c r="D2972" s="0" t="s">
        <v>9454</v>
      </c>
      <c r="E2972" s="0" t="s">
        <v>9455</v>
      </c>
      <c r="M2972" s="0" t="s">
        <v>100</v>
      </c>
      <c r="N2972" s="0" t="s">
        <v>101</v>
      </c>
      <c r="P2972" s="0" t="s">
        <v>102</v>
      </c>
      <c r="Q2972" s="0" t="s">
        <v>102</v>
      </c>
      <c r="R2972" s="0" t="s">
        <v>144</v>
      </c>
      <c r="S2972" s="0" t="s">
        <v>21</v>
      </c>
      <c r="T2972" s="0" t="s">
        <v>104</v>
      </c>
      <c r="W2972" s="0" t="s">
        <v>105</v>
      </c>
    </row>
    <row r="2973" customFormat="false" ht="15" hidden="false" customHeight="false" outlineLevel="0" collapsed="false">
      <c r="A2973" s="0" t="s">
        <v>21</v>
      </c>
      <c r="B2973" s="0" t="s">
        <v>9456</v>
      </c>
      <c r="C2973" s="0" t="s">
        <v>97</v>
      </c>
      <c r="D2973" s="0" t="s">
        <v>9457</v>
      </c>
      <c r="E2973" s="0" t="s">
        <v>9457</v>
      </c>
      <c r="M2973" s="0" t="s">
        <v>442</v>
      </c>
      <c r="N2973" s="0" t="s">
        <v>101</v>
      </c>
      <c r="P2973" s="0" t="s">
        <v>102</v>
      </c>
      <c r="Q2973" s="0" t="s">
        <v>102</v>
      </c>
      <c r="R2973" s="0" t="s">
        <v>131</v>
      </c>
      <c r="S2973" s="0" t="s">
        <v>21</v>
      </c>
      <c r="T2973" s="0" t="s">
        <v>104</v>
      </c>
      <c r="W2973" s="0" t="s">
        <v>105</v>
      </c>
    </row>
    <row r="2974" customFormat="false" ht="15" hidden="false" customHeight="false" outlineLevel="0" collapsed="false">
      <c r="A2974" s="0" t="s">
        <v>21</v>
      </c>
      <c r="B2974" s="0" t="s">
        <v>9458</v>
      </c>
      <c r="C2974" s="0" t="s">
        <v>97</v>
      </c>
      <c r="D2974" s="0" t="s">
        <v>9459</v>
      </c>
      <c r="E2974" s="0" t="s">
        <v>9460</v>
      </c>
      <c r="H2974" s="0" t="s">
        <v>654</v>
      </c>
      <c r="I2974" s="0" t="s">
        <v>655</v>
      </c>
      <c r="J2974" s="0" t="s">
        <v>100</v>
      </c>
      <c r="K2974" s="0" t="s">
        <v>168</v>
      </c>
      <c r="L2974" s="0" t="s">
        <v>101</v>
      </c>
      <c r="M2974" s="0" t="s">
        <v>656</v>
      </c>
      <c r="N2974" s="0" t="s">
        <v>101</v>
      </c>
      <c r="P2974" s="0" t="s">
        <v>102</v>
      </c>
      <c r="Q2974" s="0" t="s">
        <v>102</v>
      </c>
      <c r="R2974" s="0" t="s">
        <v>113</v>
      </c>
      <c r="S2974" s="0" t="s">
        <v>21</v>
      </c>
      <c r="T2974" s="0" t="s">
        <v>104</v>
      </c>
      <c r="W2974" s="0" t="s">
        <v>105</v>
      </c>
      <c r="X2974" s="0" t="s">
        <v>658</v>
      </c>
      <c r="Y2974" s="0" t="s">
        <v>659</v>
      </c>
    </row>
    <row r="2975" customFormat="false" ht="15" hidden="false" customHeight="false" outlineLevel="0" collapsed="false">
      <c r="A2975" s="0" t="s">
        <v>21</v>
      </c>
      <c r="B2975" s="0" t="s">
        <v>9461</v>
      </c>
      <c r="C2975" s="0" t="s">
        <v>97</v>
      </c>
      <c r="D2975" s="0" t="s">
        <v>9462</v>
      </c>
      <c r="E2975" s="0" t="s">
        <v>9463</v>
      </c>
      <c r="M2975" s="0" t="s">
        <v>100</v>
      </c>
      <c r="N2975" s="0" t="s">
        <v>101</v>
      </c>
      <c r="P2975" s="0" t="s">
        <v>102</v>
      </c>
      <c r="Q2975" s="0" t="s">
        <v>102</v>
      </c>
      <c r="R2975" s="0" t="s">
        <v>113</v>
      </c>
      <c r="S2975" s="0" t="s">
        <v>21</v>
      </c>
      <c r="T2975" s="0" t="s">
        <v>104</v>
      </c>
      <c r="W2975" s="0" t="s">
        <v>105</v>
      </c>
    </row>
    <row r="2976" customFormat="false" ht="15" hidden="false" customHeight="false" outlineLevel="0" collapsed="false">
      <c r="A2976" s="0" t="s">
        <v>21</v>
      </c>
      <c r="B2976" s="0" t="s">
        <v>9464</v>
      </c>
      <c r="C2976" s="0" t="s">
        <v>863</v>
      </c>
      <c r="D2976" s="0" t="s">
        <v>9465</v>
      </c>
      <c r="E2976" s="0" t="s">
        <v>9466</v>
      </c>
      <c r="F2976" s="0" t="s">
        <v>929</v>
      </c>
      <c r="H2976" s="0" t="s">
        <v>9467</v>
      </c>
      <c r="I2976" s="0" t="s">
        <v>9464</v>
      </c>
      <c r="J2976" s="0" t="s">
        <v>245</v>
      </c>
      <c r="K2976" s="0" t="s">
        <v>4242</v>
      </c>
      <c r="L2976" s="0" t="s">
        <v>124</v>
      </c>
      <c r="M2976" s="0" t="s">
        <v>247</v>
      </c>
      <c r="N2976" s="0" t="s">
        <v>124</v>
      </c>
      <c r="P2976" s="0" t="s">
        <v>102</v>
      </c>
      <c r="Q2976" s="0" t="s">
        <v>102</v>
      </c>
      <c r="R2976" s="0" t="s">
        <v>131</v>
      </c>
      <c r="S2976" s="0" t="s">
        <v>21</v>
      </c>
      <c r="T2976" s="0" t="s">
        <v>104</v>
      </c>
      <c r="W2976" s="0" t="s">
        <v>105</v>
      </c>
      <c r="X2976" s="0" t="s">
        <v>9468</v>
      </c>
      <c r="Y2976" s="0" t="s">
        <v>9469</v>
      </c>
      <c r="Z2976" s="0" t="s">
        <v>195</v>
      </c>
    </row>
    <row r="2977" customFormat="false" ht="15" hidden="false" customHeight="false" outlineLevel="0" collapsed="false">
      <c r="A2977" s="0" t="s">
        <v>21</v>
      </c>
      <c r="B2977" s="0" t="s">
        <v>9470</v>
      </c>
      <c r="C2977" s="0" t="s">
        <v>97</v>
      </c>
      <c r="D2977" s="0" t="s">
        <v>9471</v>
      </c>
      <c r="E2977" s="0" t="s">
        <v>9472</v>
      </c>
      <c r="M2977" s="0" t="s">
        <v>136</v>
      </c>
      <c r="N2977" s="0" t="s">
        <v>124</v>
      </c>
      <c r="P2977" s="0" t="s">
        <v>102</v>
      </c>
      <c r="Q2977" s="0" t="s">
        <v>102</v>
      </c>
      <c r="R2977" s="0" t="s">
        <v>144</v>
      </c>
      <c r="S2977" s="0" t="s">
        <v>21</v>
      </c>
      <c r="T2977" s="0" t="s">
        <v>104</v>
      </c>
      <c r="W2977" s="0" t="s">
        <v>105</v>
      </c>
    </row>
    <row r="2978" customFormat="false" ht="15" hidden="false" customHeight="false" outlineLevel="0" collapsed="false">
      <c r="A2978" s="0" t="s">
        <v>21</v>
      </c>
      <c r="B2978" s="0" t="s">
        <v>9473</v>
      </c>
      <c r="C2978" s="0" t="s">
        <v>97</v>
      </c>
      <c r="D2978" s="0" t="s">
        <v>9474</v>
      </c>
      <c r="E2978" s="0" t="s">
        <v>9475</v>
      </c>
      <c r="M2978" s="0" t="s">
        <v>136</v>
      </c>
      <c r="N2978" s="0" t="s">
        <v>124</v>
      </c>
      <c r="P2978" s="0" t="s">
        <v>102</v>
      </c>
      <c r="Q2978" s="0" t="s">
        <v>102</v>
      </c>
      <c r="R2978" s="0" t="s">
        <v>144</v>
      </c>
      <c r="S2978" s="0" t="s">
        <v>21</v>
      </c>
      <c r="T2978" s="0" t="s">
        <v>104</v>
      </c>
      <c r="W2978" s="0" t="s">
        <v>105</v>
      </c>
    </row>
    <row r="2979" customFormat="false" ht="15" hidden="false" customHeight="false" outlineLevel="0" collapsed="false">
      <c r="A2979" s="0" t="s">
        <v>21</v>
      </c>
      <c r="B2979" s="0" t="s">
        <v>9476</v>
      </c>
      <c r="C2979" s="0" t="s">
        <v>97</v>
      </c>
      <c r="D2979" s="0" t="s">
        <v>9477</v>
      </c>
      <c r="E2979" s="0" t="s">
        <v>9478</v>
      </c>
      <c r="M2979" s="0" t="s">
        <v>136</v>
      </c>
      <c r="N2979" s="0" t="s">
        <v>124</v>
      </c>
      <c r="P2979" s="0" t="s">
        <v>102</v>
      </c>
      <c r="Q2979" s="0" t="s">
        <v>102</v>
      </c>
      <c r="R2979" s="0" t="s">
        <v>144</v>
      </c>
      <c r="S2979" s="0" t="s">
        <v>21</v>
      </c>
      <c r="T2979" s="0" t="s">
        <v>104</v>
      </c>
      <c r="W2979" s="0" t="s">
        <v>105</v>
      </c>
    </row>
    <row r="2980" customFormat="false" ht="15" hidden="false" customHeight="false" outlineLevel="0" collapsed="false">
      <c r="A2980" s="0" t="s">
        <v>21</v>
      </c>
      <c r="B2980" s="0" t="s">
        <v>9479</v>
      </c>
      <c r="C2980" s="0" t="s">
        <v>110</v>
      </c>
      <c r="D2980" s="0" t="s">
        <v>9480</v>
      </c>
      <c r="E2980" s="0" t="s">
        <v>6446</v>
      </c>
      <c r="H2980" s="0" t="s">
        <v>9481</v>
      </c>
      <c r="I2980" s="0" t="s">
        <v>9479</v>
      </c>
      <c r="J2980" s="0" t="s">
        <v>2281</v>
      </c>
      <c r="K2980" s="0" t="s">
        <v>1679</v>
      </c>
      <c r="L2980" s="0" t="s">
        <v>124</v>
      </c>
      <c r="M2980" s="0" t="s">
        <v>881</v>
      </c>
      <c r="N2980" s="0" t="s">
        <v>124</v>
      </c>
      <c r="P2980" s="0" t="s">
        <v>102</v>
      </c>
      <c r="Q2980" s="0" t="s">
        <v>102</v>
      </c>
      <c r="R2980" s="0" t="s">
        <v>113</v>
      </c>
      <c r="S2980" s="0" t="s">
        <v>21</v>
      </c>
      <c r="T2980" s="0" t="s">
        <v>104</v>
      </c>
      <c r="W2980" s="0" t="s">
        <v>105</v>
      </c>
      <c r="X2980" s="0" t="s">
        <v>9482</v>
      </c>
      <c r="Y2980" s="0" t="s">
        <v>9483</v>
      </c>
      <c r="Z2980" s="0" t="s">
        <v>134</v>
      </c>
    </row>
    <row r="2981" customFormat="false" ht="15" hidden="false" customHeight="false" outlineLevel="0" collapsed="false">
      <c r="A2981" s="0" t="s">
        <v>21</v>
      </c>
      <c r="B2981" s="0" t="s">
        <v>9484</v>
      </c>
      <c r="C2981" s="0" t="s">
        <v>97</v>
      </c>
      <c r="D2981" s="0" t="s">
        <v>9485</v>
      </c>
      <c r="E2981" s="0" t="s">
        <v>9486</v>
      </c>
      <c r="M2981" s="0" t="s">
        <v>136</v>
      </c>
      <c r="N2981" s="0" t="s">
        <v>124</v>
      </c>
      <c r="P2981" s="0" t="s">
        <v>102</v>
      </c>
      <c r="Q2981" s="0" t="s">
        <v>102</v>
      </c>
      <c r="R2981" s="0" t="s">
        <v>113</v>
      </c>
      <c r="S2981" s="0" t="s">
        <v>21</v>
      </c>
      <c r="T2981" s="0" t="s">
        <v>104</v>
      </c>
      <c r="W2981" s="0" t="s">
        <v>105</v>
      </c>
    </row>
    <row r="2982" customFormat="false" ht="15" hidden="false" customHeight="false" outlineLevel="0" collapsed="false">
      <c r="A2982" s="0" t="s">
        <v>21</v>
      </c>
      <c r="B2982" s="0" t="s">
        <v>9487</v>
      </c>
      <c r="C2982" s="0" t="s">
        <v>97</v>
      </c>
      <c r="D2982" s="0" t="s">
        <v>9488</v>
      </c>
      <c r="E2982" s="0" t="s">
        <v>9489</v>
      </c>
      <c r="M2982" s="0" t="s">
        <v>136</v>
      </c>
      <c r="N2982" s="0" t="s">
        <v>124</v>
      </c>
      <c r="P2982" s="0" t="s">
        <v>102</v>
      </c>
      <c r="Q2982" s="0" t="s">
        <v>102</v>
      </c>
      <c r="R2982" s="0" t="s">
        <v>131</v>
      </c>
      <c r="S2982" s="0" t="s">
        <v>21</v>
      </c>
      <c r="T2982" s="0" t="s">
        <v>104</v>
      </c>
      <c r="W2982" s="0" t="s">
        <v>105</v>
      </c>
    </row>
    <row r="2983" customFormat="false" ht="15" hidden="false" customHeight="false" outlineLevel="0" collapsed="false">
      <c r="A2983" s="0" t="s">
        <v>21</v>
      </c>
      <c r="B2983" s="0" t="s">
        <v>9490</v>
      </c>
      <c r="C2983" s="0" t="s">
        <v>97</v>
      </c>
      <c r="D2983" s="0" t="s">
        <v>9491</v>
      </c>
      <c r="E2983" s="0" t="s">
        <v>9492</v>
      </c>
      <c r="M2983" s="0" t="s">
        <v>656</v>
      </c>
      <c r="N2983" s="0" t="s">
        <v>101</v>
      </c>
      <c r="P2983" s="0" t="s">
        <v>102</v>
      </c>
      <c r="Q2983" s="0" t="s">
        <v>102</v>
      </c>
      <c r="R2983" s="0" t="s">
        <v>131</v>
      </c>
      <c r="S2983" s="0" t="s">
        <v>21</v>
      </c>
      <c r="T2983" s="0" t="s">
        <v>104</v>
      </c>
      <c r="W2983" s="0" t="s">
        <v>105</v>
      </c>
    </row>
    <row r="2984" customFormat="false" ht="15" hidden="false" customHeight="false" outlineLevel="0" collapsed="false">
      <c r="A2984" s="0" t="s">
        <v>21</v>
      </c>
      <c r="B2984" s="0" t="s">
        <v>9493</v>
      </c>
      <c r="C2984" s="0" t="s">
        <v>97</v>
      </c>
      <c r="D2984" s="0" t="s">
        <v>9494</v>
      </c>
      <c r="E2984" s="0" t="s">
        <v>9495</v>
      </c>
      <c r="M2984" s="0" t="s">
        <v>100</v>
      </c>
      <c r="N2984" s="0" t="s">
        <v>101</v>
      </c>
      <c r="P2984" s="0" t="s">
        <v>102</v>
      </c>
      <c r="Q2984" s="0" t="s">
        <v>102</v>
      </c>
      <c r="R2984" s="0" t="s">
        <v>144</v>
      </c>
      <c r="S2984" s="0" t="s">
        <v>21</v>
      </c>
      <c r="T2984" s="0" t="s">
        <v>104</v>
      </c>
      <c r="W2984" s="0" t="s">
        <v>105</v>
      </c>
    </row>
    <row r="2985" customFormat="false" ht="15" hidden="false" customHeight="false" outlineLevel="0" collapsed="false">
      <c r="A2985" s="0" t="s">
        <v>21</v>
      </c>
      <c r="B2985" s="0" t="s">
        <v>9496</v>
      </c>
      <c r="C2985" s="0" t="s">
        <v>1067</v>
      </c>
      <c r="D2985" s="0" t="s">
        <v>9497</v>
      </c>
      <c r="E2985" s="0" t="s">
        <v>9498</v>
      </c>
      <c r="H2985" s="0" t="s">
        <v>9499</v>
      </c>
      <c r="I2985" s="0" t="s">
        <v>9500</v>
      </c>
      <c r="J2985" s="0" t="s">
        <v>275</v>
      </c>
      <c r="K2985" s="0" t="s">
        <v>9501</v>
      </c>
      <c r="M2985" s="0" t="s">
        <v>178</v>
      </c>
      <c r="N2985" s="0" t="s">
        <v>124</v>
      </c>
      <c r="P2985" s="0" t="s">
        <v>102</v>
      </c>
      <c r="Q2985" s="0" t="s">
        <v>102</v>
      </c>
      <c r="R2985" s="0" t="s">
        <v>144</v>
      </c>
      <c r="S2985" s="0" t="s">
        <v>21</v>
      </c>
      <c r="T2985" s="0" t="s">
        <v>104</v>
      </c>
      <c r="W2985" s="0" t="s">
        <v>105</v>
      </c>
      <c r="X2985" s="0" t="s">
        <v>9502</v>
      </c>
      <c r="Y2985" s="0" t="s">
        <v>9503</v>
      </c>
      <c r="Z2985" s="0" t="s">
        <v>4513</v>
      </c>
    </row>
    <row r="2986" customFormat="false" ht="15" hidden="false" customHeight="false" outlineLevel="0" collapsed="false">
      <c r="A2986" s="0" t="s">
        <v>21</v>
      </c>
      <c r="B2986" s="0" t="s">
        <v>9504</v>
      </c>
      <c r="C2986" s="0" t="s">
        <v>97</v>
      </c>
      <c r="D2986" s="0" t="s">
        <v>9505</v>
      </c>
      <c r="E2986" s="0" t="s">
        <v>9505</v>
      </c>
      <c r="M2986" s="0" t="s">
        <v>232</v>
      </c>
      <c r="N2986" s="0" t="s">
        <v>124</v>
      </c>
      <c r="P2986" s="0" t="s">
        <v>130</v>
      </c>
      <c r="Q2986" s="0" t="s">
        <v>130</v>
      </c>
      <c r="R2986" s="0" t="s">
        <v>137</v>
      </c>
      <c r="S2986" s="0" t="s">
        <v>21</v>
      </c>
      <c r="T2986" s="0" t="s">
        <v>104</v>
      </c>
      <c r="W2986" s="0" t="s">
        <v>105</v>
      </c>
    </row>
    <row r="2987" customFormat="false" ht="15" hidden="false" customHeight="false" outlineLevel="0" collapsed="false">
      <c r="A2987" s="0" t="s">
        <v>21</v>
      </c>
      <c r="B2987" s="0" t="s">
        <v>9506</v>
      </c>
      <c r="C2987" s="0" t="s">
        <v>97</v>
      </c>
      <c r="D2987" s="0" t="s">
        <v>9505</v>
      </c>
      <c r="E2987" s="0" t="s">
        <v>9507</v>
      </c>
      <c r="M2987" s="0" t="s">
        <v>232</v>
      </c>
      <c r="N2987" s="0" t="s">
        <v>124</v>
      </c>
      <c r="P2987" s="0" t="s">
        <v>102</v>
      </c>
      <c r="Q2987" s="0" t="s">
        <v>102</v>
      </c>
      <c r="R2987" s="0" t="s">
        <v>3947</v>
      </c>
      <c r="S2987" s="0" t="s">
        <v>21</v>
      </c>
      <c r="T2987" s="0" t="s">
        <v>104</v>
      </c>
      <c r="W2987" s="0" t="s">
        <v>105</v>
      </c>
      <c r="X2987" s="0" t="s">
        <v>2798</v>
      </c>
      <c r="Y2987" s="0" t="s">
        <v>2799</v>
      </c>
      <c r="Z2987" s="0" t="s">
        <v>159</v>
      </c>
    </row>
    <row r="2988" customFormat="false" ht="15" hidden="false" customHeight="false" outlineLevel="0" collapsed="false">
      <c r="A2988" s="0" t="s">
        <v>21</v>
      </c>
      <c r="B2988" s="0" t="s">
        <v>9508</v>
      </c>
      <c r="C2988" s="0" t="s">
        <v>97</v>
      </c>
      <c r="D2988" s="0" t="s">
        <v>9509</v>
      </c>
      <c r="E2988" s="0" t="s">
        <v>9510</v>
      </c>
      <c r="M2988" s="0" t="s">
        <v>136</v>
      </c>
      <c r="N2988" s="0" t="s">
        <v>124</v>
      </c>
      <c r="P2988" s="0" t="s">
        <v>102</v>
      </c>
      <c r="Q2988" s="0" t="s">
        <v>102</v>
      </c>
      <c r="R2988" s="0" t="s">
        <v>131</v>
      </c>
      <c r="S2988" s="0" t="s">
        <v>21</v>
      </c>
      <c r="T2988" s="0" t="s">
        <v>104</v>
      </c>
      <c r="W2988" s="0" t="s">
        <v>105</v>
      </c>
    </row>
    <row r="2989" customFormat="false" ht="15" hidden="false" customHeight="false" outlineLevel="0" collapsed="false">
      <c r="A2989" s="0" t="s">
        <v>21</v>
      </c>
      <c r="B2989" s="0" t="s">
        <v>9511</v>
      </c>
      <c r="C2989" s="0" t="s">
        <v>97</v>
      </c>
      <c r="D2989" s="0" t="s">
        <v>9512</v>
      </c>
      <c r="E2989" s="0" t="s">
        <v>9513</v>
      </c>
      <c r="M2989" s="0" t="s">
        <v>136</v>
      </c>
      <c r="N2989" s="0" t="s">
        <v>124</v>
      </c>
      <c r="P2989" s="0" t="s">
        <v>102</v>
      </c>
      <c r="Q2989" s="0" t="s">
        <v>102</v>
      </c>
      <c r="R2989" s="0" t="s">
        <v>131</v>
      </c>
      <c r="S2989" s="0" t="s">
        <v>21</v>
      </c>
      <c r="T2989" s="0" t="s">
        <v>104</v>
      </c>
      <c r="W2989" s="0" t="s">
        <v>105</v>
      </c>
    </row>
    <row r="2990" customFormat="false" ht="28.35" hidden="false" customHeight="false" outlineLevel="0" collapsed="false">
      <c r="A2990" s="0" t="s">
        <v>21</v>
      </c>
      <c r="B2990" s="0" t="s">
        <v>9514</v>
      </c>
      <c r="C2990" s="0" t="s">
        <v>2145</v>
      </c>
      <c r="D2990" s="0" t="s">
        <v>9515</v>
      </c>
      <c r="E2990" s="0" t="s">
        <v>9516</v>
      </c>
      <c r="G2990" s="9" t="s">
        <v>9517</v>
      </c>
      <c r="M2990" s="0" t="s">
        <v>437</v>
      </c>
      <c r="N2990" s="0" t="s">
        <v>101</v>
      </c>
      <c r="P2990" s="0" t="s">
        <v>102</v>
      </c>
      <c r="Q2990" s="0" t="s">
        <v>102</v>
      </c>
      <c r="R2990" s="0" t="s">
        <v>113</v>
      </c>
      <c r="S2990" s="0" t="s">
        <v>21</v>
      </c>
      <c r="T2990" s="0" t="s">
        <v>104</v>
      </c>
      <c r="W2990" s="0" t="s">
        <v>105</v>
      </c>
    </row>
    <row r="2991" customFormat="false" ht="15" hidden="false" customHeight="false" outlineLevel="0" collapsed="false">
      <c r="A2991" s="0" t="s">
        <v>21</v>
      </c>
      <c r="B2991" s="0" t="s">
        <v>9518</v>
      </c>
      <c r="C2991" s="0" t="s">
        <v>110</v>
      </c>
      <c r="D2991" s="0" t="s">
        <v>9519</v>
      </c>
      <c r="E2991" s="0" t="s">
        <v>9520</v>
      </c>
      <c r="G2991" s="0" t="s">
        <v>9521</v>
      </c>
      <c r="H2991" s="0" t="s">
        <v>9522</v>
      </c>
      <c r="I2991" s="0" t="s">
        <v>9518</v>
      </c>
      <c r="J2991" s="0" t="s">
        <v>254</v>
      </c>
      <c r="K2991" s="0" t="s">
        <v>9523</v>
      </c>
      <c r="M2991" s="0" t="s">
        <v>208</v>
      </c>
      <c r="N2991" s="0" t="s">
        <v>124</v>
      </c>
      <c r="P2991" s="0" t="s">
        <v>102</v>
      </c>
      <c r="Q2991" s="0" t="s">
        <v>102</v>
      </c>
      <c r="R2991" s="0" t="s">
        <v>137</v>
      </c>
      <c r="S2991" s="0" t="s">
        <v>21</v>
      </c>
      <c r="T2991" s="0" t="s">
        <v>104</v>
      </c>
      <c r="W2991" s="0" t="s">
        <v>105</v>
      </c>
      <c r="Z2991" s="0" t="s">
        <v>134</v>
      </c>
    </row>
    <row r="2992" customFormat="false" ht="15" hidden="false" customHeight="false" outlineLevel="0" collapsed="false">
      <c r="A2992" s="0" t="s">
        <v>21</v>
      </c>
      <c r="B2992" s="0" t="s">
        <v>9524</v>
      </c>
      <c r="C2992" s="0" t="s">
        <v>97</v>
      </c>
      <c r="D2992" s="0" t="s">
        <v>9525</v>
      </c>
      <c r="E2992" s="0" t="s">
        <v>9525</v>
      </c>
      <c r="M2992" s="0" t="s">
        <v>136</v>
      </c>
      <c r="N2992" s="0" t="s">
        <v>124</v>
      </c>
      <c r="P2992" s="0" t="s">
        <v>102</v>
      </c>
      <c r="Q2992" s="0" t="s">
        <v>102</v>
      </c>
      <c r="R2992" s="0" t="s">
        <v>131</v>
      </c>
      <c r="S2992" s="0" t="s">
        <v>21</v>
      </c>
      <c r="T2992" s="0" t="s">
        <v>104</v>
      </c>
      <c r="W2992" s="0" t="s">
        <v>105</v>
      </c>
    </row>
    <row r="2993" customFormat="false" ht="15" hidden="false" customHeight="false" outlineLevel="0" collapsed="false">
      <c r="A2993" s="0" t="s">
        <v>21</v>
      </c>
      <c r="B2993" s="0" t="s">
        <v>9526</v>
      </c>
      <c r="C2993" s="0" t="s">
        <v>97</v>
      </c>
      <c r="D2993" s="0" t="s">
        <v>9527</v>
      </c>
      <c r="E2993" s="0" t="s">
        <v>9528</v>
      </c>
      <c r="M2993" s="0" t="s">
        <v>136</v>
      </c>
      <c r="N2993" s="0" t="s">
        <v>124</v>
      </c>
      <c r="P2993" s="0" t="s">
        <v>102</v>
      </c>
      <c r="Q2993" s="0" t="s">
        <v>102</v>
      </c>
      <c r="R2993" s="0" t="s">
        <v>131</v>
      </c>
      <c r="S2993" s="0" t="s">
        <v>21</v>
      </c>
      <c r="T2993" s="0" t="s">
        <v>104</v>
      </c>
      <c r="W2993" s="0" t="s">
        <v>105</v>
      </c>
    </row>
    <row r="2994" customFormat="false" ht="15" hidden="false" customHeight="false" outlineLevel="0" collapsed="false">
      <c r="A2994" s="0" t="s">
        <v>21</v>
      </c>
      <c r="B2994" s="0" t="s">
        <v>9529</v>
      </c>
      <c r="C2994" s="0" t="s">
        <v>97</v>
      </c>
      <c r="D2994" s="0" t="s">
        <v>9530</v>
      </c>
      <c r="E2994" s="0" t="s">
        <v>9531</v>
      </c>
      <c r="M2994" s="0" t="s">
        <v>136</v>
      </c>
      <c r="N2994" s="0" t="s">
        <v>124</v>
      </c>
      <c r="P2994" s="0" t="s">
        <v>102</v>
      </c>
      <c r="Q2994" s="0" t="s">
        <v>102</v>
      </c>
      <c r="R2994" s="0" t="s">
        <v>131</v>
      </c>
      <c r="S2994" s="0" t="s">
        <v>21</v>
      </c>
      <c r="T2994" s="0" t="s">
        <v>104</v>
      </c>
      <c r="W2994" s="0" t="s">
        <v>105</v>
      </c>
    </row>
    <row r="2995" customFormat="false" ht="15" hidden="false" customHeight="false" outlineLevel="0" collapsed="false">
      <c r="A2995" s="0" t="s">
        <v>21</v>
      </c>
      <c r="B2995" s="0" t="s">
        <v>9532</v>
      </c>
      <c r="C2995" s="0" t="s">
        <v>97</v>
      </c>
      <c r="D2995" s="0" t="s">
        <v>4782</v>
      </c>
      <c r="E2995" s="0" t="s">
        <v>9533</v>
      </c>
      <c r="M2995" s="0" t="s">
        <v>656</v>
      </c>
      <c r="N2995" s="0" t="s">
        <v>101</v>
      </c>
      <c r="P2995" s="0" t="s">
        <v>102</v>
      </c>
      <c r="Q2995" s="0" t="s">
        <v>102</v>
      </c>
      <c r="R2995" s="0" t="s">
        <v>113</v>
      </c>
      <c r="S2995" s="0" t="s">
        <v>21</v>
      </c>
      <c r="T2995" s="0" t="s">
        <v>104</v>
      </c>
      <c r="W2995" s="0" t="s">
        <v>105</v>
      </c>
    </row>
    <row r="2996" customFormat="false" ht="15" hidden="false" customHeight="false" outlineLevel="0" collapsed="false">
      <c r="A2996" s="0" t="s">
        <v>21</v>
      </c>
      <c r="B2996" s="0" t="s">
        <v>9534</v>
      </c>
      <c r="C2996" s="0" t="s">
        <v>97</v>
      </c>
      <c r="D2996" s="0" t="s">
        <v>8697</v>
      </c>
      <c r="E2996" s="0" t="s">
        <v>9535</v>
      </c>
      <c r="M2996" s="0" t="s">
        <v>136</v>
      </c>
      <c r="N2996" s="0" t="s">
        <v>124</v>
      </c>
      <c r="P2996" s="0" t="s">
        <v>102</v>
      </c>
      <c r="Q2996" s="0" t="s">
        <v>102</v>
      </c>
      <c r="R2996" s="0" t="s">
        <v>113</v>
      </c>
      <c r="S2996" s="0" t="s">
        <v>21</v>
      </c>
      <c r="T2996" s="0" t="s">
        <v>104</v>
      </c>
      <c r="W2996" s="0" t="s">
        <v>105</v>
      </c>
    </row>
    <row r="2997" customFormat="false" ht="15" hidden="false" customHeight="false" outlineLevel="0" collapsed="false">
      <c r="A2997" s="0" t="s">
        <v>21</v>
      </c>
      <c r="B2997" s="0" t="s">
        <v>9536</v>
      </c>
      <c r="C2997" s="0" t="s">
        <v>97</v>
      </c>
      <c r="D2997" s="0" t="s">
        <v>9537</v>
      </c>
      <c r="E2997" s="0" t="s">
        <v>9538</v>
      </c>
      <c r="M2997" s="0" t="s">
        <v>136</v>
      </c>
      <c r="N2997" s="0" t="s">
        <v>124</v>
      </c>
      <c r="P2997" s="0" t="s">
        <v>102</v>
      </c>
      <c r="Q2997" s="0" t="s">
        <v>102</v>
      </c>
      <c r="R2997" s="0" t="s">
        <v>113</v>
      </c>
      <c r="S2997" s="0" t="s">
        <v>21</v>
      </c>
      <c r="T2997" s="0" t="s">
        <v>104</v>
      </c>
      <c r="W2997" s="0" t="s">
        <v>105</v>
      </c>
    </row>
    <row r="2998" customFormat="false" ht="15" hidden="false" customHeight="false" outlineLevel="0" collapsed="false">
      <c r="A2998" s="0" t="s">
        <v>21</v>
      </c>
      <c r="B2998" s="0" t="s">
        <v>9539</v>
      </c>
      <c r="C2998" s="0" t="s">
        <v>97</v>
      </c>
      <c r="D2998" s="0" t="s">
        <v>9540</v>
      </c>
      <c r="E2998" s="0" t="s">
        <v>9541</v>
      </c>
      <c r="M2998" s="0" t="s">
        <v>136</v>
      </c>
      <c r="N2998" s="0" t="s">
        <v>124</v>
      </c>
      <c r="P2998" s="0" t="s">
        <v>102</v>
      </c>
      <c r="Q2998" s="0" t="s">
        <v>102</v>
      </c>
      <c r="R2998" s="0" t="s">
        <v>113</v>
      </c>
      <c r="S2998" s="0" t="s">
        <v>21</v>
      </c>
      <c r="T2998" s="0" t="s">
        <v>104</v>
      </c>
      <c r="W2998" s="0" t="s">
        <v>105</v>
      </c>
    </row>
    <row r="2999" customFormat="false" ht="15" hidden="false" customHeight="false" outlineLevel="0" collapsed="false">
      <c r="A2999" s="0" t="s">
        <v>21</v>
      </c>
      <c r="B2999" s="0" t="s">
        <v>9542</v>
      </c>
      <c r="C2999" s="0" t="s">
        <v>97</v>
      </c>
      <c r="D2999" s="0" t="s">
        <v>9543</v>
      </c>
      <c r="E2999" s="0" t="s">
        <v>9544</v>
      </c>
      <c r="M2999" s="0" t="s">
        <v>136</v>
      </c>
      <c r="N2999" s="0" t="s">
        <v>124</v>
      </c>
      <c r="P2999" s="0" t="s">
        <v>102</v>
      </c>
      <c r="Q2999" s="0" t="s">
        <v>102</v>
      </c>
      <c r="R2999" s="0" t="s">
        <v>113</v>
      </c>
      <c r="S2999" s="0" t="s">
        <v>21</v>
      </c>
      <c r="T2999" s="0" t="s">
        <v>104</v>
      </c>
      <c r="W2999" s="0" t="s">
        <v>105</v>
      </c>
    </row>
    <row r="3000" customFormat="false" ht="15" hidden="false" customHeight="false" outlineLevel="0" collapsed="false">
      <c r="A3000" s="0" t="s">
        <v>21</v>
      </c>
      <c r="B3000" s="0" t="s">
        <v>9545</v>
      </c>
      <c r="C3000" s="0" t="s">
        <v>97</v>
      </c>
      <c r="D3000" s="0" t="s">
        <v>9546</v>
      </c>
      <c r="E3000" s="0" t="s">
        <v>9547</v>
      </c>
      <c r="M3000" s="0" t="s">
        <v>136</v>
      </c>
      <c r="N3000" s="0" t="s">
        <v>124</v>
      </c>
      <c r="P3000" s="0" t="s">
        <v>102</v>
      </c>
      <c r="Q3000" s="0" t="s">
        <v>102</v>
      </c>
      <c r="R3000" s="0" t="s">
        <v>113</v>
      </c>
      <c r="S3000" s="0" t="s">
        <v>21</v>
      </c>
      <c r="T3000" s="0" t="s">
        <v>104</v>
      </c>
      <c r="W3000" s="0" t="s">
        <v>105</v>
      </c>
    </row>
    <row r="3001" customFormat="false" ht="15" hidden="false" customHeight="false" outlineLevel="0" collapsed="false">
      <c r="A3001" s="0" t="s">
        <v>21</v>
      </c>
      <c r="B3001" s="0" t="s">
        <v>9548</v>
      </c>
      <c r="C3001" s="0" t="s">
        <v>139</v>
      </c>
      <c r="D3001" s="0" t="s">
        <v>9549</v>
      </c>
      <c r="E3001" s="0" t="s">
        <v>9549</v>
      </c>
      <c r="M3001" s="0" t="s">
        <v>232</v>
      </c>
      <c r="N3001" s="0" t="s">
        <v>124</v>
      </c>
      <c r="P3001" s="0" t="s">
        <v>102</v>
      </c>
      <c r="Q3001" s="0" t="s">
        <v>102</v>
      </c>
      <c r="R3001" s="0" t="s">
        <v>144</v>
      </c>
      <c r="S3001" s="0" t="s">
        <v>21</v>
      </c>
      <c r="T3001" s="0" t="s">
        <v>104</v>
      </c>
      <c r="W3001" s="0" t="s">
        <v>105</v>
      </c>
    </row>
    <row r="3002" customFormat="false" ht="15" hidden="false" customHeight="false" outlineLevel="0" collapsed="false">
      <c r="A3002" s="0" t="s">
        <v>21</v>
      </c>
      <c r="B3002" s="0" t="s">
        <v>9550</v>
      </c>
      <c r="C3002" s="0" t="s">
        <v>139</v>
      </c>
      <c r="D3002" s="0" t="s">
        <v>9549</v>
      </c>
      <c r="E3002" s="0" t="s">
        <v>9549</v>
      </c>
      <c r="H3002" s="0" t="s">
        <v>9551</v>
      </c>
      <c r="I3002" s="0" t="s">
        <v>9552</v>
      </c>
      <c r="J3002" s="0" t="s">
        <v>232</v>
      </c>
      <c r="K3002" s="0" t="s">
        <v>9553</v>
      </c>
      <c r="L3002" s="0" t="s">
        <v>124</v>
      </c>
      <c r="M3002" s="0" t="s">
        <v>232</v>
      </c>
      <c r="N3002" s="0" t="s">
        <v>124</v>
      </c>
      <c r="P3002" s="0" t="s">
        <v>102</v>
      </c>
      <c r="Q3002" s="0" t="s">
        <v>102</v>
      </c>
      <c r="R3002" s="0" t="s">
        <v>144</v>
      </c>
      <c r="S3002" s="0" t="s">
        <v>21</v>
      </c>
      <c r="T3002" s="0" t="s">
        <v>104</v>
      </c>
      <c r="W3002" s="0" t="s">
        <v>105</v>
      </c>
    </row>
    <row r="3003" customFormat="false" ht="15" hidden="false" customHeight="false" outlineLevel="0" collapsed="false">
      <c r="A3003" s="0" t="s">
        <v>21</v>
      </c>
      <c r="B3003" s="0" t="s">
        <v>9554</v>
      </c>
      <c r="C3003" s="0" t="s">
        <v>139</v>
      </c>
      <c r="D3003" s="0" t="s">
        <v>9549</v>
      </c>
      <c r="E3003" s="0" t="s">
        <v>9549</v>
      </c>
      <c r="M3003" s="0" t="s">
        <v>232</v>
      </c>
      <c r="N3003" s="0" t="s">
        <v>124</v>
      </c>
      <c r="P3003" s="0" t="s">
        <v>102</v>
      </c>
      <c r="Q3003" s="0" t="s">
        <v>102</v>
      </c>
      <c r="R3003" s="0" t="s">
        <v>144</v>
      </c>
      <c r="S3003" s="0" t="s">
        <v>21</v>
      </c>
      <c r="T3003" s="0" t="s">
        <v>104</v>
      </c>
      <c r="W3003" s="0" t="s">
        <v>105</v>
      </c>
    </row>
    <row r="3004" customFormat="false" ht="15" hidden="false" customHeight="false" outlineLevel="0" collapsed="false">
      <c r="A3004" s="0" t="s">
        <v>21</v>
      </c>
      <c r="B3004" s="0" t="s">
        <v>9555</v>
      </c>
      <c r="C3004" s="0" t="s">
        <v>139</v>
      </c>
      <c r="D3004" s="0" t="s">
        <v>9549</v>
      </c>
      <c r="E3004" s="0" t="s">
        <v>9549</v>
      </c>
      <c r="H3004" s="0" t="s">
        <v>9556</v>
      </c>
      <c r="I3004" s="0" t="s">
        <v>9557</v>
      </c>
      <c r="J3004" s="0" t="s">
        <v>157</v>
      </c>
      <c r="K3004" s="0" t="s">
        <v>5466</v>
      </c>
      <c r="M3004" s="0" t="s">
        <v>232</v>
      </c>
      <c r="N3004" s="0" t="s">
        <v>124</v>
      </c>
      <c r="P3004" s="0" t="s">
        <v>102</v>
      </c>
      <c r="Q3004" s="0" t="s">
        <v>102</v>
      </c>
      <c r="R3004" s="0" t="s">
        <v>144</v>
      </c>
      <c r="S3004" s="0" t="s">
        <v>21</v>
      </c>
      <c r="T3004" s="0" t="s">
        <v>104</v>
      </c>
      <c r="W3004" s="0" t="s">
        <v>105</v>
      </c>
    </row>
    <row r="3005" customFormat="false" ht="15" hidden="false" customHeight="false" outlineLevel="0" collapsed="false">
      <c r="A3005" s="0" t="s">
        <v>21</v>
      </c>
      <c r="B3005" s="0" t="s">
        <v>9558</v>
      </c>
      <c r="C3005" s="0" t="s">
        <v>174</v>
      </c>
      <c r="D3005" s="0" t="s">
        <v>9559</v>
      </c>
      <c r="E3005" s="0" t="s">
        <v>9560</v>
      </c>
      <c r="M3005" s="0" t="s">
        <v>178</v>
      </c>
      <c r="N3005" s="0" t="s">
        <v>124</v>
      </c>
      <c r="P3005" s="0" t="s">
        <v>102</v>
      </c>
      <c r="Q3005" s="0" t="s">
        <v>102</v>
      </c>
      <c r="R3005" s="0" t="s">
        <v>131</v>
      </c>
      <c r="S3005" s="0" t="s">
        <v>21</v>
      </c>
      <c r="T3005" s="0" t="s">
        <v>104</v>
      </c>
      <c r="W3005" s="0" t="s">
        <v>105</v>
      </c>
    </row>
    <row r="3006" customFormat="false" ht="15" hidden="false" customHeight="false" outlineLevel="0" collapsed="false">
      <c r="A3006" s="0" t="s">
        <v>21</v>
      </c>
      <c r="B3006" s="0" t="s">
        <v>9561</v>
      </c>
      <c r="C3006" s="0" t="s">
        <v>97</v>
      </c>
      <c r="D3006" s="0" t="s">
        <v>9562</v>
      </c>
      <c r="E3006" s="0" t="s">
        <v>9563</v>
      </c>
      <c r="M3006" s="0" t="s">
        <v>136</v>
      </c>
      <c r="N3006" s="0" t="s">
        <v>124</v>
      </c>
      <c r="P3006" s="0" t="s">
        <v>102</v>
      </c>
      <c r="Q3006" s="0" t="s">
        <v>102</v>
      </c>
      <c r="R3006" s="0" t="s">
        <v>113</v>
      </c>
      <c r="S3006" s="0" t="s">
        <v>21</v>
      </c>
      <c r="T3006" s="0" t="s">
        <v>104</v>
      </c>
      <c r="W3006" s="0" t="s">
        <v>105</v>
      </c>
    </row>
    <row r="3007" customFormat="false" ht="15" hidden="false" customHeight="false" outlineLevel="0" collapsed="false">
      <c r="A3007" s="0" t="s">
        <v>21</v>
      </c>
      <c r="B3007" s="0" t="s">
        <v>9564</v>
      </c>
      <c r="C3007" s="0" t="s">
        <v>97</v>
      </c>
      <c r="D3007" s="0" t="s">
        <v>927</v>
      </c>
      <c r="E3007" s="0" t="s">
        <v>9565</v>
      </c>
      <c r="M3007" s="0" t="s">
        <v>136</v>
      </c>
      <c r="N3007" s="0" t="s">
        <v>124</v>
      </c>
      <c r="P3007" s="0" t="s">
        <v>102</v>
      </c>
      <c r="Q3007" s="0" t="s">
        <v>102</v>
      </c>
      <c r="R3007" s="0" t="s">
        <v>113</v>
      </c>
      <c r="S3007" s="0" t="s">
        <v>21</v>
      </c>
      <c r="T3007" s="0" t="s">
        <v>104</v>
      </c>
      <c r="W3007" s="0" t="s">
        <v>105</v>
      </c>
    </row>
    <row r="3008" customFormat="false" ht="15" hidden="false" customHeight="false" outlineLevel="0" collapsed="false">
      <c r="A3008" s="0" t="s">
        <v>21</v>
      </c>
      <c r="B3008" s="0" t="s">
        <v>9566</v>
      </c>
      <c r="C3008" s="0" t="s">
        <v>7200</v>
      </c>
      <c r="D3008" s="0" t="s">
        <v>9567</v>
      </c>
      <c r="E3008" s="0" t="s">
        <v>6469</v>
      </c>
      <c r="H3008" s="0" t="s">
        <v>9568</v>
      </c>
      <c r="I3008" s="0" t="s">
        <v>9566</v>
      </c>
      <c r="J3008" s="0" t="s">
        <v>218</v>
      </c>
      <c r="K3008" s="0" t="s">
        <v>454</v>
      </c>
      <c r="L3008" s="0" t="s">
        <v>124</v>
      </c>
      <c r="M3008" s="0" t="s">
        <v>220</v>
      </c>
      <c r="N3008" s="0" t="s">
        <v>124</v>
      </c>
      <c r="P3008" s="0" t="s">
        <v>102</v>
      </c>
      <c r="Q3008" s="0" t="s">
        <v>102</v>
      </c>
      <c r="R3008" s="0" t="s">
        <v>113</v>
      </c>
      <c r="S3008" s="0" t="s">
        <v>21</v>
      </c>
      <c r="T3008" s="0" t="s">
        <v>104</v>
      </c>
      <c r="W3008" s="0" t="s">
        <v>105</v>
      </c>
      <c r="X3008" s="0" t="s">
        <v>1942</v>
      </c>
      <c r="Y3008" s="0" t="s">
        <v>9569</v>
      </c>
      <c r="Z3008" s="0" t="s">
        <v>382</v>
      </c>
    </row>
    <row r="3009" customFormat="false" ht="15" hidden="false" customHeight="false" outlineLevel="0" collapsed="false">
      <c r="A3009" s="0" t="s">
        <v>21</v>
      </c>
      <c r="B3009" s="0" t="s">
        <v>9570</v>
      </c>
      <c r="C3009" s="0" t="s">
        <v>395</v>
      </c>
      <c r="D3009" s="0" t="s">
        <v>2210</v>
      </c>
      <c r="E3009" s="0" t="s">
        <v>9571</v>
      </c>
      <c r="H3009" s="0" t="s">
        <v>9572</v>
      </c>
      <c r="I3009" s="0" t="s">
        <v>9573</v>
      </c>
      <c r="J3009" s="0" t="s">
        <v>275</v>
      </c>
      <c r="K3009" s="0" t="s">
        <v>9574</v>
      </c>
      <c r="M3009" s="0" t="s">
        <v>232</v>
      </c>
      <c r="N3009" s="0" t="s">
        <v>124</v>
      </c>
      <c r="P3009" s="0" t="s">
        <v>236</v>
      </c>
      <c r="Q3009" s="0" t="s">
        <v>236</v>
      </c>
      <c r="R3009" s="0" t="s">
        <v>957</v>
      </c>
      <c r="S3009" s="0" t="s">
        <v>21</v>
      </c>
      <c r="T3009" s="0" t="s">
        <v>104</v>
      </c>
      <c r="W3009" s="0" t="s">
        <v>105</v>
      </c>
      <c r="X3009" s="0" t="s">
        <v>9575</v>
      </c>
      <c r="Y3009" s="0" t="s">
        <v>9576</v>
      </c>
      <c r="Z3009" s="0" t="s">
        <v>1147</v>
      </c>
    </row>
    <row r="3010" customFormat="false" ht="15" hidden="false" customHeight="false" outlineLevel="0" collapsed="false">
      <c r="A3010" s="0" t="s">
        <v>21</v>
      </c>
      <c r="B3010" s="0" t="s">
        <v>9577</v>
      </c>
      <c r="C3010" s="0" t="s">
        <v>110</v>
      </c>
      <c r="D3010" s="0" t="s">
        <v>9578</v>
      </c>
      <c r="E3010" s="0" t="s">
        <v>9578</v>
      </c>
      <c r="M3010" s="0" t="s">
        <v>1178</v>
      </c>
      <c r="N3010" s="0" t="s">
        <v>101</v>
      </c>
      <c r="P3010" s="0" t="s">
        <v>102</v>
      </c>
      <c r="Q3010" s="0" t="s">
        <v>102</v>
      </c>
      <c r="R3010" s="0" t="s">
        <v>113</v>
      </c>
      <c r="S3010" s="0" t="s">
        <v>21</v>
      </c>
      <c r="T3010" s="0" t="s">
        <v>104</v>
      </c>
      <c r="W3010" s="0" t="s">
        <v>105</v>
      </c>
    </row>
    <row r="3011" customFormat="false" ht="15" hidden="false" customHeight="false" outlineLevel="0" collapsed="false">
      <c r="A3011" s="0" t="s">
        <v>21</v>
      </c>
      <c r="B3011" s="0" t="s">
        <v>9579</v>
      </c>
      <c r="C3011" s="0" t="s">
        <v>97</v>
      </c>
      <c r="D3011" s="0" t="s">
        <v>1296</v>
      </c>
      <c r="E3011" s="0" t="s">
        <v>9580</v>
      </c>
      <c r="H3011" s="0" t="s">
        <v>9581</v>
      </c>
      <c r="I3011" s="0" t="s">
        <v>9582</v>
      </c>
      <c r="J3011" s="0" t="s">
        <v>9582</v>
      </c>
      <c r="K3011" s="0" t="s">
        <v>1294</v>
      </c>
      <c r="L3011" s="0" t="s">
        <v>101</v>
      </c>
      <c r="M3011" s="0" t="s">
        <v>612</v>
      </c>
      <c r="N3011" s="0" t="s">
        <v>101</v>
      </c>
      <c r="P3011" s="0" t="s">
        <v>102</v>
      </c>
      <c r="Q3011" s="0" t="s">
        <v>102</v>
      </c>
      <c r="R3011" s="0" t="s">
        <v>113</v>
      </c>
      <c r="S3011" s="0" t="s">
        <v>21</v>
      </c>
      <c r="T3011" s="0" t="s">
        <v>104</v>
      </c>
      <c r="W3011" s="0" t="s">
        <v>105</v>
      </c>
      <c r="X3011" s="0" t="s">
        <v>9583</v>
      </c>
      <c r="Y3011" s="0" t="s">
        <v>9584</v>
      </c>
    </row>
    <row r="3012" customFormat="false" ht="15" hidden="false" customHeight="false" outlineLevel="0" collapsed="false">
      <c r="A3012" s="0" t="s">
        <v>21</v>
      </c>
      <c r="B3012" s="0" t="s">
        <v>9585</v>
      </c>
      <c r="C3012" s="0" t="s">
        <v>97</v>
      </c>
      <c r="D3012" s="0" t="s">
        <v>753</v>
      </c>
      <c r="E3012" s="0" t="s">
        <v>9586</v>
      </c>
      <c r="M3012" s="0" t="s">
        <v>136</v>
      </c>
      <c r="N3012" s="0" t="s">
        <v>124</v>
      </c>
      <c r="P3012" s="0" t="s">
        <v>102</v>
      </c>
      <c r="Q3012" s="0" t="s">
        <v>102</v>
      </c>
      <c r="R3012" s="0" t="s">
        <v>113</v>
      </c>
      <c r="S3012" s="0" t="s">
        <v>21</v>
      </c>
      <c r="T3012" s="0" t="s">
        <v>104</v>
      </c>
      <c r="W3012" s="0" t="s">
        <v>105</v>
      </c>
    </row>
    <row r="3013" customFormat="false" ht="15" hidden="false" customHeight="false" outlineLevel="0" collapsed="false">
      <c r="A3013" s="0" t="s">
        <v>21</v>
      </c>
      <c r="B3013" s="0" t="s">
        <v>9587</v>
      </c>
      <c r="C3013" s="0" t="s">
        <v>97</v>
      </c>
      <c r="D3013" s="0" t="s">
        <v>9588</v>
      </c>
      <c r="E3013" s="0" t="s">
        <v>9589</v>
      </c>
      <c r="M3013" s="0" t="s">
        <v>136</v>
      </c>
      <c r="N3013" s="0" t="s">
        <v>124</v>
      </c>
      <c r="P3013" s="0" t="s">
        <v>102</v>
      </c>
      <c r="Q3013" s="0" t="s">
        <v>102</v>
      </c>
      <c r="R3013" s="0" t="s">
        <v>113</v>
      </c>
      <c r="S3013" s="0" t="s">
        <v>21</v>
      </c>
      <c r="T3013" s="0" t="s">
        <v>104</v>
      </c>
      <c r="W3013" s="0" t="s">
        <v>105</v>
      </c>
    </row>
    <row r="3014" customFormat="false" ht="15" hidden="false" customHeight="false" outlineLevel="0" collapsed="false">
      <c r="A3014" s="0" t="s">
        <v>21</v>
      </c>
      <c r="B3014" s="0" t="s">
        <v>9590</v>
      </c>
      <c r="C3014" s="0" t="s">
        <v>97</v>
      </c>
      <c r="D3014" s="0" t="s">
        <v>9591</v>
      </c>
      <c r="E3014" s="0" t="s">
        <v>9591</v>
      </c>
      <c r="M3014" s="0" t="s">
        <v>442</v>
      </c>
      <c r="N3014" s="0" t="s">
        <v>101</v>
      </c>
      <c r="P3014" s="0" t="s">
        <v>102</v>
      </c>
      <c r="Q3014" s="0" t="s">
        <v>102</v>
      </c>
      <c r="R3014" s="0" t="s">
        <v>131</v>
      </c>
      <c r="S3014" s="0" t="s">
        <v>21</v>
      </c>
      <c r="T3014" s="0" t="s">
        <v>104</v>
      </c>
      <c r="W3014" s="0" t="s">
        <v>105</v>
      </c>
    </row>
    <row r="3015" customFormat="false" ht="15" hidden="false" customHeight="false" outlineLevel="0" collapsed="false">
      <c r="A3015" s="0" t="s">
        <v>21</v>
      </c>
      <c r="B3015" s="0" t="s">
        <v>9592</v>
      </c>
      <c r="C3015" s="0" t="s">
        <v>97</v>
      </c>
      <c r="D3015" s="0" t="s">
        <v>9593</v>
      </c>
      <c r="E3015" s="0" t="s">
        <v>9593</v>
      </c>
      <c r="M3015" s="0" t="s">
        <v>442</v>
      </c>
      <c r="N3015" s="0" t="s">
        <v>101</v>
      </c>
      <c r="P3015" s="0" t="s">
        <v>102</v>
      </c>
      <c r="Q3015" s="0" t="s">
        <v>102</v>
      </c>
      <c r="R3015" s="0" t="s">
        <v>131</v>
      </c>
      <c r="S3015" s="0" t="s">
        <v>21</v>
      </c>
      <c r="T3015" s="0" t="s">
        <v>104</v>
      </c>
      <c r="W3015" s="0" t="s">
        <v>105</v>
      </c>
    </row>
    <row r="3016" customFormat="false" ht="15" hidden="false" customHeight="false" outlineLevel="0" collapsed="false">
      <c r="A3016" s="0" t="s">
        <v>21</v>
      </c>
      <c r="B3016" s="0" t="s">
        <v>9594</v>
      </c>
      <c r="C3016" s="0" t="s">
        <v>97</v>
      </c>
      <c r="D3016" s="0" t="s">
        <v>9595</v>
      </c>
      <c r="E3016" s="0" t="s">
        <v>9595</v>
      </c>
      <c r="F3016" s="0" t="s">
        <v>9595</v>
      </c>
      <c r="M3016" s="0" t="s">
        <v>100</v>
      </c>
      <c r="N3016" s="0" t="s">
        <v>101</v>
      </c>
      <c r="P3016" s="0" t="s">
        <v>102</v>
      </c>
      <c r="Q3016" s="0" t="s">
        <v>102</v>
      </c>
      <c r="R3016" s="0" t="s">
        <v>131</v>
      </c>
      <c r="S3016" s="0" t="s">
        <v>21</v>
      </c>
      <c r="T3016" s="0" t="s">
        <v>104</v>
      </c>
      <c r="W3016" s="0" t="s">
        <v>105</v>
      </c>
    </row>
    <row r="3017" customFormat="false" ht="15" hidden="false" customHeight="false" outlineLevel="0" collapsed="false">
      <c r="A3017" s="0" t="s">
        <v>21</v>
      </c>
      <c r="B3017" s="0" t="s">
        <v>9596</v>
      </c>
      <c r="C3017" s="0" t="s">
        <v>97</v>
      </c>
      <c r="D3017" s="0" t="s">
        <v>9597</v>
      </c>
      <c r="E3017" s="0" t="s">
        <v>9598</v>
      </c>
      <c r="M3017" s="0" t="s">
        <v>136</v>
      </c>
      <c r="N3017" s="0" t="s">
        <v>124</v>
      </c>
      <c r="P3017" s="0" t="s">
        <v>102</v>
      </c>
      <c r="Q3017" s="0" t="s">
        <v>102</v>
      </c>
      <c r="R3017" s="0" t="s">
        <v>131</v>
      </c>
      <c r="S3017" s="0" t="s">
        <v>21</v>
      </c>
      <c r="T3017" s="0" t="s">
        <v>104</v>
      </c>
      <c r="W3017" s="0" t="s">
        <v>105</v>
      </c>
    </row>
    <row r="3018" customFormat="false" ht="28.35" hidden="false" customHeight="false" outlineLevel="0" collapsed="false">
      <c r="A3018" s="0" t="s">
        <v>21</v>
      </c>
      <c r="B3018" s="0" t="s">
        <v>9599</v>
      </c>
      <c r="C3018" s="0" t="s">
        <v>139</v>
      </c>
      <c r="D3018" s="0" t="s">
        <v>9600</v>
      </c>
      <c r="E3018" s="0" t="s">
        <v>9601</v>
      </c>
      <c r="G3018" s="9" t="s">
        <v>9602</v>
      </c>
      <c r="H3018" s="0" t="s">
        <v>9603</v>
      </c>
      <c r="I3018" s="0" t="s">
        <v>9604</v>
      </c>
      <c r="J3018" s="0" t="s">
        <v>456</v>
      </c>
      <c r="K3018" s="0" t="s">
        <v>648</v>
      </c>
      <c r="M3018" s="0" t="s">
        <v>456</v>
      </c>
      <c r="N3018" s="0" t="s">
        <v>101</v>
      </c>
      <c r="P3018" s="0" t="s">
        <v>102</v>
      </c>
      <c r="Q3018" s="0" t="s">
        <v>102</v>
      </c>
      <c r="R3018" s="0" t="s">
        <v>113</v>
      </c>
      <c r="S3018" s="0" t="s">
        <v>21</v>
      </c>
      <c r="T3018" s="0" t="s">
        <v>104</v>
      </c>
      <c r="W3018" s="0" t="s">
        <v>105</v>
      </c>
    </row>
    <row r="3019" customFormat="false" ht="15" hidden="false" customHeight="false" outlineLevel="0" collapsed="false">
      <c r="A3019" s="0" t="s">
        <v>21</v>
      </c>
      <c r="B3019" s="0" t="s">
        <v>9605</v>
      </c>
      <c r="C3019" s="0" t="s">
        <v>97</v>
      </c>
      <c r="D3019" s="0" t="s">
        <v>9606</v>
      </c>
      <c r="E3019" s="0" t="s">
        <v>9607</v>
      </c>
      <c r="H3019" s="0" t="s">
        <v>654</v>
      </c>
      <c r="I3019" s="0" t="s">
        <v>655</v>
      </c>
      <c r="J3019" s="0" t="s">
        <v>100</v>
      </c>
      <c r="K3019" s="0" t="s">
        <v>168</v>
      </c>
      <c r="L3019" s="0" t="s">
        <v>101</v>
      </c>
      <c r="M3019" s="0" t="s">
        <v>656</v>
      </c>
      <c r="N3019" s="0" t="s">
        <v>101</v>
      </c>
      <c r="P3019" s="0" t="s">
        <v>102</v>
      </c>
      <c r="Q3019" s="0" t="s">
        <v>102</v>
      </c>
      <c r="R3019" s="0" t="s">
        <v>113</v>
      </c>
      <c r="S3019" s="0" t="s">
        <v>21</v>
      </c>
      <c r="T3019" s="0" t="s">
        <v>104</v>
      </c>
      <c r="W3019" s="0" t="s">
        <v>105</v>
      </c>
      <c r="X3019" s="0" t="s">
        <v>658</v>
      </c>
      <c r="Y3019" s="0" t="s">
        <v>659</v>
      </c>
    </row>
    <row r="3020" customFormat="false" ht="15" hidden="false" customHeight="false" outlineLevel="0" collapsed="false">
      <c r="A3020" s="0" t="s">
        <v>21</v>
      </c>
      <c r="B3020" s="0" t="s">
        <v>9608</v>
      </c>
      <c r="C3020" s="0" t="s">
        <v>2145</v>
      </c>
      <c r="D3020" s="0" t="s">
        <v>9609</v>
      </c>
      <c r="E3020" s="0" t="s">
        <v>9610</v>
      </c>
      <c r="G3020" s="0" t="s">
        <v>9611</v>
      </c>
      <c r="M3020" s="0" t="s">
        <v>442</v>
      </c>
      <c r="N3020" s="0" t="s">
        <v>101</v>
      </c>
      <c r="P3020" s="0" t="s">
        <v>130</v>
      </c>
      <c r="Q3020" s="0" t="s">
        <v>130</v>
      </c>
      <c r="R3020" s="0" t="s">
        <v>113</v>
      </c>
      <c r="S3020" s="0" t="s">
        <v>21</v>
      </c>
      <c r="T3020" s="0" t="s">
        <v>104</v>
      </c>
      <c r="W3020" s="0" t="s">
        <v>105</v>
      </c>
    </row>
    <row r="3021" customFormat="false" ht="15" hidden="false" customHeight="false" outlineLevel="0" collapsed="false">
      <c r="A3021" s="0" t="s">
        <v>21</v>
      </c>
      <c r="B3021" s="0" t="s">
        <v>9612</v>
      </c>
      <c r="C3021" s="0" t="s">
        <v>97</v>
      </c>
      <c r="D3021" s="0" t="s">
        <v>9613</v>
      </c>
      <c r="E3021" s="0" t="s">
        <v>9614</v>
      </c>
      <c r="M3021" s="0" t="s">
        <v>100</v>
      </c>
      <c r="N3021" s="0" t="s">
        <v>101</v>
      </c>
      <c r="P3021" s="0" t="s">
        <v>102</v>
      </c>
      <c r="Q3021" s="0" t="s">
        <v>102</v>
      </c>
      <c r="R3021" s="0" t="s">
        <v>144</v>
      </c>
      <c r="S3021" s="0" t="s">
        <v>21</v>
      </c>
      <c r="T3021" s="0" t="s">
        <v>104</v>
      </c>
      <c r="W3021" s="0" t="s">
        <v>105</v>
      </c>
    </row>
    <row r="3022" customFormat="false" ht="15" hidden="false" customHeight="false" outlineLevel="0" collapsed="false">
      <c r="A3022" s="0" t="s">
        <v>21</v>
      </c>
      <c r="B3022" s="0" t="s">
        <v>9615</v>
      </c>
      <c r="C3022" s="0" t="s">
        <v>97</v>
      </c>
      <c r="D3022" s="0" t="s">
        <v>9616</v>
      </c>
      <c r="E3022" s="0" t="s">
        <v>9617</v>
      </c>
      <c r="M3022" s="0" t="s">
        <v>100</v>
      </c>
      <c r="N3022" s="0" t="s">
        <v>101</v>
      </c>
      <c r="P3022" s="0" t="s">
        <v>102</v>
      </c>
      <c r="Q3022" s="0" t="s">
        <v>102</v>
      </c>
      <c r="R3022" s="0" t="s">
        <v>144</v>
      </c>
      <c r="S3022" s="0" t="s">
        <v>21</v>
      </c>
      <c r="T3022" s="0" t="s">
        <v>104</v>
      </c>
      <c r="W3022" s="0" t="s">
        <v>105</v>
      </c>
    </row>
    <row r="3023" customFormat="false" ht="15" hidden="false" customHeight="false" outlineLevel="0" collapsed="false">
      <c r="A3023" s="0" t="s">
        <v>21</v>
      </c>
      <c r="B3023" s="0" t="s">
        <v>9618</v>
      </c>
      <c r="C3023" s="0" t="s">
        <v>97</v>
      </c>
      <c r="D3023" s="0" t="s">
        <v>9619</v>
      </c>
      <c r="E3023" s="0" t="s">
        <v>9620</v>
      </c>
      <c r="M3023" s="0" t="s">
        <v>100</v>
      </c>
      <c r="N3023" s="0" t="s">
        <v>101</v>
      </c>
      <c r="P3023" s="0" t="s">
        <v>102</v>
      </c>
      <c r="Q3023" s="0" t="s">
        <v>102</v>
      </c>
      <c r="R3023" s="0" t="s">
        <v>144</v>
      </c>
      <c r="S3023" s="0" t="s">
        <v>21</v>
      </c>
      <c r="T3023" s="0" t="s">
        <v>104</v>
      </c>
      <c r="W3023" s="0" t="s">
        <v>105</v>
      </c>
    </row>
    <row r="3024" customFormat="false" ht="15" hidden="false" customHeight="false" outlineLevel="0" collapsed="false">
      <c r="A3024" s="0" t="s">
        <v>21</v>
      </c>
      <c r="B3024" s="0" t="s">
        <v>9621</v>
      </c>
      <c r="C3024" s="0" t="s">
        <v>97</v>
      </c>
      <c r="D3024" s="0" t="s">
        <v>9622</v>
      </c>
      <c r="E3024" s="0" t="s">
        <v>9623</v>
      </c>
      <c r="M3024" s="0" t="s">
        <v>100</v>
      </c>
      <c r="N3024" s="0" t="s">
        <v>101</v>
      </c>
      <c r="P3024" s="0" t="s">
        <v>102</v>
      </c>
      <c r="Q3024" s="0" t="s">
        <v>102</v>
      </c>
      <c r="R3024" s="0" t="s">
        <v>144</v>
      </c>
      <c r="S3024" s="0" t="s">
        <v>21</v>
      </c>
      <c r="T3024" s="0" t="s">
        <v>104</v>
      </c>
      <c r="W3024" s="0" t="s">
        <v>105</v>
      </c>
    </row>
    <row r="3025" customFormat="false" ht="15" hidden="false" customHeight="false" outlineLevel="0" collapsed="false">
      <c r="A3025" s="0" t="s">
        <v>21</v>
      </c>
      <c r="B3025" s="0" t="s">
        <v>9624</v>
      </c>
      <c r="C3025" s="0" t="s">
        <v>97</v>
      </c>
      <c r="D3025" s="0" t="s">
        <v>9625</v>
      </c>
      <c r="E3025" s="0" t="s">
        <v>9626</v>
      </c>
      <c r="M3025" s="0" t="s">
        <v>100</v>
      </c>
      <c r="N3025" s="0" t="s">
        <v>101</v>
      </c>
      <c r="P3025" s="0" t="s">
        <v>102</v>
      </c>
      <c r="Q3025" s="0" t="s">
        <v>102</v>
      </c>
      <c r="R3025" s="0" t="s">
        <v>144</v>
      </c>
      <c r="S3025" s="0" t="s">
        <v>21</v>
      </c>
      <c r="T3025" s="0" t="s">
        <v>104</v>
      </c>
      <c r="W3025" s="0" t="s">
        <v>105</v>
      </c>
    </row>
    <row r="3026" customFormat="false" ht="15" hidden="false" customHeight="false" outlineLevel="0" collapsed="false">
      <c r="A3026" s="0" t="s">
        <v>21</v>
      </c>
      <c r="B3026" s="0" t="s">
        <v>9627</v>
      </c>
      <c r="C3026" s="0" t="s">
        <v>97</v>
      </c>
      <c r="D3026" s="0" t="s">
        <v>9625</v>
      </c>
      <c r="E3026" s="0" t="s">
        <v>9628</v>
      </c>
      <c r="H3026" s="0" t="s">
        <v>9629</v>
      </c>
      <c r="I3026" s="0" t="s">
        <v>1372</v>
      </c>
      <c r="K3026" s="0" t="s">
        <v>9630</v>
      </c>
      <c r="L3026" s="0" t="s">
        <v>101</v>
      </c>
      <c r="M3026" s="0" t="s">
        <v>656</v>
      </c>
      <c r="N3026" s="0" t="s">
        <v>101</v>
      </c>
      <c r="P3026" s="0" t="s">
        <v>102</v>
      </c>
      <c r="Q3026" s="0" t="s">
        <v>102</v>
      </c>
      <c r="R3026" s="0" t="s">
        <v>144</v>
      </c>
      <c r="S3026" s="0" t="s">
        <v>21</v>
      </c>
      <c r="T3026" s="0" t="s">
        <v>104</v>
      </c>
      <c r="W3026" s="0" t="s">
        <v>105</v>
      </c>
      <c r="X3026" s="0" t="s">
        <v>658</v>
      </c>
      <c r="Y3026" s="0" t="s">
        <v>659</v>
      </c>
    </row>
    <row r="3027" customFormat="false" ht="15" hidden="false" customHeight="false" outlineLevel="0" collapsed="false">
      <c r="A3027" s="0" t="s">
        <v>21</v>
      </c>
      <c r="B3027" s="0" t="s">
        <v>9631</v>
      </c>
      <c r="C3027" s="0" t="s">
        <v>97</v>
      </c>
      <c r="D3027" s="0" t="s">
        <v>9632</v>
      </c>
      <c r="E3027" s="0" t="s">
        <v>9633</v>
      </c>
      <c r="M3027" s="0" t="s">
        <v>100</v>
      </c>
      <c r="N3027" s="0" t="s">
        <v>101</v>
      </c>
      <c r="P3027" s="0" t="s">
        <v>102</v>
      </c>
      <c r="Q3027" s="0" t="s">
        <v>102</v>
      </c>
      <c r="R3027" s="0" t="s">
        <v>144</v>
      </c>
      <c r="S3027" s="0" t="s">
        <v>21</v>
      </c>
      <c r="T3027" s="0" t="s">
        <v>104</v>
      </c>
      <c r="W3027" s="0" t="s">
        <v>105</v>
      </c>
    </row>
    <row r="3028" customFormat="false" ht="15" hidden="false" customHeight="false" outlineLevel="0" collapsed="false">
      <c r="A3028" s="0" t="s">
        <v>21</v>
      </c>
      <c r="B3028" s="0" t="s">
        <v>9634</v>
      </c>
      <c r="C3028" s="0" t="s">
        <v>97</v>
      </c>
      <c r="D3028" s="0" t="s">
        <v>9635</v>
      </c>
      <c r="E3028" s="0" t="s">
        <v>9636</v>
      </c>
      <c r="F3028" s="0" t="s">
        <v>9636</v>
      </c>
      <c r="M3028" s="0" t="s">
        <v>505</v>
      </c>
      <c r="N3028" s="0" t="s">
        <v>101</v>
      </c>
      <c r="P3028" s="0" t="s">
        <v>102</v>
      </c>
      <c r="Q3028" s="0" t="s">
        <v>102</v>
      </c>
      <c r="R3028" s="0" t="s">
        <v>113</v>
      </c>
      <c r="S3028" s="0" t="s">
        <v>21</v>
      </c>
      <c r="T3028" s="0" t="s">
        <v>104</v>
      </c>
      <c r="W3028" s="0" t="s">
        <v>105</v>
      </c>
    </row>
    <row r="3029" customFormat="false" ht="15" hidden="false" customHeight="false" outlineLevel="0" collapsed="false">
      <c r="A3029" s="0" t="s">
        <v>21</v>
      </c>
      <c r="B3029" s="0" t="s">
        <v>9637</v>
      </c>
      <c r="C3029" s="0" t="s">
        <v>97</v>
      </c>
      <c r="D3029" s="0" t="s">
        <v>9638</v>
      </c>
      <c r="E3029" s="0" t="s">
        <v>9639</v>
      </c>
      <c r="M3029" s="0" t="s">
        <v>656</v>
      </c>
      <c r="N3029" s="0" t="s">
        <v>101</v>
      </c>
      <c r="P3029" s="0" t="s">
        <v>102</v>
      </c>
      <c r="Q3029" s="0" t="s">
        <v>102</v>
      </c>
      <c r="R3029" s="0" t="s">
        <v>113</v>
      </c>
      <c r="S3029" s="0" t="s">
        <v>21</v>
      </c>
      <c r="T3029" s="0" t="s">
        <v>104</v>
      </c>
      <c r="W3029" s="0" t="s">
        <v>105</v>
      </c>
    </row>
    <row r="3030" customFormat="false" ht="15" hidden="false" customHeight="false" outlineLevel="0" collapsed="false">
      <c r="A3030" s="0" t="s">
        <v>21</v>
      </c>
      <c r="B3030" s="0" t="s">
        <v>9640</v>
      </c>
      <c r="C3030" s="0" t="s">
        <v>97</v>
      </c>
      <c r="D3030" s="0" t="s">
        <v>9641</v>
      </c>
      <c r="E3030" s="0" t="s">
        <v>9642</v>
      </c>
      <c r="M3030" s="0" t="s">
        <v>100</v>
      </c>
      <c r="N3030" s="0" t="s">
        <v>101</v>
      </c>
      <c r="P3030" s="0" t="s">
        <v>102</v>
      </c>
      <c r="Q3030" s="0" t="s">
        <v>102</v>
      </c>
      <c r="R3030" s="0" t="s">
        <v>144</v>
      </c>
      <c r="S3030" s="0" t="s">
        <v>21</v>
      </c>
      <c r="T3030" s="0" t="s">
        <v>104</v>
      </c>
      <c r="W3030" s="0" t="s">
        <v>105</v>
      </c>
    </row>
    <row r="3031" customFormat="false" ht="15" hidden="false" customHeight="false" outlineLevel="0" collapsed="false">
      <c r="A3031" s="0" t="s">
        <v>21</v>
      </c>
      <c r="B3031" s="0" t="s">
        <v>9643</v>
      </c>
      <c r="C3031" s="0" t="s">
        <v>97</v>
      </c>
      <c r="D3031" s="0" t="s">
        <v>2058</v>
      </c>
      <c r="E3031" s="0" t="s">
        <v>8360</v>
      </c>
      <c r="M3031" s="0" t="s">
        <v>100</v>
      </c>
      <c r="N3031" s="0" t="s">
        <v>101</v>
      </c>
      <c r="P3031" s="0" t="s">
        <v>102</v>
      </c>
      <c r="Q3031" s="0" t="s">
        <v>102</v>
      </c>
      <c r="R3031" s="0" t="s">
        <v>144</v>
      </c>
      <c r="S3031" s="0" t="s">
        <v>21</v>
      </c>
      <c r="T3031" s="0" t="s">
        <v>104</v>
      </c>
      <c r="W3031" s="0" t="s">
        <v>105</v>
      </c>
    </row>
    <row r="3032" customFormat="false" ht="15" hidden="false" customHeight="false" outlineLevel="0" collapsed="false">
      <c r="A3032" s="0" t="s">
        <v>21</v>
      </c>
      <c r="B3032" s="0" t="s">
        <v>9644</v>
      </c>
      <c r="C3032" s="0" t="s">
        <v>97</v>
      </c>
      <c r="D3032" s="0" t="s">
        <v>9645</v>
      </c>
      <c r="E3032" s="0" t="s">
        <v>9646</v>
      </c>
      <c r="H3032" s="0" t="s">
        <v>9647</v>
      </c>
      <c r="I3032" s="0" t="s">
        <v>100</v>
      </c>
      <c r="J3032" s="0" t="s">
        <v>100</v>
      </c>
      <c r="K3032" s="0" t="s">
        <v>9648</v>
      </c>
      <c r="L3032" s="0" t="s">
        <v>101</v>
      </c>
      <c r="M3032" s="0" t="s">
        <v>405</v>
      </c>
      <c r="N3032" s="0" t="s">
        <v>101</v>
      </c>
      <c r="P3032" s="0" t="s">
        <v>102</v>
      </c>
      <c r="Q3032" s="0" t="s">
        <v>102</v>
      </c>
      <c r="R3032" s="0" t="s">
        <v>113</v>
      </c>
      <c r="S3032" s="0" t="s">
        <v>21</v>
      </c>
      <c r="T3032" s="0" t="s">
        <v>104</v>
      </c>
      <c r="W3032" s="0" t="s">
        <v>105</v>
      </c>
      <c r="X3032" s="0" t="s">
        <v>9649</v>
      </c>
      <c r="Y3032" s="0" t="s">
        <v>9650</v>
      </c>
    </row>
    <row r="3033" customFormat="false" ht="15" hidden="false" customHeight="false" outlineLevel="0" collapsed="false">
      <c r="A3033" s="0" t="s">
        <v>21</v>
      </c>
      <c r="B3033" s="0" t="s">
        <v>9651</v>
      </c>
      <c r="C3033" s="0" t="s">
        <v>97</v>
      </c>
      <c r="D3033" s="0" t="s">
        <v>9652</v>
      </c>
      <c r="E3033" s="0" t="s">
        <v>9653</v>
      </c>
      <c r="M3033" s="0" t="s">
        <v>136</v>
      </c>
      <c r="N3033" s="0" t="s">
        <v>124</v>
      </c>
      <c r="P3033" s="0" t="s">
        <v>102</v>
      </c>
      <c r="Q3033" s="0" t="s">
        <v>102</v>
      </c>
      <c r="R3033" s="0" t="s">
        <v>131</v>
      </c>
      <c r="S3033" s="0" t="s">
        <v>21</v>
      </c>
      <c r="T3033" s="0" t="s">
        <v>104</v>
      </c>
      <c r="W3033" s="0" t="s">
        <v>105</v>
      </c>
    </row>
    <row r="3034" customFormat="false" ht="15" hidden="false" customHeight="false" outlineLevel="0" collapsed="false">
      <c r="A3034" s="0" t="s">
        <v>21</v>
      </c>
      <c r="B3034" s="0" t="s">
        <v>9654</v>
      </c>
      <c r="C3034" s="0" t="s">
        <v>97</v>
      </c>
      <c r="D3034" s="0" t="s">
        <v>9655</v>
      </c>
      <c r="E3034" s="0" t="s">
        <v>9656</v>
      </c>
      <c r="M3034" s="0" t="s">
        <v>136</v>
      </c>
      <c r="N3034" s="0" t="s">
        <v>124</v>
      </c>
      <c r="P3034" s="0" t="s">
        <v>102</v>
      </c>
      <c r="Q3034" s="0" t="s">
        <v>102</v>
      </c>
      <c r="R3034" s="0" t="s">
        <v>131</v>
      </c>
      <c r="S3034" s="0" t="s">
        <v>21</v>
      </c>
      <c r="T3034" s="0" t="s">
        <v>104</v>
      </c>
      <c r="W3034" s="0" t="s">
        <v>105</v>
      </c>
    </row>
    <row r="3035" customFormat="false" ht="15" hidden="false" customHeight="false" outlineLevel="0" collapsed="false">
      <c r="A3035" s="0" t="s">
        <v>21</v>
      </c>
      <c r="B3035" s="0" t="s">
        <v>9657</v>
      </c>
      <c r="C3035" s="0" t="s">
        <v>97</v>
      </c>
      <c r="D3035" s="0" t="s">
        <v>9658</v>
      </c>
      <c r="E3035" s="0" t="s">
        <v>9659</v>
      </c>
      <c r="M3035" s="0" t="s">
        <v>136</v>
      </c>
      <c r="N3035" s="0" t="s">
        <v>124</v>
      </c>
      <c r="P3035" s="0" t="s">
        <v>102</v>
      </c>
      <c r="Q3035" s="0" t="s">
        <v>102</v>
      </c>
      <c r="R3035" s="0" t="s">
        <v>131</v>
      </c>
      <c r="S3035" s="0" t="s">
        <v>21</v>
      </c>
      <c r="T3035" s="0" t="s">
        <v>104</v>
      </c>
      <c r="W3035" s="0" t="s">
        <v>105</v>
      </c>
    </row>
    <row r="3036" customFormat="false" ht="15" hidden="false" customHeight="false" outlineLevel="0" collapsed="false">
      <c r="A3036" s="0" t="s">
        <v>21</v>
      </c>
      <c r="B3036" s="0" t="s">
        <v>9660</v>
      </c>
      <c r="C3036" s="0" t="s">
        <v>97</v>
      </c>
      <c r="D3036" s="0" t="s">
        <v>9661</v>
      </c>
      <c r="E3036" s="0" t="s">
        <v>9661</v>
      </c>
      <c r="M3036" s="0" t="s">
        <v>136</v>
      </c>
      <c r="N3036" s="0" t="s">
        <v>124</v>
      </c>
      <c r="P3036" s="0" t="s">
        <v>102</v>
      </c>
      <c r="Q3036" s="0" t="s">
        <v>102</v>
      </c>
      <c r="R3036" s="0" t="s">
        <v>131</v>
      </c>
      <c r="S3036" s="0" t="s">
        <v>21</v>
      </c>
      <c r="T3036" s="0" t="s">
        <v>104</v>
      </c>
      <c r="W3036" s="0" t="s">
        <v>105</v>
      </c>
    </row>
    <row r="3037" customFormat="false" ht="15" hidden="false" customHeight="false" outlineLevel="0" collapsed="false">
      <c r="A3037" s="0" t="s">
        <v>21</v>
      </c>
      <c r="B3037" s="0" t="s">
        <v>9662</v>
      </c>
      <c r="C3037" s="0" t="s">
        <v>97</v>
      </c>
      <c r="D3037" s="0" t="s">
        <v>9663</v>
      </c>
      <c r="E3037" s="0" t="s">
        <v>9664</v>
      </c>
      <c r="M3037" s="0" t="s">
        <v>136</v>
      </c>
      <c r="N3037" s="0" t="s">
        <v>124</v>
      </c>
      <c r="P3037" s="0" t="s">
        <v>102</v>
      </c>
      <c r="Q3037" s="0" t="s">
        <v>102</v>
      </c>
      <c r="R3037" s="0" t="s">
        <v>131</v>
      </c>
      <c r="S3037" s="0" t="s">
        <v>21</v>
      </c>
      <c r="T3037" s="0" t="s">
        <v>104</v>
      </c>
      <c r="W3037" s="0" t="s">
        <v>105</v>
      </c>
    </row>
    <row r="3038" customFormat="false" ht="15" hidden="false" customHeight="false" outlineLevel="0" collapsed="false">
      <c r="A3038" s="0" t="s">
        <v>21</v>
      </c>
      <c r="B3038" s="0" t="s">
        <v>9665</v>
      </c>
      <c r="C3038" s="0" t="s">
        <v>97</v>
      </c>
      <c r="D3038" s="0" t="s">
        <v>5213</v>
      </c>
      <c r="E3038" s="0" t="s">
        <v>9666</v>
      </c>
      <c r="M3038" s="0" t="s">
        <v>100</v>
      </c>
      <c r="N3038" s="0" t="s">
        <v>101</v>
      </c>
      <c r="P3038" s="0" t="s">
        <v>102</v>
      </c>
      <c r="Q3038" s="0" t="s">
        <v>102</v>
      </c>
      <c r="R3038" s="0" t="s">
        <v>131</v>
      </c>
      <c r="S3038" s="0" t="s">
        <v>21</v>
      </c>
      <c r="T3038" s="0" t="s">
        <v>104</v>
      </c>
      <c r="W3038" s="0" t="s">
        <v>105</v>
      </c>
    </row>
    <row r="3039" customFormat="false" ht="15" hidden="false" customHeight="false" outlineLevel="0" collapsed="false">
      <c r="A3039" s="0" t="s">
        <v>21</v>
      </c>
      <c r="B3039" s="0" t="s">
        <v>9667</v>
      </c>
      <c r="C3039" s="0" t="s">
        <v>97</v>
      </c>
      <c r="D3039" s="0" t="s">
        <v>9668</v>
      </c>
      <c r="E3039" s="0" t="s">
        <v>9668</v>
      </c>
      <c r="F3039" s="0" t="s">
        <v>9668</v>
      </c>
      <c r="M3039" s="0" t="s">
        <v>100</v>
      </c>
      <c r="N3039" s="0" t="s">
        <v>101</v>
      </c>
      <c r="P3039" s="0" t="s">
        <v>102</v>
      </c>
      <c r="Q3039" s="0" t="s">
        <v>102</v>
      </c>
      <c r="R3039" s="0" t="s">
        <v>131</v>
      </c>
      <c r="S3039" s="0" t="s">
        <v>21</v>
      </c>
      <c r="T3039" s="0" t="s">
        <v>104</v>
      </c>
      <c r="W3039" s="0" t="s">
        <v>105</v>
      </c>
    </row>
    <row r="3040" customFormat="false" ht="15" hidden="false" customHeight="false" outlineLevel="0" collapsed="false">
      <c r="A3040" s="0" t="s">
        <v>21</v>
      </c>
      <c r="B3040" s="0" t="s">
        <v>9669</v>
      </c>
      <c r="C3040" s="0" t="s">
        <v>97</v>
      </c>
      <c r="D3040" s="0" t="s">
        <v>5213</v>
      </c>
      <c r="E3040" s="0" t="s">
        <v>5760</v>
      </c>
      <c r="G3040" s="0" t="s">
        <v>9666</v>
      </c>
      <c r="H3040" s="0" t="s">
        <v>654</v>
      </c>
      <c r="I3040" s="0" t="s">
        <v>655</v>
      </c>
      <c r="J3040" s="0" t="s">
        <v>100</v>
      </c>
      <c r="K3040" s="0" t="s">
        <v>168</v>
      </c>
      <c r="L3040" s="0" t="s">
        <v>101</v>
      </c>
      <c r="M3040" s="0" t="s">
        <v>656</v>
      </c>
      <c r="N3040" s="0" t="s">
        <v>101</v>
      </c>
      <c r="P3040" s="0" t="s">
        <v>102</v>
      </c>
      <c r="Q3040" s="0" t="s">
        <v>102</v>
      </c>
      <c r="R3040" s="0" t="s">
        <v>131</v>
      </c>
      <c r="S3040" s="0" t="s">
        <v>21</v>
      </c>
      <c r="T3040" s="0" t="s">
        <v>104</v>
      </c>
      <c r="W3040" s="0" t="s">
        <v>105</v>
      </c>
      <c r="X3040" s="0" t="s">
        <v>658</v>
      </c>
      <c r="Y3040" s="0" t="s">
        <v>659</v>
      </c>
    </row>
    <row r="3041" customFormat="false" ht="15" hidden="false" customHeight="false" outlineLevel="0" collapsed="false">
      <c r="A3041" s="0" t="s">
        <v>21</v>
      </c>
      <c r="B3041" s="0" t="s">
        <v>9670</v>
      </c>
      <c r="C3041" s="0" t="s">
        <v>97</v>
      </c>
      <c r="D3041" s="0" t="s">
        <v>9671</v>
      </c>
      <c r="E3041" s="0" t="s">
        <v>9672</v>
      </c>
      <c r="H3041" s="0" t="s">
        <v>9673</v>
      </c>
      <c r="I3041" s="0" t="s">
        <v>9674</v>
      </c>
      <c r="J3041" s="0" t="s">
        <v>437</v>
      </c>
      <c r="K3041" s="0" t="s">
        <v>1639</v>
      </c>
      <c r="L3041" s="0" t="s">
        <v>101</v>
      </c>
      <c r="M3041" s="0" t="s">
        <v>437</v>
      </c>
      <c r="N3041" s="0" t="s">
        <v>101</v>
      </c>
      <c r="P3041" s="0" t="s">
        <v>102</v>
      </c>
      <c r="Q3041" s="0" t="s">
        <v>102</v>
      </c>
      <c r="R3041" s="0" t="s">
        <v>131</v>
      </c>
      <c r="S3041" s="0" t="s">
        <v>21</v>
      </c>
      <c r="T3041" s="0" t="s">
        <v>104</v>
      </c>
      <c r="W3041" s="0" t="s">
        <v>105</v>
      </c>
      <c r="X3041" s="0" t="s">
        <v>9675</v>
      </c>
      <c r="Y3041" s="0" t="s">
        <v>9676</v>
      </c>
    </row>
    <row r="3042" customFormat="false" ht="15" hidden="false" customHeight="false" outlineLevel="0" collapsed="false">
      <c r="A3042" s="0" t="s">
        <v>21</v>
      </c>
      <c r="B3042" s="0" t="s">
        <v>9677</v>
      </c>
      <c r="C3042" s="0" t="s">
        <v>97</v>
      </c>
      <c r="D3042" s="0" t="s">
        <v>9678</v>
      </c>
      <c r="E3042" s="0" t="s">
        <v>9678</v>
      </c>
      <c r="F3042" s="0" t="s">
        <v>9678</v>
      </c>
      <c r="M3042" s="0" t="s">
        <v>100</v>
      </c>
      <c r="N3042" s="0" t="s">
        <v>101</v>
      </c>
      <c r="P3042" s="0" t="s">
        <v>102</v>
      </c>
      <c r="Q3042" s="0" t="s">
        <v>102</v>
      </c>
      <c r="R3042" s="0" t="s">
        <v>131</v>
      </c>
      <c r="S3042" s="0" t="s">
        <v>21</v>
      </c>
      <c r="T3042" s="0" t="s">
        <v>104</v>
      </c>
      <c r="W3042" s="0" t="s">
        <v>105</v>
      </c>
    </row>
    <row r="3043" customFormat="false" ht="15" hidden="false" customHeight="false" outlineLevel="0" collapsed="false">
      <c r="A3043" s="0" t="s">
        <v>21</v>
      </c>
      <c r="B3043" s="0" t="s">
        <v>9679</v>
      </c>
      <c r="C3043" s="0" t="s">
        <v>4845</v>
      </c>
      <c r="D3043" s="0" t="s">
        <v>9680</v>
      </c>
      <c r="E3043" s="0" t="s">
        <v>9681</v>
      </c>
      <c r="H3043" s="0" t="s">
        <v>9682</v>
      </c>
      <c r="I3043" s="0" t="s">
        <v>9683</v>
      </c>
      <c r="M3043" s="0" t="s">
        <v>208</v>
      </c>
      <c r="N3043" s="0" t="s">
        <v>124</v>
      </c>
      <c r="P3043" s="0" t="s">
        <v>102</v>
      </c>
      <c r="Q3043" s="0" t="s">
        <v>102</v>
      </c>
      <c r="R3043" s="0" t="s">
        <v>131</v>
      </c>
      <c r="S3043" s="0" t="s">
        <v>21</v>
      </c>
      <c r="T3043" s="0" t="s">
        <v>104</v>
      </c>
      <c r="W3043" s="0" t="s">
        <v>105</v>
      </c>
    </row>
    <row r="3044" customFormat="false" ht="15" hidden="false" customHeight="false" outlineLevel="0" collapsed="false">
      <c r="A3044" s="0" t="s">
        <v>21</v>
      </c>
      <c r="B3044" s="0" t="s">
        <v>9684</v>
      </c>
      <c r="C3044" s="0" t="s">
        <v>97</v>
      </c>
      <c r="D3044" s="0" t="s">
        <v>9680</v>
      </c>
      <c r="E3044" s="0" t="s">
        <v>9681</v>
      </c>
      <c r="M3044" s="0" t="s">
        <v>136</v>
      </c>
      <c r="N3044" s="0" t="s">
        <v>124</v>
      </c>
      <c r="P3044" s="0" t="s">
        <v>102</v>
      </c>
      <c r="Q3044" s="0" t="s">
        <v>102</v>
      </c>
      <c r="R3044" s="0" t="s">
        <v>131</v>
      </c>
      <c r="S3044" s="0" t="s">
        <v>21</v>
      </c>
      <c r="T3044" s="0" t="s">
        <v>104</v>
      </c>
      <c r="W3044" s="0" t="s">
        <v>105</v>
      </c>
    </row>
    <row r="3045" customFormat="false" ht="15" hidden="false" customHeight="false" outlineLevel="0" collapsed="false">
      <c r="A3045" s="0" t="s">
        <v>21</v>
      </c>
      <c r="B3045" s="0" t="s">
        <v>9685</v>
      </c>
      <c r="C3045" s="0" t="s">
        <v>97</v>
      </c>
      <c r="D3045" s="0" t="s">
        <v>9686</v>
      </c>
      <c r="E3045" s="0" t="s">
        <v>9687</v>
      </c>
      <c r="H3045" s="0" t="s">
        <v>9688</v>
      </c>
      <c r="I3045" s="0" t="s">
        <v>9689</v>
      </c>
      <c r="J3045" s="0" t="s">
        <v>1307</v>
      </c>
      <c r="K3045" s="0" t="s">
        <v>410</v>
      </c>
      <c r="L3045" s="0" t="s">
        <v>101</v>
      </c>
      <c r="M3045" s="0" t="s">
        <v>1307</v>
      </c>
      <c r="N3045" s="0" t="s">
        <v>101</v>
      </c>
      <c r="P3045" s="0" t="s">
        <v>102</v>
      </c>
      <c r="Q3045" s="0" t="s">
        <v>102</v>
      </c>
      <c r="R3045" s="0" t="s">
        <v>137</v>
      </c>
      <c r="S3045" s="0" t="s">
        <v>21</v>
      </c>
      <c r="T3045" s="0" t="s">
        <v>104</v>
      </c>
      <c r="W3045" s="0" t="s">
        <v>105</v>
      </c>
      <c r="X3045" s="0" t="s">
        <v>9690</v>
      </c>
      <c r="Y3045" s="0" t="s">
        <v>9691</v>
      </c>
    </row>
    <row r="3046" customFormat="false" ht="15" hidden="false" customHeight="false" outlineLevel="0" collapsed="false">
      <c r="A3046" s="0" t="s">
        <v>21</v>
      </c>
      <c r="B3046" s="0" t="s">
        <v>9692</v>
      </c>
      <c r="C3046" s="0" t="s">
        <v>97</v>
      </c>
      <c r="D3046" s="0" t="s">
        <v>9693</v>
      </c>
      <c r="E3046" s="0" t="s">
        <v>9694</v>
      </c>
      <c r="H3046" s="0" t="s">
        <v>9695</v>
      </c>
      <c r="I3046" s="0" t="s">
        <v>9689</v>
      </c>
      <c r="J3046" s="0" t="s">
        <v>1307</v>
      </c>
      <c r="K3046" s="0" t="s">
        <v>410</v>
      </c>
      <c r="M3046" s="0" t="s">
        <v>656</v>
      </c>
      <c r="N3046" s="0" t="s">
        <v>101</v>
      </c>
      <c r="P3046" s="0" t="s">
        <v>102</v>
      </c>
      <c r="Q3046" s="0" t="s">
        <v>102</v>
      </c>
      <c r="R3046" s="0" t="s">
        <v>137</v>
      </c>
      <c r="S3046" s="0" t="s">
        <v>21</v>
      </c>
      <c r="T3046" s="0" t="s">
        <v>104</v>
      </c>
      <c r="W3046" s="0" t="s">
        <v>105</v>
      </c>
    </row>
    <row r="3047" customFormat="false" ht="15" hidden="false" customHeight="false" outlineLevel="0" collapsed="false">
      <c r="A3047" s="0" t="s">
        <v>21</v>
      </c>
      <c r="B3047" s="0" t="s">
        <v>9696</v>
      </c>
      <c r="C3047" s="0" t="s">
        <v>97</v>
      </c>
      <c r="D3047" s="0" t="s">
        <v>9697</v>
      </c>
      <c r="E3047" s="0" t="s">
        <v>9698</v>
      </c>
      <c r="G3047" s="0" t="s">
        <v>9699</v>
      </c>
      <c r="H3047" s="0" t="s">
        <v>654</v>
      </c>
      <c r="I3047" s="0" t="s">
        <v>655</v>
      </c>
      <c r="J3047" s="0" t="s">
        <v>100</v>
      </c>
      <c r="K3047" s="0" t="s">
        <v>168</v>
      </c>
      <c r="L3047" s="0" t="s">
        <v>101</v>
      </c>
      <c r="M3047" s="0" t="s">
        <v>656</v>
      </c>
      <c r="N3047" s="0" t="s">
        <v>101</v>
      </c>
      <c r="P3047" s="0" t="s">
        <v>102</v>
      </c>
      <c r="Q3047" s="0" t="s">
        <v>102</v>
      </c>
      <c r="R3047" s="0" t="s">
        <v>131</v>
      </c>
      <c r="S3047" s="0" t="s">
        <v>21</v>
      </c>
      <c r="T3047" s="0" t="s">
        <v>104</v>
      </c>
      <c r="W3047" s="0" t="s">
        <v>105</v>
      </c>
      <c r="X3047" s="0" t="s">
        <v>658</v>
      </c>
      <c r="Y3047" s="0" t="s">
        <v>659</v>
      </c>
    </row>
    <row r="3048" customFormat="false" ht="15" hidden="false" customHeight="false" outlineLevel="0" collapsed="false">
      <c r="A3048" s="0" t="s">
        <v>21</v>
      </c>
      <c r="B3048" s="0" t="s">
        <v>9700</v>
      </c>
      <c r="C3048" s="0" t="s">
        <v>97</v>
      </c>
      <c r="D3048" s="0" t="s">
        <v>9701</v>
      </c>
      <c r="E3048" s="0" t="s">
        <v>9702</v>
      </c>
      <c r="G3048" s="0" t="s">
        <v>9703</v>
      </c>
      <c r="H3048" s="0" t="s">
        <v>654</v>
      </c>
      <c r="I3048" s="0" t="s">
        <v>655</v>
      </c>
      <c r="J3048" s="0" t="s">
        <v>100</v>
      </c>
      <c r="K3048" s="0" t="s">
        <v>168</v>
      </c>
      <c r="L3048" s="0" t="s">
        <v>101</v>
      </c>
      <c r="M3048" s="0" t="s">
        <v>656</v>
      </c>
      <c r="N3048" s="0" t="s">
        <v>101</v>
      </c>
      <c r="P3048" s="0" t="s">
        <v>102</v>
      </c>
      <c r="Q3048" s="0" t="s">
        <v>102</v>
      </c>
      <c r="R3048" s="0" t="s">
        <v>144</v>
      </c>
      <c r="S3048" s="0" t="s">
        <v>21</v>
      </c>
      <c r="T3048" s="0" t="s">
        <v>104</v>
      </c>
      <c r="W3048" s="0" t="s">
        <v>105</v>
      </c>
      <c r="X3048" s="0" t="s">
        <v>658</v>
      </c>
      <c r="Y3048" s="0" t="s">
        <v>659</v>
      </c>
    </row>
    <row r="3049" customFormat="false" ht="15" hidden="false" customHeight="false" outlineLevel="0" collapsed="false">
      <c r="A3049" s="0" t="s">
        <v>21</v>
      </c>
      <c r="B3049" s="0" t="s">
        <v>9704</v>
      </c>
      <c r="C3049" s="0" t="s">
        <v>97</v>
      </c>
      <c r="D3049" s="0" t="s">
        <v>9705</v>
      </c>
      <c r="E3049" s="0" t="s">
        <v>9702</v>
      </c>
      <c r="M3049" s="0" t="s">
        <v>100</v>
      </c>
      <c r="N3049" s="0" t="s">
        <v>101</v>
      </c>
      <c r="P3049" s="0" t="s">
        <v>102</v>
      </c>
      <c r="Q3049" s="0" t="s">
        <v>102</v>
      </c>
      <c r="R3049" s="0" t="s">
        <v>144</v>
      </c>
      <c r="S3049" s="0" t="s">
        <v>21</v>
      </c>
      <c r="T3049" s="0" t="s">
        <v>104</v>
      </c>
      <c r="W3049" s="0" t="s">
        <v>105</v>
      </c>
    </row>
    <row r="3050" customFormat="false" ht="15" hidden="false" customHeight="false" outlineLevel="0" collapsed="false">
      <c r="A3050" s="0" t="s">
        <v>21</v>
      </c>
      <c r="B3050" s="0" t="s">
        <v>9706</v>
      </c>
      <c r="C3050" s="0" t="s">
        <v>97</v>
      </c>
      <c r="D3050" s="0" t="s">
        <v>9707</v>
      </c>
      <c r="E3050" s="0" t="s">
        <v>9708</v>
      </c>
      <c r="G3050" s="0" t="s">
        <v>9709</v>
      </c>
      <c r="H3050" s="0" t="s">
        <v>654</v>
      </c>
      <c r="I3050" s="0" t="s">
        <v>655</v>
      </c>
      <c r="J3050" s="0" t="s">
        <v>100</v>
      </c>
      <c r="K3050" s="0" t="s">
        <v>168</v>
      </c>
      <c r="L3050" s="0" t="s">
        <v>101</v>
      </c>
      <c r="M3050" s="0" t="s">
        <v>656</v>
      </c>
      <c r="N3050" s="0" t="s">
        <v>101</v>
      </c>
      <c r="P3050" s="0" t="s">
        <v>102</v>
      </c>
      <c r="Q3050" s="0" t="s">
        <v>102</v>
      </c>
      <c r="R3050" s="0" t="s">
        <v>144</v>
      </c>
      <c r="S3050" s="0" t="s">
        <v>21</v>
      </c>
      <c r="T3050" s="0" t="s">
        <v>104</v>
      </c>
      <c r="W3050" s="0" t="s">
        <v>105</v>
      </c>
      <c r="X3050" s="0" t="s">
        <v>658</v>
      </c>
      <c r="Y3050" s="0" t="s">
        <v>659</v>
      </c>
    </row>
    <row r="3051" customFormat="false" ht="15" hidden="false" customHeight="false" outlineLevel="0" collapsed="false">
      <c r="A3051" s="0" t="s">
        <v>21</v>
      </c>
      <c r="B3051" s="0" t="s">
        <v>9710</v>
      </c>
      <c r="C3051" s="0" t="s">
        <v>200</v>
      </c>
      <c r="D3051" s="0" t="s">
        <v>9711</v>
      </c>
      <c r="E3051" s="0" t="s">
        <v>9712</v>
      </c>
      <c r="H3051" s="0" t="s">
        <v>9713</v>
      </c>
      <c r="I3051" s="0" t="s">
        <v>2678</v>
      </c>
      <c r="J3051" s="0" t="s">
        <v>245</v>
      </c>
      <c r="K3051" s="0" t="s">
        <v>2679</v>
      </c>
      <c r="M3051" s="0" t="s">
        <v>247</v>
      </c>
      <c r="N3051" s="0" t="s">
        <v>124</v>
      </c>
      <c r="P3051" s="0" t="s">
        <v>102</v>
      </c>
      <c r="Q3051" s="0" t="s">
        <v>102</v>
      </c>
      <c r="R3051" s="0" t="s">
        <v>144</v>
      </c>
      <c r="S3051" s="0" t="s">
        <v>21</v>
      </c>
      <c r="T3051" s="0" t="s">
        <v>104</v>
      </c>
      <c r="W3051" s="0" t="s">
        <v>105</v>
      </c>
      <c r="X3051" s="0" t="s">
        <v>9714</v>
      </c>
      <c r="Y3051" s="0" t="s">
        <v>9715</v>
      </c>
      <c r="Z3051" s="0" t="s">
        <v>2546</v>
      </c>
    </row>
    <row r="3052" customFormat="false" ht="15" hidden="false" customHeight="false" outlineLevel="0" collapsed="false">
      <c r="A3052" s="0" t="s">
        <v>21</v>
      </c>
      <c r="B3052" s="0" t="s">
        <v>9716</v>
      </c>
      <c r="C3052" s="0" t="s">
        <v>200</v>
      </c>
      <c r="D3052" s="0" t="s">
        <v>9717</v>
      </c>
      <c r="E3052" s="0" t="s">
        <v>9718</v>
      </c>
      <c r="H3052" s="0" t="s">
        <v>9719</v>
      </c>
      <c r="I3052" s="0" t="s">
        <v>598</v>
      </c>
      <c r="J3052" s="0" t="s">
        <v>275</v>
      </c>
      <c r="K3052" s="0" t="s">
        <v>606</v>
      </c>
      <c r="M3052" s="0" t="s">
        <v>178</v>
      </c>
      <c r="N3052" s="0" t="s">
        <v>124</v>
      </c>
      <c r="P3052" s="0" t="s">
        <v>102</v>
      </c>
      <c r="Q3052" s="0" t="s">
        <v>102</v>
      </c>
      <c r="R3052" s="0" t="s">
        <v>144</v>
      </c>
      <c r="S3052" s="0" t="s">
        <v>21</v>
      </c>
      <c r="T3052" s="0" t="s">
        <v>104</v>
      </c>
      <c r="W3052" s="0" t="s">
        <v>105</v>
      </c>
      <c r="X3052" s="0" t="s">
        <v>9720</v>
      </c>
      <c r="Y3052" s="0" t="s">
        <v>9721</v>
      </c>
      <c r="Z3052" s="0" t="s">
        <v>2546</v>
      </c>
    </row>
    <row r="3053" customFormat="false" ht="15" hidden="false" customHeight="false" outlineLevel="0" collapsed="false">
      <c r="A3053" s="0" t="s">
        <v>21</v>
      </c>
      <c r="B3053" s="0" t="s">
        <v>9722</v>
      </c>
      <c r="C3053" s="0" t="s">
        <v>97</v>
      </c>
      <c r="D3053" s="0" t="s">
        <v>9723</v>
      </c>
      <c r="E3053" s="0" t="s">
        <v>9724</v>
      </c>
      <c r="H3053" s="0" t="s">
        <v>9725</v>
      </c>
      <c r="I3053" s="0" t="s">
        <v>9726</v>
      </c>
      <c r="J3053" s="0" t="s">
        <v>447</v>
      </c>
      <c r="K3053" s="0" t="s">
        <v>422</v>
      </c>
      <c r="L3053" s="0" t="s">
        <v>101</v>
      </c>
      <c r="M3053" s="0" t="s">
        <v>447</v>
      </c>
      <c r="N3053" s="0" t="s">
        <v>101</v>
      </c>
      <c r="P3053" s="0" t="s">
        <v>102</v>
      </c>
      <c r="Q3053" s="0" t="s">
        <v>102</v>
      </c>
      <c r="R3053" s="0" t="s">
        <v>113</v>
      </c>
      <c r="S3053" s="0" t="s">
        <v>21</v>
      </c>
      <c r="T3053" s="0" t="s">
        <v>104</v>
      </c>
      <c r="W3053" s="0" t="s">
        <v>105</v>
      </c>
      <c r="X3053" s="0" t="s">
        <v>9727</v>
      </c>
      <c r="Y3053" s="0" t="s">
        <v>9728</v>
      </c>
    </row>
    <row r="3054" customFormat="false" ht="15" hidden="false" customHeight="false" outlineLevel="0" collapsed="false">
      <c r="A3054" s="0" t="s">
        <v>21</v>
      </c>
      <c r="B3054" s="0" t="s">
        <v>9729</v>
      </c>
      <c r="C3054" s="0" t="s">
        <v>97</v>
      </c>
      <c r="D3054" s="0" t="s">
        <v>9730</v>
      </c>
      <c r="E3054" s="0" t="s">
        <v>9731</v>
      </c>
      <c r="M3054" s="0" t="s">
        <v>136</v>
      </c>
      <c r="N3054" s="0" t="s">
        <v>124</v>
      </c>
      <c r="P3054" s="0" t="s">
        <v>102</v>
      </c>
      <c r="Q3054" s="0" t="s">
        <v>102</v>
      </c>
      <c r="R3054" s="0" t="s">
        <v>131</v>
      </c>
      <c r="S3054" s="0" t="s">
        <v>21</v>
      </c>
      <c r="T3054" s="0" t="s">
        <v>104</v>
      </c>
      <c r="W3054" s="0" t="s">
        <v>105</v>
      </c>
    </row>
    <row r="3055" customFormat="false" ht="15" hidden="false" customHeight="false" outlineLevel="0" collapsed="false">
      <c r="A3055" s="0" t="s">
        <v>21</v>
      </c>
      <c r="B3055" s="0" t="s">
        <v>9732</v>
      </c>
      <c r="C3055" s="0" t="s">
        <v>97</v>
      </c>
      <c r="D3055" s="0" t="s">
        <v>9733</v>
      </c>
      <c r="E3055" s="0" t="s">
        <v>9734</v>
      </c>
      <c r="M3055" s="0" t="s">
        <v>136</v>
      </c>
      <c r="N3055" s="0" t="s">
        <v>124</v>
      </c>
      <c r="P3055" s="0" t="s">
        <v>102</v>
      </c>
      <c r="Q3055" s="0" t="s">
        <v>102</v>
      </c>
      <c r="R3055" s="0" t="s">
        <v>131</v>
      </c>
      <c r="S3055" s="0" t="s">
        <v>21</v>
      </c>
      <c r="T3055" s="0" t="s">
        <v>104</v>
      </c>
      <c r="W3055" s="0" t="s">
        <v>105</v>
      </c>
    </row>
    <row r="3056" customFormat="false" ht="15" hidden="false" customHeight="false" outlineLevel="0" collapsed="false">
      <c r="A3056" s="0" t="s">
        <v>21</v>
      </c>
      <c r="B3056" s="0" t="s">
        <v>9735</v>
      </c>
      <c r="C3056" s="0" t="s">
        <v>97</v>
      </c>
      <c r="D3056" s="0" t="s">
        <v>9736</v>
      </c>
      <c r="E3056" s="0" t="s">
        <v>9737</v>
      </c>
      <c r="M3056" s="0" t="s">
        <v>136</v>
      </c>
      <c r="N3056" s="0" t="s">
        <v>124</v>
      </c>
      <c r="P3056" s="0" t="s">
        <v>102</v>
      </c>
      <c r="Q3056" s="0" t="s">
        <v>102</v>
      </c>
      <c r="R3056" s="0" t="s">
        <v>131</v>
      </c>
      <c r="S3056" s="0" t="s">
        <v>21</v>
      </c>
      <c r="T3056" s="0" t="s">
        <v>104</v>
      </c>
      <c r="W3056" s="0" t="s">
        <v>105</v>
      </c>
    </row>
    <row r="3057" customFormat="false" ht="15" hidden="false" customHeight="false" outlineLevel="0" collapsed="false">
      <c r="A3057" s="0" t="s">
        <v>21</v>
      </c>
      <c r="B3057" s="0" t="s">
        <v>9738</v>
      </c>
      <c r="C3057" s="0" t="s">
        <v>97</v>
      </c>
      <c r="D3057" s="0" t="s">
        <v>9739</v>
      </c>
      <c r="E3057" s="0" t="s">
        <v>9740</v>
      </c>
      <c r="M3057" s="0" t="s">
        <v>136</v>
      </c>
      <c r="N3057" s="0" t="s">
        <v>124</v>
      </c>
      <c r="P3057" s="0" t="s">
        <v>102</v>
      </c>
      <c r="Q3057" s="0" t="s">
        <v>102</v>
      </c>
      <c r="R3057" s="0" t="s">
        <v>131</v>
      </c>
      <c r="S3057" s="0" t="s">
        <v>21</v>
      </c>
      <c r="T3057" s="0" t="s">
        <v>104</v>
      </c>
      <c r="W3057" s="0" t="s">
        <v>105</v>
      </c>
    </row>
    <row r="3058" customFormat="false" ht="15" hidden="false" customHeight="false" outlineLevel="0" collapsed="false">
      <c r="A3058" s="0" t="s">
        <v>21</v>
      </c>
      <c r="B3058" s="0" t="s">
        <v>9741</v>
      </c>
      <c r="C3058" s="0" t="s">
        <v>97</v>
      </c>
      <c r="D3058" s="0" t="s">
        <v>9742</v>
      </c>
      <c r="E3058" s="0" t="s">
        <v>9743</v>
      </c>
      <c r="M3058" s="0" t="s">
        <v>656</v>
      </c>
      <c r="N3058" s="0" t="s">
        <v>101</v>
      </c>
      <c r="P3058" s="0" t="s">
        <v>102</v>
      </c>
      <c r="Q3058" s="0" t="s">
        <v>102</v>
      </c>
      <c r="R3058" s="0" t="s">
        <v>113</v>
      </c>
      <c r="S3058" s="0" t="s">
        <v>21</v>
      </c>
      <c r="T3058" s="0" t="s">
        <v>104</v>
      </c>
      <c r="W3058" s="0" t="s">
        <v>105</v>
      </c>
    </row>
    <row r="3059" customFormat="false" ht="15" hidden="false" customHeight="false" outlineLevel="0" collapsed="false">
      <c r="A3059" s="0" t="s">
        <v>21</v>
      </c>
      <c r="B3059" s="0" t="s">
        <v>9744</v>
      </c>
      <c r="C3059" s="0" t="s">
        <v>116</v>
      </c>
      <c r="D3059" s="0" t="s">
        <v>9745</v>
      </c>
      <c r="E3059" s="0" t="s">
        <v>9745</v>
      </c>
      <c r="H3059" s="0" t="s">
        <v>9746</v>
      </c>
      <c r="I3059" s="0" t="s">
        <v>591</v>
      </c>
      <c r="J3059" s="0" t="s">
        <v>254</v>
      </c>
      <c r="K3059" s="0" t="s">
        <v>4250</v>
      </c>
      <c r="L3059" s="0" t="s">
        <v>124</v>
      </c>
      <c r="M3059" s="0" t="s">
        <v>591</v>
      </c>
      <c r="N3059" s="0" t="s">
        <v>124</v>
      </c>
      <c r="P3059" s="0" t="s">
        <v>102</v>
      </c>
      <c r="Q3059" s="0" t="s">
        <v>102</v>
      </c>
      <c r="R3059" s="0" t="s">
        <v>113</v>
      </c>
      <c r="S3059" s="0" t="s">
        <v>21</v>
      </c>
      <c r="T3059" s="0" t="s">
        <v>104</v>
      </c>
      <c r="U3059" s="0" t="s">
        <v>9747</v>
      </c>
      <c r="W3059" s="0" t="s">
        <v>105</v>
      </c>
    </row>
    <row r="3060" customFormat="false" ht="15" hidden="false" customHeight="false" outlineLevel="0" collapsed="false">
      <c r="A3060" s="0" t="s">
        <v>21</v>
      </c>
      <c r="B3060" s="0" t="s">
        <v>9748</v>
      </c>
      <c r="C3060" s="0" t="s">
        <v>97</v>
      </c>
      <c r="D3060" s="0" t="s">
        <v>9749</v>
      </c>
      <c r="E3060" s="0" t="s">
        <v>9750</v>
      </c>
      <c r="M3060" s="0" t="s">
        <v>136</v>
      </c>
      <c r="N3060" s="0" t="s">
        <v>124</v>
      </c>
      <c r="P3060" s="0" t="s">
        <v>102</v>
      </c>
      <c r="Q3060" s="0" t="s">
        <v>102</v>
      </c>
      <c r="R3060" s="0" t="s">
        <v>113</v>
      </c>
      <c r="S3060" s="0" t="s">
        <v>21</v>
      </c>
      <c r="T3060" s="0" t="s">
        <v>104</v>
      </c>
      <c r="W3060" s="0" t="s">
        <v>105</v>
      </c>
    </row>
    <row r="3061" customFormat="false" ht="15" hidden="false" customHeight="false" outlineLevel="0" collapsed="false">
      <c r="A3061" s="0" t="s">
        <v>21</v>
      </c>
      <c r="B3061" s="0" t="s">
        <v>9751</v>
      </c>
      <c r="C3061" s="0" t="s">
        <v>97</v>
      </c>
      <c r="D3061" s="0" t="s">
        <v>9752</v>
      </c>
      <c r="E3061" s="0" t="s">
        <v>9753</v>
      </c>
      <c r="M3061" s="0" t="s">
        <v>136</v>
      </c>
      <c r="N3061" s="0" t="s">
        <v>124</v>
      </c>
      <c r="P3061" s="0" t="s">
        <v>102</v>
      </c>
      <c r="Q3061" s="0" t="s">
        <v>102</v>
      </c>
      <c r="R3061" s="0" t="s">
        <v>113</v>
      </c>
      <c r="S3061" s="0" t="s">
        <v>21</v>
      </c>
      <c r="T3061" s="0" t="s">
        <v>104</v>
      </c>
      <c r="W3061" s="0" t="s">
        <v>105</v>
      </c>
    </row>
    <row r="3062" customFormat="false" ht="15" hidden="false" customHeight="false" outlineLevel="0" collapsed="false">
      <c r="A3062" s="0" t="s">
        <v>21</v>
      </c>
      <c r="B3062" s="0" t="s">
        <v>9754</v>
      </c>
      <c r="C3062" s="0" t="s">
        <v>97</v>
      </c>
      <c r="D3062" s="0" t="s">
        <v>9755</v>
      </c>
      <c r="E3062" s="0" t="s">
        <v>9756</v>
      </c>
      <c r="M3062" s="0" t="s">
        <v>136</v>
      </c>
      <c r="N3062" s="0" t="s">
        <v>124</v>
      </c>
      <c r="P3062" s="0" t="s">
        <v>102</v>
      </c>
      <c r="Q3062" s="0" t="s">
        <v>102</v>
      </c>
      <c r="R3062" s="0" t="s">
        <v>113</v>
      </c>
      <c r="S3062" s="0" t="s">
        <v>21</v>
      </c>
      <c r="T3062" s="0" t="s">
        <v>104</v>
      </c>
      <c r="W3062" s="0" t="s">
        <v>105</v>
      </c>
    </row>
    <row r="3063" customFormat="false" ht="15" hidden="false" customHeight="false" outlineLevel="0" collapsed="false">
      <c r="A3063" s="0" t="s">
        <v>21</v>
      </c>
      <c r="B3063" s="0" t="s">
        <v>9757</v>
      </c>
      <c r="C3063" s="0" t="s">
        <v>110</v>
      </c>
      <c r="D3063" s="0" t="s">
        <v>9758</v>
      </c>
      <c r="E3063" s="0" t="s">
        <v>9759</v>
      </c>
      <c r="H3063" s="0" t="s">
        <v>9760</v>
      </c>
      <c r="I3063" s="0" t="s">
        <v>3492</v>
      </c>
      <c r="J3063" s="0" t="s">
        <v>245</v>
      </c>
      <c r="K3063" s="0" t="s">
        <v>3493</v>
      </c>
      <c r="L3063" s="0" t="s">
        <v>124</v>
      </c>
      <c r="M3063" s="0" t="s">
        <v>247</v>
      </c>
      <c r="N3063" s="0" t="s">
        <v>124</v>
      </c>
      <c r="P3063" s="0" t="s">
        <v>102</v>
      </c>
      <c r="Q3063" s="0" t="s">
        <v>102</v>
      </c>
      <c r="R3063" s="0" t="s">
        <v>113</v>
      </c>
      <c r="S3063" s="0" t="s">
        <v>21</v>
      </c>
      <c r="T3063" s="0" t="s">
        <v>104</v>
      </c>
      <c r="W3063" s="0" t="s">
        <v>105</v>
      </c>
      <c r="X3063" s="0" t="s">
        <v>9761</v>
      </c>
      <c r="Y3063" s="0" t="s">
        <v>9762</v>
      </c>
      <c r="Z3063" s="0" t="s">
        <v>134</v>
      </c>
    </row>
    <row r="3064" customFormat="false" ht="15" hidden="false" customHeight="false" outlineLevel="0" collapsed="false">
      <c r="A3064" s="0" t="s">
        <v>21</v>
      </c>
      <c r="B3064" s="0" t="s">
        <v>9763</v>
      </c>
      <c r="C3064" s="0" t="s">
        <v>211</v>
      </c>
      <c r="D3064" s="0" t="s">
        <v>5345</v>
      </c>
      <c r="M3064" s="0" t="s">
        <v>247</v>
      </c>
      <c r="N3064" s="0" t="s">
        <v>124</v>
      </c>
      <c r="P3064" s="0" t="s">
        <v>102</v>
      </c>
      <c r="Q3064" s="0" t="s">
        <v>102</v>
      </c>
      <c r="R3064" s="0" t="s">
        <v>113</v>
      </c>
      <c r="S3064" s="0" t="s">
        <v>21</v>
      </c>
      <c r="T3064" s="0" t="s">
        <v>104</v>
      </c>
      <c r="W3064" s="0" t="s">
        <v>105</v>
      </c>
    </row>
    <row r="3065" customFormat="false" ht="15" hidden="false" customHeight="false" outlineLevel="0" collapsed="false">
      <c r="A3065" s="0" t="s">
        <v>21</v>
      </c>
      <c r="B3065" s="0" t="s">
        <v>9764</v>
      </c>
      <c r="C3065" s="0" t="s">
        <v>97</v>
      </c>
      <c r="D3065" s="0" t="s">
        <v>9765</v>
      </c>
      <c r="E3065" s="0" t="s">
        <v>9766</v>
      </c>
      <c r="M3065" s="0" t="s">
        <v>136</v>
      </c>
      <c r="N3065" s="0" t="s">
        <v>124</v>
      </c>
      <c r="P3065" s="0" t="s">
        <v>102</v>
      </c>
      <c r="Q3065" s="0" t="s">
        <v>102</v>
      </c>
      <c r="R3065" s="0" t="s">
        <v>113</v>
      </c>
      <c r="S3065" s="0" t="s">
        <v>21</v>
      </c>
      <c r="T3065" s="0" t="s">
        <v>104</v>
      </c>
      <c r="W3065" s="0" t="s">
        <v>105</v>
      </c>
    </row>
    <row r="3066" customFormat="false" ht="15" hidden="false" customHeight="false" outlineLevel="0" collapsed="false">
      <c r="A3066" s="0" t="s">
        <v>21</v>
      </c>
      <c r="B3066" s="0" t="s">
        <v>9767</v>
      </c>
      <c r="C3066" s="0" t="s">
        <v>97</v>
      </c>
      <c r="D3066" s="0" t="s">
        <v>9768</v>
      </c>
      <c r="E3066" s="0" t="s">
        <v>9769</v>
      </c>
      <c r="H3066" s="0" t="s">
        <v>654</v>
      </c>
      <c r="I3066" s="0" t="s">
        <v>655</v>
      </c>
      <c r="J3066" s="0" t="s">
        <v>100</v>
      </c>
      <c r="K3066" s="0" t="s">
        <v>168</v>
      </c>
      <c r="L3066" s="0" t="s">
        <v>101</v>
      </c>
      <c r="M3066" s="0" t="s">
        <v>656</v>
      </c>
      <c r="N3066" s="0" t="s">
        <v>101</v>
      </c>
      <c r="P3066" s="0" t="s">
        <v>102</v>
      </c>
      <c r="Q3066" s="0" t="s">
        <v>102</v>
      </c>
      <c r="R3066" s="0" t="s">
        <v>113</v>
      </c>
      <c r="S3066" s="0" t="s">
        <v>21</v>
      </c>
      <c r="T3066" s="0" t="s">
        <v>104</v>
      </c>
      <c r="W3066" s="0" t="s">
        <v>105</v>
      </c>
      <c r="X3066" s="0" t="s">
        <v>658</v>
      </c>
      <c r="Y3066" s="0" t="s">
        <v>659</v>
      </c>
    </row>
    <row r="3067" customFormat="false" ht="15" hidden="false" customHeight="false" outlineLevel="0" collapsed="false">
      <c r="A3067" s="0" t="s">
        <v>21</v>
      </c>
      <c r="B3067" s="0" t="s">
        <v>9770</v>
      </c>
      <c r="C3067" s="0" t="s">
        <v>97</v>
      </c>
      <c r="D3067" s="0" t="s">
        <v>9771</v>
      </c>
      <c r="E3067" s="0" t="s">
        <v>9772</v>
      </c>
      <c r="M3067" s="0" t="s">
        <v>136</v>
      </c>
      <c r="N3067" s="0" t="s">
        <v>124</v>
      </c>
      <c r="P3067" s="0" t="s">
        <v>102</v>
      </c>
      <c r="Q3067" s="0" t="s">
        <v>102</v>
      </c>
      <c r="R3067" s="0" t="s">
        <v>113</v>
      </c>
      <c r="S3067" s="0" t="s">
        <v>21</v>
      </c>
      <c r="T3067" s="0" t="s">
        <v>104</v>
      </c>
      <c r="W3067" s="0" t="s">
        <v>105</v>
      </c>
    </row>
    <row r="3068" customFormat="false" ht="15" hidden="false" customHeight="false" outlineLevel="0" collapsed="false">
      <c r="A3068" s="0" t="s">
        <v>21</v>
      </c>
      <c r="B3068" s="0" t="s">
        <v>9773</v>
      </c>
      <c r="C3068" s="0" t="s">
        <v>97</v>
      </c>
      <c r="D3068" s="0" t="s">
        <v>9774</v>
      </c>
      <c r="E3068" s="0" t="s">
        <v>9775</v>
      </c>
      <c r="M3068" s="0" t="s">
        <v>656</v>
      </c>
      <c r="N3068" s="0" t="s">
        <v>101</v>
      </c>
      <c r="P3068" s="0" t="s">
        <v>102</v>
      </c>
      <c r="Q3068" s="0" t="s">
        <v>102</v>
      </c>
      <c r="R3068" s="0" t="s">
        <v>113</v>
      </c>
      <c r="S3068" s="0" t="s">
        <v>21</v>
      </c>
      <c r="T3068" s="0" t="s">
        <v>104</v>
      </c>
      <c r="W3068" s="0" t="s">
        <v>105</v>
      </c>
    </row>
    <row r="3069" customFormat="false" ht="15" hidden="false" customHeight="false" outlineLevel="0" collapsed="false">
      <c r="A3069" s="0" t="s">
        <v>21</v>
      </c>
      <c r="B3069" s="0" t="s">
        <v>9776</v>
      </c>
      <c r="C3069" s="0" t="s">
        <v>110</v>
      </c>
      <c r="D3069" s="0" t="s">
        <v>9777</v>
      </c>
      <c r="E3069" s="0" t="s">
        <v>9778</v>
      </c>
      <c r="G3069" s="0" t="s">
        <v>9779</v>
      </c>
      <c r="H3069" s="0" t="s">
        <v>9780</v>
      </c>
      <c r="I3069" s="0" t="s">
        <v>2568</v>
      </c>
      <c r="J3069" s="0" t="s">
        <v>220</v>
      </c>
      <c r="M3069" s="0" t="s">
        <v>2568</v>
      </c>
      <c r="N3069" s="0" t="s">
        <v>124</v>
      </c>
      <c r="P3069" s="0" t="s">
        <v>102</v>
      </c>
      <c r="Q3069" s="0" t="s">
        <v>102</v>
      </c>
      <c r="R3069" s="0" t="s">
        <v>113</v>
      </c>
      <c r="S3069" s="0" t="s">
        <v>21</v>
      </c>
      <c r="T3069" s="0" t="s">
        <v>104</v>
      </c>
      <c r="W3069" s="0" t="s">
        <v>105</v>
      </c>
    </row>
    <row r="3070" customFormat="false" ht="28.35" hidden="false" customHeight="false" outlineLevel="0" collapsed="false">
      <c r="A3070" s="0" t="s">
        <v>21</v>
      </c>
      <c r="B3070" s="0" t="s">
        <v>9781</v>
      </c>
      <c r="C3070" s="0" t="s">
        <v>97</v>
      </c>
      <c r="D3070" s="0" t="s">
        <v>8178</v>
      </c>
      <c r="E3070" s="0" t="s">
        <v>8179</v>
      </c>
      <c r="G3070" s="9" t="s">
        <v>9782</v>
      </c>
      <c r="M3070" s="0" t="s">
        <v>100</v>
      </c>
      <c r="N3070" s="0" t="s">
        <v>101</v>
      </c>
      <c r="P3070" s="0" t="s">
        <v>102</v>
      </c>
      <c r="Q3070" s="0" t="s">
        <v>102</v>
      </c>
      <c r="R3070" s="0" t="s">
        <v>113</v>
      </c>
      <c r="S3070" s="0" t="s">
        <v>21</v>
      </c>
      <c r="T3070" s="0" t="s">
        <v>104</v>
      </c>
      <c r="W3070" s="0" t="s">
        <v>105</v>
      </c>
    </row>
    <row r="3071" customFormat="false" ht="15" hidden="false" customHeight="false" outlineLevel="0" collapsed="false">
      <c r="A3071" s="0" t="s">
        <v>21</v>
      </c>
      <c r="B3071" s="0" t="s">
        <v>9783</v>
      </c>
      <c r="C3071" s="0" t="s">
        <v>97</v>
      </c>
      <c r="D3071" s="0" t="s">
        <v>9784</v>
      </c>
      <c r="E3071" s="0" t="s">
        <v>9784</v>
      </c>
      <c r="F3071" s="0" t="s">
        <v>9784</v>
      </c>
      <c r="M3071" s="0" t="s">
        <v>136</v>
      </c>
      <c r="N3071" s="0" t="s">
        <v>124</v>
      </c>
      <c r="P3071" s="0" t="s">
        <v>102</v>
      </c>
      <c r="Q3071" s="0" t="s">
        <v>102</v>
      </c>
      <c r="R3071" s="0" t="s">
        <v>131</v>
      </c>
      <c r="S3071" s="0" t="s">
        <v>21</v>
      </c>
      <c r="T3071" s="0" t="s">
        <v>104</v>
      </c>
      <c r="W3071" s="0" t="s">
        <v>105</v>
      </c>
    </row>
    <row r="3072" customFormat="false" ht="15" hidden="false" customHeight="false" outlineLevel="0" collapsed="false">
      <c r="A3072" s="0" t="s">
        <v>21</v>
      </c>
      <c r="B3072" s="0" t="s">
        <v>9785</v>
      </c>
      <c r="C3072" s="0" t="s">
        <v>97</v>
      </c>
      <c r="D3072" s="0" t="s">
        <v>9786</v>
      </c>
      <c r="E3072" s="0" t="s">
        <v>9786</v>
      </c>
      <c r="F3072" s="0" t="s">
        <v>9786</v>
      </c>
      <c r="M3072" s="0" t="s">
        <v>100</v>
      </c>
      <c r="N3072" s="0" t="s">
        <v>101</v>
      </c>
      <c r="P3072" s="0" t="s">
        <v>102</v>
      </c>
      <c r="Q3072" s="0" t="s">
        <v>102</v>
      </c>
      <c r="R3072" s="0" t="s">
        <v>131</v>
      </c>
      <c r="S3072" s="0" t="s">
        <v>21</v>
      </c>
      <c r="T3072" s="0" t="s">
        <v>104</v>
      </c>
      <c r="W3072" s="0" t="s">
        <v>105</v>
      </c>
    </row>
    <row r="3073" customFormat="false" ht="15" hidden="false" customHeight="false" outlineLevel="0" collapsed="false">
      <c r="A3073" s="0" t="s">
        <v>21</v>
      </c>
      <c r="B3073" s="0" t="s">
        <v>9787</v>
      </c>
      <c r="C3073" s="0" t="s">
        <v>97</v>
      </c>
      <c r="D3073" s="0" t="s">
        <v>9788</v>
      </c>
      <c r="E3073" s="0" t="s">
        <v>9789</v>
      </c>
      <c r="M3073" s="0" t="s">
        <v>136</v>
      </c>
      <c r="N3073" s="0" t="s">
        <v>124</v>
      </c>
      <c r="P3073" s="0" t="s">
        <v>102</v>
      </c>
      <c r="Q3073" s="0" t="s">
        <v>102</v>
      </c>
      <c r="R3073" s="0" t="s">
        <v>131</v>
      </c>
      <c r="S3073" s="0" t="s">
        <v>21</v>
      </c>
      <c r="T3073" s="0" t="s">
        <v>104</v>
      </c>
      <c r="W3073" s="0" t="s">
        <v>105</v>
      </c>
    </row>
    <row r="3074" customFormat="false" ht="15" hidden="false" customHeight="false" outlineLevel="0" collapsed="false">
      <c r="A3074" s="0" t="s">
        <v>21</v>
      </c>
      <c r="B3074" s="0" t="s">
        <v>9790</v>
      </c>
      <c r="C3074" s="0" t="s">
        <v>97</v>
      </c>
      <c r="D3074" s="0" t="s">
        <v>9791</v>
      </c>
      <c r="E3074" s="0" t="s">
        <v>9792</v>
      </c>
      <c r="G3074" s="0" t="s">
        <v>9793</v>
      </c>
      <c r="M3074" s="0" t="s">
        <v>442</v>
      </c>
      <c r="N3074" s="0" t="s">
        <v>101</v>
      </c>
      <c r="P3074" s="0" t="s">
        <v>102</v>
      </c>
      <c r="Q3074" s="0" t="s">
        <v>102</v>
      </c>
      <c r="R3074" s="0" t="s">
        <v>113</v>
      </c>
      <c r="S3074" s="0" t="s">
        <v>21</v>
      </c>
      <c r="T3074" s="0" t="s">
        <v>104</v>
      </c>
      <c r="W3074" s="0" t="s">
        <v>105</v>
      </c>
    </row>
    <row r="3075" customFormat="false" ht="15" hidden="false" customHeight="false" outlineLevel="0" collapsed="false">
      <c r="A3075" s="0" t="s">
        <v>21</v>
      </c>
      <c r="B3075" s="0" t="s">
        <v>9794</v>
      </c>
      <c r="C3075" s="0" t="s">
        <v>97</v>
      </c>
      <c r="D3075" s="0" t="s">
        <v>9795</v>
      </c>
      <c r="E3075" s="0" t="s">
        <v>9796</v>
      </c>
      <c r="M3075" s="0" t="s">
        <v>100</v>
      </c>
      <c r="N3075" s="0" t="s">
        <v>101</v>
      </c>
      <c r="P3075" s="0" t="s">
        <v>102</v>
      </c>
      <c r="Q3075" s="0" t="s">
        <v>102</v>
      </c>
      <c r="R3075" s="0" t="s">
        <v>113</v>
      </c>
      <c r="S3075" s="0" t="s">
        <v>21</v>
      </c>
      <c r="T3075" s="0" t="s">
        <v>104</v>
      </c>
      <c r="W3075" s="0" t="s">
        <v>105</v>
      </c>
    </row>
    <row r="3076" customFormat="false" ht="15" hidden="false" customHeight="false" outlineLevel="0" collapsed="false">
      <c r="A3076" s="0" t="s">
        <v>21</v>
      </c>
      <c r="B3076" s="0" t="s">
        <v>9797</v>
      </c>
      <c r="C3076" s="0" t="s">
        <v>97</v>
      </c>
      <c r="D3076" s="0" t="s">
        <v>9798</v>
      </c>
      <c r="E3076" s="0" t="s">
        <v>9799</v>
      </c>
      <c r="M3076" s="0" t="s">
        <v>100</v>
      </c>
      <c r="N3076" s="0" t="s">
        <v>101</v>
      </c>
      <c r="P3076" s="0" t="s">
        <v>102</v>
      </c>
      <c r="Q3076" s="0" t="s">
        <v>102</v>
      </c>
      <c r="R3076" s="0" t="s">
        <v>144</v>
      </c>
      <c r="S3076" s="0" t="s">
        <v>21</v>
      </c>
      <c r="T3076" s="0" t="s">
        <v>104</v>
      </c>
      <c r="W3076" s="0" t="s">
        <v>105</v>
      </c>
    </row>
    <row r="3077" customFormat="false" ht="15" hidden="false" customHeight="false" outlineLevel="0" collapsed="false">
      <c r="A3077" s="0" t="s">
        <v>21</v>
      </c>
      <c r="B3077" s="0" t="s">
        <v>9800</v>
      </c>
      <c r="C3077" s="0" t="s">
        <v>97</v>
      </c>
      <c r="D3077" s="0" t="s">
        <v>9801</v>
      </c>
      <c r="E3077" s="0" t="s">
        <v>9802</v>
      </c>
      <c r="H3077" s="0" t="s">
        <v>654</v>
      </c>
      <c r="I3077" s="0" t="s">
        <v>655</v>
      </c>
      <c r="J3077" s="0" t="s">
        <v>100</v>
      </c>
      <c r="K3077" s="0" t="s">
        <v>168</v>
      </c>
      <c r="L3077" s="0" t="s">
        <v>101</v>
      </c>
      <c r="M3077" s="0" t="s">
        <v>656</v>
      </c>
      <c r="N3077" s="0" t="s">
        <v>101</v>
      </c>
      <c r="P3077" s="0" t="s">
        <v>102</v>
      </c>
      <c r="Q3077" s="0" t="s">
        <v>102</v>
      </c>
      <c r="R3077" s="0" t="s">
        <v>144</v>
      </c>
      <c r="S3077" s="0" t="s">
        <v>21</v>
      </c>
      <c r="T3077" s="0" t="s">
        <v>104</v>
      </c>
      <c r="W3077" s="0" t="s">
        <v>105</v>
      </c>
      <c r="X3077" s="0" t="s">
        <v>658</v>
      </c>
      <c r="Y3077" s="0" t="s">
        <v>659</v>
      </c>
    </row>
    <row r="3078" customFormat="false" ht="15" hidden="false" customHeight="false" outlineLevel="0" collapsed="false">
      <c r="A3078" s="0" t="s">
        <v>21</v>
      </c>
      <c r="B3078" s="0" t="s">
        <v>9803</v>
      </c>
      <c r="C3078" s="0" t="s">
        <v>7362</v>
      </c>
      <c r="D3078" s="0" t="s">
        <v>5901</v>
      </c>
      <c r="E3078" s="0" t="s">
        <v>6607</v>
      </c>
      <c r="G3078" s="0" t="s">
        <v>9804</v>
      </c>
      <c r="M3078" s="0" t="s">
        <v>367</v>
      </c>
      <c r="N3078" s="0" t="s">
        <v>101</v>
      </c>
      <c r="P3078" s="0" t="s">
        <v>102</v>
      </c>
      <c r="Q3078" s="0" t="s">
        <v>102</v>
      </c>
      <c r="R3078" s="0" t="s">
        <v>113</v>
      </c>
      <c r="S3078" s="0" t="s">
        <v>21</v>
      </c>
      <c r="T3078" s="0" t="s">
        <v>104</v>
      </c>
      <c r="W3078" s="0" t="s">
        <v>105</v>
      </c>
    </row>
    <row r="3079" customFormat="false" ht="15" hidden="false" customHeight="false" outlineLevel="0" collapsed="false">
      <c r="A3079" s="0" t="s">
        <v>21</v>
      </c>
      <c r="B3079" s="0" t="s">
        <v>9805</v>
      </c>
      <c r="C3079" s="0" t="s">
        <v>97</v>
      </c>
      <c r="D3079" s="0" t="s">
        <v>9806</v>
      </c>
      <c r="E3079" s="0" t="s">
        <v>9807</v>
      </c>
      <c r="M3079" s="0" t="s">
        <v>136</v>
      </c>
      <c r="N3079" s="0" t="s">
        <v>124</v>
      </c>
      <c r="P3079" s="0" t="s">
        <v>102</v>
      </c>
      <c r="Q3079" s="0" t="s">
        <v>102</v>
      </c>
      <c r="R3079" s="0" t="s">
        <v>131</v>
      </c>
      <c r="S3079" s="0" t="s">
        <v>21</v>
      </c>
      <c r="T3079" s="0" t="s">
        <v>104</v>
      </c>
      <c r="W3079" s="0" t="s">
        <v>105</v>
      </c>
    </row>
    <row r="3080" customFormat="false" ht="15" hidden="false" customHeight="false" outlineLevel="0" collapsed="false">
      <c r="A3080" s="0" t="s">
        <v>21</v>
      </c>
      <c r="B3080" s="0" t="s">
        <v>9808</v>
      </c>
      <c r="C3080" s="0" t="s">
        <v>97</v>
      </c>
      <c r="D3080" s="0" t="s">
        <v>9809</v>
      </c>
      <c r="E3080" s="0" t="s">
        <v>9809</v>
      </c>
      <c r="M3080" s="0" t="s">
        <v>136</v>
      </c>
      <c r="N3080" s="0" t="s">
        <v>124</v>
      </c>
      <c r="P3080" s="0" t="s">
        <v>102</v>
      </c>
      <c r="Q3080" s="0" t="s">
        <v>102</v>
      </c>
      <c r="R3080" s="0" t="s">
        <v>131</v>
      </c>
      <c r="S3080" s="0" t="s">
        <v>21</v>
      </c>
      <c r="T3080" s="0" t="s">
        <v>104</v>
      </c>
      <c r="W3080" s="0" t="s">
        <v>105</v>
      </c>
    </row>
    <row r="3081" customFormat="false" ht="15" hidden="false" customHeight="false" outlineLevel="0" collapsed="false">
      <c r="A3081" s="0" t="s">
        <v>21</v>
      </c>
      <c r="B3081" s="0" t="s">
        <v>9810</v>
      </c>
      <c r="C3081" s="0" t="s">
        <v>97</v>
      </c>
      <c r="D3081" s="0" t="s">
        <v>9811</v>
      </c>
      <c r="E3081" s="0" t="s">
        <v>9812</v>
      </c>
      <c r="M3081" s="0" t="s">
        <v>136</v>
      </c>
      <c r="N3081" s="0" t="s">
        <v>124</v>
      </c>
      <c r="P3081" s="0" t="s">
        <v>102</v>
      </c>
      <c r="Q3081" s="0" t="s">
        <v>102</v>
      </c>
      <c r="R3081" s="0" t="s">
        <v>131</v>
      </c>
      <c r="S3081" s="0" t="s">
        <v>21</v>
      </c>
      <c r="T3081" s="0" t="s">
        <v>104</v>
      </c>
      <c r="W3081" s="0" t="s">
        <v>105</v>
      </c>
    </row>
    <row r="3082" customFormat="false" ht="15" hidden="false" customHeight="false" outlineLevel="0" collapsed="false">
      <c r="A3082" s="0" t="s">
        <v>21</v>
      </c>
      <c r="B3082" s="0" t="s">
        <v>9813</v>
      </c>
      <c r="C3082" s="0" t="s">
        <v>97</v>
      </c>
      <c r="D3082" s="0" t="s">
        <v>9814</v>
      </c>
      <c r="E3082" s="0" t="s">
        <v>9815</v>
      </c>
      <c r="M3082" s="0" t="s">
        <v>100</v>
      </c>
      <c r="N3082" s="0" t="s">
        <v>101</v>
      </c>
      <c r="P3082" s="0" t="s">
        <v>102</v>
      </c>
      <c r="Q3082" s="0" t="s">
        <v>102</v>
      </c>
      <c r="R3082" s="0" t="s">
        <v>113</v>
      </c>
      <c r="S3082" s="0" t="s">
        <v>21</v>
      </c>
      <c r="T3082" s="0" t="s">
        <v>104</v>
      </c>
      <c r="W3082" s="0" t="s">
        <v>105</v>
      </c>
    </row>
    <row r="3083" customFormat="false" ht="15" hidden="false" customHeight="false" outlineLevel="0" collapsed="false">
      <c r="A3083" s="0" t="s">
        <v>21</v>
      </c>
      <c r="B3083" s="0" t="s">
        <v>9816</v>
      </c>
      <c r="C3083" s="0" t="s">
        <v>97</v>
      </c>
      <c r="D3083" s="0" t="s">
        <v>9817</v>
      </c>
      <c r="E3083" s="0" t="s">
        <v>9818</v>
      </c>
      <c r="M3083" s="0" t="s">
        <v>136</v>
      </c>
      <c r="N3083" s="0" t="s">
        <v>124</v>
      </c>
      <c r="P3083" s="0" t="s">
        <v>102</v>
      </c>
      <c r="Q3083" s="0" t="s">
        <v>102</v>
      </c>
      <c r="R3083" s="0" t="s">
        <v>131</v>
      </c>
      <c r="S3083" s="0" t="s">
        <v>21</v>
      </c>
      <c r="T3083" s="0" t="s">
        <v>104</v>
      </c>
      <c r="W3083" s="0" t="s">
        <v>105</v>
      </c>
    </row>
    <row r="3084" customFormat="false" ht="15" hidden="false" customHeight="false" outlineLevel="0" collapsed="false">
      <c r="A3084" s="0" t="s">
        <v>21</v>
      </c>
      <c r="B3084" s="0" t="s">
        <v>9819</v>
      </c>
      <c r="C3084" s="0" t="s">
        <v>372</v>
      </c>
      <c r="D3084" s="0" t="s">
        <v>9395</v>
      </c>
      <c r="E3084" s="0" t="s">
        <v>9820</v>
      </c>
      <c r="F3084" s="0" t="s">
        <v>9820</v>
      </c>
      <c r="M3084" s="0" t="s">
        <v>100</v>
      </c>
      <c r="N3084" s="0" t="s">
        <v>101</v>
      </c>
      <c r="P3084" s="0" t="s">
        <v>379</v>
      </c>
      <c r="Q3084" s="0" t="s">
        <v>379</v>
      </c>
      <c r="R3084" s="0" t="s">
        <v>379</v>
      </c>
      <c r="S3084" s="0" t="s">
        <v>21</v>
      </c>
      <c r="T3084" s="0" t="s">
        <v>104</v>
      </c>
      <c r="W3084" s="0" t="s">
        <v>183</v>
      </c>
    </row>
    <row r="3085" customFormat="false" ht="15" hidden="false" customHeight="false" outlineLevel="0" collapsed="false">
      <c r="A3085" s="0" t="s">
        <v>21</v>
      </c>
      <c r="B3085" s="0" t="s">
        <v>9819</v>
      </c>
      <c r="C3085" s="0" t="s">
        <v>372</v>
      </c>
      <c r="D3085" s="0" t="s">
        <v>9395</v>
      </c>
      <c r="E3085" s="0" t="s">
        <v>9820</v>
      </c>
      <c r="F3085" s="0" t="s">
        <v>9820</v>
      </c>
      <c r="M3085" s="0" t="s">
        <v>100</v>
      </c>
      <c r="N3085" s="0" t="s">
        <v>101</v>
      </c>
      <c r="P3085" s="0" t="s">
        <v>102</v>
      </c>
      <c r="Q3085" s="0" t="s">
        <v>102</v>
      </c>
      <c r="R3085" s="0" t="s">
        <v>113</v>
      </c>
      <c r="S3085" s="0" t="s">
        <v>21</v>
      </c>
      <c r="T3085" s="0" t="s">
        <v>104</v>
      </c>
      <c r="W3085" s="0" t="s">
        <v>105</v>
      </c>
    </row>
    <row r="3086" customFormat="false" ht="15" hidden="false" customHeight="false" outlineLevel="0" collapsed="false">
      <c r="A3086" s="0" t="s">
        <v>21</v>
      </c>
      <c r="B3086" s="0" t="s">
        <v>9821</v>
      </c>
      <c r="C3086" s="0" t="s">
        <v>97</v>
      </c>
      <c r="D3086" s="0" t="s">
        <v>9822</v>
      </c>
      <c r="E3086" s="0" t="s">
        <v>9822</v>
      </c>
      <c r="F3086" s="0" t="s">
        <v>9822</v>
      </c>
      <c r="M3086" s="0" t="s">
        <v>136</v>
      </c>
      <c r="N3086" s="0" t="s">
        <v>124</v>
      </c>
      <c r="P3086" s="0" t="s">
        <v>102</v>
      </c>
      <c r="Q3086" s="0" t="s">
        <v>102</v>
      </c>
      <c r="R3086" s="0" t="s">
        <v>131</v>
      </c>
      <c r="S3086" s="0" t="s">
        <v>21</v>
      </c>
      <c r="T3086" s="0" t="s">
        <v>104</v>
      </c>
      <c r="W3086" s="0" t="s">
        <v>105</v>
      </c>
    </row>
    <row r="3087" customFormat="false" ht="15" hidden="false" customHeight="false" outlineLevel="0" collapsed="false">
      <c r="A3087" s="0" t="s">
        <v>21</v>
      </c>
      <c r="B3087" s="0" t="s">
        <v>9823</v>
      </c>
      <c r="C3087" s="0" t="s">
        <v>97</v>
      </c>
      <c r="D3087" s="0" t="s">
        <v>4769</v>
      </c>
      <c r="E3087" s="0" t="s">
        <v>9824</v>
      </c>
      <c r="M3087" s="0" t="s">
        <v>656</v>
      </c>
      <c r="N3087" s="0" t="s">
        <v>101</v>
      </c>
      <c r="P3087" s="0" t="s">
        <v>102</v>
      </c>
      <c r="Q3087" s="0" t="s">
        <v>102</v>
      </c>
      <c r="R3087" s="0" t="s">
        <v>113</v>
      </c>
      <c r="S3087" s="0" t="s">
        <v>21</v>
      </c>
      <c r="T3087" s="0" t="s">
        <v>104</v>
      </c>
      <c r="W3087" s="0" t="s">
        <v>105</v>
      </c>
    </row>
    <row r="3088" customFormat="false" ht="15" hidden="false" customHeight="false" outlineLevel="0" collapsed="false">
      <c r="A3088" s="0" t="s">
        <v>21</v>
      </c>
      <c r="B3088" s="0" t="s">
        <v>9825</v>
      </c>
      <c r="C3088" s="0" t="s">
        <v>97</v>
      </c>
      <c r="D3088" s="0" t="s">
        <v>9826</v>
      </c>
      <c r="E3088" s="0" t="s">
        <v>9827</v>
      </c>
      <c r="H3088" s="0" t="s">
        <v>654</v>
      </c>
      <c r="I3088" s="0" t="s">
        <v>655</v>
      </c>
      <c r="J3088" s="0" t="s">
        <v>100</v>
      </c>
      <c r="K3088" s="0" t="s">
        <v>168</v>
      </c>
      <c r="L3088" s="0" t="s">
        <v>101</v>
      </c>
      <c r="M3088" s="0" t="s">
        <v>656</v>
      </c>
      <c r="N3088" s="0" t="s">
        <v>101</v>
      </c>
      <c r="P3088" s="0" t="s">
        <v>102</v>
      </c>
      <c r="Q3088" s="0" t="s">
        <v>102</v>
      </c>
      <c r="R3088" s="0" t="s">
        <v>113</v>
      </c>
      <c r="S3088" s="0" t="s">
        <v>21</v>
      </c>
      <c r="T3088" s="0" t="s">
        <v>104</v>
      </c>
      <c r="W3088" s="0" t="s">
        <v>105</v>
      </c>
      <c r="X3088" s="0" t="s">
        <v>658</v>
      </c>
      <c r="Y3088" s="0" t="s">
        <v>659</v>
      </c>
    </row>
    <row r="3089" customFormat="false" ht="15" hidden="false" customHeight="false" outlineLevel="0" collapsed="false">
      <c r="A3089" s="0" t="s">
        <v>21</v>
      </c>
      <c r="B3089" s="0" t="s">
        <v>1784</v>
      </c>
      <c r="C3089" s="0" t="s">
        <v>110</v>
      </c>
      <c r="D3089" s="0" t="s">
        <v>9828</v>
      </c>
      <c r="E3089" s="0" t="s">
        <v>9829</v>
      </c>
      <c r="F3089" s="0" t="s">
        <v>9830</v>
      </c>
      <c r="H3089" s="0" t="s">
        <v>9831</v>
      </c>
      <c r="I3089" s="0" t="s">
        <v>1784</v>
      </c>
      <c r="J3089" s="0" t="s">
        <v>254</v>
      </c>
      <c r="K3089" s="0" t="s">
        <v>1785</v>
      </c>
      <c r="L3089" s="0" t="s">
        <v>124</v>
      </c>
      <c r="M3089" s="0" t="s">
        <v>208</v>
      </c>
      <c r="N3089" s="0" t="s">
        <v>124</v>
      </c>
      <c r="P3089" s="0" t="s">
        <v>102</v>
      </c>
      <c r="Q3089" s="0" t="s">
        <v>102</v>
      </c>
      <c r="R3089" s="0" t="s">
        <v>804</v>
      </c>
      <c r="S3089" s="0" t="s">
        <v>21</v>
      </c>
      <c r="T3089" s="0" t="s">
        <v>104</v>
      </c>
      <c r="W3089" s="0" t="s">
        <v>105</v>
      </c>
      <c r="X3089" s="0" t="s">
        <v>9832</v>
      </c>
      <c r="Y3089" s="0" t="s">
        <v>9833</v>
      </c>
      <c r="Z3089" s="0" t="s">
        <v>350</v>
      </c>
    </row>
    <row r="3090" customFormat="false" ht="15" hidden="false" customHeight="false" outlineLevel="0" collapsed="false">
      <c r="A3090" s="0" t="s">
        <v>21</v>
      </c>
      <c r="B3090" s="0" t="s">
        <v>9834</v>
      </c>
      <c r="C3090" s="0" t="s">
        <v>97</v>
      </c>
      <c r="D3090" s="0" t="s">
        <v>9835</v>
      </c>
      <c r="E3090" s="0" t="s">
        <v>9836</v>
      </c>
      <c r="M3090" s="0" t="s">
        <v>136</v>
      </c>
      <c r="N3090" s="0" t="s">
        <v>124</v>
      </c>
      <c r="P3090" s="0" t="s">
        <v>102</v>
      </c>
      <c r="Q3090" s="0" t="s">
        <v>102</v>
      </c>
      <c r="R3090" s="0" t="s">
        <v>804</v>
      </c>
      <c r="S3090" s="0" t="s">
        <v>21</v>
      </c>
      <c r="T3090" s="0" t="s">
        <v>104</v>
      </c>
      <c r="W3090" s="0" t="s">
        <v>105</v>
      </c>
    </row>
    <row r="3091" customFormat="false" ht="15" hidden="false" customHeight="false" outlineLevel="0" collapsed="false">
      <c r="A3091" s="0" t="s">
        <v>21</v>
      </c>
      <c r="B3091" s="0" t="s">
        <v>9837</v>
      </c>
      <c r="C3091" s="0" t="s">
        <v>97</v>
      </c>
      <c r="D3091" s="0" t="s">
        <v>9838</v>
      </c>
      <c r="E3091" s="0" t="s">
        <v>9839</v>
      </c>
      <c r="M3091" s="0" t="s">
        <v>136</v>
      </c>
      <c r="N3091" s="0" t="s">
        <v>124</v>
      </c>
      <c r="P3091" s="0" t="s">
        <v>102</v>
      </c>
      <c r="Q3091" s="0" t="s">
        <v>102</v>
      </c>
      <c r="R3091" s="0" t="s">
        <v>804</v>
      </c>
      <c r="S3091" s="0" t="s">
        <v>21</v>
      </c>
      <c r="T3091" s="0" t="s">
        <v>104</v>
      </c>
      <c r="W3091" s="0" t="s">
        <v>105</v>
      </c>
    </row>
    <row r="3092" customFormat="false" ht="15" hidden="false" customHeight="false" outlineLevel="0" collapsed="false">
      <c r="A3092" s="0" t="s">
        <v>21</v>
      </c>
      <c r="B3092" s="0" t="s">
        <v>9840</v>
      </c>
      <c r="C3092" s="0" t="s">
        <v>97</v>
      </c>
      <c r="D3092" s="0" t="s">
        <v>9841</v>
      </c>
      <c r="E3092" s="0" t="s">
        <v>9842</v>
      </c>
      <c r="H3092" s="0" t="s">
        <v>654</v>
      </c>
      <c r="I3092" s="0" t="s">
        <v>655</v>
      </c>
      <c r="J3092" s="0" t="s">
        <v>100</v>
      </c>
      <c r="K3092" s="0" t="s">
        <v>168</v>
      </c>
      <c r="L3092" s="0" t="s">
        <v>101</v>
      </c>
      <c r="M3092" s="0" t="s">
        <v>656</v>
      </c>
      <c r="N3092" s="0" t="s">
        <v>101</v>
      </c>
      <c r="P3092" s="0" t="s">
        <v>102</v>
      </c>
      <c r="Q3092" s="0" t="s">
        <v>102</v>
      </c>
      <c r="R3092" s="0" t="s">
        <v>113</v>
      </c>
      <c r="S3092" s="0" t="s">
        <v>21</v>
      </c>
      <c r="T3092" s="0" t="s">
        <v>104</v>
      </c>
      <c r="W3092" s="0" t="s">
        <v>105</v>
      </c>
      <c r="X3092" s="0" t="s">
        <v>658</v>
      </c>
      <c r="Y3092" s="0" t="s">
        <v>659</v>
      </c>
    </row>
    <row r="3093" customFormat="false" ht="15" hidden="false" customHeight="false" outlineLevel="0" collapsed="false">
      <c r="A3093" s="0" t="s">
        <v>21</v>
      </c>
      <c r="B3093" s="0" t="s">
        <v>9843</v>
      </c>
      <c r="C3093" s="0" t="s">
        <v>97</v>
      </c>
      <c r="D3093" s="0" t="s">
        <v>5189</v>
      </c>
      <c r="E3093" s="0" t="s">
        <v>9844</v>
      </c>
      <c r="H3093" s="0" t="s">
        <v>654</v>
      </c>
      <c r="I3093" s="0" t="s">
        <v>655</v>
      </c>
      <c r="J3093" s="0" t="s">
        <v>100</v>
      </c>
      <c r="K3093" s="0" t="s">
        <v>168</v>
      </c>
      <c r="L3093" s="0" t="s">
        <v>101</v>
      </c>
      <c r="M3093" s="0" t="s">
        <v>656</v>
      </c>
      <c r="N3093" s="0" t="s">
        <v>101</v>
      </c>
      <c r="P3093" s="0" t="s">
        <v>102</v>
      </c>
      <c r="Q3093" s="0" t="s">
        <v>102</v>
      </c>
      <c r="R3093" s="0" t="s">
        <v>131</v>
      </c>
      <c r="S3093" s="0" t="s">
        <v>21</v>
      </c>
      <c r="T3093" s="0" t="s">
        <v>104</v>
      </c>
      <c r="W3093" s="0" t="s">
        <v>105</v>
      </c>
      <c r="X3093" s="0" t="s">
        <v>658</v>
      </c>
      <c r="Y3093" s="0" t="s">
        <v>659</v>
      </c>
    </row>
    <row r="3094" customFormat="false" ht="15" hidden="false" customHeight="false" outlineLevel="0" collapsed="false">
      <c r="A3094" s="0" t="s">
        <v>21</v>
      </c>
      <c r="B3094" s="0" t="s">
        <v>9845</v>
      </c>
      <c r="C3094" s="0" t="s">
        <v>97</v>
      </c>
      <c r="D3094" s="0" t="s">
        <v>9846</v>
      </c>
      <c r="E3094" s="0" t="s">
        <v>9847</v>
      </c>
      <c r="M3094" s="0" t="s">
        <v>100</v>
      </c>
      <c r="N3094" s="0" t="s">
        <v>101</v>
      </c>
      <c r="P3094" s="0" t="s">
        <v>102</v>
      </c>
      <c r="Q3094" s="0" t="s">
        <v>102</v>
      </c>
      <c r="R3094" s="0" t="s">
        <v>131</v>
      </c>
      <c r="S3094" s="0" t="s">
        <v>21</v>
      </c>
      <c r="T3094" s="0" t="s">
        <v>104</v>
      </c>
      <c r="W3094" s="0" t="s">
        <v>105</v>
      </c>
    </row>
    <row r="3095" customFormat="false" ht="15" hidden="false" customHeight="false" outlineLevel="0" collapsed="false">
      <c r="A3095" s="0" t="s">
        <v>21</v>
      </c>
      <c r="B3095" s="0" t="s">
        <v>9848</v>
      </c>
      <c r="C3095" s="0" t="s">
        <v>97</v>
      </c>
      <c r="D3095" s="0" t="s">
        <v>9849</v>
      </c>
      <c r="E3095" s="0" t="s">
        <v>9850</v>
      </c>
      <c r="H3095" s="0" t="s">
        <v>9851</v>
      </c>
      <c r="I3095" s="0" t="s">
        <v>1576</v>
      </c>
      <c r="J3095" s="0" t="s">
        <v>1576</v>
      </c>
      <c r="K3095" s="0" t="s">
        <v>1609</v>
      </c>
      <c r="L3095" s="0" t="s">
        <v>101</v>
      </c>
      <c r="M3095" s="0" t="s">
        <v>1576</v>
      </c>
      <c r="N3095" s="0" t="s">
        <v>101</v>
      </c>
      <c r="P3095" s="0" t="s">
        <v>102</v>
      </c>
      <c r="Q3095" s="0" t="s">
        <v>102</v>
      </c>
      <c r="R3095" s="0" t="s">
        <v>131</v>
      </c>
      <c r="S3095" s="0" t="s">
        <v>21</v>
      </c>
      <c r="T3095" s="0" t="s">
        <v>104</v>
      </c>
      <c r="W3095" s="0" t="s">
        <v>105</v>
      </c>
      <c r="X3095" s="0" t="s">
        <v>9852</v>
      </c>
      <c r="Y3095" s="0" t="s">
        <v>9853</v>
      </c>
    </row>
    <row r="3096" customFormat="false" ht="15" hidden="false" customHeight="false" outlineLevel="0" collapsed="false">
      <c r="A3096" s="0" t="s">
        <v>21</v>
      </c>
      <c r="B3096" s="0" t="s">
        <v>9854</v>
      </c>
      <c r="C3096" s="0" t="s">
        <v>97</v>
      </c>
      <c r="D3096" s="0" t="s">
        <v>9855</v>
      </c>
      <c r="E3096" s="0" t="s">
        <v>9856</v>
      </c>
      <c r="H3096" s="0" t="s">
        <v>654</v>
      </c>
      <c r="I3096" s="0" t="s">
        <v>655</v>
      </c>
      <c r="J3096" s="0" t="s">
        <v>100</v>
      </c>
      <c r="K3096" s="0" t="s">
        <v>168</v>
      </c>
      <c r="L3096" s="0" t="s">
        <v>101</v>
      </c>
      <c r="M3096" s="0" t="s">
        <v>656</v>
      </c>
      <c r="N3096" s="0" t="s">
        <v>101</v>
      </c>
      <c r="P3096" s="0" t="s">
        <v>102</v>
      </c>
      <c r="Q3096" s="0" t="s">
        <v>102</v>
      </c>
      <c r="R3096" s="0" t="s">
        <v>144</v>
      </c>
      <c r="S3096" s="0" t="s">
        <v>21</v>
      </c>
      <c r="T3096" s="0" t="s">
        <v>104</v>
      </c>
      <c r="W3096" s="0" t="s">
        <v>105</v>
      </c>
      <c r="X3096" s="0" t="s">
        <v>658</v>
      </c>
      <c r="Y3096" s="0" t="s">
        <v>659</v>
      </c>
    </row>
    <row r="3097" customFormat="false" ht="15" hidden="false" customHeight="false" outlineLevel="0" collapsed="false">
      <c r="A3097" s="0" t="s">
        <v>21</v>
      </c>
      <c r="B3097" s="0" t="s">
        <v>9857</v>
      </c>
      <c r="C3097" s="0" t="s">
        <v>97</v>
      </c>
      <c r="D3097" s="0" t="s">
        <v>9858</v>
      </c>
      <c r="E3097" s="0" t="s">
        <v>9859</v>
      </c>
      <c r="M3097" s="0" t="s">
        <v>100</v>
      </c>
      <c r="N3097" s="0" t="s">
        <v>101</v>
      </c>
      <c r="P3097" s="0" t="s">
        <v>102</v>
      </c>
      <c r="Q3097" s="0" t="s">
        <v>102</v>
      </c>
      <c r="R3097" s="0" t="s">
        <v>144</v>
      </c>
      <c r="S3097" s="0" t="s">
        <v>21</v>
      </c>
      <c r="T3097" s="0" t="s">
        <v>104</v>
      </c>
      <c r="W3097" s="0" t="s">
        <v>105</v>
      </c>
    </row>
    <row r="3098" customFormat="false" ht="15" hidden="false" customHeight="false" outlineLevel="0" collapsed="false">
      <c r="A3098" s="0" t="s">
        <v>21</v>
      </c>
      <c r="B3098" s="0" t="s">
        <v>9860</v>
      </c>
      <c r="C3098" s="0" t="s">
        <v>97</v>
      </c>
      <c r="D3098" s="0" t="s">
        <v>9861</v>
      </c>
      <c r="E3098" s="0" t="s">
        <v>9862</v>
      </c>
      <c r="H3098" s="0" t="s">
        <v>1583</v>
      </c>
      <c r="I3098" s="0" t="s">
        <v>1584</v>
      </c>
      <c r="J3098" s="0" t="s">
        <v>1584</v>
      </c>
      <c r="K3098" s="0" t="s">
        <v>9148</v>
      </c>
      <c r="L3098" s="0" t="s">
        <v>101</v>
      </c>
      <c r="M3098" s="0" t="s">
        <v>1584</v>
      </c>
      <c r="N3098" s="0" t="s">
        <v>101</v>
      </c>
      <c r="P3098" s="0" t="s">
        <v>102</v>
      </c>
      <c r="Q3098" s="0" t="s">
        <v>102</v>
      </c>
      <c r="R3098" s="0" t="s">
        <v>131</v>
      </c>
      <c r="S3098" s="0" t="s">
        <v>21</v>
      </c>
      <c r="T3098" s="0" t="s">
        <v>104</v>
      </c>
      <c r="W3098" s="0" t="s">
        <v>105</v>
      </c>
      <c r="X3098" s="0" t="s">
        <v>9863</v>
      </c>
      <c r="Y3098" s="0" t="s">
        <v>9864</v>
      </c>
    </row>
    <row r="3099" customFormat="false" ht="15" hidden="false" customHeight="false" outlineLevel="0" collapsed="false">
      <c r="A3099" s="0" t="s">
        <v>21</v>
      </c>
      <c r="B3099" s="0" t="s">
        <v>9865</v>
      </c>
      <c r="C3099" s="0" t="s">
        <v>97</v>
      </c>
      <c r="D3099" s="0" t="s">
        <v>1581</v>
      </c>
      <c r="E3099" s="0" t="s">
        <v>9866</v>
      </c>
      <c r="H3099" s="0" t="s">
        <v>654</v>
      </c>
      <c r="I3099" s="0" t="s">
        <v>655</v>
      </c>
      <c r="J3099" s="0" t="s">
        <v>100</v>
      </c>
      <c r="K3099" s="0" t="s">
        <v>168</v>
      </c>
      <c r="L3099" s="0" t="s">
        <v>101</v>
      </c>
      <c r="M3099" s="0" t="s">
        <v>656</v>
      </c>
      <c r="N3099" s="0" t="s">
        <v>101</v>
      </c>
      <c r="P3099" s="0" t="s">
        <v>102</v>
      </c>
      <c r="Q3099" s="0" t="s">
        <v>102</v>
      </c>
      <c r="R3099" s="0" t="s">
        <v>131</v>
      </c>
      <c r="S3099" s="0" t="s">
        <v>21</v>
      </c>
      <c r="T3099" s="0" t="s">
        <v>104</v>
      </c>
      <c r="W3099" s="0" t="s">
        <v>105</v>
      </c>
      <c r="X3099" s="0" t="s">
        <v>658</v>
      </c>
      <c r="Y3099" s="0" t="s">
        <v>659</v>
      </c>
    </row>
    <row r="3100" customFormat="false" ht="15" hidden="false" customHeight="false" outlineLevel="0" collapsed="false">
      <c r="A3100" s="0" t="s">
        <v>21</v>
      </c>
      <c r="B3100" s="0" t="s">
        <v>9867</v>
      </c>
      <c r="C3100" s="0" t="s">
        <v>7098</v>
      </c>
      <c r="D3100" s="0" t="s">
        <v>9868</v>
      </c>
      <c r="E3100" s="0" t="s">
        <v>9869</v>
      </c>
      <c r="G3100" s="0" t="s">
        <v>9870</v>
      </c>
      <c r="H3100" s="0" t="s">
        <v>9871</v>
      </c>
      <c r="I3100" s="0" t="s">
        <v>9872</v>
      </c>
      <c r="K3100" s="0" t="s">
        <v>9873</v>
      </c>
      <c r="M3100" s="0" t="s">
        <v>9872</v>
      </c>
      <c r="N3100" s="0" t="s">
        <v>101</v>
      </c>
      <c r="P3100" s="0" t="s">
        <v>102</v>
      </c>
      <c r="Q3100" s="0" t="s">
        <v>102</v>
      </c>
      <c r="R3100" s="0" t="s">
        <v>137</v>
      </c>
      <c r="S3100" s="0" t="s">
        <v>21</v>
      </c>
      <c r="T3100" s="0" t="s">
        <v>104</v>
      </c>
      <c r="W3100" s="0" t="s">
        <v>105</v>
      </c>
    </row>
    <row r="3101" customFormat="false" ht="15" hidden="false" customHeight="false" outlineLevel="0" collapsed="false">
      <c r="A3101" s="0" t="s">
        <v>21</v>
      </c>
      <c r="B3101" s="0" t="s">
        <v>9874</v>
      </c>
      <c r="C3101" s="0" t="s">
        <v>110</v>
      </c>
      <c r="D3101" s="0" t="s">
        <v>9875</v>
      </c>
      <c r="E3101" s="0" t="s">
        <v>9875</v>
      </c>
      <c r="M3101" s="0" t="s">
        <v>208</v>
      </c>
      <c r="N3101" s="0" t="s">
        <v>124</v>
      </c>
      <c r="P3101" s="0" t="s">
        <v>130</v>
      </c>
      <c r="Q3101" s="0" t="s">
        <v>130</v>
      </c>
      <c r="R3101" s="0" t="s">
        <v>804</v>
      </c>
      <c r="S3101" s="0" t="s">
        <v>21</v>
      </c>
      <c r="T3101" s="0" t="s">
        <v>104</v>
      </c>
      <c r="W3101" s="0" t="s">
        <v>105</v>
      </c>
    </row>
    <row r="3102" customFormat="false" ht="15" hidden="false" customHeight="false" outlineLevel="0" collapsed="false">
      <c r="A3102" s="0" t="s">
        <v>21</v>
      </c>
      <c r="B3102" s="0" t="s">
        <v>9876</v>
      </c>
      <c r="C3102" s="0" t="s">
        <v>97</v>
      </c>
      <c r="D3102" s="0" t="s">
        <v>9877</v>
      </c>
      <c r="E3102" s="0" t="s">
        <v>9878</v>
      </c>
      <c r="M3102" s="0" t="s">
        <v>136</v>
      </c>
      <c r="N3102" s="0" t="s">
        <v>124</v>
      </c>
      <c r="P3102" s="0" t="s">
        <v>102</v>
      </c>
      <c r="Q3102" s="0" t="s">
        <v>102</v>
      </c>
      <c r="R3102" s="0" t="s">
        <v>804</v>
      </c>
      <c r="S3102" s="0" t="s">
        <v>21</v>
      </c>
      <c r="T3102" s="0" t="s">
        <v>104</v>
      </c>
      <c r="W3102" s="0" t="s">
        <v>105</v>
      </c>
    </row>
    <row r="3103" customFormat="false" ht="15" hidden="false" customHeight="false" outlineLevel="0" collapsed="false">
      <c r="A3103" s="0" t="s">
        <v>21</v>
      </c>
      <c r="B3103" s="0" t="s">
        <v>9879</v>
      </c>
      <c r="C3103" s="0" t="s">
        <v>97</v>
      </c>
      <c r="D3103" s="0" t="s">
        <v>9880</v>
      </c>
      <c r="E3103" s="0" t="s">
        <v>9881</v>
      </c>
      <c r="M3103" s="0" t="s">
        <v>136</v>
      </c>
      <c r="N3103" s="0" t="s">
        <v>124</v>
      </c>
      <c r="P3103" s="0" t="s">
        <v>102</v>
      </c>
      <c r="Q3103" s="0" t="s">
        <v>102</v>
      </c>
      <c r="R3103" s="0" t="s">
        <v>804</v>
      </c>
      <c r="S3103" s="0" t="s">
        <v>21</v>
      </c>
      <c r="T3103" s="0" t="s">
        <v>104</v>
      </c>
      <c r="W3103" s="0" t="s">
        <v>105</v>
      </c>
    </row>
    <row r="3104" customFormat="false" ht="15" hidden="false" customHeight="false" outlineLevel="0" collapsed="false">
      <c r="A3104" s="0" t="s">
        <v>21</v>
      </c>
      <c r="B3104" s="0" t="s">
        <v>9882</v>
      </c>
      <c r="C3104" s="0" t="s">
        <v>97</v>
      </c>
      <c r="D3104" s="0" t="s">
        <v>9883</v>
      </c>
      <c r="E3104" s="0" t="s">
        <v>9884</v>
      </c>
      <c r="M3104" s="0" t="s">
        <v>100</v>
      </c>
      <c r="N3104" s="0" t="s">
        <v>101</v>
      </c>
      <c r="P3104" s="0" t="s">
        <v>102</v>
      </c>
      <c r="Q3104" s="0" t="s">
        <v>102</v>
      </c>
      <c r="R3104" s="0" t="s">
        <v>113</v>
      </c>
      <c r="S3104" s="0" t="s">
        <v>21</v>
      </c>
      <c r="T3104" s="0" t="s">
        <v>104</v>
      </c>
      <c r="W3104" s="0" t="s">
        <v>105</v>
      </c>
    </row>
    <row r="3105" customFormat="false" ht="15" hidden="false" customHeight="false" outlineLevel="0" collapsed="false">
      <c r="A3105" s="0" t="s">
        <v>21</v>
      </c>
      <c r="B3105" s="0" t="s">
        <v>9885</v>
      </c>
      <c r="C3105" s="0" t="s">
        <v>97</v>
      </c>
      <c r="D3105" s="0" t="s">
        <v>9886</v>
      </c>
      <c r="E3105" s="0" t="s">
        <v>9887</v>
      </c>
      <c r="M3105" s="0" t="s">
        <v>100</v>
      </c>
      <c r="N3105" s="0" t="s">
        <v>101</v>
      </c>
      <c r="P3105" s="0" t="s">
        <v>102</v>
      </c>
      <c r="Q3105" s="0" t="s">
        <v>102</v>
      </c>
      <c r="R3105" s="0" t="s">
        <v>113</v>
      </c>
      <c r="S3105" s="0" t="s">
        <v>21</v>
      </c>
      <c r="T3105" s="0" t="s">
        <v>104</v>
      </c>
      <c r="W3105" s="0" t="s">
        <v>105</v>
      </c>
    </row>
    <row r="3106" customFormat="false" ht="15" hidden="false" customHeight="false" outlineLevel="0" collapsed="false">
      <c r="A3106" s="0" t="s">
        <v>21</v>
      </c>
      <c r="B3106" s="0" t="s">
        <v>9888</v>
      </c>
      <c r="C3106" s="0" t="s">
        <v>97</v>
      </c>
      <c r="D3106" s="0" t="s">
        <v>2596</v>
      </c>
      <c r="E3106" s="0" t="s">
        <v>9889</v>
      </c>
      <c r="M3106" s="0" t="s">
        <v>136</v>
      </c>
      <c r="N3106" s="0" t="s">
        <v>124</v>
      </c>
      <c r="P3106" s="0" t="s">
        <v>102</v>
      </c>
      <c r="Q3106" s="0" t="s">
        <v>102</v>
      </c>
      <c r="R3106" s="0" t="s">
        <v>131</v>
      </c>
      <c r="S3106" s="0" t="s">
        <v>21</v>
      </c>
      <c r="T3106" s="0" t="s">
        <v>104</v>
      </c>
      <c r="W3106" s="0" t="s">
        <v>105</v>
      </c>
    </row>
    <row r="3107" customFormat="false" ht="15" hidden="false" customHeight="false" outlineLevel="0" collapsed="false">
      <c r="A3107" s="0" t="s">
        <v>21</v>
      </c>
      <c r="B3107" s="0" t="s">
        <v>9890</v>
      </c>
      <c r="C3107" s="0" t="s">
        <v>97</v>
      </c>
      <c r="D3107" s="0" t="s">
        <v>9891</v>
      </c>
      <c r="E3107" s="0" t="s">
        <v>9892</v>
      </c>
      <c r="M3107" s="0" t="s">
        <v>136</v>
      </c>
      <c r="N3107" s="0" t="s">
        <v>124</v>
      </c>
      <c r="P3107" s="0" t="s">
        <v>102</v>
      </c>
      <c r="Q3107" s="0" t="s">
        <v>102</v>
      </c>
      <c r="R3107" s="0" t="s">
        <v>131</v>
      </c>
      <c r="S3107" s="0" t="s">
        <v>21</v>
      </c>
      <c r="T3107" s="0" t="s">
        <v>104</v>
      </c>
      <c r="W3107" s="0" t="s">
        <v>105</v>
      </c>
    </row>
    <row r="3108" customFormat="false" ht="15" hidden="false" customHeight="false" outlineLevel="0" collapsed="false">
      <c r="A3108" s="0" t="s">
        <v>21</v>
      </c>
      <c r="B3108" s="0" t="s">
        <v>9893</v>
      </c>
      <c r="C3108" s="0" t="s">
        <v>97</v>
      </c>
      <c r="D3108" s="0" t="s">
        <v>9894</v>
      </c>
      <c r="E3108" s="0" t="s">
        <v>9895</v>
      </c>
      <c r="M3108" s="0" t="s">
        <v>136</v>
      </c>
      <c r="N3108" s="0" t="s">
        <v>124</v>
      </c>
      <c r="P3108" s="0" t="s">
        <v>102</v>
      </c>
      <c r="Q3108" s="0" t="s">
        <v>102</v>
      </c>
      <c r="R3108" s="0" t="s">
        <v>131</v>
      </c>
      <c r="S3108" s="0" t="s">
        <v>21</v>
      </c>
      <c r="T3108" s="0" t="s">
        <v>104</v>
      </c>
      <c r="W3108" s="0" t="s">
        <v>105</v>
      </c>
    </row>
    <row r="3109" customFormat="false" ht="15" hidden="false" customHeight="false" outlineLevel="0" collapsed="false">
      <c r="A3109" s="0" t="s">
        <v>21</v>
      </c>
      <c r="B3109" s="0" t="s">
        <v>9896</v>
      </c>
      <c r="C3109" s="0" t="s">
        <v>97</v>
      </c>
      <c r="D3109" s="0" t="s">
        <v>9897</v>
      </c>
      <c r="E3109" s="0" t="s">
        <v>9898</v>
      </c>
      <c r="M3109" s="0" t="s">
        <v>136</v>
      </c>
      <c r="N3109" s="0" t="s">
        <v>124</v>
      </c>
      <c r="P3109" s="0" t="s">
        <v>102</v>
      </c>
      <c r="Q3109" s="0" t="s">
        <v>102</v>
      </c>
      <c r="R3109" s="0" t="s">
        <v>113</v>
      </c>
      <c r="S3109" s="0" t="s">
        <v>21</v>
      </c>
      <c r="T3109" s="0" t="s">
        <v>104</v>
      </c>
      <c r="W3109" s="0" t="s">
        <v>105</v>
      </c>
    </row>
    <row r="3110" customFormat="false" ht="15" hidden="false" customHeight="false" outlineLevel="0" collapsed="false">
      <c r="A3110" s="0" t="s">
        <v>21</v>
      </c>
      <c r="B3110" s="0" t="s">
        <v>9899</v>
      </c>
      <c r="C3110" s="0" t="s">
        <v>116</v>
      </c>
      <c r="D3110" s="0" t="s">
        <v>9900</v>
      </c>
      <c r="E3110" s="0" t="s">
        <v>9900</v>
      </c>
      <c r="H3110" s="0" t="s">
        <v>9901</v>
      </c>
      <c r="I3110" s="0" t="s">
        <v>598</v>
      </c>
      <c r="J3110" s="0" t="s">
        <v>275</v>
      </c>
      <c r="K3110" s="0" t="s">
        <v>6970</v>
      </c>
      <c r="L3110" s="0" t="s">
        <v>124</v>
      </c>
      <c r="M3110" s="0" t="s">
        <v>598</v>
      </c>
      <c r="N3110" s="0" t="s">
        <v>124</v>
      </c>
      <c r="P3110" s="0" t="s">
        <v>102</v>
      </c>
      <c r="Q3110" s="0" t="s">
        <v>102</v>
      </c>
      <c r="R3110" s="0" t="s">
        <v>113</v>
      </c>
      <c r="S3110" s="0" t="s">
        <v>21</v>
      </c>
      <c r="T3110" s="0" t="s">
        <v>104</v>
      </c>
      <c r="U3110" s="0" t="s">
        <v>9902</v>
      </c>
      <c r="W3110" s="0" t="s">
        <v>105</v>
      </c>
    </row>
    <row r="3111" customFormat="false" ht="15" hidden="false" customHeight="false" outlineLevel="0" collapsed="false">
      <c r="A3111" s="0" t="s">
        <v>21</v>
      </c>
      <c r="B3111" s="0" t="s">
        <v>9903</v>
      </c>
      <c r="C3111" s="0" t="s">
        <v>97</v>
      </c>
      <c r="D3111" s="0" t="s">
        <v>9904</v>
      </c>
      <c r="E3111" s="0" t="s">
        <v>9905</v>
      </c>
      <c r="M3111" s="0" t="s">
        <v>136</v>
      </c>
      <c r="N3111" s="0" t="s">
        <v>124</v>
      </c>
      <c r="P3111" s="0" t="s">
        <v>102</v>
      </c>
      <c r="Q3111" s="0" t="s">
        <v>102</v>
      </c>
      <c r="R3111" s="0" t="s">
        <v>144</v>
      </c>
      <c r="S3111" s="0" t="s">
        <v>21</v>
      </c>
      <c r="T3111" s="0" t="s">
        <v>104</v>
      </c>
      <c r="W3111" s="0" t="s">
        <v>105</v>
      </c>
    </row>
    <row r="3112" customFormat="false" ht="15" hidden="false" customHeight="false" outlineLevel="0" collapsed="false">
      <c r="A3112" s="0" t="s">
        <v>21</v>
      </c>
      <c r="B3112" s="0" t="s">
        <v>9906</v>
      </c>
      <c r="C3112" s="0" t="s">
        <v>97</v>
      </c>
      <c r="D3112" s="0" t="s">
        <v>9907</v>
      </c>
      <c r="E3112" s="0" t="s">
        <v>9908</v>
      </c>
      <c r="M3112" s="0" t="s">
        <v>136</v>
      </c>
      <c r="N3112" s="0" t="s">
        <v>124</v>
      </c>
      <c r="P3112" s="0" t="s">
        <v>102</v>
      </c>
      <c r="Q3112" s="0" t="s">
        <v>102</v>
      </c>
      <c r="R3112" s="0" t="s">
        <v>144</v>
      </c>
      <c r="S3112" s="0" t="s">
        <v>21</v>
      </c>
      <c r="T3112" s="0" t="s">
        <v>104</v>
      </c>
      <c r="W3112" s="0" t="s">
        <v>105</v>
      </c>
    </row>
    <row r="3113" customFormat="false" ht="15" hidden="false" customHeight="false" outlineLevel="0" collapsed="false">
      <c r="A3113" s="0" t="s">
        <v>21</v>
      </c>
      <c r="B3113" s="0" t="s">
        <v>9909</v>
      </c>
      <c r="C3113" s="0" t="s">
        <v>97</v>
      </c>
      <c r="D3113" s="0" t="s">
        <v>9910</v>
      </c>
      <c r="E3113" s="0" t="s">
        <v>9911</v>
      </c>
      <c r="M3113" s="0" t="s">
        <v>136</v>
      </c>
      <c r="N3113" s="0" t="s">
        <v>124</v>
      </c>
      <c r="P3113" s="0" t="s">
        <v>102</v>
      </c>
      <c r="Q3113" s="0" t="s">
        <v>102</v>
      </c>
      <c r="R3113" s="0" t="s">
        <v>144</v>
      </c>
      <c r="S3113" s="0" t="s">
        <v>21</v>
      </c>
      <c r="T3113" s="0" t="s">
        <v>104</v>
      </c>
      <c r="W3113" s="0" t="s">
        <v>105</v>
      </c>
    </row>
    <row r="3114" customFormat="false" ht="15" hidden="false" customHeight="false" outlineLevel="0" collapsed="false">
      <c r="A3114" s="0" t="s">
        <v>21</v>
      </c>
      <c r="B3114" s="0" t="s">
        <v>9912</v>
      </c>
      <c r="C3114" s="0" t="s">
        <v>97</v>
      </c>
      <c r="D3114" s="0" t="s">
        <v>9913</v>
      </c>
      <c r="E3114" s="0" t="s">
        <v>9914</v>
      </c>
      <c r="M3114" s="0" t="s">
        <v>136</v>
      </c>
      <c r="N3114" s="0" t="s">
        <v>124</v>
      </c>
      <c r="P3114" s="0" t="s">
        <v>102</v>
      </c>
      <c r="Q3114" s="0" t="s">
        <v>102</v>
      </c>
      <c r="R3114" s="0" t="s">
        <v>113</v>
      </c>
      <c r="S3114" s="0" t="s">
        <v>21</v>
      </c>
      <c r="T3114" s="0" t="s">
        <v>104</v>
      </c>
      <c r="W3114" s="0" t="s">
        <v>105</v>
      </c>
    </row>
    <row r="3115" customFormat="false" ht="15" hidden="false" customHeight="false" outlineLevel="0" collapsed="false">
      <c r="A3115" s="0" t="s">
        <v>21</v>
      </c>
      <c r="B3115" s="0" t="s">
        <v>9915</v>
      </c>
      <c r="C3115" s="0" t="s">
        <v>97</v>
      </c>
      <c r="D3115" s="0" t="s">
        <v>9916</v>
      </c>
      <c r="E3115" s="0" t="s">
        <v>9917</v>
      </c>
      <c r="M3115" s="0" t="s">
        <v>136</v>
      </c>
      <c r="N3115" s="0" t="s">
        <v>124</v>
      </c>
      <c r="P3115" s="0" t="s">
        <v>102</v>
      </c>
      <c r="Q3115" s="0" t="s">
        <v>102</v>
      </c>
      <c r="R3115" s="0" t="s">
        <v>113</v>
      </c>
      <c r="S3115" s="0" t="s">
        <v>21</v>
      </c>
      <c r="T3115" s="0" t="s">
        <v>104</v>
      </c>
      <c r="W3115" s="0" t="s">
        <v>105</v>
      </c>
    </row>
    <row r="3116" customFormat="false" ht="15" hidden="false" customHeight="false" outlineLevel="0" collapsed="false">
      <c r="A3116" s="0" t="s">
        <v>21</v>
      </c>
      <c r="B3116" s="0" t="s">
        <v>9918</v>
      </c>
      <c r="C3116" s="0" t="s">
        <v>97</v>
      </c>
      <c r="D3116" s="0" t="s">
        <v>9919</v>
      </c>
      <c r="E3116" s="0" t="s">
        <v>9920</v>
      </c>
      <c r="M3116" s="0" t="s">
        <v>136</v>
      </c>
      <c r="N3116" s="0" t="s">
        <v>124</v>
      </c>
      <c r="P3116" s="0" t="s">
        <v>102</v>
      </c>
      <c r="Q3116" s="0" t="s">
        <v>102</v>
      </c>
      <c r="R3116" s="0" t="s">
        <v>113</v>
      </c>
      <c r="S3116" s="0" t="s">
        <v>21</v>
      </c>
      <c r="T3116" s="0" t="s">
        <v>104</v>
      </c>
      <c r="W3116" s="0" t="s">
        <v>105</v>
      </c>
    </row>
    <row r="3117" customFormat="false" ht="15" hidden="false" customHeight="false" outlineLevel="0" collapsed="false">
      <c r="A3117" s="0" t="s">
        <v>21</v>
      </c>
      <c r="B3117" s="0" t="s">
        <v>9921</v>
      </c>
      <c r="C3117" s="0" t="s">
        <v>97</v>
      </c>
      <c r="D3117" s="0" t="s">
        <v>1994</v>
      </c>
      <c r="E3117" s="0" t="s">
        <v>9922</v>
      </c>
      <c r="M3117" s="0" t="s">
        <v>136</v>
      </c>
      <c r="N3117" s="0" t="s">
        <v>124</v>
      </c>
      <c r="P3117" s="0" t="s">
        <v>102</v>
      </c>
      <c r="Q3117" s="0" t="s">
        <v>102</v>
      </c>
      <c r="R3117" s="0" t="s">
        <v>131</v>
      </c>
      <c r="S3117" s="0" t="s">
        <v>21</v>
      </c>
      <c r="T3117" s="0" t="s">
        <v>104</v>
      </c>
      <c r="W3117" s="0" t="s">
        <v>105</v>
      </c>
    </row>
    <row r="3118" customFormat="false" ht="15" hidden="false" customHeight="false" outlineLevel="0" collapsed="false">
      <c r="A3118" s="0" t="s">
        <v>21</v>
      </c>
      <c r="B3118" s="0" t="s">
        <v>9923</v>
      </c>
      <c r="C3118" s="0" t="s">
        <v>97</v>
      </c>
      <c r="D3118" s="0" t="s">
        <v>9924</v>
      </c>
      <c r="E3118" s="0" t="s">
        <v>9925</v>
      </c>
      <c r="M3118" s="0" t="s">
        <v>136</v>
      </c>
      <c r="N3118" s="0" t="s">
        <v>124</v>
      </c>
      <c r="P3118" s="0" t="s">
        <v>102</v>
      </c>
      <c r="Q3118" s="0" t="s">
        <v>102</v>
      </c>
      <c r="R3118" s="0" t="s">
        <v>113</v>
      </c>
      <c r="S3118" s="0" t="s">
        <v>21</v>
      </c>
      <c r="T3118" s="0" t="s">
        <v>104</v>
      </c>
      <c r="W3118" s="0" t="s">
        <v>105</v>
      </c>
    </row>
    <row r="3119" customFormat="false" ht="15" hidden="false" customHeight="false" outlineLevel="0" collapsed="false">
      <c r="A3119" s="0" t="s">
        <v>21</v>
      </c>
      <c r="B3119" s="0" t="s">
        <v>9926</v>
      </c>
      <c r="C3119" s="0" t="s">
        <v>97</v>
      </c>
      <c r="D3119" s="0" t="s">
        <v>7421</v>
      </c>
      <c r="E3119" s="0" t="s">
        <v>9927</v>
      </c>
      <c r="M3119" s="0" t="s">
        <v>136</v>
      </c>
      <c r="N3119" s="0" t="s">
        <v>124</v>
      </c>
      <c r="P3119" s="0" t="s">
        <v>102</v>
      </c>
      <c r="Q3119" s="0" t="s">
        <v>102</v>
      </c>
      <c r="R3119" s="0" t="s">
        <v>113</v>
      </c>
      <c r="S3119" s="0" t="s">
        <v>21</v>
      </c>
      <c r="T3119" s="0" t="s">
        <v>104</v>
      </c>
      <c r="W3119" s="0" t="s">
        <v>105</v>
      </c>
    </row>
    <row r="3120" customFormat="false" ht="15" hidden="false" customHeight="false" outlineLevel="0" collapsed="false">
      <c r="A3120" s="0" t="s">
        <v>21</v>
      </c>
      <c r="B3120" s="0" t="s">
        <v>9928</v>
      </c>
      <c r="C3120" s="0" t="s">
        <v>97</v>
      </c>
      <c r="D3120" s="0" t="s">
        <v>9929</v>
      </c>
      <c r="E3120" s="0" t="s">
        <v>9929</v>
      </c>
      <c r="M3120" s="0" t="s">
        <v>136</v>
      </c>
      <c r="N3120" s="0" t="s">
        <v>124</v>
      </c>
      <c r="P3120" s="0" t="s">
        <v>102</v>
      </c>
      <c r="Q3120" s="0" t="s">
        <v>102</v>
      </c>
      <c r="R3120" s="0" t="s">
        <v>131</v>
      </c>
      <c r="S3120" s="0" t="s">
        <v>21</v>
      </c>
      <c r="T3120" s="0" t="s">
        <v>104</v>
      </c>
      <c r="W3120" s="0" t="s">
        <v>105</v>
      </c>
    </row>
    <row r="3121" customFormat="false" ht="15" hidden="false" customHeight="false" outlineLevel="0" collapsed="false">
      <c r="A3121" s="0" t="s">
        <v>21</v>
      </c>
      <c r="B3121" s="0" t="s">
        <v>9930</v>
      </c>
      <c r="C3121" s="0" t="s">
        <v>97</v>
      </c>
      <c r="D3121" s="0" t="s">
        <v>1321</v>
      </c>
      <c r="E3121" s="0" t="s">
        <v>9931</v>
      </c>
      <c r="H3121" s="0" t="s">
        <v>9932</v>
      </c>
      <c r="I3121" s="0" t="s">
        <v>1324</v>
      </c>
      <c r="J3121" s="0" t="s">
        <v>1324</v>
      </c>
      <c r="K3121" s="0" t="s">
        <v>1308</v>
      </c>
      <c r="L3121" s="0" t="s">
        <v>101</v>
      </c>
      <c r="M3121" s="0" t="s">
        <v>1324</v>
      </c>
      <c r="N3121" s="0" t="s">
        <v>101</v>
      </c>
      <c r="P3121" s="0" t="s">
        <v>102</v>
      </c>
      <c r="Q3121" s="0" t="s">
        <v>102</v>
      </c>
      <c r="R3121" s="0" t="s">
        <v>113</v>
      </c>
      <c r="S3121" s="0" t="s">
        <v>21</v>
      </c>
      <c r="T3121" s="0" t="s">
        <v>104</v>
      </c>
      <c r="W3121" s="0" t="s">
        <v>105</v>
      </c>
      <c r="X3121" s="0" t="s">
        <v>9933</v>
      </c>
      <c r="Y3121" s="0" t="s">
        <v>9934</v>
      </c>
    </row>
    <row r="3122" customFormat="false" ht="15" hidden="false" customHeight="false" outlineLevel="0" collapsed="false">
      <c r="A3122" s="0" t="s">
        <v>21</v>
      </c>
      <c r="B3122" s="0" t="s">
        <v>9935</v>
      </c>
      <c r="C3122" s="0" t="s">
        <v>97</v>
      </c>
      <c r="D3122" s="0" t="s">
        <v>9936</v>
      </c>
      <c r="E3122" s="0" t="s">
        <v>9937</v>
      </c>
      <c r="M3122" s="0" t="s">
        <v>136</v>
      </c>
      <c r="N3122" s="0" t="s">
        <v>124</v>
      </c>
      <c r="P3122" s="0" t="s">
        <v>102</v>
      </c>
      <c r="Q3122" s="0" t="s">
        <v>102</v>
      </c>
      <c r="R3122" s="0" t="s">
        <v>113</v>
      </c>
      <c r="S3122" s="0" t="s">
        <v>21</v>
      </c>
      <c r="T3122" s="0" t="s">
        <v>104</v>
      </c>
      <c r="W3122" s="0" t="s">
        <v>105</v>
      </c>
    </row>
    <row r="3123" customFormat="false" ht="15" hidden="false" customHeight="false" outlineLevel="0" collapsed="false">
      <c r="A3123" s="0" t="s">
        <v>21</v>
      </c>
      <c r="B3123" s="0" t="s">
        <v>9938</v>
      </c>
      <c r="C3123" s="0" t="s">
        <v>97</v>
      </c>
      <c r="D3123" s="0" t="s">
        <v>9939</v>
      </c>
      <c r="E3123" s="0" t="s">
        <v>9940</v>
      </c>
      <c r="M3123" s="0" t="s">
        <v>136</v>
      </c>
      <c r="N3123" s="0" t="s">
        <v>124</v>
      </c>
      <c r="P3123" s="0" t="s">
        <v>102</v>
      </c>
      <c r="Q3123" s="0" t="s">
        <v>102</v>
      </c>
      <c r="R3123" s="0" t="s">
        <v>113</v>
      </c>
      <c r="S3123" s="0" t="s">
        <v>21</v>
      </c>
      <c r="T3123" s="0" t="s">
        <v>104</v>
      </c>
      <c r="W3123" s="0" t="s">
        <v>105</v>
      </c>
    </row>
    <row r="3124" customFormat="false" ht="15" hidden="false" customHeight="false" outlineLevel="0" collapsed="false">
      <c r="A3124" s="0" t="s">
        <v>21</v>
      </c>
      <c r="B3124" s="0" t="s">
        <v>9941</v>
      </c>
      <c r="C3124" s="0" t="s">
        <v>97</v>
      </c>
      <c r="D3124" s="0" t="s">
        <v>9942</v>
      </c>
      <c r="E3124" s="0" t="s">
        <v>9943</v>
      </c>
      <c r="G3124" s="0" t="s">
        <v>9944</v>
      </c>
      <c r="M3124" s="0" t="s">
        <v>100</v>
      </c>
      <c r="N3124" s="0" t="s">
        <v>101</v>
      </c>
      <c r="P3124" s="0" t="s">
        <v>102</v>
      </c>
      <c r="Q3124" s="0" t="s">
        <v>102</v>
      </c>
      <c r="R3124" s="0" t="s">
        <v>144</v>
      </c>
      <c r="S3124" s="0" t="s">
        <v>21</v>
      </c>
      <c r="T3124" s="0" t="s">
        <v>104</v>
      </c>
      <c r="W3124" s="0" t="s">
        <v>105</v>
      </c>
    </row>
    <row r="3125" customFormat="false" ht="15" hidden="false" customHeight="false" outlineLevel="0" collapsed="false">
      <c r="A3125" s="0" t="s">
        <v>21</v>
      </c>
      <c r="B3125" s="0" t="s">
        <v>9945</v>
      </c>
      <c r="C3125" s="0" t="s">
        <v>97</v>
      </c>
      <c r="D3125" s="0" t="s">
        <v>9946</v>
      </c>
      <c r="E3125" s="0" t="s">
        <v>9946</v>
      </c>
      <c r="F3125" s="0" t="s">
        <v>9946</v>
      </c>
      <c r="M3125" s="0" t="s">
        <v>100</v>
      </c>
      <c r="N3125" s="0" t="s">
        <v>101</v>
      </c>
      <c r="P3125" s="0" t="s">
        <v>102</v>
      </c>
      <c r="Q3125" s="0" t="s">
        <v>102</v>
      </c>
      <c r="R3125" s="0" t="s">
        <v>131</v>
      </c>
      <c r="S3125" s="0" t="s">
        <v>21</v>
      </c>
      <c r="T3125" s="0" t="s">
        <v>104</v>
      </c>
      <c r="W3125" s="0" t="s">
        <v>105</v>
      </c>
    </row>
    <row r="3126" customFormat="false" ht="15" hidden="false" customHeight="false" outlineLevel="0" collapsed="false">
      <c r="A3126" s="0" t="s">
        <v>21</v>
      </c>
      <c r="B3126" s="0" t="s">
        <v>9947</v>
      </c>
      <c r="C3126" s="0" t="s">
        <v>97</v>
      </c>
      <c r="E3126" s="0" t="s">
        <v>9948</v>
      </c>
      <c r="M3126" s="0" t="s">
        <v>9949</v>
      </c>
      <c r="N3126" s="0" t="s">
        <v>124</v>
      </c>
      <c r="P3126" s="0" t="s">
        <v>130</v>
      </c>
      <c r="Q3126" s="0" t="s">
        <v>130</v>
      </c>
      <c r="R3126" s="0" t="s">
        <v>467</v>
      </c>
      <c r="S3126" s="0" t="s">
        <v>21</v>
      </c>
      <c r="T3126" s="0" t="s">
        <v>104</v>
      </c>
      <c r="W3126" s="0" t="s">
        <v>105</v>
      </c>
    </row>
    <row r="3127" customFormat="false" ht="15" hidden="false" customHeight="false" outlineLevel="0" collapsed="false">
      <c r="A3127" s="0" t="s">
        <v>21</v>
      </c>
      <c r="B3127" s="0" t="s">
        <v>9950</v>
      </c>
      <c r="C3127" s="0" t="s">
        <v>97</v>
      </c>
      <c r="D3127" s="0" t="s">
        <v>9951</v>
      </c>
      <c r="E3127" s="0" t="s">
        <v>9952</v>
      </c>
      <c r="M3127" s="0" t="s">
        <v>136</v>
      </c>
      <c r="N3127" s="0" t="s">
        <v>124</v>
      </c>
      <c r="P3127" s="0" t="s">
        <v>102</v>
      </c>
      <c r="Q3127" s="0" t="s">
        <v>102</v>
      </c>
      <c r="R3127" s="0" t="s">
        <v>131</v>
      </c>
      <c r="S3127" s="0" t="s">
        <v>21</v>
      </c>
      <c r="T3127" s="0" t="s">
        <v>104</v>
      </c>
      <c r="W3127" s="0" t="s">
        <v>105</v>
      </c>
    </row>
    <row r="3128" customFormat="false" ht="15" hidden="false" customHeight="false" outlineLevel="0" collapsed="false">
      <c r="A3128" s="0" t="s">
        <v>21</v>
      </c>
      <c r="B3128" s="0" t="s">
        <v>9953</v>
      </c>
      <c r="C3128" s="0" t="s">
        <v>97</v>
      </c>
      <c r="D3128" s="0" t="s">
        <v>9954</v>
      </c>
      <c r="E3128" s="0" t="s">
        <v>9955</v>
      </c>
      <c r="M3128" s="0" t="s">
        <v>136</v>
      </c>
      <c r="N3128" s="0" t="s">
        <v>124</v>
      </c>
      <c r="P3128" s="0" t="s">
        <v>102</v>
      </c>
      <c r="Q3128" s="0" t="s">
        <v>102</v>
      </c>
      <c r="R3128" s="0" t="s">
        <v>113</v>
      </c>
      <c r="S3128" s="0" t="s">
        <v>21</v>
      </c>
      <c r="T3128" s="0" t="s">
        <v>104</v>
      </c>
      <c r="W3128" s="0" t="s">
        <v>105</v>
      </c>
    </row>
    <row r="3129" customFormat="false" ht="15" hidden="false" customHeight="false" outlineLevel="0" collapsed="false">
      <c r="A3129" s="0" t="s">
        <v>21</v>
      </c>
      <c r="B3129" s="0" t="s">
        <v>9956</v>
      </c>
      <c r="C3129" s="0" t="s">
        <v>97</v>
      </c>
      <c r="D3129" s="0" t="s">
        <v>9957</v>
      </c>
      <c r="E3129" s="0" t="s">
        <v>9958</v>
      </c>
      <c r="H3129" s="0" t="s">
        <v>654</v>
      </c>
      <c r="I3129" s="0" t="s">
        <v>655</v>
      </c>
      <c r="J3129" s="0" t="s">
        <v>100</v>
      </c>
      <c r="K3129" s="0" t="s">
        <v>168</v>
      </c>
      <c r="L3129" s="0" t="s">
        <v>101</v>
      </c>
      <c r="M3129" s="0" t="s">
        <v>656</v>
      </c>
      <c r="N3129" s="0" t="s">
        <v>101</v>
      </c>
      <c r="P3129" s="0" t="s">
        <v>102</v>
      </c>
      <c r="Q3129" s="0" t="s">
        <v>102</v>
      </c>
      <c r="R3129" s="0" t="s">
        <v>113</v>
      </c>
      <c r="S3129" s="0" t="s">
        <v>21</v>
      </c>
      <c r="T3129" s="0" t="s">
        <v>104</v>
      </c>
      <c r="W3129" s="0" t="s">
        <v>105</v>
      </c>
      <c r="X3129" s="0" t="s">
        <v>658</v>
      </c>
      <c r="Y3129" s="0" t="s">
        <v>659</v>
      </c>
    </row>
    <row r="3130" customFormat="false" ht="15" hidden="false" customHeight="false" outlineLevel="0" collapsed="false">
      <c r="A3130" s="0" t="s">
        <v>21</v>
      </c>
      <c r="B3130" s="0" t="s">
        <v>9959</v>
      </c>
      <c r="C3130" s="0" t="s">
        <v>97</v>
      </c>
      <c r="D3130" s="0" t="s">
        <v>7218</v>
      </c>
      <c r="E3130" s="0" t="s">
        <v>9960</v>
      </c>
      <c r="M3130" s="0" t="s">
        <v>100</v>
      </c>
      <c r="N3130" s="0" t="s">
        <v>101</v>
      </c>
      <c r="P3130" s="0" t="s">
        <v>102</v>
      </c>
      <c r="Q3130" s="0" t="s">
        <v>102</v>
      </c>
      <c r="R3130" s="0" t="s">
        <v>113</v>
      </c>
      <c r="S3130" s="0" t="s">
        <v>21</v>
      </c>
      <c r="T3130" s="0" t="s">
        <v>104</v>
      </c>
      <c r="W3130" s="0" t="s">
        <v>105</v>
      </c>
    </row>
    <row r="3131" customFormat="false" ht="15" hidden="false" customHeight="false" outlineLevel="0" collapsed="false">
      <c r="A3131" s="0" t="s">
        <v>21</v>
      </c>
      <c r="B3131" s="0" t="s">
        <v>9961</v>
      </c>
      <c r="C3131" s="0" t="s">
        <v>97</v>
      </c>
      <c r="D3131" s="0" t="s">
        <v>9962</v>
      </c>
      <c r="E3131" s="0" t="s">
        <v>9963</v>
      </c>
      <c r="M3131" s="0" t="s">
        <v>136</v>
      </c>
      <c r="N3131" s="0" t="s">
        <v>124</v>
      </c>
      <c r="P3131" s="0" t="s">
        <v>102</v>
      </c>
      <c r="Q3131" s="0" t="s">
        <v>102</v>
      </c>
      <c r="R3131" s="0" t="s">
        <v>113</v>
      </c>
      <c r="S3131" s="0" t="s">
        <v>21</v>
      </c>
      <c r="T3131" s="0" t="s">
        <v>104</v>
      </c>
      <c r="W3131" s="0" t="s">
        <v>105</v>
      </c>
    </row>
    <row r="3132" customFormat="false" ht="28.35" hidden="false" customHeight="false" outlineLevel="0" collapsed="false">
      <c r="A3132" s="0" t="s">
        <v>21</v>
      </c>
      <c r="B3132" s="0" t="s">
        <v>9964</v>
      </c>
      <c r="C3132" s="0" t="s">
        <v>97</v>
      </c>
      <c r="D3132" s="0" t="s">
        <v>9965</v>
      </c>
      <c r="E3132" s="0" t="s">
        <v>9966</v>
      </c>
      <c r="G3132" s="9" t="s">
        <v>9967</v>
      </c>
      <c r="M3132" s="0" t="s">
        <v>100</v>
      </c>
      <c r="N3132" s="0" t="s">
        <v>101</v>
      </c>
      <c r="P3132" s="0" t="s">
        <v>102</v>
      </c>
      <c r="Q3132" s="0" t="s">
        <v>102</v>
      </c>
      <c r="R3132" s="0" t="s">
        <v>144</v>
      </c>
      <c r="S3132" s="0" t="s">
        <v>21</v>
      </c>
      <c r="T3132" s="0" t="s">
        <v>104</v>
      </c>
      <c r="W3132" s="0" t="s">
        <v>105</v>
      </c>
    </row>
    <row r="3133" customFormat="false" ht="15" hidden="false" customHeight="false" outlineLevel="0" collapsed="false">
      <c r="A3133" s="0" t="s">
        <v>21</v>
      </c>
      <c r="B3133" s="0" t="s">
        <v>9968</v>
      </c>
      <c r="C3133" s="0" t="s">
        <v>2145</v>
      </c>
      <c r="M3133" s="0" t="s">
        <v>9969</v>
      </c>
      <c r="N3133" s="0" t="s">
        <v>124</v>
      </c>
      <c r="P3133" s="0" t="s">
        <v>130</v>
      </c>
      <c r="Q3133" s="0" t="s">
        <v>130</v>
      </c>
      <c r="R3133" s="0" t="s">
        <v>144</v>
      </c>
      <c r="S3133" s="0" t="s">
        <v>21</v>
      </c>
      <c r="T3133" s="0" t="s">
        <v>104</v>
      </c>
      <c r="W3133" s="0" t="s">
        <v>105</v>
      </c>
    </row>
    <row r="3134" customFormat="false" ht="15" hidden="false" customHeight="false" outlineLevel="0" collapsed="false">
      <c r="A3134" s="0" t="s">
        <v>21</v>
      </c>
      <c r="B3134" s="0" t="s">
        <v>9970</v>
      </c>
      <c r="C3134" s="0" t="s">
        <v>97</v>
      </c>
      <c r="D3134" s="0" t="s">
        <v>2628</v>
      </c>
      <c r="E3134" s="0" t="s">
        <v>2628</v>
      </c>
      <c r="M3134" s="0" t="s">
        <v>100</v>
      </c>
      <c r="N3134" s="0" t="s">
        <v>101</v>
      </c>
      <c r="P3134" s="0" t="s">
        <v>102</v>
      </c>
      <c r="Q3134" s="0" t="s">
        <v>102</v>
      </c>
      <c r="R3134" s="0" t="s">
        <v>113</v>
      </c>
      <c r="S3134" s="0" t="s">
        <v>21</v>
      </c>
      <c r="T3134" s="0" t="s">
        <v>104</v>
      </c>
      <c r="W3134" s="0" t="s">
        <v>105</v>
      </c>
    </row>
    <row r="3135" customFormat="false" ht="15" hidden="false" customHeight="false" outlineLevel="0" collapsed="false">
      <c r="A3135" s="0" t="s">
        <v>21</v>
      </c>
      <c r="B3135" s="0" t="s">
        <v>9971</v>
      </c>
      <c r="C3135" s="0" t="s">
        <v>174</v>
      </c>
      <c r="D3135" s="0" t="s">
        <v>9972</v>
      </c>
      <c r="E3135" s="0" t="s">
        <v>9972</v>
      </c>
      <c r="F3135" s="0" t="s">
        <v>9972</v>
      </c>
      <c r="M3135" s="0" t="s">
        <v>100</v>
      </c>
      <c r="N3135" s="0" t="s">
        <v>101</v>
      </c>
      <c r="P3135" s="0" t="s">
        <v>130</v>
      </c>
      <c r="Q3135" s="0" t="s">
        <v>130</v>
      </c>
      <c r="R3135" s="0" t="s">
        <v>113</v>
      </c>
      <c r="S3135" s="0" t="s">
        <v>21</v>
      </c>
      <c r="T3135" s="0" t="s">
        <v>104</v>
      </c>
      <c r="W3135" s="0" t="s">
        <v>105</v>
      </c>
    </row>
    <row r="3136" customFormat="false" ht="15" hidden="false" customHeight="false" outlineLevel="0" collapsed="false">
      <c r="A3136" s="0" t="s">
        <v>21</v>
      </c>
      <c r="B3136" s="0" t="s">
        <v>9973</v>
      </c>
      <c r="C3136" s="0" t="s">
        <v>97</v>
      </c>
      <c r="D3136" s="0" t="s">
        <v>9974</v>
      </c>
      <c r="E3136" s="0" t="s">
        <v>9975</v>
      </c>
      <c r="M3136" s="0" t="s">
        <v>100</v>
      </c>
      <c r="N3136" s="0" t="s">
        <v>101</v>
      </c>
      <c r="P3136" s="0" t="s">
        <v>102</v>
      </c>
      <c r="Q3136" s="0" t="s">
        <v>102</v>
      </c>
      <c r="R3136" s="0" t="s">
        <v>113</v>
      </c>
      <c r="S3136" s="0" t="s">
        <v>21</v>
      </c>
      <c r="T3136" s="0" t="s">
        <v>104</v>
      </c>
      <c r="W3136" s="0" t="s">
        <v>105</v>
      </c>
    </row>
    <row r="3137" customFormat="false" ht="15" hidden="false" customHeight="false" outlineLevel="0" collapsed="false">
      <c r="A3137" s="0" t="s">
        <v>21</v>
      </c>
      <c r="B3137" s="0" t="s">
        <v>9976</v>
      </c>
      <c r="C3137" s="0" t="s">
        <v>97</v>
      </c>
      <c r="D3137" s="0" t="s">
        <v>4881</v>
      </c>
      <c r="E3137" s="0" t="s">
        <v>9977</v>
      </c>
      <c r="H3137" s="0" t="s">
        <v>654</v>
      </c>
      <c r="I3137" s="0" t="s">
        <v>655</v>
      </c>
      <c r="J3137" s="0" t="s">
        <v>100</v>
      </c>
      <c r="K3137" s="0" t="s">
        <v>168</v>
      </c>
      <c r="L3137" s="0" t="s">
        <v>101</v>
      </c>
      <c r="M3137" s="0" t="s">
        <v>656</v>
      </c>
      <c r="N3137" s="0" t="s">
        <v>101</v>
      </c>
      <c r="P3137" s="0" t="s">
        <v>102</v>
      </c>
      <c r="Q3137" s="0" t="s">
        <v>102</v>
      </c>
      <c r="R3137" s="0" t="s">
        <v>113</v>
      </c>
      <c r="S3137" s="0" t="s">
        <v>21</v>
      </c>
      <c r="T3137" s="0" t="s">
        <v>104</v>
      </c>
      <c r="W3137" s="0" t="s">
        <v>105</v>
      </c>
      <c r="X3137" s="0" t="s">
        <v>658</v>
      </c>
      <c r="Y3137" s="0" t="s">
        <v>659</v>
      </c>
    </row>
    <row r="3138" customFormat="false" ht="15" hidden="false" customHeight="false" outlineLevel="0" collapsed="false">
      <c r="A3138" s="0" t="s">
        <v>21</v>
      </c>
      <c r="B3138" s="0" t="s">
        <v>9978</v>
      </c>
      <c r="C3138" s="0" t="s">
        <v>139</v>
      </c>
      <c r="D3138" s="0" t="s">
        <v>9979</v>
      </c>
      <c r="E3138" s="0" t="s">
        <v>9980</v>
      </c>
      <c r="G3138" s="0" t="s">
        <v>9981</v>
      </c>
      <c r="H3138" s="0" t="s">
        <v>9982</v>
      </c>
      <c r="I3138" s="0" t="s">
        <v>612</v>
      </c>
      <c r="J3138" s="0" t="s">
        <v>254</v>
      </c>
      <c r="K3138" s="0" t="s">
        <v>613</v>
      </c>
      <c r="M3138" s="0" t="s">
        <v>612</v>
      </c>
      <c r="N3138" s="0" t="s">
        <v>124</v>
      </c>
      <c r="P3138" s="0" t="s">
        <v>102</v>
      </c>
      <c r="Q3138" s="0" t="s">
        <v>102</v>
      </c>
      <c r="R3138" s="0" t="s">
        <v>137</v>
      </c>
      <c r="S3138" s="0" t="s">
        <v>21</v>
      </c>
      <c r="T3138" s="0" t="s">
        <v>104</v>
      </c>
      <c r="W3138" s="0" t="s">
        <v>105</v>
      </c>
      <c r="X3138" s="0" t="s">
        <v>9983</v>
      </c>
      <c r="Y3138" s="0" t="s">
        <v>9984</v>
      </c>
      <c r="Z3138" s="0" t="s">
        <v>159</v>
      </c>
      <c r="AA3138" s="0" t="s">
        <v>9985</v>
      </c>
    </row>
    <row r="3139" customFormat="false" ht="15" hidden="false" customHeight="false" outlineLevel="0" collapsed="false">
      <c r="A3139" s="0" t="s">
        <v>21</v>
      </c>
      <c r="B3139" s="0" t="s">
        <v>9986</v>
      </c>
      <c r="C3139" s="0" t="s">
        <v>97</v>
      </c>
      <c r="D3139" s="0" t="s">
        <v>9987</v>
      </c>
      <c r="E3139" s="0" t="s">
        <v>9987</v>
      </c>
      <c r="M3139" s="0" t="s">
        <v>136</v>
      </c>
      <c r="N3139" s="0" t="s">
        <v>124</v>
      </c>
      <c r="P3139" s="0" t="s">
        <v>102</v>
      </c>
      <c r="Q3139" s="0" t="s">
        <v>102</v>
      </c>
      <c r="R3139" s="0" t="s">
        <v>131</v>
      </c>
      <c r="S3139" s="0" t="s">
        <v>21</v>
      </c>
      <c r="T3139" s="0" t="s">
        <v>104</v>
      </c>
      <c r="W3139" s="0" t="s">
        <v>105</v>
      </c>
    </row>
    <row r="3140" customFormat="false" ht="15" hidden="false" customHeight="false" outlineLevel="0" collapsed="false">
      <c r="A3140" s="0" t="s">
        <v>21</v>
      </c>
      <c r="B3140" s="0" t="s">
        <v>9988</v>
      </c>
      <c r="C3140" s="0" t="s">
        <v>97</v>
      </c>
      <c r="D3140" s="0" t="s">
        <v>9110</v>
      </c>
      <c r="E3140" s="0" t="s">
        <v>9110</v>
      </c>
      <c r="F3140" s="0" t="s">
        <v>9110</v>
      </c>
      <c r="M3140" s="0" t="s">
        <v>136</v>
      </c>
      <c r="N3140" s="0" t="s">
        <v>124</v>
      </c>
      <c r="P3140" s="0" t="s">
        <v>102</v>
      </c>
      <c r="Q3140" s="0" t="s">
        <v>102</v>
      </c>
      <c r="R3140" s="0" t="s">
        <v>131</v>
      </c>
      <c r="S3140" s="0" t="s">
        <v>21</v>
      </c>
      <c r="T3140" s="0" t="s">
        <v>104</v>
      </c>
      <c r="W3140" s="0" t="s">
        <v>105</v>
      </c>
    </row>
    <row r="3141" customFormat="false" ht="15" hidden="false" customHeight="false" outlineLevel="0" collapsed="false">
      <c r="A3141" s="0" t="s">
        <v>21</v>
      </c>
      <c r="B3141" s="0" t="s">
        <v>9989</v>
      </c>
      <c r="C3141" s="0" t="s">
        <v>97</v>
      </c>
      <c r="D3141" s="0" t="s">
        <v>9990</v>
      </c>
      <c r="E3141" s="0" t="s">
        <v>9991</v>
      </c>
      <c r="M3141" s="0" t="s">
        <v>136</v>
      </c>
      <c r="N3141" s="0" t="s">
        <v>124</v>
      </c>
      <c r="P3141" s="0" t="s">
        <v>102</v>
      </c>
      <c r="Q3141" s="0" t="s">
        <v>102</v>
      </c>
      <c r="R3141" s="0" t="s">
        <v>131</v>
      </c>
      <c r="S3141" s="0" t="s">
        <v>21</v>
      </c>
      <c r="T3141" s="0" t="s">
        <v>104</v>
      </c>
      <c r="W3141" s="0" t="s">
        <v>105</v>
      </c>
    </row>
    <row r="3142" customFormat="false" ht="15" hidden="false" customHeight="false" outlineLevel="0" collapsed="false">
      <c r="A3142" s="0" t="s">
        <v>21</v>
      </c>
      <c r="B3142" s="0" t="s">
        <v>9992</v>
      </c>
      <c r="C3142" s="0" t="s">
        <v>97</v>
      </c>
      <c r="D3142" s="0" t="s">
        <v>9993</v>
      </c>
      <c r="E3142" s="0" t="s">
        <v>9994</v>
      </c>
      <c r="M3142" s="0" t="s">
        <v>136</v>
      </c>
      <c r="N3142" s="0" t="s">
        <v>124</v>
      </c>
      <c r="P3142" s="0" t="s">
        <v>102</v>
      </c>
      <c r="Q3142" s="0" t="s">
        <v>102</v>
      </c>
      <c r="R3142" s="0" t="s">
        <v>131</v>
      </c>
      <c r="S3142" s="0" t="s">
        <v>21</v>
      </c>
      <c r="T3142" s="0" t="s">
        <v>104</v>
      </c>
      <c r="W3142" s="0" t="s">
        <v>105</v>
      </c>
    </row>
    <row r="3143" customFormat="false" ht="15" hidden="false" customHeight="false" outlineLevel="0" collapsed="false">
      <c r="A3143" s="0" t="s">
        <v>21</v>
      </c>
      <c r="B3143" s="0" t="s">
        <v>9995</v>
      </c>
      <c r="C3143" s="0" t="s">
        <v>97</v>
      </c>
      <c r="D3143" s="0" t="s">
        <v>9996</v>
      </c>
      <c r="E3143" s="0" t="s">
        <v>9997</v>
      </c>
      <c r="M3143" s="0" t="s">
        <v>136</v>
      </c>
      <c r="N3143" s="0" t="s">
        <v>124</v>
      </c>
      <c r="P3143" s="0" t="s">
        <v>102</v>
      </c>
      <c r="Q3143" s="0" t="s">
        <v>102</v>
      </c>
      <c r="R3143" s="0" t="s">
        <v>131</v>
      </c>
      <c r="S3143" s="0" t="s">
        <v>21</v>
      </c>
      <c r="T3143" s="0" t="s">
        <v>104</v>
      </c>
      <c r="W3143" s="0" t="s">
        <v>105</v>
      </c>
    </row>
    <row r="3144" customFormat="false" ht="15" hidden="false" customHeight="false" outlineLevel="0" collapsed="false">
      <c r="A3144" s="0" t="s">
        <v>21</v>
      </c>
      <c r="B3144" s="0" t="s">
        <v>9998</v>
      </c>
      <c r="C3144" s="0" t="s">
        <v>97</v>
      </c>
      <c r="D3144" s="0" t="s">
        <v>9999</v>
      </c>
      <c r="E3144" s="0" t="s">
        <v>10000</v>
      </c>
      <c r="H3144" s="0" t="s">
        <v>654</v>
      </c>
      <c r="I3144" s="0" t="s">
        <v>655</v>
      </c>
      <c r="J3144" s="0" t="s">
        <v>100</v>
      </c>
      <c r="K3144" s="0" t="s">
        <v>168</v>
      </c>
      <c r="L3144" s="0" t="s">
        <v>101</v>
      </c>
      <c r="M3144" s="0" t="s">
        <v>656</v>
      </c>
      <c r="N3144" s="0" t="s">
        <v>101</v>
      </c>
      <c r="P3144" s="0" t="s">
        <v>102</v>
      </c>
      <c r="Q3144" s="0" t="s">
        <v>102</v>
      </c>
      <c r="R3144" s="0" t="s">
        <v>144</v>
      </c>
      <c r="S3144" s="0" t="s">
        <v>21</v>
      </c>
      <c r="T3144" s="0" t="s">
        <v>104</v>
      </c>
      <c r="W3144" s="0" t="s">
        <v>105</v>
      </c>
      <c r="X3144" s="0" t="s">
        <v>658</v>
      </c>
      <c r="Y3144" s="0" t="s">
        <v>659</v>
      </c>
    </row>
    <row r="3145" customFormat="false" ht="15" hidden="false" customHeight="false" outlineLevel="0" collapsed="false">
      <c r="A3145" s="0" t="s">
        <v>21</v>
      </c>
      <c r="B3145" s="0" t="s">
        <v>10001</v>
      </c>
      <c r="C3145" s="0" t="s">
        <v>2691</v>
      </c>
      <c r="E3145" s="0" t="s">
        <v>8228</v>
      </c>
      <c r="F3145" s="0" t="s">
        <v>10002</v>
      </c>
      <c r="H3145" s="0" t="s">
        <v>10003</v>
      </c>
      <c r="I3145" s="0" t="s">
        <v>1109</v>
      </c>
      <c r="J3145" s="0" t="s">
        <v>254</v>
      </c>
      <c r="K3145" s="0" t="s">
        <v>1110</v>
      </c>
      <c r="L3145" s="0" t="s">
        <v>124</v>
      </c>
      <c r="M3145" s="0" t="s">
        <v>208</v>
      </c>
      <c r="N3145" s="0" t="s">
        <v>124</v>
      </c>
      <c r="P3145" s="0" t="s">
        <v>1044</v>
      </c>
      <c r="Q3145" s="0" t="s">
        <v>1044</v>
      </c>
      <c r="R3145" s="0" t="s">
        <v>103</v>
      </c>
      <c r="S3145" s="0" t="s">
        <v>21</v>
      </c>
      <c r="T3145" s="0" t="s">
        <v>104</v>
      </c>
      <c r="W3145" s="0" t="s">
        <v>105</v>
      </c>
      <c r="X3145" s="0" t="s">
        <v>10004</v>
      </c>
      <c r="Y3145" s="0" t="s">
        <v>10005</v>
      </c>
      <c r="Z3145" s="0" t="s">
        <v>10006</v>
      </c>
    </row>
    <row r="3146" customFormat="false" ht="15" hidden="false" customHeight="false" outlineLevel="0" collapsed="false">
      <c r="A3146" s="0" t="s">
        <v>21</v>
      </c>
      <c r="B3146" s="0" t="s">
        <v>10007</v>
      </c>
      <c r="C3146" s="0" t="s">
        <v>2691</v>
      </c>
      <c r="E3146" s="0" t="s">
        <v>10008</v>
      </c>
      <c r="F3146" s="0" t="s">
        <v>5494</v>
      </c>
      <c r="H3146" s="0" t="s">
        <v>10009</v>
      </c>
      <c r="I3146" s="0" t="s">
        <v>10010</v>
      </c>
      <c r="J3146" s="0" t="s">
        <v>245</v>
      </c>
      <c r="K3146" s="0" t="s">
        <v>2315</v>
      </c>
      <c r="L3146" s="0" t="s">
        <v>124</v>
      </c>
      <c r="M3146" s="0" t="s">
        <v>247</v>
      </c>
      <c r="N3146" s="0" t="s">
        <v>124</v>
      </c>
      <c r="P3146" s="0" t="s">
        <v>1044</v>
      </c>
      <c r="Q3146" s="0" t="s">
        <v>1044</v>
      </c>
      <c r="R3146" s="0" t="s">
        <v>103</v>
      </c>
      <c r="S3146" s="0" t="s">
        <v>21</v>
      </c>
      <c r="T3146" s="0" t="s">
        <v>104</v>
      </c>
      <c r="W3146" s="0" t="s">
        <v>105</v>
      </c>
      <c r="X3146" s="0" t="s">
        <v>10011</v>
      </c>
      <c r="Y3146" s="0" t="s">
        <v>10012</v>
      </c>
      <c r="Z3146" s="0" t="s">
        <v>2654</v>
      </c>
    </row>
    <row r="3147" customFormat="false" ht="15" hidden="false" customHeight="false" outlineLevel="0" collapsed="false">
      <c r="A3147" s="0" t="s">
        <v>21</v>
      </c>
      <c r="B3147" s="0" t="s">
        <v>10013</v>
      </c>
      <c r="C3147" s="0" t="s">
        <v>2691</v>
      </c>
      <c r="E3147" s="0" t="s">
        <v>10014</v>
      </c>
      <c r="H3147" s="0" t="s">
        <v>10015</v>
      </c>
      <c r="I3147" s="0" t="s">
        <v>844</v>
      </c>
      <c r="J3147" s="0" t="s">
        <v>245</v>
      </c>
      <c r="K3147" s="0" t="s">
        <v>2315</v>
      </c>
      <c r="L3147" s="0" t="s">
        <v>124</v>
      </c>
      <c r="M3147" s="0" t="s">
        <v>247</v>
      </c>
      <c r="N3147" s="0" t="s">
        <v>124</v>
      </c>
      <c r="P3147" s="0" t="s">
        <v>1044</v>
      </c>
      <c r="Q3147" s="0" t="s">
        <v>1044</v>
      </c>
      <c r="R3147" s="0" t="s">
        <v>103</v>
      </c>
      <c r="S3147" s="0" t="s">
        <v>21</v>
      </c>
      <c r="T3147" s="0" t="s">
        <v>104</v>
      </c>
      <c r="W3147" s="0" t="s">
        <v>105</v>
      </c>
      <c r="X3147" s="0" t="s">
        <v>10016</v>
      </c>
      <c r="Y3147" s="0" t="s">
        <v>10017</v>
      </c>
      <c r="Z3147" s="0" t="s">
        <v>2654</v>
      </c>
    </row>
    <row r="3148" customFormat="false" ht="15" hidden="false" customHeight="false" outlineLevel="0" collapsed="false">
      <c r="A3148" s="0" t="s">
        <v>21</v>
      </c>
      <c r="B3148" s="0" t="s">
        <v>10018</v>
      </c>
      <c r="C3148" s="0" t="s">
        <v>2691</v>
      </c>
      <c r="D3148" s="0" t="s">
        <v>10019</v>
      </c>
      <c r="E3148" s="0" t="s">
        <v>10020</v>
      </c>
      <c r="F3148" s="0" t="s">
        <v>10021</v>
      </c>
      <c r="H3148" s="0" t="s">
        <v>10022</v>
      </c>
      <c r="I3148" s="0" t="s">
        <v>10023</v>
      </c>
      <c r="J3148" s="0" t="s">
        <v>254</v>
      </c>
      <c r="K3148" s="0" t="s">
        <v>10024</v>
      </c>
      <c r="L3148" s="0" t="s">
        <v>124</v>
      </c>
      <c r="M3148" s="0" t="s">
        <v>208</v>
      </c>
      <c r="N3148" s="0" t="s">
        <v>124</v>
      </c>
      <c r="P3148" s="0" t="s">
        <v>236</v>
      </c>
      <c r="Q3148" s="0" t="s">
        <v>236</v>
      </c>
      <c r="R3148" s="0" t="s">
        <v>103</v>
      </c>
      <c r="S3148" s="0" t="s">
        <v>21</v>
      </c>
      <c r="T3148" s="0" t="s">
        <v>104</v>
      </c>
      <c r="V3148" s="0" t="s">
        <v>760</v>
      </c>
      <c r="W3148" s="0" t="s">
        <v>105</v>
      </c>
      <c r="X3148" s="0" t="s">
        <v>10025</v>
      </c>
      <c r="Y3148" s="0" t="s">
        <v>10026</v>
      </c>
      <c r="Z3148" s="0" t="s">
        <v>10027</v>
      </c>
    </row>
    <row r="3149" customFormat="false" ht="15" hidden="false" customHeight="false" outlineLevel="0" collapsed="false">
      <c r="A3149" s="0" t="s">
        <v>21</v>
      </c>
      <c r="B3149" s="0" t="s">
        <v>10028</v>
      </c>
      <c r="C3149" s="0" t="s">
        <v>812</v>
      </c>
      <c r="E3149" s="0" t="s">
        <v>10029</v>
      </c>
      <c r="F3149" s="0" t="s">
        <v>10030</v>
      </c>
      <c r="G3149" s="0" t="s">
        <v>10031</v>
      </c>
      <c r="H3149" s="0" t="s">
        <v>10032</v>
      </c>
      <c r="I3149" s="0" t="s">
        <v>10033</v>
      </c>
      <c r="J3149" s="0" t="s">
        <v>157</v>
      </c>
      <c r="K3149" s="0" t="s">
        <v>10034</v>
      </c>
      <c r="L3149" s="0" t="s">
        <v>124</v>
      </c>
      <c r="M3149" s="0" t="s">
        <v>232</v>
      </c>
      <c r="N3149" s="0" t="s">
        <v>124</v>
      </c>
      <c r="P3149" s="0" t="s">
        <v>1044</v>
      </c>
      <c r="Q3149" s="0" t="s">
        <v>1044</v>
      </c>
      <c r="R3149" s="0" t="s">
        <v>103</v>
      </c>
      <c r="S3149" s="0" t="s">
        <v>21</v>
      </c>
      <c r="T3149" s="0" t="s">
        <v>104</v>
      </c>
      <c r="W3149" s="0" t="s">
        <v>105</v>
      </c>
      <c r="X3149" s="0" t="s">
        <v>10035</v>
      </c>
      <c r="Y3149" s="0" t="s">
        <v>10036</v>
      </c>
      <c r="Z3149" s="0" t="s">
        <v>2654</v>
      </c>
    </row>
    <row r="3150" customFormat="false" ht="15" hidden="false" customHeight="false" outlineLevel="0" collapsed="false">
      <c r="A3150" s="0" t="s">
        <v>21</v>
      </c>
      <c r="B3150" s="0" t="s">
        <v>10037</v>
      </c>
      <c r="C3150" s="0" t="s">
        <v>2691</v>
      </c>
      <c r="E3150" s="0" t="s">
        <v>10038</v>
      </c>
      <c r="M3150" s="0" t="s">
        <v>247</v>
      </c>
      <c r="N3150" s="0" t="s">
        <v>124</v>
      </c>
      <c r="P3150" s="0" t="s">
        <v>1044</v>
      </c>
      <c r="Q3150" s="0" t="s">
        <v>1044</v>
      </c>
      <c r="R3150" s="0" t="s">
        <v>103</v>
      </c>
      <c r="S3150" s="0" t="s">
        <v>21</v>
      </c>
      <c r="T3150" s="0" t="s">
        <v>104</v>
      </c>
      <c r="W3150" s="0" t="s">
        <v>105</v>
      </c>
    </row>
    <row r="3151" customFormat="false" ht="15" hidden="false" customHeight="false" outlineLevel="0" collapsed="false">
      <c r="A3151" s="0" t="s">
        <v>21</v>
      </c>
      <c r="B3151" s="0" t="s">
        <v>10039</v>
      </c>
      <c r="C3151" s="0" t="s">
        <v>2691</v>
      </c>
      <c r="E3151" s="0" t="s">
        <v>2445</v>
      </c>
      <c r="M3151" s="0" t="s">
        <v>247</v>
      </c>
      <c r="N3151" s="0" t="s">
        <v>124</v>
      </c>
      <c r="P3151" s="0" t="s">
        <v>1044</v>
      </c>
      <c r="Q3151" s="0" t="s">
        <v>1044</v>
      </c>
      <c r="R3151" s="0" t="s">
        <v>103</v>
      </c>
      <c r="S3151" s="0" t="s">
        <v>21</v>
      </c>
      <c r="T3151" s="0" t="s">
        <v>104</v>
      </c>
      <c r="W3151" s="0" t="s">
        <v>105</v>
      </c>
      <c r="Z3151" s="0" t="s">
        <v>2654</v>
      </c>
      <c r="AA3151" s="0" t="s">
        <v>819</v>
      </c>
    </row>
    <row r="3152" customFormat="false" ht="15" hidden="false" customHeight="false" outlineLevel="0" collapsed="false">
      <c r="A3152" s="0" t="s">
        <v>21</v>
      </c>
      <c r="B3152" s="0" t="s">
        <v>10040</v>
      </c>
      <c r="C3152" s="0" t="s">
        <v>2691</v>
      </c>
      <c r="E3152" s="0" t="s">
        <v>10041</v>
      </c>
      <c r="H3152" s="0" t="s">
        <v>10042</v>
      </c>
      <c r="I3152" s="0" t="s">
        <v>355</v>
      </c>
      <c r="J3152" s="0" t="s">
        <v>254</v>
      </c>
      <c r="K3152" s="0" t="s">
        <v>4632</v>
      </c>
      <c r="L3152" s="0" t="s">
        <v>124</v>
      </c>
      <c r="M3152" s="0" t="s">
        <v>208</v>
      </c>
      <c r="N3152" s="0" t="s">
        <v>124</v>
      </c>
      <c r="P3152" s="0" t="s">
        <v>1044</v>
      </c>
      <c r="Q3152" s="0" t="s">
        <v>1044</v>
      </c>
      <c r="R3152" s="0" t="s">
        <v>103</v>
      </c>
      <c r="S3152" s="0" t="s">
        <v>21</v>
      </c>
      <c r="T3152" s="0" t="s">
        <v>104</v>
      </c>
      <c r="W3152" s="0" t="s">
        <v>105</v>
      </c>
      <c r="X3152" s="0" t="s">
        <v>10043</v>
      </c>
      <c r="Y3152" s="0" t="s">
        <v>10044</v>
      </c>
      <c r="Z3152" s="0" t="s">
        <v>10006</v>
      </c>
    </row>
    <row r="3153" customFormat="false" ht="15" hidden="false" customHeight="false" outlineLevel="0" collapsed="false">
      <c r="A3153" s="0" t="s">
        <v>21</v>
      </c>
      <c r="B3153" s="0" t="s">
        <v>10045</v>
      </c>
      <c r="C3153" s="0" t="s">
        <v>2691</v>
      </c>
      <c r="E3153" s="0" t="s">
        <v>10046</v>
      </c>
      <c r="M3153" s="0" t="s">
        <v>2694</v>
      </c>
      <c r="N3153" s="0" t="s">
        <v>124</v>
      </c>
      <c r="P3153" s="0" t="s">
        <v>1044</v>
      </c>
      <c r="Q3153" s="0" t="s">
        <v>1044</v>
      </c>
      <c r="R3153" s="0" t="s">
        <v>103</v>
      </c>
      <c r="S3153" s="0" t="s">
        <v>21</v>
      </c>
      <c r="T3153" s="0" t="s">
        <v>104</v>
      </c>
      <c r="W3153" s="0" t="s">
        <v>105</v>
      </c>
      <c r="X3153" s="0" t="s">
        <v>10047</v>
      </c>
      <c r="Y3153" s="0" t="s">
        <v>10048</v>
      </c>
      <c r="Z3153" s="0" t="s">
        <v>2654</v>
      </c>
    </row>
    <row r="3154" customFormat="false" ht="15" hidden="false" customHeight="false" outlineLevel="0" collapsed="false">
      <c r="A3154" s="0" t="s">
        <v>21</v>
      </c>
      <c r="B3154" s="0" t="s">
        <v>10049</v>
      </c>
      <c r="C3154" s="0" t="s">
        <v>2691</v>
      </c>
      <c r="E3154" s="0" t="s">
        <v>10050</v>
      </c>
      <c r="F3154" s="0" t="s">
        <v>617</v>
      </c>
      <c r="G3154" s="0" t="s">
        <v>10051</v>
      </c>
      <c r="H3154" s="0" t="s">
        <v>10052</v>
      </c>
      <c r="I3154" s="0" t="s">
        <v>10053</v>
      </c>
      <c r="J3154" s="0" t="s">
        <v>245</v>
      </c>
      <c r="K3154" s="0" t="s">
        <v>10054</v>
      </c>
      <c r="L3154" s="0" t="s">
        <v>124</v>
      </c>
      <c r="M3154" s="0" t="s">
        <v>247</v>
      </c>
      <c r="N3154" s="0" t="s">
        <v>124</v>
      </c>
      <c r="P3154" s="0" t="s">
        <v>1044</v>
      </c>
      <c r="Q3154" s="0" t="s">
        <v>1044</v>
      </c>
      <c r="R3154" s="0" t="s">
        <v>103</v>
      </c>
      <c r="S3154" s="0" t="s">
        <v>21</v>
      </c>
      <c r="T3154" s="0" t="s">
        <v>104</v>
      </c>
      <c r="W3154" s="0" t="s">
        <v>105</v>
      </c>
      <c r="X3154" s="0" t="s">
        <v>10055</v>
      </c>
      <c r="Y3154" s="0" t="s">
        <v>10056</v>
      </c>
      <c r="Z3154" s="0" t="s">
        <v>2654</v>
      </c>
    </row>
    <row r="3155" customFormat="false" ht="15" hidden="false" customHeight="false" outlineLevel="0" collapsed="false">
      <c r="A3155" s="0" t="s">
        <v>21</v>
      </c>
      <c r="B3155" s="0" t="s">
        <v>10057</v>
      </c>
      <c r="C3155" s="0" t="s">
        <v>97</v>
      </c>
      <c r="D3155" s="0" t="s">
        <v>10058</v>
      </c>
      <c r="E3155" s="0" t="s">
        <v>10059</v>
      </c>
      <c r="F3155" s="0" t="s">
        <v>10060</v>
      </c>
      <c r="H3155" s="0" t="s">
        <v>10061</v>
      </c>
      <c r="I3155" s="0" t="s">
        <v>4249</v>
      </c>
      <c r="J3155" s="0" t="s">
        <v>254</v>
      </c>
      <c r="K3155" s="0" t="s">
        <v>4250</v>
      </c>
      <c r="L3155" s="0" t="s">
        <v>124</v>
      </c>
      <c r="M3155" s="0" t="s">
        <v>208</v>
      </c>
      <c r="N3155" s="0" t="s">
        <v>124</v>
      </c>
      <c r="P3155" s="0" t="s">
        <v>236</v>
      </c>
      <c r="Q3155" s="0" t="s">
        <v>236</v>
      </c>
      <c r="R3155" s="0" t="s">
        <v>103</v>
      </c>
      <c r="S3155" s="0" t="s">
        <v>21</v>
      </c>
      <c r="T3155" s="0" t="s">
        <v>104</v>
      </c>
      <c r="V3155" s="0" t="s">
        <v>760</v>
      </c>
      <c r="W3155" s="0" t="s">
        <v>105</v>
      </c>
      <c r="X3155" s="0" t="s">
        <v>10062</v>
      </c>
      <c r="Y3155" s="0" t="s">
        <v>10063</v>
      </c>
      <c r="Z3155" s="0" t="s">
        <v>1047</v>
      </c>
      <c r="AB3155" s="0" t="s">
        <v>832</v>
      </c>
    </row>
    <row r="3156" customFormat="false" ht="15" hidden="false" customHeight="false" outlineLevel="0" collapsed="false">
      <c r="A3156" s="0" t="s">
        <v>21</v>
      </c>
      <c r="B3156" s="0" t="s">
        <v>10064</v>
      </c>
      <c r="C3156" s="0" t="s">
        <v>2691</v>
      </c>
      <c r="D3156" s="0" t="s">
        <v>10065</v>
      </c>
      <c r="E3156" s="0" t="s">
        <v>10066</v>
      </c>
      <c r="F3156" s="0" t="s">
        <v>10067</v>
      </c>
      <c r="H3156" s="0" t="s">
        <v>10068</v>
      </c>
      <c r="I3156" s="0" t="s">
        <v>10069</v>
      </c>
      <c r="J3156" s="0" t="s">
        <v>254</v>
      </c>
      <c r="K3156" s="0" t="s">
        <v>10070</v>
      </c>
      <c r="L3156" s="0" t="s">
        <v>124</v>
      </c>
      <c r="M3156" s="0" t="s">
        <v>208</v>
      </c>
      <c r="N3156" s="0" t="s">
        <v>124</v>
      </c>
      <c r="P3156" s="0" t="s">
        <v>236</v>
      </c>
      <c r="Q3156" s="0" t="s">
        <v>236</v>
      </c>
      <c r="R3156" s="0" t="s">
        <v>103</v>
      </c>
      <c r="S3156" s="0" t="s">
        <v>21</v>
      </c>
      <c r="T3156" s="0" t="s">
        <v>104</v>
      </c>
      <c r="V3156" s="0" t="s">
        <v>760</v>
      </c>
      <c r="W3156" s="0" t="s">
        <v>105</v>
      </c>
      <c r="X3156" s="0" t="s">
        <v>10071</v>
      </c>
      <c r="Y3156" s="0" t="s">
        <v>10072</v>
      </c>
      <c r="Z3156" s="0" t="s">
        <v>10006</v>
      </c>
    </row>
    <row r="3157" customFormat="false" ht="15" hidden="false" customHeight="false" outlineLevel="0" collapsed="false">
      <c r="A3157" s="0" t="s">
        <v>21</v>
      </c>
      <c r="B3157" s="0" t="s">
        <v>10073</v>
      </c>
      <c r="C3157" s="0" t="s">
        <v>139</v>
      </c>
      <c r="E3157" s="0" t="s">
        <v>10041</v>
      </c>
      <c r="G3157" s="0" t="s">
        <v>10074</v>
      </c>
      <c r="M3157" s="0" t="s">
        <v>208</v>
      </c>
      <c r="N3157" s="0" t="s">
        <v>124</v>
      </c>
      <c r="P3157" s="0" t="s">
        <v>1044</v>
      </c>
      <c r="Q3157" s="0" t="s">
        <v>1044</v>
      </c>
      <c r="R3157" s="0" t="s">
        <v>103</v>
      </c>
      <c r="S3157" s="0" t="s">
        <v>21</v>
      </c>
      <c r="T3157" s="0" t="s">
        <v>104</v>
      </c>
      <c r="W3157" s="0" t="s">
        <v>105</v>
      </c>
    </row>
    <row r="3158" customFormat="false" ht="15" hidden="false" customHeight="false" outlineLevel="0" collapsed="false">
      <c r="A3158" s="0" t="s">
        <v>21</v>
      </c>
      <c r="B3158" s="0" t="s">
        <v>10075</v>
      </c>
      <c r="C3158" s="0" t="s">
        <v>97</v>
      </c>
      <c r="D3158" s="0" t="s">
        <v>10076</v>
      </c>
      <c r="E3158" s="0" t="s">
        <v>10077</v>
      </c>
      <c r="F3158" s="0" t="s">
        <v>10077</v>
      </c>
      <c r="M3158" s="0" t="s">
        <v>100</v>
      </c>
      <c r="N3158" s="0" t="s">
        <v>101</v>
      </c>
      <c r="P3158" s="0" t="s">
        <v>102</v>
      </c>
      <c r="Q3158" s="0" t="s">
        <v>102</v>
      </c>
      <c r="R3158" s="0" t="s">
        <v>113</v>
      </c>
      <c r="S3158" s="0" t="s">
        <v>21</v>
      </c>
      <c r="T3158" s="0" t="s">
        <v>104</v>
      </c>
      <c r="W3158" s="0" t="s">
        <v>105</v>
      </c>
    </row>
    <row r="3159" customFormat="false" ht="15" hidden="false" customHeight="false" outlineLevel="0" collapsed="false">
      <c r="A3159" s="0" t="s">
        <v>21</v>
      </c>
      <c r="B3159" s="0" t="s">
        <v>10078</v>
      </c>
      <c r="C3159" s="0" t="s">
        <v>97</v>
      </c>
      <c r="D3159" s="0" t="s">
        <v>10079</v>
      </c>
      <c r="E3159" s="0" t="s">
        <v>10080</v>
      </c>
      <c r="M3159" s="0" t="s">
        <v>136</v>
      </c>
      <c r="N3159" s="0" t="s">
        <v>124</v>
      </c>
      <c r="P3159" s="0" t="s">
        <v>102</v>
      </c>
      <c r="Q3159" s="0" t="s">
        <v>102</v>
      </c>
      <c r="R3159" s="0" t="s">
        <v>113</v>
      </c>
      <c r="S3159" s="0" t="s">
        <v>21</v>
      </c>
      <c r="T3159" s="0" t="s">
        <v>104</v>
      </c>
      <c r="W3159" s="0" t="s">
        <v>105</v>
      </c>
    </row>
    <row r="3160" customFormat="false" ht="15" hidden="false" customHeight="false" outlineLevel="0" collapsed="false">
      <c r="A3160" s="0" t="s">
        <v>21</v>
      </c>
      <c r="B3160" s="0" t="s">
        <v>10081</v>
      </c>
      <c r="C3160" s="0" t="s">
        <v>4280</v>
      </c>
      <c r="D3160" s="0" t="s">
        <v>10082</v>
      </c>
      <c r="E3160" s="0" t="s">
        <v>10083</v>
      </c>
      <c r="G3160" s="0" t="s">
        <v>10084</v>
      </c>
      <c r="M3160" s="0" t="s">
        <v>456</v>
      </c>
      <c r="N3160" s="0" t="s">
        <v>101</v>
      </c>
      <c r="P3160" s="0" t="s">
        <v>102</v>
      </c>
      <c r="Q3160" s="0" t="s">
        <v>102</v>
      </c>
      <c r="R3160" s="0" t="s">
        <v>131</v>
      </c>
      <c r="S3160" s="0" t="s">
        <v>21</v>
      </c>
      <c r="T3160" s="0" t="s">
        <v>104</v>
      </c>
      <c r="W3160" s="0" t="s">
        <v>105</v>
      </c>
    </row>
    <row r="3161" customFormat="false" ht="15" hidden="false" customHeight="false" outlineLevel="0" collapsed="false">
      <c r="A3161" s="0" t="s">
        <v>21</v>
      </c>
      <c r="B3161" s="0" t="s">
        <v>10085</v>
      </c>
      <c r="C3161" s="0" t="s">
        <v>97</v>
      </c>
      <c r="D3161" s="0" t="s">
        <v>10086</v>
      </c>
      <c r="E3161" s="0" t="s">
        <v>10087</v>
      </c>
      <c r="H3161" s="0" t="s">
        <v>654</v>
      </c>
      <c r="I3161" s="0" t="s">
        <v>655</v>
      </c>
      <c r="J3161" s="0" t="s">
        <v>100</v>
      </c>
      <c r="K3161" s="0" t="s">
        <v>168</v>
      </c>
      <c r="L3161" s="0" t="s">
        <v>101</v>
      </c>
      <c r="M3161" s="0" t="s">
        <v>656</v>
      </c>
      <c r="N3161" s="0" t="s">
        <v>101</v>
      </c>
      <c r="P3161" s="0" t="s">
        <v>102</v>
      </c>
      <c r="Q3161" s="0" t="s">
        <v>102</v>
      </c>
      <c r="R3161" s="0" t="s">
        <v>113</v>
      </c>
      <c r="S3161" s="0" t="s">
        <v>21</v>
      </c>
      <c r="T3161" s="0" t="s">
        <v>104</v>
      </c>
      <c r="W3161" s="0" t="s">
        <v>105</v>
      </c>
      <c r="X3161" s="0" t="s">
        <v>658</v>
      </c>
      <c r="Y3161" s="0" t="s">
        <v>659</v>
      </c>
    </row>
    <row r="3162" customFormat="false" ht="15" hidden="false" customHeight="false" outlineLevel="0" collapsed="false">
      <c r="A3162" s="0" t="s">
        <v>21</v>
      </c>
      <c r="B3162" s="0" t="s">
        <v>10088</v>
      </c>
      <c r="C3162" s="0" t="s">
        <v>97</v>
      </c>
      <c r="D3162" s="0" t="s">
        <v>10089</v>
      </c>
      <c r="E3162" s="0" t="s">
        <v>10090</v>
      </c>
      <c r="M3162" s="0" t="s">
        <v>136</v>
      </c>
      <c r="N3162" s="0" t="s">
        <v>124</v>
      </c>
      <c r="P3162" s="0" t="s">
        <v>102</v>
      </c>
      <c r="Q3162" s="0" t="s">
        <v>102</v>
      </c>
      <c r="R3162" s="0" t="s">
        <v>131</v>
      </c>
      <c r="S3162" s="0" t="s">
        <v>21</v>
      </c>
      <c r="T3162" s="0" t="s">
        <v>104</v>
      </c>
      <c r="W3162" s="0" t="s">
        <v>105</v>
      </c>
    </row>
    <row r="3163" customFormat="false" ht="15" hidden="false" customHeight="false" outlineLevel="0" collapsed="false">
      <c r="A3163" s="0" t="s">
        <v>21</v>
      </c>
      <c r="B3163" s="0" t="s">
        <v>10091</v>
      </c>
      <c r="C3163" s="0" t="s">
        <v>97</v>
      </c>
      <c r="D3163" s="0" t="s">
        <v>10092</v>
      </c>
      <c r="E3163" s="0" t="s">
        <v>10093</v>
      </c>
      <c r="M3163" s="0" t="s">
        <v>136</v>
      </c>
      <c r="N3163" s="0" t="s">
        <v>124</v>
      </c>
      <c r="P3163" s="0" t="s">
        <v>102</v>
      </c>
      <c r="Q3163" s="0" t="s">
        <v>102</v>
      </c>
      <c r="R3163" s="0" t="s">
        <v>131</v>
      </c>
      <c r="S3163" s="0" t="s">
        <v>21</v>
      </c>
      <c r="T3163" s="0" t="s">
        <v>104</v>
      </c>
      <c r="W3163" s="0" t="s">
        <v>105</v>
      </c>
    </row>
    <row r="3164" customFormat="false" ht="15" hidden="false" customHeight="false" outlineLevel="0" collapsed="false">
      <c r="A3164" s="0" t="s">
        <v>21</v>
      </c>
      <c r="B3164" s="0" t="s">
        <v>10094</v>
      </c>
      <c r="C3164" s="0" t="s">
        <v>97</v>
      </c>
      <c r="D3164" s="0" t="s">
        <v>10095</v>
      </c>
      <c r="E3164" s="0" t="s">
        <v>10095</v>
      </c>
      <c r="M3164" s="0" t="s">
        <v>136</v>
      </c>
      <c r="N3164" s="0" t="s">
        <v>124</v>
      </c>
      <c r="P3164" s="0" t="s">
        <v>102</v>
      </c>
      <c r="Q3164" s="0" t="s">
        <v>102</v>
      </c>
      <c r="R3164" s="0" t="s">
        <v>131</v>
      </c>
      <c r="S3164" s="0" t="s">
        <v>21</v>
      </c>
      <c r="T3164" s="0" t="s">
        <v>104</v>
      </c>
      <c r="W3164" s="0" t="s">
        <v>105</v>
      </c>
    </row>
    <row r="3165" customFormat="false" ht="15" hidden="false" customHeight="false" outlineLevel="0" collapsed="false">
      <c r="A3165" s="0" t="s">
        <v>21</v>
      </c>
      <c r="B3165" s="0" t="s">
        <v>10096</v>
      </c>
      <c r="C3165" s="0" t="s">
        <v>97</v>
      </c>
      <c r="D3165" s="0" t="s">
        <v>10097</v>
      </c>
      <c r="E3165" s="0" t="s">
        <v>10098</v>
      </c>
      <c r="H3165" s="0" t="s">
        <v>654</v>
      </c>
      <c r="I3165" s="0" t="s">
        <v>655</v>
      </c>
      <c r="J3165" s="0" t="s">
        <v>100</v>
      </c>
      <c r="K3165" s="0" t="s">
        <v>168</v>
      </c>
      <c r="L3165" s="0" t="s">
        <v>101</v>
      </c>
      <c r="M3165" s="0" t="s">
        <v>656</v>
      </c>
      <c r="N3165" s="0" t="s">
        <v>101</v>
      </c>
      <c r="P3165" s="0" t="s">
        <v>102</v>
      </c>
      <c r="Q3165" s="0" t="s">
        <v>102</v>
      </c>
      <c r="R3165" s="0" t="s">
        <v>113</v>
      </c>
      <c r="S3165" s="0" t="s">
        <v>21</v>
      </c>
      <c r="T3165" s="0" t="s">
        <v>104</v>
      </c>
      <c r="W3165" s="0" t="s">
        <v>105</v>
      </c>
      <c r="X3165" s="0" t="s">
        <v>658</v>
      </c>
      <c r="Y3165" s="0" t="s">
        <v>659</v>
      </c>
    </row>
    <row r="3166" customFormat="false" ht="15" hidden="false" customHeight="false" outlineLevel="0" collapsed="false">
      <c r="A3166" s="0" t="s">
        <v>21</v>
      </c>
      <c r="B3166" s="0" t="s">
        <v>10099</v>
      </c>
      <c r="C3166" s="0" t="s">
        <v>97</v>
      </c>
      <c r="D3166" s="0" t="s">
        <v>10100</v>
      </c>
      <c r="E3166" s="0" t="s">
        <v>10101</v>
      </c>
      <c r="H3166" s="0" t="s">
        <v>654</v>
      </c>
      <c r="I3166" s="0" t="s">
        <v>655</v>
      </c>
      <c r="J3166" s="0" t="s">
        <v>100</v>
      </c>
      <c r="K3166" s="0" t="s">
        <v>168</v>
      </c>
      <c r="L3166" s="0" t="s">
        <v>101</v>
      </c>
      <c r="M3166" s="0" t="s">
        <v>656</v>
      </c>
      <c r="N3166" s="0" t="s">
        <v>101</v>
      </c>
      <c r="P3166" s="0" t="s">
        <v>102</v>
      </c>
      <c r="Q3166" s="0" t="s">
        <v>102</v>
      </c>
      <c r="R3166" s="0" t="s">
        <v>113</v>
      </c>
      <c r="S3166" s="0" t="s">
        <v>21</v>
      </c>
      <c r="T3166" s="0" t="s">
        <v>104</v>
      </c>
      <c r="W3166" s="0" t="s">
        <v>105</v>
      </c>
      <c r="X3166" s="0" t="s">
        <v>658</v>
      </c>
      <c r="Y3166" s="0" t="s">
        <v>659</v>
      </c>
    </row>
    <row r="3167" customFormat="false" ht="15" hidden="false" customHeight="false" outlineLevel="0" collapsed="false">
      <c r="A3167" s="0" t="s">
        <v>21</v>
      </c>
      <c r="B3167" s="0" t="s">
        <v>10102</v>
      </c>
      <c r="C3167" s="0" t="s">
        <v>97</v>
      </c>
      <c r="D3167" s="0" t="s">
        <v>10103</v>
      </c>
      <c r="E3167" s="0" t="s">
        <v>10104</v>
      </c>
      <c r="M3167" s="0" t="s">
        <v>136</v>
      </c>
      <c r="N3167" s="0" t="s">
        <v>124</v>
      </c>
      <c r="P3167" s="0" t="s">
        <v>102</v>
      </c>
      <c r="Q3167" s="0" t="s">
        <v>102</v>
      </c>
      <c r="R3167" s="0" t="s">
        <v>131</v>
      </c>
      <c r="S3167" s="0" t="s">
        <v>21</v>
      </c>
      <c r="T3167" s="0" t="s">
        <v>104</v>
      </c>
      <c r="W3167" s="0" t="s">
        <v>105</v>
      </c>
    </row>
    <row r="3168" customFormat="false" ht="28.35" hidden="false" customHeight="false" outlineLevel="0" collapsed="false">
      <c r="A3168" s="0" t="s">
        <v>21</v>
      </c>
      <c r="B3168" s="0" t="s">
        <v>10105</v>
      </c>
      <c r="C3168" s="0" t="s">
        <v>97</v>
      </c>
      <c r="E3168" s="0" t="s">
        <v>10106</v>
      </c>
      <c r="G3168" s="9" t="s">
        <v>10107</v>
      </c>
      <c r="M3168" s="0" t="s">
        <v>232</v>
      </c>
      <c r="N3168" s="0" t="s">
        <v>124</v>
      </c>
      <c r="P3168" s="0" t="s">
        <v>102</v>
      </c>
      <c r="Q3168" s="0" t="s">
        <v>102</v>
      </c>
      <c r="R3168" s="0" t="s">
        <v>131</v>
      </c>
      <c r="S3168" s="0" t="s">
        <v>21</v>
      </c>
      <c r="T3168" s="0" t="s">
        <v>104</v>
      </c>
      <c r="W3168" s="0" t="s">
        <v>105</v>
      </c>
    </row>
    <row r="3169" customFormat="false" ht="15" hidden="false" customHeight="false" outlineLevel="0" collapsed="false">
      <c r="A3169" s="0" t="s">
        <v>21</v>
      </c>
      <c r="B3169" s="0" t="s">
        <v>10108</v>
      </c>
      <c r="C3169" s="0" t="s">
        <v>97</v>
      </c>
      <c r="D3169" s="0" t="s">
        <v>10109</v>
      </c>
      <c r="E3169" s="0" t="s">
        <v>10110</v>
      </c>
      <c r="M3169" s="0" t="s">
        <v>656</v>
      </c>
      <c r="N3169" s="0" t="s">
        <v>101</v>
      </c>
      <c r="P3169" s="0" t="s">
        <v>102</v>
      </c>
      <c r="Q3169" s="0" t="s">
        <v>102</v>
      </c>
      <c r="R3169" s="0" t="s">
        <v>113</v>
      </c>
      <c r="S3169" s="0" t="s">
        <v>21</v>
      </c>
      <c r="T3169" s="0" t="s">
        <v>104</v>
      </c>
      <c r="W3169" s="0" t="s">
        <v>105</v>
      </c>
    </row>
    <row r="3170" customFormat="false" ht="15" hidden="false" customHeight="false" outlineLevel="0" collapsed="false">
      <c r="A3170" s="0" t="s">
        <v>21</v>
      </c>
      <c r="B3170" s="0" t="s">
        <v>10111</v>
      </c>
      <c r="C3170" s="0" t="s">
        <v>97</v>
      </c>
      <c r="D3170" s="0" t="s">
        <v>2561</v>
      </c>
      <c r="E3170" s="0" t="s">
        <v>10112</v>
      </c>
      <c r="M3170" s="0" t="s">
        <v>136</v>
      </c>
      <c r="N3170" s="0" t="s">
        <v>124</v>
      </c>
      <c r="P3170" s="0" t="s">
        <v>102</v>
      </c>
      <c r="Q3170" s="0" t="s">
        <v>102</v>
      </c>
      <c r="R3170" s="0" t="s">
        <v>113</v>
      </c>
      <c r="S3170" s="0" t="s">
        <v>21</v>
      </c>
      <c r="T3170" s="0" t="s">
        <v>104</v>
      </c>
      <c r="W3170" s="0" t="s">
        <v>105</v>
      </c>
    </row>
    <row r="3171" customFormat="false" ht="15" hidden="false" customHeight="false" outlineLevel="0" collapsed="false">
      <c r="A3171" s="0" t="s">
        <v>21</v>
      </c>
      <c r="B3171" s="0" t="s">
        <v>10113</v>
      </c>
      <c r="C3171" s="0" t="s">
        <v>97</v>
      </c>
      <c r="D3171" s="0" t="s">
        <v>10114</v>
      </c>
      <c r="E3171" s="0" t="s">
        <v>10115</v>
      </c>
      <c r="M3171" s="0" t="s">
        <v>136</v>
      </c>
      <c r="N3171" s="0" t="s">
        <v>124</v>
      </c>
      <c r="P3171" s="0" t="s">
        <v>102</v>
      </c>
      <c r="Q3171" s="0" t="s">
        <v>102</v>
      </c>
      <c r="R3171" s="0" t="s">
        <v>113</v>
      </c>
      <c r="S3171" s="0" t="s">
        <v>21</v>
      </c>
      <c r="T3171" s="0" t="s">
        <v>104</v>
      </c>
      <c r="W3171" s="0" t="s">
        <v>105</v>
      </c>
    </row>
    <row r="3172" customFormat="false" ht="28.35" hidden="false" customHeight="false" outlineLevel="0" collapsed="false">
      <c r="A3172" s="0" t="s">
        <v>21</v>
      </c>
      <c r="B3172" s="0" t="s">
        <v>10116</v>
      </c>
      <c r="C3172" s="0" t="s">
        <v>7362</v>
      </c>
      <c r="D3172" s="0" t="s">
        <v>10117</v>
      </c>
      <c r="E3172" s="0" t="s">
        <v>10118</v>
      </c>
      <c r="G3172" s="9" t="s">
        <v>10119</v>
      </c>
      <c r="M3172" s="0" t="s">
        <v>1229</v>
      </c>
      <c r="N3172" s="0" t="s">
        <v>101</v>
      </c>
      <c r="P3172" s="0" t="s">
        <v>102</v>
      </c>
      <c r="Q3172" s="0" t="s">
        <v>102</v>
      </c>
      <c r="R3172" s="0" t="s">
        <v>113</v>
      </c>
      <c r="S3172" s="0" t="s">
        <v>21</v>
      </c>
      <c r="T3172" s="0" t="s">
        <v>104</v>
      </c>
      <c r="W3172" s="0" t="s">
        <v>105</v>
      </c>
    </row>
    <row r="3173" customFormat="false" ht="28.35" hidden="false" customHeight="false" outlineLevel="0" collapsed="false">
      <c r="A3173" s="0" t="s">
        <v>21</v>
      </c>
      <c r="B3173" s="0" t="s">
        <v>10120</v>
      </c>
      <c r="C3173" s="0" t="s">
        <v>7362</v>
      </c>
      <c r="D3173" s="0" t="s">
        <v>10121</v>
      </c>
      <c r="E3173" s="0" t="s">
        <v>10122</v>
      </c>
      <c r="G3173" s="9" t="s">
        <v>10123</v>
      </c>
      <c r="H3173" s="0" t="s">
        <v>10124</v>
      </c>
      <c r="I3173" s="0" t="s">
        <v>10125</v>
      </c>
      <c r="K3173" s="0" t="s">
        <v>10126</v>
      </c>
      <c r="L3173" s="0" t="s">
        <v>1229</v>
      </c>
      <c r="M3173" s="0" t="s">
        <v>1229</v>
      </c>
      <c r="N3173" s="0" t="s">
        <v>101</v>
      </c>
      <c r="P3173" s="0" t="s">
        <v>102</v>
      </c>
      <c r="Q3173" s="0" t="s">
        <v>102</v>
      </c>
      <c r="R3173" s="0" t="s">
        <v>113</v>
      </c>
      <c r="S3173" s="0" t="s">
        <v>21</v>
      </c>
      <c r="T3173" s="0" t="s">
        <v>104</v>
      </c>
      <c r="W3173" s="0" t="s">
        <v>105</v>
      </c>
    </row>
    <row r="3174" customFormat="false" ht="15" hidden="false" customHeight="false" outlineLevel="0" collapsed="false">
      <c r="A3174" s="0" t="s">
        <v>21</v>
      </c>
      <c r="B3174" s="0" t="s">
        <v>10127</v>
      </c>
      <c r="C3174" s="0" t="s">
        <v>372</v>
      </c>
      <c r="D3174" s="0" t="s">
        <v>439</v>
      </c>
      <c r="E3174" s="0" t="s">
        <v>7415</v>
      </c>
      <c r="H3174" s="0" t="s">
        <v>654</v>
      </c>
      <c r="I3174" s="0" t="s">
        <v>655</v>
      </c>
      <c r="J3174" s="0" t="s">
        <v>100</v>
      </c>
      <c r="K3174" s="0" t="s">
        <v>168</v>
      </c>
      <c r="L3174" s="0" t="s">
        <v>101</v>
      </c>
      <c r="M3174" s="0" t="s">
        <v>656</v>
      </c>
      <c r="N3174" s="0" t="s">
        <v>101</v>
      </c>
      <c r="P3174" s="0" t="s">
        <v>379</v>
      </c>
      <c r="Q3174" s="0" t="s">
        <v>379</v>
      </c>
      <c r="R3174" s="0" t="s">
        <v>379</v>
      </c>
      <c r="S3174" s="0" t="s">
        <v>21</v>
      </c>
      <c r="T3174" s="0" t="s">
        <v>104</v>
      </c>
      <c r="W3174" s="0" t="s">
        <v>183</v>
      </c>
      <c r="X3174" s="0" t="s">
        <v>658</v>
      </c>
      <c r="Y3174" s="0" t="s">
        <v>659</v>
      </c>
    </row>
    <row r="3175" customFormat="false" ht="15" hidden="false" customHeight="false" outlineLevel="0" collapsed="false">
      <c r="A3175" s="0" t="s">
        <v>21</v>
      </c>
      <c r="B3175" s="0" t="s">
        <v>10127</v>
      </c>
      <c r="C3175" s="0" t="s">
        <v>372</v>
      </c>
      <c r="D3175" s="0" t="s">
        <v>439</v>
      </c>
      <c r="E3175" s="0" t="s">
        <v>7415</v>
      </c>
      <c r="H3175" s="0" t="s">
        <v>654</v>
      </c>
      <c r="I3175" s="0" t="s">
        <v>655</v>
      </c>
      <c r="J3175" s="0" t="s">
        <v>100</v>
      </c>
      <c r="K3175" s="0" t="s">
        <v>168</v>
      </c>
      <c r="L3175" s="0" t="s">
        <v>101</v>
      </c>
      <c r="M3175" s="0" t="s">
        <v>656</v>
      </c>
      <c r="N3175" s="0" t="s">
        <v>101</v>
      </c>
      <c r="P3175" s="0" t="s">
        <v>102</v>
      </c>
      <c r="Q3175" s="0" t="s">
        <v>102</v>
      </c>
      <c r="R3175" s="0" t="s">
        <v>113</v>
      </c>
      <c r="S3175" s="0" t="s">
        <v>21</v>
      </c>
      <c r="T3175" s="0" t="s">
        <v>104</v>
      </c>
      <c r="W3175" s="0" t="s">
        <v>105</v>
      </c>
      <c r="X3175" s="0" t="s">
        <v>658</v>
      </c>
      <c r="Y3175" s="0" t="s">
        <v>659</v>
      </c>
    </row>
    <row r="3176" customFormat="false" ht="15" hidden="false" customHeight="false" outlineLevel="0" collapsed="false">
      <c r="A3176" s="0" t="s">
        <v>21</v>
      </c>
      <c r="B3176" s="0" t="s">
        <v>10128</v>
      </c>
      <c r="C3176" s="0" t="s">
        <v>97</v>
      </c>
      <c r="D3176" s="0" t="s">
        <v>10129</v>
      </c>
      <c r="E3176" s="0" t="s">
        <v>10130</v>
      </c>
      <c r="H3176" s="0" t="s">
        <v>654</v>
      </c>
      <c r="I3176" s="0" t="s">
        <v>655</v>
      </c>
      <c r="J3176" s="0" t="s">
        <v>100</v>
      </c>
      <c r="K3176" s="0" t="s">
        <v>168</v>
      </c>
      <c r="L3176" s="0" t="s">
        <v>101</v>
      </c>
      <c r="M3176" s="0" t="s">
        <v>656</v>
      </c>
      <c r="N3176" s="0" t="s">
        <v>101</v>
      </c>
      <c r="P3176" s="0" t="s">
        <v>102</v>
      </c>
      <c r="Q3176" s="0" t="s">
        <v>102</v>
      </c>
      <c r="R3176" s="0" t="s">
        <v>113</v>
      </c>
      <c r="S3176" s="0" t="s">
        <v>21</v>
      </c>
      <c r="T3176" s="0" t="s">
        <v>104</v>
      </c>
      <c r="W3176" s="0" t="s">
        <v>105</v>
      </c>
      <c r="X3176" s="0" t="s">
        <v>658</v>
      </c>
      <c r="Y3176" s="0" t="s">
        <v>659</v>
      </c>
    </row>
    <row r="3177" customFormat="false" ht="15" hidden="false" customHeight="false" outlineLevel="0" collapsed="false">
      <c r="A3177" s="0" t="s">
        <v>21</v>
      </c>
      <c r="B3177" s="0" t="s">
        <v>10131</v>
      </c>
      <c r="C3177" s="0" t="s">
        <v>97</v>
      </c>
      <c r="D3177" s="0" t="s">
        <v>2359</v>
      </c>
      <c r="E3177" s="0" t="s">
        <v>10132</v>
      </c>
      <c r="H3177" s="0" t="s">
        <v>654</v>
      </c>
      <c r="I3177" s="0" t="s">
        <v>655</v>
      </c>
      <c r="J3177" s="0" t="s">
        <v>100</v>
      </c>
      <c r="K3177" s="0" t="s">
        <v>168</v>
      </c>
      <c r="L3177" s="0" t="s">
        <v>101</v>
      </c>
      <c r="M3177" s="0" t="s">
        <v>656</v>
      </c>
      <c r="N3177" s="0" t="s">
        <v>101</v>
      </c>
      <c r="P3177" s="0" t="s">
        <v>102</v>
      </c>
      <c r="Q3177" s="0" t="s">
        <v>102</v>
      </c>
      <c r="R3177" s="0" t="s">
        <v>113</v>
      </c>
      <c r="S3177" s="0" t="s">
        <v>21</v>
      </c>
      <c r="T3177" s="0" t="s">
        <v>104</v>
      </c>
      <c r="W3177" s="0" t="s">
        <v>105</v>
      </c>
      <c r="X3177" s="0" t="s">
        <v>658</v>
      </c>
      <c r="Y3177" s="0" t="s">
        <v>659</v>
      </c>
    </row>
    <row r="3178" customFormat="false" ht="15" hidden="false" customHeight="false" outlineLevel="0" collapsed="false">
      <c r="A3178" s="0" t="s">
        <v>21</v>
      </c>
      <c r="B3178" s="0" t="s">
        <v>10133</v>
      </c>
      <c r="C3178" s="0" t="s">
        <v>97</v>
      </c>
      <c r="D3178" s="0" t="s">
        <v>8022</v>
      </c>
      <c r="E3178" s="0" t="s">
        <v>8022</v>
      </c>
      <c r="F3178" s="0" t="s">
        <v>8022</v>
      </c>
      <c r="M3178" s="0" t="s">
        <v>136</v>
      </c>
      <c r="N3178" s="0" t="s">
        <v>124</v>
      </c>
      <c r="P3178" s="0" t="s">
        <v>102</v>
      </c>
      <c r="Q3178" s="0" t="s">
        <v>102</v>
      </c>
      <c r="R3178" s="0" t="s">
        <v>131</v>
      </c>
      <c r="S3178" s="0" t="s">
        <v>21</v>
      </c>
      <c r="T3178" s="0" t="s">
        <v>104</v>
      </c>
      <c r="W3178" s="0" t="s">
        <v>105</v>
      </c>
    </row>
    <row r="3179" customFormat="false" ht="15" hidden="false" customHeight="false" outlineLevel="0" collapsed="false">
      <c r="A3179" s="0" t="s">
        <v>21</v>
      </c>
      <c r="B3179" s="0" t="s">
        <v>10134</v>
      </c>
      <c r="C3179" s="0" t="s">
        <v>97</v>
      </c>
      <c r="D3179" s="0" t="s">
        <v>10135</v>
      </c>
      <c r="E3179" s="0" t="s">
        <v>10136</v>
      </c>
      <c r="M3179" s="0" t="s">
        <v>100</v>
      </c>
      <c r="N3179" s="0" t="s">
        <v>101</v>
      </c>
      <c r="P3179" s="0" t="s">
        <v>102</v>
      </c>
      <c r="Q3179" s="0" t="s">
        <v>102</v>
      </c>
      <c r="R3179" s="0" t="s">
        <v>144</v>
      </c>
      <c r="S3179" s="0" t="s">
        <v>21</v>
      </c>
      <c r="T3179" s="0" t="s">
        <v>104</v>
      </c>
      <c r="W3179" s="0" t="s">
        <v>105</v>
      </c>
    </row>
    <row r="3180" customFormat="false" ht="15" hidden="false" customHeight="false" outlineLevel="0" collapsed="false">
      <c r="A3180" s="0" t="s">
        <v>21</v>
      </c>
      <c r="B3180" s="0" t="s">
        <v>10137</v>
      </c>
      <c r="C3180" s="0" t="s">
        <v>211</v>
      </c>
      <c r="D3180" s="0" t="s">
        <v>8662</v>
      </c>
      <c r="E3180" s="0" t="s">
        <v>10138</v>
      </c>
      <c r="M3180" s="0" t="s">
        <v>232</v>
      </c>
      <c r="N3180" s="0" t="s">
        <v>124</v>
      </c>
      <c r="P3180" s="0" t="s">
        <v>102</v>
      </c>
      <c r="Q3180" s="0" t="s">
        <v>102</v>
      </c>
      <c r="R3180" s="0" t="s">
        <v>113</v>
      </c>
      <c r="S3180" s="0" t="s">
        <v>21</v>
      </c>
      <c r="T3180" s="0" t="s">
        <v>104</v>
      </c>
      <c r="W3180" s="0" t="s">
        <v>105</v>
      </c>
    </row>
    <row r="3181" customFormat="false" ht="15" hidden="false" customHeight="false" outlineLevel="0" collapsed="false">
      <c r="A3181" s="0" t="s">
        <v>21</v>
      </c>
      <c r="B3181" s="0" t="s">
        <v>10139</v>
      </c>
      <c r="C3181" s="0" t="s">
        <v>97</v>
      </c>
      <c r="D3181" s="0" t="s">
        <v>6445</v>
      </c>
      <c r="E3181" s="0" t="s">
        <v>10140</v>
      </c>
      <c r="M3181" s="0" t="s">
        <v>136</v>
      </c>
      <c r="N3181" s="0" t="s">
        <v>124</v>
      </c>
      <c r="P3181" s="0" t="s">
        <v>102</v>
      </c>
      <c r="Q3181" s="0" t="s">
        <v>102</v>
      </c>
      <c r="R3181" s="0" t="s">
        <v>113</v>
      </c>
      <c r="S3181" s="0" t="s">
        <v>21</v>
      </c>
      <c r="T3181" s="0" t="s">
        <v>104</v>
      </c>
      <c r="W3181" s="0" t="s">
        <v>105</v>
      </c>
    </row>
    <row r="3182" customFormat="false" ht="15" hidden="false" customHeight="false" outlineLevel="0" collapsed="false">
      <c r="A3182" s="0" t="s">
        <v>21</v>
      </c>
      <c r="B3182" s="0" t="s">
        <v>10141</v>
      </c>
      <c r="C3182" s="0" t="s">
        <v>97</v>
      </c>
      <c r="D3182" s="0" t="s">
        <v>10142</v>
      </c>
      <c r="E3182" s="0" t="s">
        <v>10143</v>
      </c>
      <c r="M3182" s="0" t="s">
        <v>136</v>
      </c>
      <c r="N3182" s="0" t="s">
        <v>124</v>
      </c>
      <c r="P3182" s="0" t="s">
        <v>102</v>
      </c>
      <c r="Q3182" s="0" t="s">
        <v>102</v>
      </c>
      <c r="R3182" s="0" t="s">
        <v>113</v>
      </c>
      <c r="S3182" s="0" t="s">
        <v>21</v>
      </c>
      <c r="T3182" s="0" t="s">
        <v>104</v>
      </c>
      <c r="W3182" s="0" t="s">
        <v>105</v>
      </c>
    </row>
    <row r="3183" customFormat="false" ht="15" hidden="false" customHeight="false" outlineLevel="0" collapsed="false">
      <c r="A3183" s="0" t="s">
        <v>21</v>
      </c>
      <c r="B3183" s="0" t="s">
        <v>10144</v>
      </c>
      <c r="C3183" s="0" t="s">
        <v>97</v>
      </c>
      <c r="D3183" s="0" t="s">
        <v>8662</v>
      </c>
      <c r="E3183" s="0" t="s">
        <v>10145</v>
      </c>
      <c r="M3183" s="0" t="s">
        <v>136</v>
      </c>
      <c r="N3183" s="0" t="s">
        <v>124</v>
      </c>
      <c r="P3183" s="0" t="s">
        <v>102</v>
      </c>
      <c r="Q3183" s="0" t="s">
        <v>102</v>
      </c>
      <c r="R3183" s="0" t="s">
        <v>113</v>
      </c>
      <c r="S3183" s="0" t="s">
        <v>21</v>
      </c>
      <c r="T3183" s="0" t="s">
        <v>104</v>
      </c>
      <c r="W3183" s="0" t="s">
        <v>105</v>
      </c>
    </row>
    <row r="3184" customFormat="false" ht="15" hidden="false" customHeight="false" outlineLevel="0" collapsed="false">
      <c r="A3184" s="0" t="s">
        <v>21</v>
      </c>
      <c r="B3184" s="0" t="s">
        <v>10146</v>
      </c>
      <c r="C3184" s="0" t="s">
        <v>97</v>
      </c>
      <c r="D3184" s="0" t="s">
        <v>2704</v>
      </c>
      <c r="E3184" s="0" t="s">
        <v>2705</v>
      </c>
      <c r="M3184" s="0" t="s">
        <v>136</v>
      </c>
      <c r="N3184" s="0" t="s">
        <v>124</v>
      </c>
      <c r="P3184" s="0" t="s">
        <v>102</v>
      </c>
      <c r="Q3184" s="0" t="s">
        <v>102</v>
      </c>
      <c r="R3184" s="0" t="s">
        <v>131</v>
      </c>
      <c r="S3184" s="0" t="s">
        <v>21</v>
      </c>
      <c r="T3184" s="0" t="s">
        <v>104</v>
      </c>
      <c r="W3184" s="0" t="s">
        <v>105</v>
      </c>
    </row>
    <row r="3185" customFormat="false" ht="15" hidden="false" customHeight="false" outlineLevel="0" collapsed="false">
      <c r="A3185" s="0" t="s">
        <v>21</v>
      </c>
      <c r="B3185" s="0" t="s">
        <v>10147</v>
      </c>
      <c r="C3185" s="0" t="s">
        <v>97</v>
      </c>
      <c r="D3185" s="0" t="s">
        <v>10148</v>
      </c>
      <c r="E3185" s="0" t="s">
        <v>10149</v>
      </c>
      <c r="M3185" s="0" t="s">
        <v>136</v>
      </c>
      <c r="N3185" s="0" t="s">
        <v>124</v>
      </c>
      <c r="P3185" s="0" t="s">
        <v>102</v>
      </c>
      <c r="Q3185" s="0" t="s">
        <v>102</v>
      </c>
      <c r="R3185" s="0" t="s">
        <v>131</v>
      </c>
      <c r="S3185" s="0" t="s">
        <v>21</v>
      </c>
      <c r="T3185" s="0" t="s">
        <v>104</v>
      </c>
      <c r="W3185" s="0" t="s">
        <v>105</v>
      </c>
    </row>
    <row r="3186" customFormat="false" ht="15" hidden="false" customHeight="false" outlineLevel="0" collapsed="false">
      <c r="A3186" s="0" t="s">
        <v>21</v>
      </c>
      <c r="B3186" s="0" t="s">
        <v>10150</v>
      </c>
      <c r="C3186" s="0" t="s">
        <v>97</v>
      </c>
      <c r="D3186" s="0" t="s">
        <v>10151</v>
      </c>
      <c r="E3186" s="0" t="s">
        <v>10152</v>
      </c>
      <c r="M3186" s="0" t="s">
        <v>136</v>
      </c>
      <c r="N3186" s="0" t="s">
        <v>124</v>
      </c>
      <c r="P3186" s="0" t="s">
        <v>102</v>
      </c>
      <c r="Q3186" s="0" t="s">
        <v>102</v>
      </c>
      <c r="R3186" s="0" t="s">
        <v>113</v>
      </c>
      <c r="S3186" s="0" t="s">
        <v>21</v>
      </c>
      <c r="T3186" s="0" t="s">
        <v>104</v>
      </c>
      <c r="W3186" s="0" t="s">
        <v>105</v>
      </c>
    </row>
    <row r="3187" customFormat="false" ht="15" hidden="false" customHeight="false" outlineLevel="0" collapsed="false">
      <c r="A3187" s="0" t="s">
        <v>21</v>
      </c>
      <c r="B3187" s="0" t="s">
        <v>10153</v>
      </c>
      <c r="C3187" s="0" t="s">
        <v>97</v>
      </c>
      <c r="D3187" s="0" t="s">
        <v>10154</v>
      </c>
      <c r="E3187" s="0" t="s">
        <v>10155</v>
      </c>
      <c r="M3187" s="0" t="s">
        <v>136</v>
      </c>
      <c r="N3187" s="0" t="s">
        <v>124</v>
      </c>
      <c r="P3187" s="0" t="s">
        <v>102</v>
      </c>
      <c r="Q3187" s="0" t="s">
        <v>102</v>
      </c>
      <c r="R3187" s="0" t="s">
        <v>113</v>
      </c>
      <c r="S3187" s="0" t="s">
        <v>21</v>
      </c>
      <c r="T3187" s="0" t="s">
        <v>104</v>
      </c>
      <c r="W3187" s="0" t="s">
        <v>105</v>
      </c>
    </row>
    <row r="3188" customFormat="false" ht="15" hidden="false" customHeight="false" outlineLevel="0" collapsed="false">
      <c r="A3188" s="0" t="s">
        <v>21</v>
      </c>
      <c r="B3188" s="0" t="s">
        <v>10156</v>
      </c>
      <c r="C3188" s="0" t="s">
        <v>97</v>
      </c>
      <c r="D3188" s="0" t="s">
        <v>10157</v>
      </c>
      <c r="E3188" s="0" t="s">
        <v>10158</v>
      </c>
      <c r="M3188" s="0" t="s">
        <v>136</v>
      </c>
      <c r="N3188" s="0" t="s">
        <v>124</v>
      </c>
      <c r="P3188" s="0" t="s">
        <v>102</v>
      </c>
      <c r="Q3188" s="0" t="s">
        <v>102</v>
      </c>
      <c r="R3188" s="0" t="s">
        <v>113</v>
      </c>
      <c r="S3188" s="0" t="s">
        <v>21</v>
      </c>
      <c r="T3188" s="0" t="s">
        <v>104</v>
      </c>
      <c r="W3188" s="0" t="s">
        <v>105</v>
      </c>
    </row>
    <row r="3189" customFormat="false" ht="15" hidden="false" customHeight="false" outlineLevel="0" collapsed="false">
      <c r="A3189" s="0" t="s">
        <v>21</v>
      </c>
      <c r="B3189" s="0" t="s">
        <v>10159</v>
      </c>
      <c r="C3189" s="0" t="s">
        <v>97</v>
      </c>
      <c r="D3189" s="0" t="s">
        <v>10160</v>
      </c>
      <c r="E3189" s="0" t="s">
        <v>10161</v>
      </c>
      <c r="M3189" s="0" t="s">
        <v>136</v>
      </c>
      <c r="N3189" s="0" t="s">
        <v>124</v>
      </c>
      <c r="P3189" s="0" t="s">
        <v>102</v>
      </c>
      <c r="Q3189" s="0" t="s">
        <v>102</v>
      </c>
      <c r="R3189" s="0" t="s">
        <v>113</v>
      </c>
      <c r="S3189" s="0" t="s">
        <v>21</v>
      </c>
      <c r="T3189" s="0" t="s">
        <v>104</v>
      </c>
      <c r="W3189" s="0" t="s">
        <v>105</v>
      </c>
    </row>
    <row r="3190" customFormat="false" ht="15" hidden="false" customHeight="false" outlineLevel="0" collapsed="false">
      <c r="A3190" s="0" t="s">
        <v>21</v>
      </c>
      <c r="B3190" s="0" t="s">
        <v>10162</v>
      </c>
      <c r="C3190" s="0" t="s">
        <v>97</v>
      </c>
      <c r="D3190" s="0" t="s">
        <v>10163</v>
      </c>
      <c r="E3190" s="0" t="s">
        <v>10164</v>
      </c>
      <c r="M3190" s="0" t="s">
        <v>136</v>
      </c>
      <c r="N3190" s="0" t="s">
        <v>124</v>
      </c>
      <c r="P3190" s="0" t="s">
        <v>102</v>
      </c>
      <c r="Q3190" s="0" t="s">
        <v>102</v>
      </c>
      <c r="R3190" s="0" t="s">
        <v>113</v>
      </c>
      <c r="S3190" s="0" t="s">
        <v>21</v>
      </c>
      <c r="T3190" s="0" t="s">
        <v>104</v>
      </c>
      <c r="W3190" s="0" t="s">
        <v>105</v>
      </c>
    </row>
    <row r="3191" customFormat="false" ht="15" hidden="false" customHeight="false" outlineLevel="0" collapsed="false">
      <c r="A3191" s="0" t="s">
        <v>21</v>
      </c>
      <c r="B3191" s="0" t="s">
        <v>10165</v>
      </c>
      <c r="C3191" s="0" t="s">
        <v>174</v>
      </c>
      <c r="D3191" s="0" t="s">
        <v>7454</v>
      </c>
      <c r="M3191" s="0" t="s">
        <v>10166</v>
      </c>
      <c r="N3191" s="0" t="s">
        <v>124</v>
      </c>
      <c r="P3191" s="0" t="s">
        <v>102</v>
      </c>
      <c r="Q3191" s="0" t="s">
        <v>102</v>
      </c>
      <c r="R3191" s="0" t="s">
        <v>131</v>
      </c>
      <c r="S3191" s="0" t="s">
        <v>21</v>
      </c>
      <c r="T3191" s="0" t="s">
        <v>104</v>
      </c>
      <c r="U3191" s="0" t="s">
        <v>2706</v>
      </c>
      <c r="W3191" s="0" t="s">
        <v>105</v>
      </c>
    </row>
    <row r="3192" customFormat="false" ht="15" hidden="false" customHeight="false" outlineLevel="0" collapsed="false">
      <c r="A3192" s="0" t="s">
        <v>21</v>
      </c>
      <c r="B3192" s="0" t="s">
        <v>10167</v>
      </c>
      <c r="C3192" s="0" t="s">
        <v>97</v>
      </c>
      <c r="D3192" s="0" t="s">
        <v>10168</v>
      </c>
      <c r="E3192" s="0" t="s">
        <v>10169</v>
      </c>
      <c r="M3192" s="0" t="s">
        <v>136</v>
      </c>
      <c r="N3192" s="0" t="s">
        <v>124</v>
      </c>
      <c r="P3192" s="0" t="s">
        <v>102</v>
      </c>
      <c r="Q3192" s="0" t="s">
        <v>102</v>
      </c>
      <c r="R3192" s="0" t="s">
        <v>131</v>
      </c>
      <c r="S3192" s="0" t="s">
        <v>21</v>
      </c>
      <c r="T3192" s="0" t="s">
        <v>104</v>
      </c>
      <c r="W3192" s="0" t="s">
        <v>105</v>
      </c>
    </row>
    <row r="3193" customFormat="false" ht="15" hidden="false" customHeight="false" outlineLevel="0" collapsed="false">
      <c r="A3193" s="0" t="s">
        <v>21</v>
      </c>
      <c r="B3193" s="0" t="s">
        <v>10170</v>
      </c>
      <c r="C3193" s="0" t="s">
        <v>97</v>
      </c>
      <c r="D3193" s="0" t="s">
        <v>10171</v>
      </c>
      <c r="E3193" s="0" t="s">
        <v>10172</v>
      </c>
      <c r="M3193" s="0" t="s">
        <v>136</v>
      </c>
      <c r="N3193" s="0" t="s">
        <v>124</v>
      </c>
      <c r="P3193" s="0" t="s">
        <v>102</v>
      </c>
      <c r="Q3193" s="0" t="s">
        <v>102</v>
      </c>
      <c r="R3193" s="0" t="s">
        <v>131</v>
      </c>
      <c r="S3193" s="0" t="s">
        <v>21</v>
      </c>
      <c r="T3193" s="0" t="s">
        <v>104</v>
      </c>
      <c r="W3193" s="0" t="s">
        <v>105</v>
      </c>
    </row>
    <row r="3194" customFormat="false" ht="15" hidden="false" customHeight="false" outlineLevel="0" collapsed="false">
      <c r="A3194" s="0" t="s">
        <v>21</v>
      </c>
      <c r="B3194" s="0" t="s">
        <v>10173</v>
      </c>
      <c r="C3194" s="0" t="s">
        <v>97</v>
      </c>
      <c r="D3194" s="0" t="s">
        <v>10174</v>
      </c>
      <c r="E3194" s="0" t="s">
        <v>10175</v>
      </c>
      <c r="M3194" s="0" t="s">
        <v>136</v>
      </c>
      <c r="N3194" s="0" t="s">
        <v>124</v>
      </c>
      <c r="P3194" s="0" t="s">
        <v>102</v>
      </c>
      <c r="Q3194" s="0" t="s">
        <v>102</v>
      </c>
      <c r="R3194" s="0" t="s">
        <v>131</v>
      </c>
      <c r="S3194" s="0" t="s">
        <v>21</v>
      </c>
      <c r="T3194" s="0" t="s">
        <v>104</v>
      </c>
      <c r="W3194" s="0" t="s">
        <v>105</v>
      </c>
    </row>
    <row r="3195" customFormat="false" ht="15" hidden="false" customHeight="false" outlineLevel="0" collapsed="false">
      <c r="A3195" s="0" t="s">
        <v>21</v>
      </c>
      <c r="B3195" s="0" t="s">
        <v>10176</v>
      </c>
      <c r="C3195" s="0" t="s">
        <v>97</v>
      </c>
      <c r="D3195" s="0" t="s">
        <v>10177</v>
      </c>
      <c r="E3195" s="0" t="s">
        <v>10177</v>
      </c>
      <c r="M3195" s="0" t="s">
        <v>136</v>
      </c>
      <c r="N3195" s="0" t="s">
        <v>124</v>
      </c>
      <c r="P3195" s="0" t="s">
        <v>102</v>
      </c>
      <c r="Q3195" s="0" t="s">
        <v>102</v>
      </c>
      <c r="R3195" s="0" t="s">
        <v>131</v>
      </c>
      <c r="S3195" s="0" t="s">
        <v>21</v>
      </c>
      <c r="T3195" s="0" t="s">
        <v>104</v>
      </c>
      <c r="W3195" s="0" t="s">
        <v>105</v>
      </c>
    </row>
    <row r="3196" customFormat="false" ht="15" hidden="false" customHeight="false" outlineLevel="0" collapsed="false">
      <c r="A3196" s="0" t="s">
        <v>21</v>
      </c>
      <c r="B3196" s="0" t="s">
        <v>10178</v>
      </c>
      <c r="C3196" s="0" t="s">
        <v>97</v>
      </c>
      <c r="D3196" s="0" t="s">
        <v>10179</v>
      </c>
      <c r="E3196" s="0" t="s">
        <v>10179</v>
      </c>
      <c r="F3196" s="0" t="s">
        <v>10179</v>
      </c>
      <c r="M3196" s="0" t="s">
        <v>100</v>
      </c>
      <c r="N3196" s="0" t="s">
        <v>101</v>
      </c>
      <c r="P3196" s="0" t="s">
        <v>102</v>
      </c>
      <c r="Q3196" s="0" t="s">
        <v>102</v>
      </c>
      <c r="R3196" s="0" t="s">
        <v>131</v>
      </c>
      <c r="S3196" s="0" t="s">
        <v>21</v>
      </c>
      <c r="T3196" s="0" t="s">
        <v>104</v>
      </c>
      <c r="W3196" s="0" t="s">
        <v>105</v>
      </c>
    </row>
    <row r="3197" customFormat="false" ht="15" hidden="false" customHeight="false" outlineLevel="0" collapsed="false">
      <c r="A3197" s="0" t="s">
        <v>21</v>
      </c>
      <c r="B3197" s="0" t="s">
        <v>10180</v>
      </c>
      <c r="C3197" s="0" t="s">
        <v>97</v>
      </c>
      <c r="D3197" s="0" t="s">
        <v>10181</v>
      </c>
      <c r="E3197" s="0" t="s">
        <v>10181</v>
      </c>
      <c r="M3197" s="0" t="s">
        <v>136</v>
      </c>
      <c r="N3197" s="0" t="s">
        <v>124</v>
      </c>
      <c r="P3197" s="0" t="s">
        <v>102</v>
      </c>
      <c r="Q3197" s="0" t="s">
        <v>102</v>
      </c>
      <c r="R3197" s="0" t="s">
        <v>131</v>
      </c>
      <c r="S3197" s="0" t="s">
        <v>21</v>
      </c>
      <c r="T3197" s="0" t="s">
        <v>104</v>
      </c>
      <c r="W3197" s="0" t="s">
        <v>105</v>
      </c>
    </row>
    <row r="3198" customFormat="false" ht="15" hidden="false" customHeight="false" outlineLevel="0" collapsed="false">
      <c r="A3198" s="0" t="s">
        <v>21</v>
      </c>
      <c r="B3198" s="0" t="s">
        <v>10182</v>
      </c>
      <c r="C3198" s="0" t="s">
        <v>97</v>
      </c>
      <c r="D3198" s="0" t="s">
        <v>2362</v>
      </c>
      <c r="E3198" s="0" t="s">
        <v>10183</v>
      </c>
      <c r="H3198" s="0" t="s">
        <v>10184</v>
      </c>
      <c r="I3198" s="0" t="s">
        <v>6066</v>
      </c>
      <c r="J3198" s="0" t="s">
        <v>6066</v>
      </c>
      <c r="K3198" s="0" t="s">
        <v>498</v>
      </c>
      <c r="L3198" s="0" t="s">
        <v>101</v>
      </c>
      <c r="M3198" s="0" t="s">
        <v>398</v>
      </c>
      <c r="N3198" s="0" t="s">
        <v>101</v>
      </c>
      <c r="P3198" s="0" t="s">
        <v>102</v>
      </c>
      <c r="Q3198" s="0" t="s">
        <v>102</v>
      </c>
      <c r="R3198" s="0" t="s">
        <v>113</v>
      </c>
      <c r="S3198" s="0" t="s">
        <v>21</v>
      </c>
      <c r="T3198" s="0" t="s">
        <v>104</v>
      </c>
      <c r="W3198" s="0" t="s">
        <v>105</v>
      </c>
      <c r="X3198" s="0" t="s">
        <v>10185</v>
      </c>
      <c r="Y3198" s="0" t="s">
        <v>10186</v>
      </c>
    </row>
    <row r="3199" customFormat="false" ht="15" hidden="false" customHeight="false" outlineLevel="0" collapsed="false">
      <c r="A3199" s="0" t="s">
        <v>21</v>
      </c>
      <c r="B3199" s="0" t="s">
        <v>10187</v>
      </c>
      <c r="C3199" s="0" t="s">
        <v>97</v>
      </c>
      <c r="D3199" s="0" t="s">
        <v>10188</v>
      </c>
      <c r="E3199" s="0" t="s">
        <v>10188</v>
      </c>
      <c r="F3199" s="0" t="s">
        <v>10188</v>
      </c>
      <c r="M3199" s="0" t="s">
        <v>136</v>
      </c>
      <c r="N3199" s="0" t="s">
        <v>124</v>
      </c>
      <c r="P3199" s="0" t="s">
        <v>102</v>
      </c>
      <c r="Q3199" s="0" t="s">
        <v>102</v>
      </c>
      <c r="R3199" s="0" t="s">
        <v>131</v>
      </c>
      <c r="S3199" s="0" t="s">
        <v>21</v>
      </c>
      <c r="T3199" s="0" t="s">
        <v>104</v>
      </c>
      <c r="W3199" s="0" t="s">
        <v>105</v>
      </c>
    </row>
    <row r="3200" customFormat="false" ht="15" hidden="false" customHeight="false" outlineLevel="0" collapsed="false">
      <c r="A3200" s="0" t="s">
        <v>21</v>
      </c>
      <c r="B3200" s="0" t="s">
        <v>10189</v>
      </c>
      <c r="C3200" s="0" t="s">
        <v>97</v>
      </c>
      <c r="D3200" s="0" t="s">
        <v>10190</v>
      </c>
      <c r="E3200" s="0" t="s">
        <v>10191</v>
      </c>
      <c r="M3200" s="0" t="s">
        <v>100</v>
      </c>
      <c r="N3200" s="0" t="s">
        <v>101</v>
      </c>
      <c r="P3200" s="0" t="s">
        <v>102</v>
      </c>
      <c r="Q3200" s="0" t="s">
        <v>102</v>
      </c>
      <c r="R3200" s="0" t="s">
        <v>144</v>
      </c>
      <c r="S3200" s="0" t="s">
        <v>21</v>
      </c>
      <c r="T3200" s="0" t="s">
        <v>104</v>
      </c>
      <c r="W3200" s="0" t="s">
        <v>105</v>
      </c>
    </row>
    <row r="3201" customFormat="false" ht="15" hidden="false" customHeight="false" outlineLevel="0" collapsed="false">
      <c r="A3201" s="0" t="s">
        <v>21</v>
      </c>
      <c r="B3201" s="0" t="s">
        <v>10192</v>
      </c>
      <c r="C3201" s="0" t="s">
        <v>97</v>
      </c>
      <c r="D3201" s="0" t="s">
        <v>10190</v>
      </c>
      <c r="E3201" s="0" t="s">
        <v>10193</v>
      </c>
      <c r="H3201" s="0" t="s">
        <v>10194</v>
      </c>
      <c r="I3201" s="0" t="s">
        <v>6340</v>
      </c>
      <c r="J3201" s="0" t="s">
        <v>100</v>
      </c>
      <c r="K3201" s="0" t="s">
        <v>1246</v>
      </c>
      <c r="L3201" s="0" t="s">
        <v>101</v>
      </c>
      <c r="M3201" s="0" t="s">
        <v>2183</v>
      </c>
      <c r="N3201" s="0" t="s">
        <v>101</v>
      </c>
      <c r="P3201" s="0" t="s">
        <v>102</v>
      </c>
      <c r="Q3201" s="0" t="s">
        <v>102</v>
      </c>
      <c r="R3201" s="0" t="s">
        <v>144</v>
      </c>
      <c r="S3201" s="0" t="s">
        <v>21</v>
      </c>
      <c r="T3201" s="0" t="s">
        <v>104</v>
      </c>
      <c r="W3201" s="0" t="s">
        <v>105</v>
      </c>
      <c r="X3201" s="0" t="s">
        <v>10195</v>
      </c>
      <c r="Y3201" s="0" t="s">
        <v>10196</v>
      </c>
    </row>
    <row r="3202" customFormat="false" ht="15" hidden="false" customHeight="false" outlineLevel="0" collapsed="false">
      <c r="A3202" s="0" t="s">
        <v>21</v>
      </c>
      <c r="B3202" s="0" t="s">
        <v>10197</v>
      </c>
      <c r="C3202" s="0" t="s">
        <v>97</v>
      </c>
      <c r="D3202" s="0" t="s">
        <v>10198</v>
      </c>
      <c r="E3202" s="0" t="s">
        <v>10199</v>
      </c>
      <c r="M3202" s="0" t="s">
        <v>100</v>
      </c>
      <c r="N3202" s="0" t="s">
        <v>101</v>
      </c>
      <c r="P3202" s="0" t="s">
        <v>102</v>
      </c>
      <c r="Q3202" s="0" t="s">
        <v>102</v>
      </c>
      <c r="R3202" s="0" t="s">
        <v>144</v>
      </c>
      <c r="S3202" s="0" t="s">
        <v>21</v>
      </c>
      <c r="T3202" s="0" t="s">
        <v>104</v>
      </c>
      <c r="W3202" s="0" t="s">
        <v>105</v>
      </c>
    </row>
    <row r="3203" customFormat="false" ht="15" hidden="false" customHeight="false" outlineLevel="0" collapsed="false">
      <c r="A3203" s="0" t="s">
        <v>21</v>
      </c>
      <c r="B3203" s="0" t="s">
        <v>10200</v>
      </c>
      <c r="C3203" s="0" t="s">
        <v>97</v>
      </c>
      <c r="D3203" s="0" t="s">
        <v>10190</v>
      </c>
      <c r="E3203" s="0" t="s">
        <v>10201</v>
      </c>
      <c r="H3203" s="0" t="s">
        <v>10194</v>
      </c>
      <c r="I3203" s="0" t="s">
        <v>6340</v>
      </c>
      <c r="J3203" s="0" t="s">
        <v>100</v>
      </c>
      <c r="K3203" s="0" t="s">
        <v>1246</v>
      </c>
      <c r="L3203" s="0" t="s">
        <v>101</v>
      </c>
      <c r="M3203" s="0" t="s">
        <v>2183</v>
      </c>
      <c r="N3203" s="0" t="s">
        <v>101</v>
      </c>
      <c r="P3203" s="0" t="s">
        <v>102</v>
      </c>
      <c r="Q3203" s="0" t="s">
        <v>102</v>
      </c>
      <c r="R3203" s="0" t="s">
        <v>144</v>
      </c>
      <c r="S3203" s="0" t="s">
        <v>21</v>
      </c>
      <c r="T3203" s="0" t="s">
        <v>104</v>
      </c>
      <c r="W3203" s="0" t="s">
        <v>105</v>
      </c>
      <c r="X3203" s="0" t="s">
        <v>10195</v>
      </c>
      <c r="Y3203" s="0" t="s">
        <v>10196</v>
      </c>
    </row>
    <row r="3204" customFormat="false" ht="28.35" hidden="false" customHeight="false" outlineLevel="0" collapsed="false">
      <c r="A3204" s="0" t="s">
        <v>21</v>
      </c>
      <c r="B3204" s="0" t="s">
        <v>10202</v>
      </c>
      <c r="C3204" s="0" t="s">
        <v>139</v>
      </c>
      <c r="D3204" s="0" t="s">
        <v>10203</v>
      </c>
      <c r="E3204" s="0" t="s">
        <v>10204</v>
      </c>
      <c r="F3204" s="0" t="s">
        <v>4300</v>
      </c>
      <c r="H3204" s="9" t="s">
        <v>10205</v>
      </c>
      <c r="I3204" s="0" t="s">
        <v>10206</v>
      </c>
      <c r="J3204" s="0" t="s">
        <v>10207</v>
      </c>
      <c r="K3204" s="0" t="s">
        <v>10208</v>
      </c>
      <c r="L3204" s="0" t="s">
        <v>3473</v>
      </c>
      <c r="M3204" s="0" t="s">
        <v>10209</v>
      </c>
      <c r="N3204" s="0" t="s">
        <v>3473</v>
      </c>
      <c r="P3204" s="0" t="s">
        <v>102</v>
      </c>
      <c r="Q3204" s="0" t="s">
        <v>102</v>
      </c>
      <c r="R3204" s="0" t="s">
        <v>131</v>
      </c>
      <c r="S3204" s="0" t="s">
        <v>21</v>
      </c>
      <c r="T3204" s="0" t="s">
        <v>104</v>
      </c>
      <c r="W3204" s="0" t="s">
        <v>105</v>
      </c>
      <c r="X3204" s="0" t="s">
        <v>10210</v>
      </c>
      <c r="Y3204" s="0" t="s">
        <v>10211</v>
      </c>
      <c r="Z3204" s="0" t="s">
        <v>195</v>
      </c>
    </row>
    <row r="3205" customFormat="false" ht="15" hidden="false" customHeight="false" outlineLevel="0" collapsed="false">
      <c r="A3205" s="0" t="s">
        <v>21</v>
      </c>
      <c r="B3205" s="0" t="s">
        <v>10212</v>
      </c>
      <c r="C3205" s="0" t="s">
        <v>1067</v>
      </c>
      <c r="D3205" s="0" t="s">
        <v>10213</v>
      </c>
      <c r="E3205" s="0" t="s">
        <v>10214</v>
      </c>
      <c r="H3205" s="0" t="s">
        <v>10215</v>
      </c>
      <c r="I3205" s="0" t="s">
        <v>10216</v>
      </c>
      <c r="J3205" s="0" t="s">
        <v>10217</v>
      </c>
      <c r="K3205" s="0" t="s">
        <v>10218</v>
      </c>
      <c r="M3205" s="0" t="s">
        <v>10217</v>
      </c>
      <c r="N3205" s="0" t="s">
        <v>3473</v>
      </c>
      <c r="P3205" s="0" t="s">
        <v>102</v>
      </c>
      <c r="Q3205" s="0" t="s">
        <v>102</v>
      </c>
      <c r="R3205" s="0" t="s">
        <v>131</v>
      </c>
      <c r="S3205" s="0" t="s">
        <v>21</v>
      </c>
      <c r="T3205" s="0" t="s">
        <v>104</v>
      </c>
      <c r="W3205" s="0" t="s">
        <v>105</v>
      </c>
      <c r="X3205" s="0" t="s">
        <v>10219</v>
      </c>
      <c r="Y3205" s="0" t="s">
        <v>10220</v>
      </c>
      <c r="Z3205" s="0" t="s">
        <v>195</v>
      </c>
    </row>
    <row r="3206" customFormat="false" ht="15" hidden="false" customHeight="false" outlineLevel="0" collapsed="false">
      <c r="A3206" s="0" t="s">
        <v>21</v>
      </c>
      <c r="B3206" s="0" t="s">
        <v>10221</v>
      </c>
      <c r="C3206" s="0" t="s">
        <v>7098</v>
      </c>
      <c r="D3206" s="0" t="s">
        <v>10222</v>
      </c>
      <c r="E3206" s="0" t="s">
        <v>10223</v>
      </c>
      <c r="F3206" s="0" t="s">
        <v>10224</v>
      </c>
      <c r="H3206" s="0" t="s">
        <v>10225</v>
      </c>
      <c r="I3206" s="0" t="s">
        <v>10226</v>
      </c>
      <c r="J3206" s="0" t="s">
        <v>254</v>
      </c>
      <c r="K3206" s="0" t="s">
        <v>1012</v>
      </c>
      <c r="M3206" s="0" t="s">
        <v>208</v>
      </c>
      <c r="N3206" s="0" t="s">
        <v>124</v>
      </c>
      <c r="P3206" s="0" t="s">
        <v>102</v>
      </c>
      <c r="Q3206" s="0" t="s">
        <v>102</v>
      </c>
      <c r="R3206" s="0" t="s">
        <v>131</v>
      </c>
      <c r="S3206" s="0" t="s">
        <v>21</v>
      </c>
      <c r="T3206" s="0" t="s">
        <v>104</v>
      </c>
      <c r="W3206" s="0" t="s">
        <v>105</v>
      </c>
      <c r="X3206" s="0" t="s">
        <v>10227</v>
      </c>
      <c r="Y3206" s="0" t="s">
        <v>10228</v>
      </c>
      <c r="Z3206" s="0" t="s">
        <v>10229</v>
      </c>
    </row>
    <row r="3207" customFormat="false" ht="15" hidden="false" customHeight="false" outlineLevel="0" collapsed="false">
      <c r="A3207" s="0" t="s">
        <v>21</v>
      </c>
      <c r="B3207" s="0" t="s">
        <v>10230</v>
      </c>
      <c r="C3207" s="0" t="s">
        <v>7098</v>
      </c>
      <c r="D3207" s="0" t="s">
        <v>3986</v>
      </c>
      <c r="E3207" s="0" t="s">
        <v>10231</v>
      </c>
      <c r="F3207" s="0" t="s">
        <v>10232</v>
      </c>
      <c r="G3207" s="0" t="s">
        <v>10233</v>
      </c>
      <c r="H3207" s="0" t="s">
        <v>10234</v>
      </c>
      <c r="I3207" s="0" t="s">
        <v>10235</v>
      </c>
      <c r="J3207" s="0" t="s">
        <v>218</v>
      </c>
      <c r="K3207" s="0" t="s">
        <v>895</v>
      </c>
      <c r="L3207" s="0" t="s">
        <v>124</v>
      </c>
      <c r="M3207" s="0" t="s">
        <v>220</v>
      </c>
      <c r="N3207" s="0" t="s">
        <v>124</v>
      </c>
      <c r="P3207" s="0" t="s">
        <v>102</v>
      </c>
      <c r="Q3207" s="0" t="s">
        <v>102</v>
      </c>
      <c r="R3207" s="0" t="s">
        <v>131</v>
      </c>
      <c r="S3207" s="0" t="s">
        <v>21</v>
      </c>
      <c r="T3207" s="0" t="s">
        <v>104</v>
      </c>
      <c r="W3207" s="0" t="s">
        <v>105</v>
      </c>
      <c r="X3207" s="0" t="s">
        <v>10236</v>
      </c>
      <c r="Y3207" s="0" t="s">
        <v>10237</v>
      </c>
      <c r="Z3207" s="0" t="s">
        <v>195</v>
      </c>
    </row>
    <row r="3208" customFormat="false" ht="15" hidden="false" customHeight="false" outlineLevel="0" collapsed="false">
      <c r="A3208" s="0" t="s">
        <v>21</v>
      </c>
      <c r="B3208" s="0" t="s">
        <v>10238</v>
      </c>
      <c r="C3208" s="0" t="s">
        <v>6084</v>
      </c>
      <c r="D3208" s="0" t="s">
        <v>10239</v>
      </c>
      <c r="E3208" s="0" t="s">
        <v>10240</v>
      </c>
      <c r="F3208" s="0" t="s">
        <v>10241</v>
      </c>
      <c r="H3208" s="0" t="s">
        <v>10242</v>
      </c>
      <c r="J3208" s="0" t="s">
        <v>10243</v>
      </c>
      <c r="L3208" s="0" t="s">
        <v>10243</v>
      </c>
      <c r="M3208" s="0" t="s">
        <v>10244</v>
      </c>
      <c r="N3208" s="0" t="s">
        <v>10243</v>
      </c>
      <c r="P3208" s="0" t="s">
        <v>102</v>
      </c>
      <c r="Q3208" s="0" t="s">
        <v>102</v>
      </c>
      <c r="R3208" s="0" t="s">
        <v>131</v>
      </c>
      <c r="S3208" s="0" t="s">
        <v>21</v>
      </c>
      <c r="T3208" s="0" t="s">
        <v>104</v>
      </c>
      <c r="W3208" s="0" t="s">
        <v>105</v>
      </c>
      <c r="X3208" s="0" t="s">
        <v>10245</v>
      </c>
      <c r="Y3208" s="0" t="s">
        <v>10246</v>
      </c>
      <c r="Z3208" s="0" t="s">
        <v>195</v>
      </c>
    </row>
    <row r="3209" customFormat="false" ht="15" hidden="false" customHeight="false" outlineLevel="0" collapsed="false">
      <c r="A3209" s="0" t="s">
        <v>21</v>
      </c>
      <c r="B3209" s="0" t="s">
        <v>10247</v>
      </c>
      <c r="C3209" s="0" t="s">
        <v>97</v>
      </c>
      <c r="D3209" s="0" t="s">
        <v>10248</v>
      </c>
      <c r="E3209" s="0" t="s">
        <v>10249</v>
      </c>
      <c r="M3209" s="0" t="s">
        <v>136</v>
      </c>
      <c r="N3209" s="0" t="s">
        <v>124</v>
      </c>
      <c r="P3209" s="0" t="s">
        <v>102</v>
      </c>
      <c r="Q3209" s="0" t="s">
        <v>102</v>
      </c>
      <c r="R3209" s="0" t="s">
        <v>144</v>
      </c>
      <c r="S3209" s="0" t="s">
        <v>21</v>
      </c>
      <c r="T3209" s="0" t="s">
        <v>104</v>
      </c>
      <c r="W3209" s="0" t="s">
        <v>105</v>
      </c>
    </row>
    <row r="3210" customFormat="false" ht="15" hidden="false" customHeight="false" outlineLevel="0" collapsed="false">
      <c r="A3210" s="0" t="s">
        <v>21</v>
      </c>
      <c r="B3210" s="0" t="s">
        <v>10250</v>
      </c>
      <c r="C3210" s="0" t="s">
        <v>10251</v>
      </c>
      <c r="M3210" s="0" t="s">
        <v>10252</v>
      </c>
      <c r="N3210" s="0" t="s">
        <v>3520</v>
      </c>
      <c r="P3210" s="0" t="s">
        <v>102</v>
      </c>
      <c r="Q3210" s="0" t="s">
        <v>102</v>
      </c>
      <c r="R3210" s="0" t="s">
        <v>131</v>
      </c>
      <c r="S3210" s="0" t="s">
        <v>21</v>
      </c>
      <c r="T3210" s="0" t="s">
        <v>104</v>
      </c>
      <c r="U3210" s="0" t="s">
        <v>10253</v>
      </c>
      <c r="W3210" s="0" t="s">
        <v>105</v>
      </c>
    </row>
    <row r="3211" customFormat="false" ht="15" hidden="false" customHeight="false" outlineLevel="0" collapsed="false">
      <c r="A3211" s="0" t="s">
        <v>21</v>
      </c>
      <c r="B3211" s="0" t="s">
        <v>10254</v>
      </c>
      <c r="C3211" s="0" t="s">
        <v>97</v>
      </c>
      <c r="D3211" s="0" t="s">
        <v>10255</v>
      </c>
      <c r="E3211" s="0" t="s">
        <v>10256</v>
      </c>
      <c r="M3211" s="0" t="s">
        <v>136</v>
      </c>
      <c r="N3211" s="0" t="s">
        <v>124</v>
      </c>
      <c r="P3211" s="0" t="s">
        <v>102</v>
      </c>
      <c r="Q3211" s="0" t="s">
        <v>102</v>
      </c>
      <c r="R3211" s="0" t="s">
        <v>131</v>
      </c>
      <c r="S3211" s="0" t="s">
        <v>21</v>
      </c>
      <c r="T3211" s="0" t="s">
        <v>104</v>
      </c>
      <c r="W3211" s="0" t="s">
        <v>105</v>
      </c>
    </row>
    <row r="3212" customFormat="false" ht="15" hidden="false" customHeight="false" outlineLevel="0" collapsed="false">
      <c r="A3212" s="0" t="s">
        <v>21</v>
      </c>
      <c r="B3212" s="0" t="s">
        <v>10257</v>
      </c>
      <c r="C3212" s="0" t="s">
        <v>97</v>
      </c>
      <c r="D3212" s="0" t="s">
        <v>10258</v>
      </c>
      <c r="E3212" s="0" t="s">
        <v>10259</v>
      </c>
      <c r="M3212" s="0" t="s">
        <v>136</v>
      </c>
      <c r="N3212" s="0" t="s">
        <v>124</v>
      </c>
      <c r="P3212" s="0" t="s">
        <v>102</v>
      </c>
      <c r="Q3212" s="0" t="s">
        <v>102</v>
      </c>
      <c r="R3212" s="0" t="s">
        <v>131</v>
      </c>
      <c r="S3212" s="0" t="s">
        <v>21</v>
      </c>
      <c r="T3212" s="0" t="s">
        <v>104</v>
      </c>
      <c r="W3212" s="0" t="s">
        <v>105</v>
      </c>
    </row>
    <row r="3213" customFormat="false" ht="15" hidden="false" customHeight="false" outlineLevel="0" collapsed="false">
      <c r="A3213" s="0" t="s">
        <v>21</v>
      </c>
      <c r="B3213" s="0" t="s">
        <v>10260</v>
      </c>
      <c r="C3213" s="0" t="s">
        <v>6084</v>
      </c>
      <c r="D3213" s="0" t="s">
        <v>10261</v>
      </c>
      <c r="E3213" s="0" t="s">
        <v>10262</v>
      </c>
      <c r="F3213" s="0" t="s">
        <v>10263</v>
      </c>
      <c r="H3213" s="0" t="s">
        <v>10264</v>
      </c>
      <c r="J3213" s="0" t="s">
        <v>3520</v>
      </c>
      <c r="L3213" s="0" t="s">
        <v>3520</v>
      </c>
      <c r="M3213" s="0" t="s">
        <v>10265</v>
      </c>
      <c r="N3213" s="0" t="s">
        <v>3520</v>
      </c>
      <c r="P3213" s="0" t="s">
        <v>102</v>
      </c>
      <c r="Q3213" s="0" t="s">
        <v>102</v>
      </c>
      <c r="R3213" s="0" t="s">
        <v>131</v>
      </c>
      <c r="S3213" s="0" t="s">
        <v>21</v>
      </c>
      <c r="T3213" s="0" t="s">
        <v>104</v>
      </c>
      <c r="W3213" s="0" t="s">
        <v>105</v>
      </c>
      <c r="X3213" s="0" t="s">
        <v>10266</v>
      </c>
      <c r="Y3213" s="0" t="s">
        <v>10267</v>
      </c>
      <c r="Z3213" s="0" t="s">
        <v>195</v>
      </c>
    </row>
    <row r="3214" customFormat="false" ht="15" hidden="false" customHeight="false" outlineLevel="0" collapsed="false">
      <c r="A3214" s="0" t="s">
        <v>21</v>
      </c>
      <c r="B3214" s="0" t="s">
        <v>10268</v>
      </c>
      <c r="C3214" s="0" t="s">
        <v>97</v>
      </c>
      <c r="D3214" s="0" t="s">
        <v>10269</v>
      </c>
      <c r="E3214" s="0" t="s">
        <v>10270</v>
      </c>
      <c r="M3214" s="0" t="s">
        <v>136</v>
      </c>
      <c r="N3214" s="0" t="s">
        <v>124</v>
      </c>
      <c r="P3214" s="0" t="s">
        <v>102</v>
      </c>
      <c r="Q3214" s="0" t="s">
        <v>102</v>
      </c>
      <c r="R3214" s="0" t="s">
        <v>131</v>
      </c>
      <c r="S3214" s="0" t="s">
        <v>21</v>
      </c>
      <c r="T3214" s="0" t="s">
        <v>104</v>
      </c>
      <c r="W3214" s="0" t="s">
        <v>105</v>
      </c>
    </row>
    <row r="3215" customFormat="false" ht="15" hidden="false" customHeight="false" outlineLevel="0" collapsed="false">
      <c r="A3215" s="0" t="s">
        <v>21</v>
      </c>
      <c r="B3215" s="0" t="s">
        <v>10271</v>
      </c>
      <c r="C3215" s="0" t="s">
        <v>190</v>
      </c>
      <c r="D3215" s="0" t="s">
        <v>5308</v>
      </c>
      <c r="E3215" s="0" t="s">
        <v>10272</v>
      </c>
      <c r="H3215" s="0" t="s">
        <v>10273</v>
      </c>
      <c r="I3215" s="0" t="s">
        <v>312</v>
      </c>
      <c r="J3215" s="0" t="s">
        <v>275</v>
      </c>
      <c r="K3215" s="0" t="s">
        <v>313</v>
      </c>
      <c r="M3215" s="0" t="s">
        <v>178</v>
      </c>
      <c r="N3215" s="0" t="s">
        <v>124</v>
      </c>
      <c r="P3215" s="0" t="s">
        <v>102</v>
      </c>
      <c r="Q3215" s="0" t="s">
        <v>102</v>
      </c>
      <c r="R3215" s="0" t="s">
        <v>131</v>
      </c>
      <c r="S3215" s="0" t="s">
        <v>21</v>
      </c>
      <c r="T3215" s="0" t="s">
        <v>104</v>
      </c>
      <c r="W3215" s="0" t="s">
        <v>105</v>
      </c>
      <c r="X3215" s="0" t="s">
        <v>10274</v>
      </c>
      <c r="Y3215" s="0" t="s">
        <v>10275</v>
      </c>
      <c r="Z3215" s="0" t="s">
        <v>195</v>
      </c>
    </row>
    <row r="3216" customFormat="false" ht="15" hidden="false" customHeight="false" outlineLevel="0" collapsed="false">
      <c r="A3216" s="0" t="s">
        <v>21</v>
      </c>
      <c r="B3216" s="0" t="s">
        <v>10276</v>
      </c>
      <c r="C3216" s="0" t="s">
        <v>97</v>
      </c>
      <c r="D3216" s="0" t="s">
        <v>10277</v>
      </c>
      <c r="E3216" s="0" t="s">
        <v>10277</v>
      </c>
      <c r="M3216" s="0" t="s">
        <v>136</v>
      </c>
      <c r="N3216" s="0" t="s">
        <v>124</v>
      </c>
      <c r="P3216" s="0" t="s">
        <v>102</v>
      </c>
      <c r="Q3216" s="0" t="s">
        <v>102</v>
      </c>
      <c r="R3216" s="0" t="s">
        <v>131</v>
      </c>
      <c r="S3216" s="0" t="s">
        <v>21</v>
      </c>
      <c r="T3216" s="0" t="s">
        <v>104</v>
      </c>
      <c r="W3216" s="0" t="s">
        <v>105</v>
      </c>
    </row>
    <row r="3217" customFormat="false" ht="15" hidden="false" customHeight="false" outlineLevel="0" collapsed="false">
      <c r="A3217" s="0" t="s">
        <v>21</v>
      </c>
      <c r="B3217" s="0" t="s">
        <v>10278</v>
      </c>
      <c r="C3217" s="0" t="s">
        <v>97</v>
      </c>
      <c r="D3217" s="0" t="s">
        <v>10279</v>
      </c>
      <c r="E3217" s="0" t="s">
        <v>10280</v>
      </c>
      <c r="M3217" s="0" t="s">
        <v>136</v>
      </c>
      <c r="N3217" s="0" t="s">
        <v>124</v>
      </c>
      <c r="P3217" s="0" t="s">
        <v>102</v>
      </c>
      <c r="Q3217" s="0" t="s">
        <v>102</v>
      </c>
      <c r="R3217" s="0" t="s">
        <v>131</v>
      </c>
      <c r="S3217" s="0" t="s">
        <v>21</v>
      </c>
      <c r="T3217" s="0" t="s">
        <v>104</v>
      </c>
      <c r="W3217" s="0" t="s">
        <v>105</v>
      </c>
    </row>
    <row r="3218" customFormat="false" ht="15" hidden="false" customHeight="false" outlineLevel="0" collapsed="false">
      <c r="A3218" s="0" t="s">
        <v>21</v>
      </c>
      <c r="B3218" s="0" t="s">
        <v>10281</v>
      </c>
      <c r="C3218" s="0" t="s">
        <v>97</v>
      </c>
      <c r="D3218" s="0" t="s">
        <v>10282</v>
      </c>
      <c r="E3218" s="0" t="s">
        <v>10283</v>
      </c>
      <c r="M3218" s="0" t="s">
        <v>136</v>
      </c>
      <c r="N3218" s="0" t="s">
        <v>124</v>
      </c>
      <c r="P3218" s="0" t="s">
        <v>102</v>
      </c>
      <c r="Q3218" s="0" t="s">
        <v>102</v>
      </c>
      <c r="R3218" s="0" t="s">
        <v>131</v>
      </c>
      <c r="S3218" s="0" t="s">
        <v>21</v>
      </c>
      <c r="T3218" s="0" t="s">
        <v>104</v>
      </c>
      <c r="W3218" s="0" t="s">
        <v>105</v>
      </c>
    </row>
    <row r="3219" customFormat="false" ht="15" hidden="false" customHeight="false" outlineLevel="0" collapsed="false">
      <c r="A3219" s="0" t="s">
        <v>21</v>
      </c>
      <c r="B3219" s="0" t="s">
        <v>10284</v>
      </c>
      <c r="C3219" s="0" t="s">
        <v>97</v>
      </c>
      <c r="D3219" s="0" t="s">
        <v>10285</v>
      </c>
      <c r="E3219" s="0" t="s">
        <v>10286</v>
      </c>
      <c r="M3219" s="0" t="s">
        <v>136</v>
      </c>
      <c r="N3219" s="0" t="s">
        <v>124</v>
      </c>
      <c r="P3219" s="0" t="s">
        <v>102</v>
      </c>
      <c r="Q3219" s="0" t="s">
        <v>102</v>
      </c>
      <c r="R3219" s="0" t="s">
        <v>131</v>
      </c>
      <c r="S3219" s="0" t="s">
        <v>21</v>
      </c>
      <c r="T3219" s="0" t="s">
        <v>104</v>
      </c>
      <c r="W3219" s="0" t="s">
        <v>105</v>
      </c>
    </row>
    <row r="3220" customFormat="false" ht="15" hidden="false" customHeight="false" outlineLevel="0" collapsed="false">
      <c r="A3220" s="0" t="s">
        <v>21</v>
      </c>
      <c r="B3220" s="0" t="s">
        <v>10287</v>
      </c>
      <c r="C3220" s="0" t="s">
        <v>97</v>
      </c>
      <c r="D3220" s="0" t="s">
        <v>10288</v>
      </c>
      <c r="E3220" s="0" t="s">
        <v>10289</v>
      </c>
      <c r="M3220" s="0" t="s">
        <v>136</v>
      </c>
      <c r="N3220" s="0" t="s">
        <v>124</v>
      </c>
      <c r="P3220" s="0" t="s">
        <v>102</v>
      </c>
      <c r="Q3220" s="0" t="s">
        <v>102</v>
      </c>
      <c r="R3220" s="0" t="s">
        <v>131</v>
      </c>
      <c r="S3220" s="0" t="s">
        <v>21</v>
      </c>
      <c r="T3220" s="0" t="s">
        <v>104</v>
      </c>
      <c r="W3220" s="0" t="s">
        <v>105</v>
      </c>
    </row>
    <row r="3221" customFormat="false" ht="15" hidden="false" customHeight="false" outlineLevel="0" collapsed="false">
      <c r="A3221" s="0" t="s">
        <v>21</v>
      </c>
      <c r="B3221" s="0" t="s">
        <v>10290</v>
      </c>
      <c r="C3221" s="0" t="s">
        <v>97</v>
      </c>
      <c r="D3221" s="0" t="s">
        <v>10291</v>
      </c>
      <c r="E3221" s="0" t="s">
        <v>10292</v>
      </c>
      <c r="M3221" s="0" t="s">
        <v>136</v>
      </c>
      <c r="N3221" s="0" t="s">
        <v>124</v>
      </c>
      <c r="P3221" s="0" t="s">
        <v>102</v>
      </c>
      <c r="Q3221" s="0" t="s">
        <v>102</v>
      </c>
      <c r="R3221" s="0" t="s">
        <v>144</v>
      </c>
      <c r="S3221" s="0" t="s">
        <v>21</v>
      </c>
      <c r="T3221" s="0" t="s">
        <v>104</v>
      </c>
      <c r="W3221" s="0" t="s">
        <v>105</v>
      </c>
    </row>
    <row r="3222" customFormat="false" ht="15" hidden="false" customHeight="false" outlineLevel="0" collapsed="false">
      <c r="A3222" s="0" t="s">
        <v>21</v>
      </c>
      <c r="B3222" s="0" t="s">
        <v>10293</v>
      </c>
      <c r="C3222" s="0" t="s">
        <v>97</v>
      </c>
      <c r="D3222" s="0" t="s">
        <v>10294</v>
      </c>
      <c r="E3222" s="0" t="s">
        <v>10295</v>
      </c>
      <c r="M3222" s="0" t="s">
        <v>136</v>
      </c>
      <c r="N3222" s="0" t="s">
        <v>124</v>
      </c>
      <c r="P3222" s="0" t="s">
        <v>102</v>
      </c>
      <c r="Q3222" s="0" t="s">
        <v>102</v>
      </c>
      <c r="R3222" s="0" t="s">
        <v>144</v>
      </c>
      <c r="S3222" s="0" t="s">
        <v>21</v>
      </c>
      <c r="T3222" s="0" t="s">
        <v>104</v>
      </c>
      <c r="W3222" s="0" t="s">
        <v>105</v>
      </c>
    </row>
    <row r="3223" customFormat="false" ht="15" hidden="false" customHeight="false" outlineLevel="0" collapsed="false">
      <c r="A3223" s="0" t="s">
        <v>21</v>
      </c>
      <c r="B3223" s="0" t="s">
        <v>10296</v>
      </c>
      <c r="C3223" s="0" t="s">
        <v>97</v>
      </c>
      <c r="D3223" s="0" t="s">
        <v>10297</v>
      </c>
      <c r="E3223" s="0" t="s">
        <v>10298</v>
      </c>
      <c r="M3223" s="0" t="s">
        <v>136</v>
      </c>
      <c r="N3223" s="0" t="s">
        <v>124</v>
      </c>
      <c r="P3223" s="0" t="s">
        <v>102</v>
      </c>
      <c r="Q3223" s="0" t="s">
        <v>102</v>
      </c>
      <c r="R3223" s="0" t="s">
        <v>144</v>
      </c>
      <c r="S3223" s="0" t="s">
        <v>21</v>
      </c>
      <c r="T3223" s="0" t="s">
        <v>104</v>
      </c>
      <c r="W3223" s="0" t="s">
        <v>105</v>
      </c>
    </row>
    <row r="3224" customFormat="false" ht="15" hidden="false" customHeight="false" outlineLevel="0" collapsed="false">
      <c r="A3224" s="0" t="s">
        <v>21</v>
      </c>
      <c r="B3224" s="0" t="s">
        <v>10299</v>
      </c>
      <c r="C3224" s="0" t="s">
        <v>97</v>
      </c>
      <c r="D3224" s="0" t="s">
        <v>10300</v>
      </c>
      <c r="E3224" s="0" t="s">
        <v>10301</v>
      </c>
      <c r="M3224" s="0" t="s">
        <v>136</v>
      </c>
      <c r="N3224" s="0" t="s">
        <v>124</v>
      </c>
      <c r="P3224" s="0" t="s">
        <v>102</v>
      </c>
      <c r="Q3224" s="0" t="s">
        <v>102</v>
      </c>
      <c r="R3224" s="0" t="s">
        <v>144</v>
      </c>
      <c r="S3224" s="0" t="s">
        <v>21</v>
      </c>
      <c r="T3224" s="0" t="s">
        <v>104</v>
      </c>
      <c r="W3224" s="0" t="s">
        <v>105</v>
      </c>
    </row>
    <row r="3225" customFormat="false" ht="15" hidden="false" customHeight="false" outlineLevel="0" collapsed="false">
      <c r="A3225" s="0" t="s">
        <v>21</v>
      </c>
      <c r="B3225" s="0" t="s">
        <v>10302</v>
      </c>
      <c r="C3225" s="0" t="s">
        <v>97</v>
      </c>
      <c r="D3225" s="0" t="s">
        <v>10303</v>
      </c>
      <c r="E3225" s="0" t="s">
        <v>10304</v>
      </c>
      <c r="M3225" s="0" t="s">
        <v>136</v>
      </c>
      <c r="N3225" s="0" t="s">
        <v>124</v>
      </c>
      <c r="P3225" s="0" t="s">
        <v>102</v>
      </c>
      <c r="Q3225" s="0" t="s">
        <v>102</v>
      </c>
      <c r="R3225" s="0" t="s">
        <v>144</v>
      </c>
      <c r="S3225" s="0" t="s">
        <v>21</v>
      </c>
      <c r="T3225" s="0" t="s">
        <v>104</v>
      </c>
      <c r="W3225" s="0" t="s">
        <v>105</v>
      </c>
    </row>
    <row r="3226" customFormat="false" ht="15" hidden="false" customHeight="false" outlineLevel="0" collapsed="false">
      <c r="A3226" s="0" t="s">
        <v>21</v>
      </c>
      <c r="B3226" s="0" t="s">
        <v>10305</v>
      </c>
      <c r="C3226" s="0" t="s">
        <v>97</v>
      </c>
      <c r="D3226" s="0" t="s">
        <v>10306</v>
      </c>
      <c r="E3226" s="0" t="s">
        <v>10307</v>
      </c>
      <c r="M3226" s="0" t="s">
        <v>136</v>
      </c>
      <c r="N3226" s="0" t="s">
        <v>124</v>
      </c>
      <c r="P3226" s="0" t="s">
        <v>102</v>
      </c>
      <c r="Q3226" s="0" t="s">
        <v>102</v>
      </c>
      <c r="R3226" s="0" t="s">
        <v>144</v>
      </c>
      <c r="S3226" s="0" t="s">
        <v>21</v>
      </c>
      <c r="T3226" s="0" t="s">
        <v>104</v>
      </c>
      <c r="W3226" s="0" t="s">
        <v>105</v>
      </c>
    </row>
    <row r="3227" customFormat="false" ht="15" hidden="false" customHeight="false" outlineLevel="0" collapsed="false">
      <c r="A3227" s="0" t="s">
        <v>21</v>
      </c>
      <c r="B3227" s="0" t="s">
        <v>10308</v>
      </c>
      <c r="C3227" s="0" t="s">
        <v>97</v>
      </c>
      <c r="D3227" s="0" t="s">
        <v>10309</v>
      </c>
      <c r="E3227" s="0" t="s">
        <v>10310</v>
      </c>
      <c r="M3227" s="0" t="s">
        <v>136</v>
      </c>
      <c r="N3227" s="0" t="s">
        <v>124</v>
      </c>
      <c r="P3227" s="0" t="s">
        <v>102</v>
      </c>
      <c r="Q3227" s="0" t="s">
        <v>102</v>
      </c>
      <c r="R3227" s="0" t="s">
        <v>144</v>
      </c>
      <c r="S3227" s="0" t="s">
        <v>21</v>
      </c>
      <c r="T3227" s="0" t="s">
        <v>104</v>
      </c>
      <c r="W3227" s="0" t="s">
        <v>105</v>
      </c>
    </row>
    <row r="3228" customFormat="false" ht="15" hidden="false" customHeight="false" outlineLevel="0" collapsed="false">
      <c r="A3228" s="0" t="s">
        <v>21</v>
      </c>
      <c r="B3228" s="0" t="s">
        <v>10311</v>
      </c>
      <c r="C3228" s="0" t="s">
        <v>97</v>
      </c>
      <c r="D3228" s="0" t="s">
        <v>10312</v>
      </c>
      <c r="E3228" s="0" t="s">
        <v>10313</v>
      </c>
      <c r="M3228" s="0" t="s">
        <v>136</v>
      </c>
      <c r="N3228" s="0" t="s">
        <v>124</v>
      </c>
      <c r="P3228" s="0" t="s">
        <v>102</v>
      </c>
      <c r="Q3228" s="0" t="s">
        <v>102</v>
      </c>
      <c r="R3228" s="0" t="s">
        <v>144</v>
      </c>
      <c r="S3228" s="0" t="s">
        <v>21</v>
      </c>
      <c r="T3228" s="0" t="s">
        <v>104</v>
      </c>
      <c r="W3228" s="0" t="s">
        <v>105</v>
      </c>
    </row>
    <row r="3229" customFormat="false" ht="15" hidden="false" customHeight="false" outlineLevel="0" collapsed="false">
      <c r="A3229" s="0" t="s">
        <v>21</v>
      </c>
      <c r="B3229" s="0" t="s">
        <v>10314</v>
      </c>
      <c r="C3229" s="0" t="s">
        <v>97</v>
      </c>
      <c r="D3229" s="0" t="s">
        <v>10315</v>
      </c>
      <c r="E3229" s="0" t="s">
        <v>10316</v>
      </c>
      <c r="M3229" s="0" t="s">
        <v>136</v>
      </c>
      <c r="N3229" s="0" t="s">
        <v>124</v>
      </c>
      <c r="P3229" s="0" t="s">
        <v>102</v>
      </c>
      <c r="Q3229" s="0" t="s">
        <v>102</v>
      </c>
      <c r="R3229" s="0" t="s">
        <v>144</v>
      </c>
      <c r="S3229" s="0" t="s">
        <v>21</v>
      </c>
      <c r="T3229" s="0" t="s">
        <v>104</v>
      </c>
      <c r="W3229" s="0" t="s">
        <v>105</v>
      </c>
    </row>
    <row r="3230" customFormat="false" ht="15" hidden="false" customHeight="false" outlineLevel="0" collapsed="false">
      <c r="A3230" s="0" t="s">
        <v>21</v>
      </c>
      <c r="B3230" s="0" t="s">
        <v>10317</v>
      </c>
      <c r="C3230" s="0" t="s">
        <v>97</v>
      </c>
      <c r="D3230" s="0" t="s">
        <v>10318</v>
      </c>
      <c r="E3230" s="0" t="s">
        <v>10319</v>
      </c>
      <c r="M3230" s="0" t="s">
        <v>136</v>
      </c>
      <c r="N3230" s="0" t="s">
        <v>124</v>
      </c>
      <c r="P3230" s="0" t="s">
        <v>102</v>
      </c>
      <c r="Q3230" s="0" t="s">
        <v>102</v>
      </c>
      <c r="R3230" s="0" t="s">
        <v>131</v>
      </c>
      <c r="S3230" s="0" t="s">
        <v>21</v>
      </c>
      <c r="T3230" s="0" t="s">
        <v>104</v>
      </c>
      <c r="W3230" s="0" t="s">
        <v>105</v>
      </c>
    </row>
    <row r="3231" customFormat="false" ht="15" hidden="false" customHeight="false" outlineLevel="0" collapsed="false">
      <c r="A3231" s="0" t="s">
        <v>21</v>
      </c>
      <c r="B3231" s="0" t="s">
        <v>10320</v>
      </c>
      <c r="C3231" s="0" t="s">
        <v>139</v>
      </c>
      <c r="D3231" s="0" t="s">
        <v>10321</v>
      </c>
      <c r="E3231" s="0" t="s">
        <v>10322</v>
      </c>
      <c r="G3231" s="0" t="s">
        <v>10323</v>
      </c>
      <c r="H3231" s="0" t="s">
        <v>10324</v>
      </c>
      <c r="I3231" s="0" t="s">
        <v>10325</v>
      </c>
      <c r="M3231" s="0" t="s">
        <v>262</v>
      </c>
      <c r="N3231" s="0" t="s">
        <v>124</v>
      </c>
      <c r="P3231" s="0" t="s">
        <v>102</v>
      </c>
      <c r="Q3231" s="0" t="s">
        <v>102</v>
      </c>
      <c r="R3231" s="0" t="s">
        <v>804</v>
      </c>
      <c r="S3231" s="0" t="s">
        <v>21</v>
      </c>
      <c r="T3231" s="0" t="s">
        <v>104</v>
      </c>
      <c r="W3231" s="0" t="s">
        <v>105</v>
      </c>
    </row>
    <row r="3232" customFormat="false" ht="15" hidden="false" customHeight="false" outlineLevel="0" collapsed="false">
      <c r="A3232" s="0" t="s">
        <v>21</v>
      </c>
      <c r="B3232" s="0" t="s">
        <v>10326</v>
      </c>
      <c r="C3232" s="0" t="s">
        <v>97</v>
      </c>
      <c r="D3232" s="0" t="s">
        <v>10327</v>
      </c>
      <c r="E3232" s="0" t="s">
        <v>10327</v>
      </c>
      <c r="M3232" s="0" t="s">
        <v>136</v>
      </c>
      <c r="N3232" s="0" t="s">
        <v>124</v>
      </c>
      <c r="P3232" s="0" t="s">
        <v>102</v>
      </c>
      <c r="Q3232" s="0" t="s">
        <v>102</v>
      </c>
      <c r="R3232" s="0" t="s">
        <v>131</v>
      </c>
      <c r="S3232" s="0" t="s">
        <v>21</v>
      </c>
      <c r="T3232" s="0" t="s">
        <v>104</v>
      </c>
      <c r="W3232" s="0" t="s">
        <v>105</v>
      </c>
    </row>
    <row r="3233" customFormat="false" ht="15" hidden="false" customHeight="false" outlineLevel="0" collapsed="false">
      <c r="A3233" s="0" t="s">
        <v>21</v>
      </c>
      <c r="B3233" s="0" t="s">
        <v>10328</v>
      </c>
      <c r="C3233" s="0" t="s">
        <v>97</v>
      </c>
      <c r="D3233" s="0" t="s">
        <v>10329</v>
      </c>
      <c r="E3233" s="0" t="s">
        <v>10330</v>
      </c>
      <c r="M3233" s="0" t="s">
        <v>136</v>
      </c>
      <c r="N3233" s="0" t="s">
        <v>124</v>
      </c>
      <c r="P3233" s="0" t="s">
        <v>102</v>
      </c>
      <c r="Q3233" s="0" t="s">
        <v>102</v>
      </c>
      <c r="R3233" s="0" t="s">
        <v>131</v>
      </c>
      <c r="S3233" s="0" t="s">
        <v>21</v>
      </c>
      <c r="T3233" s="0" t="s">
        <v>104</v>
      </c>
      <c r="W3233" s="0" t="s">
        <v>105</v>
      </c>
    </row>
    <row r="3234" customFormat="false" ht="15" hidden="false" customHeight="false" outlineLevel="0" collapsed="false">
      <c r="A3234" s="0" t="s">
        <v>21</v>
      </c>
      <c r="B3234" s="0" t="s">
        <v>10331</v>
      </c>
      <c r="C3234" s="0" t="s">
        <v>97</v>
      </c>
      <c r="D3234" s="0" t="s">
        <v>10332</v>
      </c>
      <c r="E3234" s="0" t="s">
        <v>10333</v>
      </c>
      <c r="M3234" s="0" t="s">
        <v>136</v>
      </c>
      <c r="N3234" s="0" t="s">
        <v>124</v>
      </c>
      <c r="P3234" s="0" t="s">
        <v>102</v>
      </c>
      <c r="Q3234" s="0" t="s">
        <v>102</v>
      </c>
      <c r="R3234" s="0" t="s">
        <v>131</v>
      </c>
      <c r="S3234" s="0" t="s">
        <v>21</v>
      </c>
      <c r="T3234" s="0" t="s">
        <v>104</v>
      </c>
      <c r="W3234" s="0" t="s">
        <v>105</v>
      </c>
    </row>
    <row r="3235" customFormat="false" ht="15" hidden="false" customHeight="false" outlineLevel="0" collapsed="false">
      <c r="A3235" s="0" t="s">
        <v>21</v>
      </c>
      <c r="B3235" s="0" t="s">
        <v>10334</v>
      </c>
      <c r="C3235" s="0" t="s">
        <v>97</v>
      </c>
      <c r="D3235" s="0" t="s">
        <v>10335</v>
      </c>
      <c r="E3235" s="0" t="s">
        <v>10335</v>
      </c>
      <c r="F3235" s="0" t="s">
        <v>10335</v>
      </c>
      <c r="M3235" s="0" t="s">
        <v>136</v>
      </c>
      <c r="N3235" s="0" t="s">
        <v>124</v>
      </c>
      <c r="P3235" s="0" t="s">
        <v>102</v>
      </c>
      <c r="Q3235" s="0" t="s">
        <v>102</v>
      </c>
      <c r="R3235" s="0" t="s">
        <v>131</v>
      </c>
      <c r="S3235" s="0" t="s">
        <v>21</v>
      </c>
      <c r="T3235" s="0" t="s">
        <v>104</v>
      </c>
      <c r="W3235" s="0" t="s">
        <v>105</v>
      </c>
    </row>
    <row r="3236" customFormat="false" ht="15" hidden="false" customHeight="false" outlineLevel="0" collapsed="false">
      <c r="A3236" s="0" t="s">
        <v>21</v>
      </c>
      <c r="B3236" s="0" t="s">
        <v>10336</v>
      </c>
      <c r="C3236" s="0" t="s">
        <v>139</v>
      </c>
      <c r="D3236" s="0" t="s">
        <v>10337</v>
      </c>
      <c r="E3236" s="0" t="s">
        <v>10338</v>
      </c>
      <c r="H3236" s="0" t="s">
        <v>10339</v>
      </c>
      <c r="I3236" s="0" t="s">
        <v>3272</v>
      </c>
      <c r="K3236" s="0" t="s">
        <v>10340</v>
      </c>
      <c r="M3236" s="0" t="s">
        <v>3272</v>
      </c>
      <c r="N3236" s="0" t="s">
        <v>101</v>
      </c>
      <c r="P3236" s="0" t="s">
        <v>102</v>
      </c>
      <c r="Q3236" s="0" t="s">
        <v>102</v>
      </c>
      <c r="R3236" s="0" t="s">
        <v>144</v>
      </c>
      <c r="S3236" s="0" t="s">
        <v>21</v>
      </c>
      <c r="T3236" s="0" t="s">
        <v>104</v>
      </c>
      <c r="W3236" s="0" t="s">
        <v>105</v>
      </c>
    </row>
    <row r="3237" customFormat="false" ht="15" hidden="false" customHeight="false" outlineLevel="0" collapsed="false">
      <c r="A3237" s="0" t="s">
        <v>21</v>
      </c>
      <c r="B3237" s="0" t="s">
        <v>10341</v>
      </c>
      <c r="C3237" s="0" t="s">
        <v>97</v>
      </c>
      <c r="D3237" s="0" t="s">
        <v>6455</v>
      </c>
      <c r="E3237" s="0" t="s">
        <v>10342</v>
      </c>
      <c r="M3237" s="0" t="s">
        <v>136</v>
      </c>
      <c r="N3237" s="0" t="s">
        <v>124</v>
      </c>
      <c r="P3237" s="0" t="s">
        <v>102</v>
      </c>
      <c r="Q3237" s="0" t="s">
        <v>102</v>
      </c>
      <c r="R3237" s="0" t="s">
        <v>113</v>
      </c>
      <c r="S3237" s="0" t="s">
        <v>21</v>
      </c>
      <c r="T3237" s="0" t="s">
        <v>104</v>
      </c>
      <c r="W3237" s="0" t="s">
        <v>105</v>
      </c>
    </row>
    <row r="3238" customFormat="false" ht="15" hidden="false" customHeight="false" outlineLevel="0" collapsed="false">
      <c r="A3238" s="0" t="s">
        <v>21</v>
      </c>
      <c r="B3238" s="0" t="s">
        <v>10343</v>
      </c>
      <c r="C3238" s="0" t="s">
        <v>97</v>
      </c>
      <c r="D3238" s="0" t="s">
        <v>10344</v>
      </c>
      <c r="E3238" s="0" t="s">
        <v>10345</v>
      </c>
      <c r="M3238" s="0" t="s">
        <v>100</v>
      </c>
      <c r="N3238" s="0" t="s">
        <v>101</v>
      </c>
      <c r="P3238" s="0" t="s">
        <v>102</v>
      </c>
      <c r="Q3238" s="0" t="s">
        <v>102</v>
      </c>
      <c r="R3238" s="0" t="s">
        <v>113</v>
      </c>
      <c r="S3238" s="0" t="s">
        <v>21</v>
      </c>
      <c r="T3238" s="0" t="s">
        <v>104</v>
      </c>
      <c r="W3238" s="0" t="s">
        <v>105</v>
      </c>
    </row>
    <row r="3239" customFormat="false" ht="15" hidden="false" customHeight="false" outlineLevel="0" collapsed="false">
      <c r="A3239" s="0" t="s">
        <v>21</v>
      </c>
      <c r="B3239" s="0" t="s">
        <v>10346</v>
      </c>
      <c r="C3239" s="0" t="s">
        <v>97</v>
      </c>
      <c r="D3239" s="0" t="s">
        <v>10347</v>
      </c>
      <c r="E3239" s="0" t="s">
        <v>10348</v>
      </c>
      <c r="M3239" s="0" t="s">
        <v>100</v>
      </c>
      <c r="N3239" s="0" t="s">
        <v>101</v>
      </c>
      <c r="P3239" s="0" t="s">
        <v>102</v>
      </c>
      <c r="Q3239" s="0" t="s">
        <v>102</v>
      </c>
      <c r="R3239" s="0" t="s">
        <v>113</v>
      </c>
      <c r="S3239" s="0" t="s">
        <v>21</v>
      </c>
      <c r="T3239" s="0" t="s">
        <v>104</v>
      </c>
      <c r="W3239" s="0" t="s">
        <v>105</v>
      </c>
    </row>
    <row r="3240" customFormat="false" ht="15" hidden="false" customHeight="false" outlineLevel="0" collapsed="false">
      <c r="A3240" s="0" t="s">
        <v>21</v>
      </c>
      <c r="B3240" s="0" t="s">
        <v>10349</v>
      </c>
      <c r="C3240" s="0" t="s">
        <v>97</v>
      </c>
      <c r="D3240" s="0" t="s">
        <v>8658</v>
      </c>
      <c r="E3240" s="0" t="s">
        <v>10350</v>
      </c>
      <c r="M3240" s="0" t="s">
        <v>136</v>
      </c>
      <c r="N3240" s="0" t="s">
        <v>124</v>
      </c>
      <c r="P3240" s="0" t="s">
        <v>102</v>
      </c>
      <c r="Q3240" s="0" t="s">
        <v>102</v>
      </c>
      <c r="R3240" s="0" t="s">
        <v>113</v>
      </c>
      <c r="S3240" s="0" t="s">
        <v>21</v>
      </c>
      <c r="T3240" s="0" t="s">
        <v>104</v>
      </c>
      <c r="W3240" s="0" t="s">
        <v>105</v>
      </c>
    </row>
    <row r="3241" customFormat="false" ht="15" hidden="false" customHeight="false" outlineLevel="0" collapsed="false">
      <c r="A3241" s="0" t="s">
        <v>21</v>
      </c>
      <c r="B3241" s="0" t="s">
        <v>10351</v>
      </c>
      <c r="C3241" s="0" t="s">
        <v>97</v>
      </c>
      <c r="D3241" s="0" t="s">
        <v>10352</v>
      </c>
      <c r="E3241" s="0" t="s">
        <v>10353</v>
      </c>
      <c r="M3241" s="0" t="s">
        <v>136</v>
      </c>
      <c r="N3241" s="0" t="s">
        <v>124</v>
      </c>
      <c r="P3241" s="0" t="s">
        <v>102</v>
      </c>
      <c r="Q3241" s="0" t="s">
        <v>102</v>
      </c>
      <c r="R3241" s="0" t="s">
        <v>131</v>
      </c>
      <c r="S3241" s="0" t="s">
        <v>21</v>
      </c>
      <c r="T3241" s="0" t="s">
        <v>104</v>
      </c>
      <c r="W3241" s="0" t="s">
        <v>105</v>
      </c>
    </row>
    <row r="3242" customFormat="false" ht="15" hidden="false" customHeight="false" outlineLevel="0" collapsed="false">
      <c r="A3242" s="0" t="s">
        <v>21</v>
      </c>
      <c r="B3242" s="0" t="s">
        <v>10354</v>
      </c>
      <c r="C3242" s="0" t="s">
        <v>97</v>
      </c>
      <c r="D3242" s="0" t="s">
        <v>10355</v>
      </c>
      <c r="E3242" s="0" t="s">
        <v>10356</v>
      </c>
      <c r="M3242" s="0" t="s">
        <v>656</v>
      </c>
      <c r="N3242" s="0" t="s">
        <v>101</v>
      </c>
      <c r="P3242" s="0" t="s">
        <v>102</v>
      </c>
      <c r="Q3242" s="0" t="s">
        <v>102</v>
      </c>
      <c r="R3242" s="0" t="s">
        <v>113</v>
      </c>
      <c r="S3242" s="0" t="s">
        <v>21</v>
      </c>
      <c r="T3242" s="0" t="s">
        <v>104</v>
      </c>
      <c r="W3242" s="0" t="s">
        <v>105</v>
      </c>
    </row>
    <row r="3243" customFormat="false" ht="15" hidden="false" customHeight="false" outlineLevel="0" collapsed="false">
      <c r="A3243" s="0" t="s">
        <v>21</v>
      </c>
      <c r="B3243" s="0" t="s">
        <v>10357</v>
      </c>
      <c r="C3243" s="0" t="s">
        <v>97</v>
      </c>
      <c r="D3243" s="0" t="s">
        <v>10358</v>
      </c>
      <c r="E3243" s="0" t="s">
        <v>10359</v>
      </c>
      <c r="M3243" s="0" t="s">
        <v>136</v>
      </c>
      <c r="N3243" s="0" t="s">
        <v>124</v>
      </c>
      <c r="P3243" s="0" t="s">
        <v>102</v>
      </c>
      <c r="Q3243" s="0" t="s">
        <v>102</v>
      </c>
      <c r="R3243" s="0" t="s">
        <v>113</v>
      </c>
      <c r="S3243" s="0" t="s">
        <v>21</v>
      </c>
      <c r="T3243" s="0" t="s">
        <v>104</v>
      </c>
      <c r="W3243" s="0" t="s">
        <v>105</v>
      </c>
    </row>
    <row r="3244" customFormat="false" ht="15" hidden="false" customHeight="false" outlineLevel="0" collapsed="false">
      <c r="A3244" s="0" t="s">
        <v>21</v>
      </c>
      <c r="B3244" s="0" t="s">
        <v>10360</v>
      </c>
      <c r="C3244" s="0" t="s">
        <v>97</v>
      </c>
      <c r="D3244" s="0" t="s">
        <v>10361</v>
      </c>
      <c r="E3244" s="0" t="s">
        <v>10361</v>
      </c>
      <c r="M3244" s="0" t="s">
        <v>442</v>
      </c>
      <c r="N3244" s="0" t="s">
        <v>101</v>
      </c>
      <c r="P3244" s="0" t="s">
        <v>102</v>
      </c>
      <c r="Q3244" s="0" t="s">
        <v>102</v>
      </c>
      <c r="R3244" s="0" t="s">
        <v>131</v>
      </c>
      <c r="S3244" s="0" t="s">
        <v>21</v>
      </c>
      <c r="T3244" s="0" t="s">
        <v>104</v>
      </c>
      <c r="W3244" s="0" t="s">
        <v>105</v>
      </c>
    </row>
    <row r="3245" customFormat="false" ht="15" hidden="false" customHeight="false" outlineLevel="0" collapsed="false">
      <c r="A3245" s="0" t="s">
        <v>21</v>
      </c>
      <c r="B3245" s="0" t="s">
        <v>10362</v>
      </c>
      <c r="C3245" s="0" t="s">
        <v>97</v>
      </c>
      <c r="D3245" s="0" t="s">
        <v>10363</v>
      </c>
      <c r="E3245" s="0" t="s">
        <v>10364</v>
      </c>
      <c r="M3245" s="0" t="s">
        <v>136</v>
      </c>
      <c r="N3245" s="0" t="s">
        <v>124</v>
      </c>
      <c r="P3245" s="0" t="s">
        <v>102</v>
      </c>
      <c r="Q3245" s="0" t="s">
        <v>102</v>
      </c>
      <c r="R3245" s="0" t="s">
        <v>113</v>
      </c>
      <c r="S3245" s="0" t="s">
        <v>21</v>
      </c>
      <c r="T3245" s="0" t="s">
        <v>104</v>
      </c>
      <c r="W3245" s="0" t="s">
        <v>105</v>
      </c>
    </row>
    <row r="3246" customFormat="false" ht="15" hidden="false" customHeight="false" outlineLevel="0" collapsed="false">
      <c r="A3246" s="0" t="s">
        <v>21</v>
      </c>
      <c r="B3246" s="0" t="s">
        <v>10365</v>
      </c>
      <c r="C3246" s="0" t="s">
        <v>97</v>
      </c>
      <c r="D3246" s="0" t="s">
        <v>10366</v>
      </c>
      <c r="E3246" s="0" t="s">
        <v>10367</v>
      </c>
      <c r="M3246" s="0" t="s">
        <v>136</v>
      </c>
      <c r="N3246" s="0" t="s">
        <v>124</v>
      </c>
      <c r="P3246" s="0" t="s">
        <v>102</v>
      </c>
      <c r="Q3246" s="0" t="s">
        <v>102</v>
      </c>
      <c r="R3246" s="0" t="s">
        <v>113</v>
      </c>
      <c r="S3246" s="0" t="s">
        <v>21</v>
      </c>
      <c r="T3246" s="0" t="s">
        <v>104</v>
      </c>
      <c r="W3246" s="0" t="s">
        <v>105</v>
      </c>
    </row>
    <row r="3247" customFormat="false" ht="15" hidden="false" customHeight="false" outlineLevel="0" collapsed="false">
      <c r="A3247" s="0" t="s">
        <v>21</v>
      </c>
      <c r="B3247" s="0" t="s">
        <v>10368</v>
      </c>
      <c r="C3247" s="0" t="s">
        <v>97</v>
      </c>
      <c r="D3247" s="0" t="s">
        <v>10369</v>
      </c>
      <c r="E3247" s="0" t="s">
        <v>10370</v>
      </c>
      <c r="M3247" s="0" t="s">
        <v>136</v>
      </c>
      <c r="N3247" s="0" t="s">
        <v>124</v>
      </c>
      <c r="P3247" s="0" t="s">
        <v>102</v>
      </c>
      <c r="Q3247" s="0" t="s">
        <v>102</v>
      </c>
      <c r="R3247" s="0" t="s">
        <v>131</v>
      </c>
      <c r="S3247" s="0" t="s">
        <v>21</v>
      </c>
      <c r="T3247" s="0" t="s">
        <v>104</v>
      </c>
      <c r="W3247" s="0" t="s">
        <v>105</v>
      </c>
    </row>
    <row r="3248" customFormat="false" ht="15" hidden="false" customHeight="false" outlineLevel="0" collapsed="false">
      <c r="A3248" s="0" t="s">
        <v>21</v>
      </c>
      <c r="B3248" s="0" t="s">
        <v>10371</v>
      </c>
      <c r="C3248" s="0" t="s">
        <v>97</v>
      </c>
      <c r="D3248" s="0" t="s">
        <v>10372</v>
      </c>
      <c r="E3248" s="0" t="s">
        <v>10373</v>
      </c>
      <c r="M3248" s="0" t="s">
        <v>100</v>
      </c>
      <c r="N3248" s="0" t="s">
        <v>101</v>
      </c>
      <c r="P3248" s="0" t="s">
        <v>102</v>
      </c>
      <c r="Q3248" s="0" t="s">
        <v>102</v>
      </c>
      <c r="R3248" s="0" t="s">
        <v>131</v>
      </c>
      <c r="S3248" s="0" t="s">
        <v>21</v>
      </c>
      <c r="T3248" s="0" t="s">
        <v>104</v>
      </c>
      <c r="W3248" s="0" t="s">
        <v>105</v>
      </c>
    </row>
    <row r="3249" customFormat="false" ht="15" hidden="false" customHeight="false" outlineLevel="0" collapsed="false">
      <c r="A3249" s="0" t="s">
        <v>21</v>
      </c>
      <c r="B3249" s="0" t="s">
        <v>10374</v>
      </c>
      <c r="C3249" s="0" t="s">
        <v>97</v>
      </c>
      <c r="D3249" s="0" t="s">
        <v>10375</v>
      </c>
      <c r="E3249" s="0" t="s">
        <v>10376</v>
      </c>
      <c r="M3249" s="0" t="s">
        <v>656</v>
      </c>
      <c r="N3249" s="0" t="s">
        <v>101</v>
      </c>
      <c r="P3249" s="0" t="s">
        <v>102</v>
      </c>
      <c r="Q3249" s="0" t="s">
        <v>102</v>
      </c>
      <c r="R3249" s="0" t="s">
        <v>113</v>
      </c>
      <c r="S3249" s="0" t="s">
        <v>21</v>
      </c>
      <c r="T3249" s="0" t="s">
        <v>104</v>
      </c>
      <c r="W3249" s="0" t="s">
        <v>105</v>
      </c>
    </row>
    <row r="3250" customFormat="false" ht="15" hidden="false" customHeight="false" outlineLevel="0" collapsed="false">
      <c r="A3250" s="0" t="s">
        <v>21</v>
      </c>
      <c r="B3250" s="0" t="s">
        <v>10377</v>
      </c>
      <c r="C3250" s="0" t="s">
        <v>97</v>
      </c>
      <c r="D3250" s="0" t="s">
        <v>4798</v>
      </c>
      <c r="E3250" s="0" t="s">
        <v>10378</v>
      </c>
      <c r="H3250" s="0" t="s">
        <v>654</v>
      </c>
      <c r="I3250" s="0" t="s">
        <v>655</v>
      </c>
      <c r="J3250" s="0" t="s">
        <v>100</v>
      </c>
      <c r="K3250" s="0" t="s">
        <v>168</v>
      </c>
      <c r="L3250" s="0" t="s">
        <v>101</v>
      </c>
      <c r="M3250" s="0" t="s">
        <v>656</v>
      </c>
      <c r="N3250" s="0" t="s">
        <v>101</v>
      </c>
      <c r="P3250" s="0" t="s">
        <v>102</v>
      </c>
      <c r="Q3250" s="0" t="s">
        <v>102</v>
      </c>
      <c r="R3250" s="0" t="s">
        <v>113</v>
      </c>
      <c r="S3250" s="0" t="s">
        <v>21</v>
      </c>
      <c r="T3250" s="0" t="s">
        <v>104</v>
      </c>
      <c r="W3250" s="0" t="s">
        <v>105</v>
      </c>
      <c r="X3250" s="0" t="s">
        <v>658</v>
      </c>
      <c r="Y3250" s="0" t="s">
        <v>659</v>
      </c>
    </row>
    <row r="3251" customFormat="false" ht="15" hidden="false" customHeight="false" outlineLevel="0" collapsed="false">
      <c r="A3251" s="0" t="s">
        <v>21</v>
      </c>
      <c r="B3251" s="0" t="s">
        <v>10379</v>
      </c>
      <c r="C3251" s="0" t="s">
        <v>97</v>
      </c>
      <c r="D3251" s="0" t="s">
        <v>10380</v>
      </c>
      <c r="E3251" s="0" t="s">
        <v>10381</v>
      </c>
      <c r="F3251" s="0" t="s">
        <v>10382</v>
      </c>
      <c r="M3251" s="0" t="s">
        <v>100</v>
      </c>
      <c r="N3251" s="0" t="s">
        <v>101</v>
      </c>
      <c r="P3251" s="0" t="s">
        <v>102</v>
      </c>
      <c r="Q3251" s="0" t="s">
        <v>102</v>
      </c>
      <c r="R3251" s="0" t="s">
        <v>113</v>
      </c>
      <c r="S3251" s="0" t="s">
        <v>21</v>
      </c>
      <c r="T3251" s="0" t="s">
        <v>104</v>
      </c>
      <c r="W3251" s="0" t="s">
        <v>105</v>
      </c>
    </row>
    <row r="3252" customFormat="false" ht="15" hidden="false" customHeight="false" outlineLevel="0" collapsed="false">
      <c r="A3252" s="0" t="s">
        <v>21</v>
      </c>
      <c r="B3252" s="0" t="s">
        <v>10383</v>
      </c>
      <c r="C3252" s="0" t="s">
        <v>97</v>
      </c>
      <c r="D3252" s="0" t="s">
        <v>10384</v>
      </c>
      <c r="E3252" s="0" t="s">
        <v>10385</v>
      </c>
      <c r="H3252" s="0" t="s">
        <v>654</v>
      </c>
      <c r="I3252" s="0" t="s">
        <v>655</v>
      </c>
      <c r="J3252" s="0" t="s">
        <v>100</v>
      </c>
      <c r="K3252" s="0" t="s">
        <v>168</v>
      </c>
      <c r="L3252" s="0" t="s">
        <v>101</v>
      </c>
      <c r="M3252" s="0" t="s">
        <v>656</v>
      </c>
      <c r="N3252" s="0" t="s">
        <v>101</v>
      </c>
      <c r="P3252" s="0" t="s">
        <v>102</v>
      </c>
      <c r="Q3252" s="0" t="s">
        <v>102</v>
      </c>
      <c r="R3252" s="0" t="s">
        <v>113</v>
      </c>
      <c r="S3252" s="0" t="s">
        <v>21</v>
      </c>
      <c r="T3252" s="0" t="s">
        <v>104</v>
      </c>
      <c r="W3252" s="0" t="s">
        <v>105</v>
      </c>
      <c r="X3252" s="0" t="s">
        <v>658</v>
      </c>
      <c r="Y3252" s="0" t="s">
        <v>659</v>
      </c>
    </row>
    <row r="3253" customFormat="false" ht="15" hidden="false" customHeight="false" outlineLevel="0" collapsed="false">
      <c r="A3253" s="0" t="s">
        <v>21</v>
      </c>
      <c r="B3253" s="0" t="s">
        <v>10386</v>
      </c>
      <c r="C3253" s="0" t="s">
        <v>97</v>
      </c>
      <c r="D3253" s="0" t="s">
        <v>10387</v>
      </c>
      <c r="E3253" s="0" t="s">
        <v>10387</v>
      </c>
      <c r="M3253" s="0" t="s">
        <v>136</v>
      </c>
      <c r="N3253" s="0" t="s">
        <v>124</v>
      </c>
      <c r="P3253" s="0" t="s">
        <v>102</v>
      </c>
      <c r="Q3253" s="0" t="s">
        <v>102</v>
      </c>
      <c r="R3253" s="0" t="s">
        <v>131</v>
      </c>
      <c r="S3253" s="0" t="s">
        <v>21</v>
      </c>
      <c r="T3253" s="0" t="s">
        <v>104</v>
      </c>
      <c r="W3253" s="0" t="s">
        <v>105</v>
      </c>
    </row>
    <row r="3254" customFormat="false" ht="15" hidden="false" customHeight="false" outlineLevel="0" collapsed="false">
      <c r="A3254" s="0" t="s">
        <v>21</v>
      </c>
      <c r="B3254" s="0" t="s">
        <v>10388</v>
      </c>
      <c r="C3254" s="0" t="s">
        <v>97</v>
      </c>
      <c r="D3254" s="0" t="s">
        <v>10389</v>
      </c>
      <c r="E3254" s="0" t="s">
        <v>10390</v>
      </c>
      <c r="H3254" s="0" t="s">
        <v>654</v>
      </c>
      <c r="I3254" s="0" t="s">
        <v>655</v>
      </c>
      <c r="J3254" s="0" t="s">
        <v>100</v>
      </c>
      <c r="K3254" s="0" t="s">
        <v>168</v>
      </c>
      <c r="L3254" s="0" t="s">
        <v>101</v>
      </c>
      <c r="M3254" s="0" t="s">
        <v>656</v>
      </c>
      <c r="N3254" s="0" t="s">
        <v>101</v>
      </c>
      <c r="P3254" s="0" t="s">
        <v>102</v>
      </c>
      <c r="Q3254" s="0" t="s">
        <v>102</v>
      </c>
      <c r="R3254" s="0" t="s">
        <v>113</v>
      </c>
      <c r="S3254" s="0" t="s">
        <v>21</v>
      </c>
      <c r="T3254" s="0" t="s">
        <v>104</v>
      </c>
      <c r="W3254" s="0" t="s">
        <v>105</v>
      </c>
      <c r="X3254" s="0" t="s">
        <v>658</v>
      </c>
      <c r="Y3254" s="0" t="s">
        <v>659</v>
      </c>
    </row>
    <row r="3255" customFormat="false" ht="15" hidden="false" customHeight="false" outlineLevel="0" collapsed="false">
      <c r="A3255" s="0" t="s">
        <v>21</v>
      </c>
      <c r="B3255" s="0" t="s">
        <v>10391</v>
      </c>
      <c r="C3255" s="0" t="s">
        <v>97</v>
      </c>
      <c r="D3255" s="0" t="s">
        <v>10392</v>
      </c>
      <c r="E3255" s="0" t="s">
        <v>10393</v>
      </c>
      <c r="M3255" s="0" t="s">
        <v>136</v>
      </c>
      <c r="N3255" s="0" t="s">
        <v>124</v>
      </c>
      <c r="P3255" s="0" t="s">
        <v>102</v>
      </c>
      <c r="Q3255" s="0" t="s">
        <v>102</v>
      </c>
      <c r="R3255" s="0" t="s">
        <v>113</v>
      </c>
      <c r="S3255" s="0" t="s">
        <v>21</v>
      </c>
      <c r="T3255" s="0" t="s">
        <v>104</v>
      </c>
      <c r="W3255" s="0" t="s">
        <v>105</v>
      </c>
    </row>
    <row r="3256" customFormat="false" ht="15" hidden="false" customHeight="false" outlineLevel="0" collapsed="false">
      <c r="A3256" s="0" t="s">
        <v>21</v>
      </c>
      <c r="B3256" s="0" t="s">
        <v>10394</v>
      </c>
      <c r="C3256" s="0" t="s">
        <v>97</v>
      </c>
      <c r="D3256" s="0" t="s">
        <v>10395</v>
      </c>
      <c r="E3256" s="0" t="s">
        <v>10396</v>
      </c>
      <c r="M3256" s="0" t="s">
        <v>100</v>
      </c>
      <c r="N3256" s="0" t="s">
        <v>101</v>
      </c>
      <c r="P3256" s="0" t="s">
        <v>102</v>
      </c>
      <c r="Q3256" s="0" t="s">
        <v>102</v>
      </c>
      <c r="R3256" s="0" t="s">
        <v>113</v>
      </c>
      <c r="S3256" s="0" t="s">
        <v>21</v>
      </c>
      <c r="T3256" s="0" t="s">
        <v>104</v>
      </c>
      <c r="W3256" s="0" t="s">
        <v>105</v>
      </c>
    </row>
    <row r="3257" customFormat="false" ht="15" hidden="false" customHeight="false" outlineLevel="0" collapsed="false">
      <c r="A3257" s="0" t="s">
        <v>21</v>
      </c>
      <c r="B3257" s="0" t="s">
        <v>10397</v>
      </c>
      <c r="C3257" s="0" t="s">
        <v>97</v>
      </c>
      <c r="D3257" s="0" t="s">
        <v>10398</v>
      </c>
      <c r="E3257" s="0" t="s">
        <v>10399</v>
      </c>
      <c r="M3257" s="0" t="s">
        <v>656</v>
      </c>
      <c r="N3257" s="0" t="s">
        <v>101</v>
      </c>
      <c r="P3257" s="0" t="s">
        <v>102</v>
      </c>
      <c r="Q3257" s="0" t="s">
        <v>102</v>
      </c>
      <c r="R3257" s="0" t="s">
        <v>113</v>
      </c>
      <c r="S3257" s="0" t="s">
        <v>21</v>
      </c>
      <c r="T3257" s="0" t="s">
        <v>104</v>
      </c>
      <c r="W3257" s="0" t="s">
        <v>105</v>
      </c>
    </row>
    <row r="3258" customFormat="false" ht="15" hidden="false" customHeight="false" outlineLevel="0" collapsed="false">
      <c r="A3258" s="0" t="s">
        <v>21</v>
      </c>
      <c r="B3258" s="0" t="s">
        <v>10400</v>
      </c>
      <c r="C3258" s="0" t="s">
        <v>97</v>
      </c>
      <c r="D3258" s="0" t="s">
        <v>10401</v>
      </c>
      <c r="E3258" s="0" t="s">
        <v>10402</v>
      </c>
      <c r="M3258" s="0" t="s">
        <v>656</v>
      </c>
      <c r="N3258" s="0" t="s">
        <v>101</v>
      </c>
      <c r="P3258" s="0" t="s">
        <v>102</v>
      </c>
      <c r="Q3258" s="0" t="s">
        <v>102</v>
      </c>
      <c r="R3258" s="0" t="s">
        <v>131</v>
      </c>
      <c r="S3258" s="0" t="s">
        <v>21</v>
      </c>
      <c r="T3258" s="0" t="s">
        <v>104</v>
      </c>
      <c r="W3258" s="0" t="s">
        <v>105</v>
      </c>
    </row>
    <row r="3259" customFormat="false" ht="15" hidden="false" customHeight="false" outlineLevel="0" collapsed="false">
      <c r="A3259" s="0" t="s">
        <v>21</v>
      </c>
      <c r="B3259" s="0" t="s">
        <v>10403</v>
      </c>
      <c r="C3259" s="0" t="s">
        <v>97</v>
      </c>
      <c r="D3259" s="0" t="s">
        <v>10404</v>
      </c>
      <c r="E3259" s="0" t="s">
        <v>10405</v>
      </c>
      <c r="M3259" s="0" t="s">
        <v>656</v>
      </c>
      <c r="N3259" s="0" t="s">
        <v>101</v>
      </c>
      <c r="P3259" s="0" t="s">
        <v>102</v>
      </c>
      <c r="Q3259" s="0" t="s">
        <v>102</v>
      </c>
      <c r="R3259" s="0" t="s">
        <v>131</v>
      </c>
      <c r="S3259" s="0" t="s">
        <v>21</v>
      </c>
      <c r="T3259" s="0" t="s">
        <v>104</v>
      </c>
      <c r="W3259" s="0" t="s">
        <v>105</v>
      </c>
    </row>
    <row r="3260" customFormat="false" ht="15" hidden="false" customHeight="false" outlineLevel="0" collapsed="false">
      <c r="A3260" s="0" t="s">
        <v>21</v>
      </c>
      <c r="B3260" s="0" t="s">
        <v>10406</v>
      </c>
      <c r="C3260" s="0" t="s">
        <v>97</v>
      </c>
      <c r="D3260" s="0" t="s">
        <v>10407</v>
      </c>
      <c r="E3260" s="0" t="s">
        <v>10407</v>
      </c>
      <c r="F3260" s="0" t="s">
        <v>10407</v>
      </c>
      <c r="M3260" s="0" t="s">
        <v>136</v>
      </c>
      <c r="N3260" s="0" t="s">
        <v>124</v>
      </c>
      <c r="P3260" s="0" t="s">
        <v>102</v>
      </c>
      <c r="Q3260" s="0" t="s">
        <v>102</v>
      </c>
      <c r="R3260" s="0" t="s">
        <v>131</v>
      </c>
      <c r="S3260" s="0" t="s">
        <v>21</v>
      </c>
      <c r="T3260" s="0" t="s">
        <v>104</v>
      </c>
      <c r="W3260" s="0" t="s">
        <v>105</v>
      </c>
    </row>
    <row r="3261" customFormat="false" ht="15" hidden="false" customHeight="false" outlineLevel="0" collapsed="false">
      <c r="A3261" s="0" t="s">
        <v>21</v>
      </c>
      <c r="B3261" s="0" t="s">
        <v>10408</v>
      </c>
      <c r="C3261" s="0" t="s">
        <v>97</v>
      </c>
      <c r="D3261" s="0" t="s">
        <v>10409</v>
      </c>
      <c r="E3261" s="0" t="s">
        <v>10410</v>
      </c>
      <c r="M3261" s="0" t="s">
        <v>136</v>
      </c>
      <c r="N3261" s="0" t="s">
        <v>124</v>
      </c>
      <c r="P3261" s="0" t="s">
        <v>102</v>
      </c>
      <c r="Q3261" s="0" t="s">
        <v>102</v>
      </c>
      <c r="R3261" s="0" t="s">
        <v>131</v>
      </c>
      <c r="S3261" s="0" t="s">
        <v>21</v>
      </c>
      <c r="T3261" s="0" t="s">
        <v>104</v>
      </c>
      <c r="W3261" s="0" t="s">
        <v>105</v>
      </c>
    </row>
    <row r="3262" customFormat="false" ht="15" hidden="false" customHeight="false" outlineLevel="0" collapsed="false">
      <c r="A3262" s="0" t="s">
        <v>21</v>
      </c>
      <c r="B3262" s="0" t="s">
        <v>10411</v>
      </c>
      <c r="C3262" s="0" t="s">
        <v>97</v>
      </c>
      <c r="D3262" s="0" t="s">
        <v>10412</v>
      </c>
      <c r="E3262" s="0" t="s">
        <v>10412</v>
      </c>
      <c r="M3262" s="0" t="s">
        <v>136</v>
      </c>
      <c r="N3262" s="0" t="s">
        <v>124</v>
      </c>
      <c r="P3262" s="0" t="s">
        <v>102</v>
      </c>
      <c r="Q3262" s="0" t="s">
        <v>102</v>
      </c>
      <c r="R3262" s="0" t="s">
        <v>131</v>
      </c>
      <c r="S3262" s="0" t="s">
        <v>21</v>
      </c>
      <c r="T3262" s="0" t="s">
        <v>104</v>
      </c>
      <c r="W3262" s="0" t="s">
        <v>105</v>
      </c>
    </row>
    <row r="3263" customFormat="false" ht="15" hidden="false" customHeight="false" outlineLevel="0" collapsed="false">
      <c r="A3263" s="0" t="s">
        <v>21</v>
      </c>
      <c r="B3263" s="0" t="s">
        <v>10413</v>
      </c>
      <c r="C3263" s="0" t="s">
        <v>97</v>
      </c>
      <c r="D3263" s="0" t="s">
        <v>10414</v>
      </c>
      <c r="E3263" s="0" t="s">
        <v>10415</v>
      </c>
      <c r="H3263" s="0" t="s">
        <v>654</v>
      </c>
      <c r="I3263" s="0" t="s">
        <v>655</v>
      </c>
      <c r="J3263" s="0" t="s">
        <v>100</v>
      </c>
      <c r="K3263" s="0" t="s">
        <v>168</v>
      </c>
      <c r="L3263" s="0" t="s">
        <v>101</v>
      </c>
      <c r="M3263" s="0" t="s">
        <v>656</v>
      </c>
      <c r="N3263" s="0" t="s">
        <v>101</v>
      </c>
      <c r="P3263" s="0" t="s">
        <v>102</v>
      </c>
      <c r="Q3263" s="0" t="s">
        <v>102</v>
      </c>
      <c r="R3263" s="0" t="s">
        <v>113</v>
      </c>
      <c r="S3263" s="0" t="s">
        <v>21</v>
      </c>
      <c r="T3263" s="0" t="s">
        <v>104</v>
      </c>
      <c r="W3263" s="0" t="s">
        <v>105</v>
      </c>
      <c r="X3263" s="0" t="s">
        <v>658</v>
      </c>
      <c r="Y3263" s="0" t="s">
        <v>659</v>
      </c>
    </row>
    <row r="3264" customFormat="false" ht="15" hidden="false" customHeight="false" outlineLevel="0" collapsed="false">
      <c r="A3264" s="0" t="s">
        <v>21</v>
      </c>
      <c r="B3264" s="0" t="s">
        <v>10416</v>
      </c>
      <c r="C3264" s="0" t="s">
        <v>97</v>
      </c>
      <c r="D3264" s="0" t="s">
        <v>9248</v>
      </c>
      <c r="E3264" s="0" t="s">
        <v>10417</v>
      </c>
      <c r="M3264" s="0" t="s">
        <v>136</v>
      </c>
      <c r="N3264" s="0" t="s">
        <v>124</v>
      </c>
      <c r="P3264" s="0" t="s">
        <v>102</v>
      </c>
      <c r="Q3264" s="0" t="s">
        <v>102</v>
      </c>
      <c r="R3264" s="0" t="s">
        <v>131</v>
      </c>
      <c r="S3264" s="0" t="s">
        <v>21</v>
      </c>
      <c r="T3264" s="0" t="s">
        <v>104</v>
      </c>
      <c r="W3264" s="0" t="s">
        <v>105</v>
      </c>
    </row>
    <row r="3265" customFormat="false" ht="15" hidden="false" customHeight="false" outlineLevel="0" collapsed="false">
      <c r="A3265" s="0" t="s">
        <v>21</v>
      </c>
      <c r="B3265" s="0" t="s">
        <v>10418</v>
      </c>
      <c r="C3265" s="0" t="s">
        <v>97</v>
      </c>
      <c r="D3265" s="0" t="s">
        <v>10419</v>
      </c>
      <c r="E3265" s="0" t="s">
        <v>10420</v>
      </c>
      <c r="M3265" s="0" t="s">
        <v>136</v>
      </c>
      <c r="N3265" s="0" t="s">
        <v>124</v>
      </c>
      <c r="P3265" s="0" t="s">
        <v>102</v>
      </c>
      <c r="Q3265" s="0" t="s">
        <v>102</v>
      </c>
      <c r="R3265" s="0" t="s">
        <v>131</v>
      </c>
      <c r="S3265" s="0" t="s">
        <v>21</v>
      </c>
      <c r="T3265" s="0" t="s">
        <v>104</v>
      </c>
      <c r="W3265" s="0" t="s">
        <v>105</v>
      </c>
    </row>
    <row r="3266" customFormat="false" ht="15" hidden="false" customHeight="false" outlineLevel="0" collapsed="false">
      <c r="A3266" s="0" t="s">
        <v>21</v>
      </c>
      <c r="B3266" s="0" t="s">
        <v>10421</v>
      </c>
      <c r="C3266" s="0" t="s">
        <v>97</v>
      </c>
      <c r="D3266" s="0" t="s">
        <v>10422</v>
      </c>
      <c r="E3266" s="0" t="s">
        <v>10423</v>
      </c>
      <c r="M3266" s="0" t="s">
        <v>136</v>
      </c>
      <c r="N3266" s="0" t="s">
        <v>124</v>
      </c>
      <c r="P3266" s="0" t="s">
        <v>102</v>
      </c>
      <c r="Q3266" s="0" t="s">
        <v>102</v>
      </c>
      <c r="R3266" s="0" t="s">
        <v>131</v>
      </c>
      <c r="S3266" s="0" t="s">
        <v>21</v>
      </c>
      <c r="T3266" s="0" t="s">
        <v>104</v>
      </c>
      <c r="W3266" s="0" t="s">
        <v>105</v>
      </c>
    </row>
    <row r="3267" customFormat="false" ht="15" hidden="false" customHeight="false" outlineLevel="0" collapsed="false">
      <c r="A3267" s="0" t="s">
        <v>21</v>
      </c>
      <c r="B3267" s="0" t="s">
        <v>10424</v>
      </c>
      <c r="C3267" s="0" t="s">
        <v>4845</v>
      </c>
      <c r="D3267" s="0" t="s">
        <v>10425</v>
      </c>
      <c r="E3267" s="0" t="s">
        <v>10426</v>
      </c>
      <c r="G3267" s="0" t="s">
        <v>10427</v>
      </c>
      <c r="M3267" s="0" t="s">
        <v>511</v>
      </c>
      <c r="N3267" s="0" t="s">
        <v>101</v>
      </c>
      <c r="P3267" s="0" t="s">
        <v>102</v>
      </c>
      <c r="Q3267" s="0" t="s">
        <v>102</v>
      </c>
      <c r="R3267" s="0" t="s">
        <v>113</v>
      </c>
      <c r="S3267" s="0" t="s">
        <v>21</v>
      </c>
      <c r="T3267" s="0" t="s">
        <v>104</v>
      </c>
      <c r="W3267" s="0" t="s">
        <v>105</v>
      </c>
    </row>
    <row r="3268" customFormat="false" ht="15" hidden="false" customHeight="false" outlineLevel="0" collapsed="false">
      <c r="A3268" s="0" t="s">
        <v>21</v>
      </c>
      <c r="B3268" s="0" t="s">
        <v>10428</v>
      </c>
      <c r="C3268" s="0" t="s">
        <v>4845</v>
      </c>
      <c r="D3268" s="0" t="s">
        <v>10429</v>
      </c>
      <c r="E3268" s="0" t="s">
        <v>10430</v>
      </c>
      <c r="G3268" s="0" t="s">
        <v>10431</v>
      </c>
      <c r="M3268" s="0" t="s">
        <v>511</v>
      </c>
      <c r="N3268" s="0" t="s">
        <v>101</v>
      </c>
      <c r="P3268" s="0" t="s">
        <v>102</v>
      </c>
      <c r="Q3268" s="0" t="s">
        <v>102</v>
      </c>
      <c r="R3268" s="0" t="s">
        <v>113</v>
      </c>
      <c r="S3268" s="0" t="s">
        <v>21</v>
      </c>
      <c r="T3268" s="0" t="s">
        <v>104</v>
      </c>
      <c r="W3268" s="0" t="s">
        <v>105</v>
      </c>
    </row>
    <row r="3269" customFormat="false" ht="15" hidden="false" customHeight="false" outlineLevel="0" collapsed="false">
      <c r="A3269" s="0" t="s">
        <v>21</v>
      </c>
      <c r="B3269" s="0" t="s">
        <v>10432</v>
      </c>
      <c r="C3269" s="0" t="s">
        <v>4845</v>
      </c>
      <c r="D3269" s="0" t="s">
        <v>10433</v>
      </c>
      <c r="E3269" s="0" t="s">
        <v>10434</v>
      </c>
      <c r="G3269" s="0" t="s">
        <v>10435</v>
      </c>
      <c r="M3269" s="0" t="s">
        <v>511</v>
      </c>
      <c r="N3269" s="0" t="s">
        <v>101</v>
      </c>
      <c r="P3269" s="0" t="s">
        <v>102</v>
      </c>
      <c r="Q3269" s="0" t="s">
        <v>102</v>
      </c>
      <c r="R3269" s="0" t="s">
        <v>113</v>
      </c>
      <c r="S3269" s="0" t="s">
        <v>21</v>
      </c>
      <c r="T3269" s="0" t="s">
        <v>104</v>
      </c>
      <c r="W3269" s="0" t="s">
        <v>105</v>
      </c>
    </row>
    <row r="3270" customFormat="false" ht="15" hidden="false" customHeight="false" outlineLevel="0" collapsed="false">
      <c r="A3270" s="0" t="s">
        <v>21</v>
      </c>
      <c r="B3270" s="0" t="s">
        <v>10436</v>
      </c>
      <c r="C3270" s="0" t="s">
        <v>4845</v>
      </c>
      <c r="D3270" s="0" t="s">
        <v>10437</v>
      </c>
      <c r="E3270" s="0" t="s">
        <v>10438</v>
      </c>
      <c r="G3270" s="0" t="s">
        <v>10439</v>
      </c>
      <c r="M3270" s="0" t="s">
        <v>511</v>
      </c>
      <c r="N3270" s="0" t="s">
        <v>101</v>
      </c>
      <c r="P3270" s="0" t="s">
        <v>102</v>
      </c>
      <c r="Q3270" s="0" t="s">
        <v>102</v>
      </c>
      <c r="R3270" s="0" t="s">
        <v>113</v>
      </c>
      <c r="S3270" s="0" t="s">
        <v>21</v>
      </c>
      <c r="T3270" s="0" t="s">
        <v>104</v>
      </c>
      <c r="W3270" s="0" t="s">
        <v>105</v>
      </c>
    </row>
    <row r="3271" customFormat="false" ht="15" hidden="false" customHeight="false" outlineLevel="0" collapsed="false">
      <c r="A3271" s="0" t="s">
        <v>21</v>
      </c>
      <c r="B3271" s="0" t="s">
        <v>10440</v>
      </c>
      <c r="C3271" s="0" t="s">
        <v>4845</v>
      </c>
      <c r="D3271" s="0" t="s">
        <v>10441</v>
      </c>
      <c r="E3271" s="0" t="s">
        <v>10442</v>
      </c>
      <c r="G3271" s="0" t="s">
        <v>10443</v>
      </c>
      <c r="M3271" s="0" t="s">
        <v>511</v>
      </c>
      <c r="N3271" s="0" t="s">
        <v>101</v>
      </c>
      <c r="P3271" s="0" t="s">
        <v>102</v>
      </c>
      <c r="Q3271" s="0" t="s">
        <v>102</v>
      </c>
      <c r="R3271" s="0" t="s">
        <v>113</v>
      </c>
      <c r="S3271" s="0" t="s">
        <v>21</v>
      </c>
      <c r="T3271" s="0" t="s">
        <v>104</v>
      </c>
      <c r="W3271" s="0" t="s">
        <v>105</v>
      </c>
    </row>
    <row r="3272" customFormat="false" ht="15" hidden="false" customHeight="false" outlineLevel="0" collapsed="false">
      <c r="A3272" s="0" t="s">
        <v>21</v>
      </c>
      <c r="B3272" s="0" t="s">
        <v>10444</v>
      </c>
      <c r="C3272" s="0" t="s">
        <v>4845</v>
      </c>
      <c r="D3272" s="0" t="s">
        <v>10445</v>
      </c>
      <c r="E3272" s="0" t="s">
        <v>10446</v>
      </c>
      <c r="G3272" s="0" t="s">
        <v>10447</v>
      </c>
      <c r="M3272" s="0" t="s">
        <v>511</v>
      </c>
      <c r="N3272" s="0" t="s">
        <v>101</v>
      </c>
      <c r="P3272" s="0" t="s">
        <v>102</v>
      </c>
      <c r="Q3272" s="0" t="s">
        <v>102</v>
      </c>
      <c r="R3272" s="0" t="s">
        <v>113</v>
      </c>
      <c r="S3272" s="0" t="s">
        <v>21</v>
      </c>
      <c r="T3272" s="0" t="s">
        <v>104</v>
      </c>
      <c r="W3272" s="0" t="s">
        <v>105</v>
      </c>
    </row>
    <row r="3273" customFormat="false" ht="15" hidden="false" customHeight="false" outlineLevel="0" collapsed="false">
      <c r="A3273" s="0" t="s">
        <v>21</v>
      </c>
      <c r="B3273" s="0" t="s">
        <v>10448</v>
      </c>
      <c r="C3273" s="0" t="s">
        <v>2145</v>
      </c>
      <c r="D3273" s="0" t="s">
        <v>10449</v>
      </c>
      <c r="E3273" s="0" t="s">
        <v>10450</v>
      </c>
      <c r="G3273" s="0" t="s">
        <v>10451</v>
      </c>
      <c r="M3273" s="0" t="s">
        <v>511</v>
      </c>
      <c r="N3273" s="0" t="s">
        <v>101</v>
      </c>
      <c r="P3273" s="0" t="s">
        <v>102</v>
      </c>
      <c r="Q3273" s="0" t="s">
        <v>102</v>
      </c>
      <c r="R3273" s="0" t="s">
        <v>113</v>
      </c>
      <c r="S3273" s="0" t="s">
        <v>21</v>
      </c>
      <c r="T3273" s="0" t="s">
        <v>104</v>
      </c>
      <c r="W3273" s="0" t="s">
        <v>105</v>
      </c>
    </row>
    <row r="3274" customFormat="false" ht="15" hidden="false" customHeight="false" outlineLevel="0" collapsed="false">
      <c r="A3274" s="0" t="s">
        <v>21</v>
      </c>
      <c r="B3274" s="0" t="s">
        <v>10452</v>
      </c>
      <c r="C3274" s="0" t="s">
        <v>97</v>
      </c>
      <c r="D3274" s="0" t="s">
        <v>10453</v>
      </c>
      <c r="E3274" s="0" t="s">
        <v>10454</v>
      </c>
      <c r="H3274" s="0" t="s">
        <v>654</v>
      </c>
      <c r="I3274" s="0" t="s">
        <v>655</v>
      </c>
      <c r="J3274" s="0" t="s">
        <v>100</v>
      </c>
      <c r="K3274" s="0" t="s">
        <v>168</v>
      </c>
      <c r="L3274" s="0" t="s">
        <v>101</v>
      </c>
      <c r="M3274" s="0" t="s">
        <v>656</v>
      </c>
      <c r="N3274" s="0" t="s">
        <v>101</v>
      </c>
      <c r="P3274" s="0" t="s">
        <v>102</v>
      </c>
      <c r="Q3274" s="0" t="s">
        <v>102</v>
      </c>
      <c r="R3274" s="0" t="s">
        <v>113</v>
      </c>
      <c r="S3274" s="0" t="s">
        <v>21</v>
      </c>
      <c r="T3274" s="0" t="s">
        <v>104</v>
      </c>
      <c r="W3274" s="0" t="s">
        <v>105</v>
      </c>
      <c r="X3274" s="0" t="s">
        <v>658</v>
      </c>
      <c r="Y3274" s="0" t="s">
        <v>659</v>
      </c>
    </row>
    <row r="3275" customFormat="false" ht="15" hidden="false" customHeight="false" outlineLevel="0" collapsed="false">
      <c r="A3275" s="0" t="s">
        <v>21</v>
      </c>
      <c r="B3275" s="0" t="s">
        <v>10455</v>
      </c>
      <c r="C3275" s="0" t="s">
        <v>97</v>
      </c>
      <c r="D3275" s="0" t="s">
        <v>5116</v>
      </c>
      <c r="E3275" s="0" t="s">
        <v>10456</v>
      </c>
      <c r="M3275" s="0" t="s">
        <v>136</v>
      </c>
      <c r="N3275" s="0" t="s">
        <v>124</v>
      </c>
      <c r="P3275" s="0" t="s">
        <v>102</v>
      </c>
      <c r="Q3275" s="0" t="s">
        <v>102</v>
      </c>
      <c r="R3275" s="0" t="s">
        <v>131</v>
      </c>
      <c r="S3275" s="0" t="s">
        <v>21</v>
      </c>
      <c r="T3275" s="0" t="s">
        <v>104</v>
      </c>
      <c r="W3275" s="0" t="s">
        <v>105</v>
      </c>
    </row>
    <row r="3276" customFormat="false" ht="15" hidden="false" customHeight="false" outlineLevel="0" collapsed="false">
      <c r="A3276" s="0" t="s">
        <v>21</v>
      </c>
      <c r="B3276" s="0" t="s">
        <v>10457</v>
      </c>
      <c r="C3276" s="0" t="s">
        <v>97</v>
      </c>
      <c r="D3276" s="0" t="s">
        <v>10458</v>
      </c>
      <c r="E3276" s="0" t="s">
        <v>10459</v>
      </c>
      <c r="M3276" s="0" t="s">
        <v>656</v>
      </c>
      <c r="N3276" s="0" t="s">
        <v>101</v>
      </c>
      <c r="P3276" s="0" t="s">
        <v>102</v>
      </c>
      <c r="Q3276" s="0" t="s">
        <v>102</v>
      </c>
      <c r="R3276" s="0" t="s">
        <v>137</v>
      </c>
      <c r="S3276" s="0" t="s">
        <v>21</v>
      </c>
      <c r="T3276" s="0" t="s">
        <v>104</v>
      </c>
      <c r="W3276" s="0" t="s">
        <v>105</v>
      </c>
      <c r="AB3276" s="0" t="s">
        <v>832</v>
      </c>
    </row>
    <row r="3277" customFormat="false" ht="15" hidden="false" customHeight="false" outlineLevel="0" collapsed="false">
      <c r="A3277" s="0" t="s">
        <v>21</v>
      </c>
      <c r="B3277" s="0" t="s">
        <v>10460</v>
      </c>
      <c r="C3277" s="0" t="s">
        <v>97</v>
      </c>
      <c r="D3277" s="0" t="s">
        <v>10461</v>
      </c>
      <c r="E3277" s="0" t="s">
        <v>10462</v>
      </c>
      <c r="H3277" s="0" t="s">
        <v>10463</v>
      </c>
      <c r="I3277" s="0" t="s">
        <v>10464</v>
      </c>
      <c r="J3277" s="0" t="s">
        <v>1332</v>
      </c>
      <c r="K3277" s="0" t="s">
        <v>3625</v>
      </c>
      <c r="L3277" s="0" t="s">
        <v>101</v>
      </c>
      <c r="M3277" s="0" t="s">
        <v>1332</v>
      </c>
      <c r="N3277" s="0" t="s">
        <v>101</v>
      </c>
      <c r="P3277" s="0" t="s">
        <v>102</v>
      </c>
      <c r="Q3277" s="0" t="s">
        <v>102</v>
      </c>
      <c r="R3277" s="0" t="s">
        <v>137</v>
      </c>
      <c r="S3277" s="0" t="s">
        <v>21</v>
      </c>
      <c r="T3277" s="0" t="s">
        <v>104</v>
      </c>
      <c r="W3277" s="0" t="s">
        <v>105</v>
      </c>
      <c r="X3277" s="0" t="s">
        <v>10465</v>
      </c>
      <c r="Y3277" s="0" t="s">
        <v>10466</v>
      </c>
      <c r="AB3277" s="0" t="s">
        <v>832</v>
      </c>
    </row>
    <row r="3278" customFormat="false" ht="15" hidden="false" customHeight="false" outlineLevel="0" collapsed="false">
      <c r="A3278" s="0" t="s">
        <v>21</v>
      </c>
      <c r="B3278" s="0" t="s">
        <v>10467</v>
      </c>
      <c r="C3278" s="0" t="s">
        <v>97</v>
      </c>
      <c r="D3278" s="0" t="s">
        <v>10468</v>
      </c>
      <c r="E3278" s="0" t="s">
        <v>10469</v>
      </c>
      <c r="H3278" s="0" t="s">
        <v>654</v>
      </c>
      <c r="I3278" s="0" t="s">
        <v>655</v>
      </c>
      <c r="J3278" s="0" t="s">
        <v>100</v>
      </c>
      <c r="K3278" s="0" t="s">
        <v>168</v>
      </c>
      <c r="L3278" s="0" t="s">
        <v>101</v>
      </c>
      <c r="M3278" s="0" t="s">
        <v>656</v>
      </c>
      <c r="N3278" s="0" t="s">
        <v>101</v>
      </c>
      <c r="P3278" s="0" t="s">
        <v>102</v>
      </c>
      <c r="Q3278" s="0" t="s">
        <v>102</v>
      </c>
      <c r="R3278" s="0" t="s">
        <v>113</v>
      </c>
      <c r="S3278" s="0" t="s">
        <v>21</v>
      </c>
      <c r="T3278" s="0" t="s">
        <v>104</v>
      </c>
      <c r="W3278" s="0" t="s">
        <v>105</v>
      </c>
      <c r="X3278" s="0" t="s">
        <v>658</v>
      </c>
      <c r="Y3278" s="0" t="s">
        <v>659</v>
      </c>
    </row>
    <row r="3279" customFormat="false" ht="15" hidden="false" customHeight="false" outlineLevel="0" collapsed="false">
      <c r="A3279" s="0" t="s">
        <v>21</v>
      </c>
      <c r="B3279" s="0" t="s">
        <v>10470</v>
      </c>
      <c r="C3279" s="0" t="s">
        <v>97</v>
      </c>
      <c r="D3279" s="0" t="s">
        <v>1328</v>
      </c>
      <c r="E3279" s="0" t="s">
        <v>10471</v>
      </c>
      <c r="H3279" s="0" t="s">
        <v>10472</v>
      </c>
      <c r="I3279" s="0" t="s">
        <v>1331</v>
      </c>
      <c r="J3279" s="0" t="s">
        <v>1331</v>
      </c>
      <c r="K3279" s="0" t="s">
        <v>1316</v>
      </c>
      <c r="L3279" s="0" t="s">
        <v>101</v>
      </c>
      <c r="M3279" s="0" t="s">
        <v>1334</v>
      </c>
      <c r="N3279" s="0" t="s">
        <v>101</v>
      </c>
      <c r="P3279" s="0" t="s">
        <v>102</v>
      </c>
      <c r="Q3279" s="0" t="s">
        <v>102</v>
      </c>
      <c r="R3279" s="0" t="s">
        <v>113</v>
      </c>
      <c r="S3279" s="0" t="s">
        <v>21</v>
      </c>
      <c r="T3279" s="0" t="s">
        <v>104</v>
      </c>
      <c r="W3279" s="0" t="s">
        <v>105</v>
      </c>
      <c r="X3279" s="0" t="s">
        <v>10473</v>
      </c>
      <c r="Y3279" s="0" t="s">
        <v>10474</v>
      </c>
    </row>
    <row r="3280" customFormat="false" ht="15" hidden="false" customHeight="false" outlineLevel="0" collapsed="false">
      <c r="A3280" s="0" t="s">
        <v>21</v>
      </c>
      <c r="B3280" s="0" t="s">
        <v>10475</v>
      </c>
      <c r="C3280" s="0" t="s">
        <v>97</v>
      </c>
      <c r="D3280" s="0" t="s">
        <v>10476</v>
      </c>
      <c r="E3280" s="0" t="s">
        <v>10477</v>
      </c>
      <c r="G3280" s="0" t="s">
        <v>10478</v>
      </c>
      <c r="H3280" s="0" t="s">
        <v>654</v>
      </c>
      <c r="I3280" s="0" t="s">
        <v>655</v>
      </c>
      <c r="J3280" s="0" t="s">
        <v>100</v>
      </c>
      <c r="K3280" s="0" t="s">
        <v>168</v>
      </c>
      <c r="L3280" s="0" t="s">
        <v>101</v>
      </c>
      <c r="M3280" s="0" t="s">
        <v>656</v>
      </c>
      <c r="N3280" s="0" t="s">
        <v>101</v>
      </c>
      <c r="P3280" s="0" t="s">
        <v>102</v>
      </c>
      <c r="Q3280" s="0" t="s">
        <v>102</v>
      </c>
      <c r="R3280" s="0" t="s">
        <v>131</v>
      </c>
      <c r="S3280" s="0" t="s">
        <v>21</v>
      </c>
      <c r="T3280" s="0" t="s">
        <v>104</v>
      </c>
      <c r="W3280" s="0" t="s">
        <v>105</v>
      </c>
      <c r="X3280" s="0" t="s">
        <v>658</v>
      </c>
      <c r="Y3280" s="0" t="s">
        <v>659</v>
      </c>
    </row>
    <row r="3281" customFormat="false" ht="15" hidden="false" customHeight="false" outlineLevel="0" collapsed="false">
      <c r="A3281" s="0" t="s">
        <v>21</v>
      </c>
      <c r="B3281" s="0" t="s">
        <v>10479</v>
      </c>
      <c r="C3281" s="0" t="s">
        <v>97</v>
      </c>
      <c r="D3281" s="0" t="s">
        <v>10480</v>
      </c>
      <c r="E3281" s="0" t="s">
        <v>10480</v>
      </c>
      <c r="F3281" s="0" t="s">
        <v>10480</v>
      </c>
      <c r="M3281" s="0" t="s">
        <v>136</v>
      </c>
      <c r="N3281" s="0" t="s">
        <v>124</v>
      </c>
      <c r="P3281" s="0" t="s">
        <v>102</v>
      </c>
      <c r="Q3281" s="0" t="s">
        <v>102</v>
      </c>
      <c r="R3281" s="0" t="s">
        <v>131</v>
      </c>
      <c r="S3281" s="0" t="s">
        <v>21</v>
      </c>
      <c r="T3281" s="0" t="s">
        <v>104</v>
      </c>
      <c r="W3281" s="0" t="s">
        <v>105</v>
      </c>
    </row>
    <row r="3282" customFormat="false" ht="15" hidden="false" customHeight="false" outlineLevel="0" collapsed="false">
      <c r="A3282" s="0" t="s">
        <v>21</v>
      </c>
      <c r="B3282" s="0" t="s">
        <v>10481</v>
      </c>
      <c r="C3282" s="0" t="s">
        <v>97</v>
      </c>
      <c r="D3282" s="0" t="s">
        <v>10482</v>
      </c>
      <c r="E3282" s="0" t="s">
        <v>10483</v>
      </c>
      <c r="G3282" s="0" t="s">
        <v>10484</v>
      </c>
      <c r="H3282" s="0" t="s">
        <v>654</v>
      </c>
      <c r="I3282" s="0" t="s">
        <v>655</v>
      </c>
      <c r="J3282" s="0" t="s">
        <v>100</v>
      </c>
      <c r="K3282" s="0" t="s">
        <v>168</v>
      </c>
      <c r="L3282" s="0" t="s">
        <v>101</v>
      </c>
      <c r="M3282" s="0" t="s">
        <v>656</v>
      </c>
      <c r="N3282" s="0" t="s">
        <v>101</v>
      </c>
      <c r="P3282" s="0" t="s">
        <v>102</v>
      </c>
      <c r="Q3282" s="0" t="s">
        <v>102</v>
      </c>
      <c r="R3282" s="0" t="s">
        <v>131</v>
      </c>
      <c r="S3282" s="0" t="s">
        <v>21</v>
      </c>
      <c r="T3282" s="0" t="s">
        <v>104</v>
      </c>
      <c r="W3282" s="0" t="s">
        <v>105</v>
      </c>
      <c r="X3282" s="0" t="s">
        <v>658</v>
      </c>
      <c r="Y3282" s="0" t="s">
        <v>659</v>
      </c>
    </row>
    <row r="3283" customFormat="false" ht="15" hidden="false" customHeight="false" outlineLevel="0" collapsed="false">
      <c r="A3283" s="0" t="s">
        <v>21</v>
      </c>
      <c r="B3283" s="0" t="s">
        <v>10485</v>
      </c>
      <c r="C3283" s="0" t="s">
        <v>97</v>
      </c>
      <c r="D3283" s="0" t="s">
        <v>10486</v>
      </c>
      <c r="E3283" s="0" t="s">
        <v>10487</v>
      </c>
      <c r="M3283" s="0" t="s">
        <v>136</v>
      </c>
      <c r="N3283" s="0" t="s">
        <v>124</v>
      </c>
      <c r="P3283" s="0" t="s">
        <v>102</v>
      </c>
      <c r="Q3283" s="0" t="s">
        <v>102</v>
      </c>
      <c r="R3283" s="0" t="s">
        <v>113</v>
      </c>
      <c r="S3283" s="0" t="s">
        <v>21</v>
      </c>
      <c r="T3283" s="0" t="s">
        <v>104</v>
      </c>
      <c r="W3283" s="0" t="s">
        <v>105</v>
      </c>
    </row>
    <row r="3284" customFormat="false" ht="15" hidden="false" customHeight="false" outlineLevel="0" collapsed="false">
      <c r="A3284" s="0" t="s">
        <v>21</v>
      </c>
      <c r="B3284" s="0" t="s">
        <v>10488</v>
      </c>
      <c r="C3284" s="0" t="s">
        <v>97</v>
      </c>
      <c r="D3284" s="0" t="s">
        <v>10489</v>
      </c>
      <c r="E3284" s="0" t="s">
        <v>10490</v>
      </c>
      <c r="M3284" s="0" t="s">
        <v>136</v>
      </c>
      <c r="N3284" s="0" t="s">
        <v>124</v>
      </c>
      <c r="P3284" s="0" t="s">
        <v>102</v>
      </c>
      <c r="Q3284" s="0" t="s">
        <v>102</v>
      </c>
      <c r="R3284" s="0" t="s">
        <v>113</v>
      </c>
      <c r="S3284" s="0" t="s">
        <v>21</v>
      </c>
      <c r="T3284" s="0" t="s">
        <v>104</v>
      </c>
      <c r="W3284" s="0" t="s">
        <v>105</v>
      </c>
    </row>
    <row r="3285" customFormat="false" ht="15" hidden="false" customHeight="false" outlineLevel="0" collapsed="false">
      <c r="A3285" s="0" t="s">
        <v>21</v>
      </c>
      <c r="B3285" s="0" t="s">
        <v>10491</v>
      </c>
      <c r="C3285" s="0" t="s">
        <v>97</v>
      </c>
      <c r="D3285" s="0" t="s">
        <v>10492</v>
      </c>
      <c r="E3285" s="0" t="s">
        <v>10493</v>
      </c>
      <c r="M3285" s="0" t="s">
        <v>136</v>
      </c>
      <c r="N3285" s="0" t="s">
        <v>124</v>
      </c>
      <c r="P3285" s="0" t="s">
        <v>102</v>
      </c>
      <c r="Q3285" s="0" t="s">
        <v>102</v>
      </c>
      <c r="R3285" s="0" t="s">
        <v>113</v>
      </c>
      <c r="S3285" s="0" t="s">
        <v>21</v>
      </c>
      <c r="T3285" s="0" t="s">
        <v>104</v>
      </c>
      <c r="W3285" s="0" t="s">
        <v>105</v>
      </c>
    </row>
    <row r="3286" customFormat="false" ht="15" hidden="false" customHeight="false" outlineLevel="0" collapsed="false">
      <c r="A3286" s="0" t="s">
        <v>21</v>
      </c>
      <c r="B3286" s="0" t="s">
        <v>10494</v>
      </c>
      <c r="C3286" s="0" t="s">
        <v>97</v>
      </c>
      <c r="D3286" s="0" t="s">
        <v>10495</v>
      </c>
      <c r="E3286" s="0" t="s">
        <v>10495</v>
      </c>
      <c r="F3286" s="0" t="s">
        <v>10495</v>
      </c>
      <c r="M3286" s="0" t="s">
        <v>124</v>
      </c>
      <c r="N3286" s="0" t="s">
        <v>124</v>
      </c>
      <c r="P3286" s="0" t="s">
        <v>102</v>
      </c>
      <c r="Q3286" s="0" t="s">
        <v>102</v>
      </c>
      <c r="R3286" s="0" t="s">
        <v>131</v>
      </c>
      <c r="S3286" s="0" t="s">
        <v>21</v>
      </c>
      <c r="T3286" s="0" t="s">
        <v>104</v>
      </c>
      <c r="W3286" s="0" t="s">
        <v>105</v>
      </c>
    </row>
    <row r="3287" customFormat="false" ht="15" hidden="false" customHeight="false" outlineLevel="0" collapsed="false">
      <c r="A3287" s="0" t="s">
        <v>21</v>
      </c>
      <c r="B3287" s="0" t="s">
        <v>10496</v>
      </c>
      <c r="C3287" s="0" t="s">
        <v>97</v>
      </c>
      <c r="D3287" s="0" t="s">
        <v>10495</v>
      </c>
      <c r="E3287" s="0" t="s">
        <v>10495</v>
      </c>
      <c r="F3287" s="0" t="s">
        <v>10495</v>
      </c>
      <c r="M3287" s="0" t="s">
        <v>100</v>
      </c>
      <c r="N3287" s="0" t="s">
        <v>101</v>
      </c>
      <c r="P3287" s="0" t="s">
        <v>102</v>
      </c>
      <c r="Q3287" s="0" t="s">
        <v>102</v>
      </c>
      <c r="R3287" s="0" t="s">
        <v>131</v>
      </c>
      <c r="S3287" s="0" t="s">
        <v>21</v>
      </c>
      <c r="T3287" s="0" t="s">
        <v>104</v>
      </c>
      <c r="W3287" s="0" t="s">
        <v>105</v>
      </c>
    </row>
    <row r="3288" customFormat="false" ht="15" hidden="false" customHeight="false" outlineLevel="0" collapsed="false">
      <c r="A3288" s="0" t="s">
        <v>21</v>
      </c>
      <c r="B3288" s="0" t="s">
        <v>10497</v>
      </c>
      <c r="C3288" s="0" t="s">
        <v>97</v>
      </c>
      <c r="D3288" s="0" t="s">
        <v>10498</v>
      </c>
      <c r="E3288" s="0" t="s">
        <v>10499</v>
      </c>
      <c r="M3288" s="0" t="s">
        <v>656</v>
      </c>
      <c r="N3288" s="0" t="s">
        <v>101</v>
      </c>
      <c r="P3288" s="0" t="s">
        <v>102</v>
      </c>
      <c r="Q3288" s="0" t="s">
        <v>102</v>
      </c>
      <c r="R3288" s="0" t="s">
        <v>131</v>
      </c>
      <c r="S3288" s="0" t="s">
        <v>21</v>
      </c>
      <c r="T3288" s="0" t="s">
        <v>104</v>
      </c>
      <c r="W3288" s="0" t="s">
        <v>105</v>
      </c>
    </row>
    <row r="3289" customFormat="false" ht="15" hidden="false" customHeight="false" outlineLevel="0" collapsed="false">
      <c r="A3289" s="0" t="s">
        <v>21</v>
      </c>
      <c r="B3289" s="0" t="s">
        <v>10500</v>
      </c>
      <c r="C3289" s="0" t="s">
        <v>97</v>
      </c>
      <c r="D3289" s="0" t="s">
        <v>10501</v>
      </c>
      <c r="E3289" s="0" t="s">
        <v>10501</v>
      </c>
      <c r="F3289" s="0" t="s">
        <v>10501</v>
      </c>
      <c r="M3289" s="0" t="s">
        <v>136</v>
      </c>
      <c r="N3289" s="0" t="s">
        <v>124</v>
      </c>
      <c r="P3289" s="0" t="s">
        <v>102</v>
      </c>
      <c r="Q3289" s="0" t="s">
        <v>102</v>
      </c>
      <c r="R3289" s="0" t="s">
        <v>131</v>
      </c>
      <c r="S3289" s="0" t="s">
        <v>21</v>
      </c>
      <c r="T3289" s="0" t="s">
        <v>104</v>
      </c>
      <c r="W3289" s="0" t="s">
        <v>105</v>
      </c>
    </row>
    <row r="3290" customFormat="false" ht="15" hidden="false" customHeight="false" outlineLevel="0" collapsed="false">
      <c r="A3290" s="0" t="s">
        <v>21</v>
      </c>
      <c r="B3290" s="0" t="s">
        <v>10502</v>
      </c>
      <c r="C3290" s="0" t="s">
        <v>97</v>
      </c>
      <c r="D3290" s="0" t="s">
        <v>8048</v>
      </c>
      <c r="E3290" s="0" t="s">
        <v>8048</v>
      </c>
      <c r="M3290" s="0" t="s">
        <v>136</v>
      </c>
      <c r="N3290" s="0" t="s">
        <v>124</v>
      </c>
      <c r="P3290" s="0" t="s">
        <v>102</v>
      </c>
      <c r="Q3290" s="0" t="s">
        <v>102</v>
      </c>
      <c r="R3290" s="0" t="s">
        <v>131</v>
      </c>
      <c r="S3290" s="0" t="s">
        <v>21</v>
      </c>
      <c r="T3290" s="0" t="s">
        <v>104</v>
      </c>
      <c r="W3290" s="0" t="s">
        <v>105</v>
      </c>
    </row>
    <row r="3291" customFormat="false" ht="15" hidden="false" customHeight="false" outlineLevel="0" collapsed="false">
      <c r="A3291" s="0" t="s">
        <v>21</v>
      </c>
      <c r="B3291" s="0" t="s">
        <v>10503</v>
      </c>
      <c r="C3291" s="0" t="s">
        <v>97</v>
      </c>
      <c r="D3291" s="0" t="s">
        <v>10504</v>
      </c>
      <c r="E3291" s="0" t="s">
        <v>10504</v>
      </c>
      <c r="M3291" s="0" t="s">
        <v>136</v>
      </c>
      <c r="N3291" s="0" t="s">
        <v>124</v>
      </c>
      <c r="P3291" s="0" t="s">
        <v>102</v>
      </c>
      <c r="Q3291" s="0" t="s">
        <v>102</v>
      </c>
      <c r="R3291" s="0" t="s">
        <v>131</v>
      </c>
      <c r="S3291" s="0" t="s">
        <v>21</v>
      </c>
      <c r="T3291" s="0" t="s">
        <v>104</v>
      </c>
      <c r="W3291" s="0" t="s">
        <v>105</v>
      </c>
    </row>
    <row r="3292" customFormat="false" ht="15" hidden="false" customHeight="false" outlineLevel="0" collapsed="false">
      <c r="A3292" s="0" t="s">
        <v>21</v>
      </c>
      <c r="B3292" s="0" t="s">
        <v>10505</v>
      </c>
      <c r="C3292" s="0" t="s">
        <v>97</v>
      </c>
      <c r="D3292" s="0" t="s">
        <v>10506</v>
      </c>
      <c r="E3292" s="0" t="s">
        <v>10506</v>
      </c>
      <c r="M3292" s="0" t="s">
        <v>136</v>
      </c>
      <c r="N3292" s="0" t="s">
        <v>124</v>
      </c>
      <c r="P3292" s="0" t="s">
        <v>102</v>
      </c>
      <c r="Q3292" s="0" t="s">
        <v>102</v>
      </c>
      <c r="R3292" s="0" t="s">
        <v>131</v>
      </c>
      <c r="S3292" s="0" t="s">
        <v>21</v>
      </c>
      <c r="T3292" s="0" t="s">
        <v>104</v>
      </c>
      <c r="W3292" s="0" t="s">
        <v>105</v>
      </c>
    </row>
    <row r="3293" customFormat="false" ht="15" hidden="false" customHeight="false" outlineLevel="0" collapsed="false">
      <c r="A3293" s="0" t="s">
        <v>21</v>
      </c>
      <c r="B3293" s="0" t="s">
        <v>10507</v>
      </c>
      <c r="C3293" s="0" t="s">
        <v>97</v>
      </c>
      <c r="D3293" s="0" t="s">
        <v>10508</v>
      </c>
      <c r="E3293" s="0" t="s">
        <v>10508</v>
      </c>
      <c r="F3293" s="0" t="s">
        <v>10508</v>
      </c>
      <c r="M3293" s="0" t="s">
        <v>136</v>
      </c>
      <c r="N3293" s="0" t="s">
        <v>124</v>
      </c>
      <c r="P3293" s="0" t="s">
        <v>102</v>
      </c>
      <c r="Q3293" s="0" t="s">
        <v>102</v>
      </c>
      <c r="R3293" s="0" t="s">
        <v>131</v>
      </c>
      <c r="S3293" s="0" t="s">
        <v>21</v>
      </c>
      <c r="T3293" s="0" t="s">
        <v>104</v>
      </c>
      <c r="W3293" s="0" t="s">
        <v>105</v>
      </c>
    </row>
    <row r="3294" customFormat="false" ht="15" hidden="false" customHeight="false" outlineLevel="0" collapsed="false">
      <c r="A3294" s="0" t="s">
        <v>21</v>
      </c>
      <c r="B3294" s="0" t="s">
        <v>10509</v>
      </c>
      <c r="C3294" s="0" t="s">
        <v>97</v>
      </c>
      <c r="D3294" s="0" t="s">
        <v>10510</v>
      </c>
      <c r="E3294" s="0" t="s">
        <v>10510</v>
      </c>
      <c r="M3294" s="0" t="s">
        <v>136</v>
      </c>
      <c r="N3294" s="0" t="s">
        <v>124</v>
      </c>
      <c r="P3294" s="0" t="s">
        <v>102</v>
      </c>
      <c r="Q3294" s="0" t="s">
        <v>102</v>
      </c>
      <c r="R3294" s="0" t="s">
        <v>131</v>
      </c>
      <c r="S3294" s="0" t="s">
        <v>21</v>
      </c>
      <c r="T3294" s="0" t="s">
        <v>104</v>
      </c>
      <c r="W3294" s="0" t="s">
        <v>105</v>
      </c>
    </row>
    <row r="3295" customFormat="false" ht="15" hidden="false" customHeight="false" outlineLevel="0" collapsed="false">
      <c r="A3295" s="0" t="s">
        <v>21</v>
      </c>
      <c r="B3295" s="0" t="s">
        <v>10511</v>
      </c>
      <c r="C3295" s="0" t="s">
        <v>97</v>
      </c>
      <c r="D3295" s="0" t="s">
        <v>10512</v>
      </c>
      <c r="E3295" s="0" t="s">
        <v>10513</v>
      </c>
      <c r="M3295" s="0" t="s">
        <v>136</v>
      </c>
      <c r="N3295" s="0" t="s">
        <v>124</v>
      </c>
      <c r="P3295" s="0" t="s">
        <v>102</v>
      </c>
      <c r="Q3295" s="0" t="s">
        <v>102</v>
      </c>
      <c r="R3295" s="0" t="s">
        <v>131</v>
      </c>
      <c r="S3295" s="0" t="s">
        <v>21</v>
      </c>
      <c r="T3295" s="0" t="s">
        <v>104</v>
      </c>
      <c r="W3295" s="0" t="s">
        <v>105</v>
      </c>
    </row>
    <row r="3296" customFormat="false" ht="15" hidden="false" customHeight="false" outlineLevel="0" collapsed="false">
      <c r="A3296" s="0" t="s">
        <v>21</v>
      </c>
      <c r="B3296" s="0" t="s">
        <v>10514</v>
      </c>
      <c r="C3296" s="0" t="s">
        <v>97</v>
      </c>
      <c r="D3296" s="0" t="s">
        <v>10515</v>
      </c>
      <c r="E3296" s="0" t="s">
        <v>10516</v>
      </c>
      <c r="H3296" s="0" t="s">
        <v>10517</v>
      </c>
      <c r="I3296" s="0" t="s">
        <v>10518</v>
      </c>
      <c r="J3296" s="0" t="s">
        <v>447</v>
      </c>
      <c r="K3296" s="0" t="s">
        <v>422</v>
      </c>
      <c r="L3296" s="0" t="s">
        <v>101</v>
      </c>
      <c r="M3296" s="0" t="s">
        <v>447</v>
      </c>
      <c r="N3296" s="0" t="s">
        <v>101</v>
      </c>
      <c r="P3296" s="0" t="s">
        <v>102</v>
      </c>
      <c r="Q3296" s="0" t="s">
        <v>102</v>
      </c>
      <c r="R3296" s="0" t="s">
        <v>137</v>
      </c>
      <c r="S3296" s="0" t="s">
        <v>21</v>
      </c>
      <c r="T3296" s="0" t="s">
        <v>104</v>
      </c>
      <c r="W3296" s="0" t="s">
        <v>105</v>
      </c>
      <c r="X3296" s="0" t="s">
        <v>10519</v>
      </c>
      <c r="Y3296" s="0" t="s">
        <v>10520</v>
      </c>
    </row>
    <row r="3297" customFormat="false" ht="15" hidden="false" customHeight="false" outlineLevel="0" collapsed="false">
      <c r="A3297" s="0" t="s">
        <v>21</v>
      </c>
      <c r="B3297" s="0" t="s">
        <v>10521</v>
      </c>
      <c r="C3297" s="0" t="s">
        <v>97</v>
      </c>
      <c r="D3297" s="0" t="s">
        <v>10522</v>
      </c>
      <c r="E3297" s="0" t="s">
        <v>10523</v>
      </c>
      <c r="H3297" s="0" t="s">
        <v>654</v>
      </c>
      <c r="I3297" s="0" t="s">
        <v>655</v>
      </c>
      <c r="J3297" s="0" t="s">
        <v>100</v>
      </c>
      <c r="K3297" s="0" t="s">
        <v>168</v>
      </c>
      <c r="L3297" s="0" t="s">
        <v>101</v>
      </c>
      <c r="M3297" s="0" t="s">
        <v>656</v>
      </c>
      <c r="N3297" s="0" t="s">
        <v>101</v>
      </c>
      <c r="P3297" s="0" t="s">
        <v>102</v>
      </c>
      <c r="Q3297" s="0" t="s">
        <v>102</v>
      </c>
      <c r="R3297" s="0" t="s">
        <v>131</v>
      </c>
      <c r="S3297" s="0" t="s">
        <v>21</v>
      </c>
      <c r="T3297" s="0" t="s">
        <v>104</v>
      </c>
      <c r="W3297" s="0" t="s">
        <v>105</v>
      </c>
      <c r="X3297" s="0" t="s">
        <v>658</v>
      </c>
      <c r="Y3297" s="0" t="s">
        <v>659</v>
      </c>
    </row>
    <row r="3298" customFormat="false" ht="15" hidden="false" customHeight="false" outlineLevel="0" collapsed="false">
      <c r="A3298" s="0" t="s">
        <v>21</v>
      </c>
      <c r="B3298" s="0" t="s">
        <v>10524</v>
      </c>
      <c r="C3298" s="0" t="s">
        <v>97</v>
      </c>
      <c r="D3298" s="0" t="s">
        <v>10525</v>
      </c>
      <c r="E3298" s="0" t="s">
        <v>10526</v>
      </c>
      <c r="H3298" s="0" t="s">
        <v>654</v>
      </c>
      <c r="I3298" s="0" t="s">
        <v>655</v>
      </c>
      <c r="J3298" s="0" t="s">
        <v>100</v>
      </c>
      <c r="K3298" s="0" t="s">
        <v>168</v>
      </c>
      <c r="L3298" s="0" t="s">
        <v>101</v>
      </c>
      <c r="M3298" s="0" t="s">
        <v>656</v>
      </c>
      <c r="N3298" s="0" t="s">
        <v>101</v>
      </c>
      <c r="P3298" s="0" t="s">
        <v>102</v>
      </c>
      <c r="Q3298" s="0" t="s">
        <v>102</v>
      </c>
      <c r="R3298" s="0" t="s">
        <v>131</v>
      </c>
      <c r="S3298" s="0" t="s">
        <v>21</v>
      </c>
      <c r="T3298" s="0" t="s">
        <v>104</v>
      </c>
      <c r="W3298" s="0" t="s">
        <v>105</v>
      </c>
      <c r="X3298" s="0" t="s">
        <v>658</v>
      </c>
      <c r="Y3298" s="0" t="s">
        <v>659</v>
      </c>
    </row>
    <row r="3299" customFormat="false" ht="15" hidden="false" customHeight="false" outlineLevel="0" collapsed="false">
      <c r="A3299" s="0" t="s">
        <v>21</v>
      </c>
      <c r="B3299" s="0" t="s">
        <v>10527</v>
      </c>
      <c r="C3299" s="0" t="s">
        <v>97</v>
      </c>
      <c r="D3299" s="0" t="s">
        <v>10528</v>
      </c>
      <c r="E3299" s="0" t="s">
        <v>10529</v>
      </c>
      <c r="H3299" s="0" t="s">
        <v>10530</v>
      </c>
      <c r="I3299" s="0" t="s">
        <v>9726</v>
      </c>
      <c r="J3299" s="0" t="s">
        <v>447</v>
      </c>
      <c r="K3299" s="0" t="s">
        <v>422</v>
      </c>
      <c r="L3299" s="0" t="s">
        <v>101</v>
      </c>
      <c r="M3299" s="0" t="s">
        <v>447</v>
      </c>
      <c r="N3299" s="0" t="s">
        <v>101</v>
      </c>
      <c r="P3299" s="0" t="s">
        <v>102</v>
      </c>
      <c r="Q3299" s="0" t="s">
        <v>102</v>
      </c>
      <c r="R3299" s="0" t="s">
        <v>137</v>
      </c>
      <c r="S3299" s="0" t="s">
        <v>21</v>
      </c>
      <c r="T3299" s="0" t="s">
        <v>104</v>
      </c>
      <c r="W3299" s="0" t="s">
        <v>105</v>
      </c>
      <c r="X3299" s="0" t="s">
        <v>10531</v>
      </c>
      <c r="Y3299" s="0" t="s">
        <v>10532</v>
      </c>
    </row>
    <row r="3300" customFormat="false" ht="15" hidden="false" customHeight="false" outlineLevel="0" collapsed="false">
      <c r="A3300" s="0" t="s">
        <v>21</v>
      </c>
      <c r="B3300" s="0" t="s">
        <v>10533</v>
      </c>
      <c r="C3300" s="0" t="s">
        <v>97</v>
      </c>
      <c r="D3300" s="0" t="s">
        <v>1588</v>
      </c>
      <c r="E3300" s="0" t="s">
        <v>10534</v>
      </c>
      <c r="H3300" s="0" t="s">
        <v>10535</v>
      </c>
      <c r="I3300" s="0" t="s">
        <v>10536</v>
      </c>
      <c r="J3300" s="0" t="s">
        <v>447</v>
      </c>
      <c r="K3300" s="0" t="s">
        <v>422</v>
      </c>
      <c r="L3300" s="0" t="s">
        <v>101</v>
      </c>
      <c r="M3300" s="0" t="s">
        <v>447</v>
      </c>
      <c r="N3300" s="0" t="s">
        <v>101</v>
      </c>
      <c r="P3300" s="0" t="s">
        <v>102</v>
      </c>
      <c r="Q3300" s="0" t="s">
        <v>102</v>
      </c>
      <c r="R3300" s="0" t="s">
        <v>131</v>
      </c>
      <c r="S3300" s="0" t="s">
        <v>21</v>
      </c>
      <c r="T3300" s="0" t="s">
        <v>104</v>
      </c>
      <c r="W3300" s="0" t="s">
        <v>105</v>
      </c>
      <c r="X3300" s="0" t="s">
        <v>10537</v>
      </c>
      <c r="Y3300" s="0" t="s">
        <v>10538</v>
      </c>
    </row>
    <row r="3301" customFormat="false" ht="15" hidden="false" customHeight="false" outlineLevel="0" collapsed="false">
      <c r="A3301" s="0" t="s">
        <v>21</v>
      </c>
      <c r="B3301" s="0" t="s">
        <v>10539</v>
      </c>
      <c r="C3301" s="0" t="s">
        <v>97</v>
      </c>
      <c r="D3301" s="0" t="s">
        <v>1338</v>
      </c>
      <c r="E3301" s="0" t="s">
        <v>10540</v>
      </c>
      <c r="H3301" s="0" t="s">
        <v>6464</v>
      </c>
      <c r="I3301" s="0" t="s">
        <v>6465</v>
      </c>
      <c r="J3301" s="0" t="s">
        <v>447</v>
      </c>
      <c r="K3301" s="0" t="s">
        <v>422</v>
      </c>
      <c r="L3301" s="0" t="s">
        <v>101</v>
      </c>
      <c r="M3301" s="0" t="s">
        <v>447</v>
      </c>
      <c r="N3301" s="0" t="s">
        <v>101</v>
      </c>
      <c r="P3301" s="0" t="s">
        <v>102</v>
      </c>
      <c r="Q3301" s="0" t="s">
        <v>102</v>
      </c>
      <c r="R3301" s="0" t="s">
        <v>113</v>
      </c>
      <c r="S3301" s="0" t="s">
        <v>21</v>
      </c>
      <c r="T3301" s="0" t="s">
        <v>104</v>
      </c>
      <c r="W3301" s="0" t="s">
        <v>105</v>
      </c>
      <c r="X3301" s="0" t="s">
        <v>10541</v>
      </c>
      <c r="Y3301" s="0" t="s">
        <v>10542</v>
      </c>
    </row>
    <row r="3302" customFormat="false" ht="15" hidden="false" customHeight="false" outlineLevel="0" collapsed="false">
      <c r="A3302" s="0" t="s">
        <v>21</v>
      </c>
      <c r="B3302" s="0" t="s">
        <v>10543</v>
      </c>
      <c r="C3302" s="0" t="s">
        <v>97</v>
      </c>
      <c r="D3302" s="0" t="s">
        <v>10544</v>
      </c>
      <c r="E3302" s="0" t="s">
        <v>10545</v>
      </c>
      <c r="G3302" s="0" t="s">
        <v>10546</v>
      </c>
      <c r="H3302" s="0" t="s">
        <v>654</v>
      </c>
      <c r="I3302" s="0" t="s">
        <v>655</v>
      </c>
      <c r="J3302" s="0" t="s">
        <v>100</v>
      </c>
      <c r="K3302" s="0" t="s">
        <v>168</v>
      </c>
      <c r="L3302" s="0" t="s">
        <v>101</v>
      </c>
      <c r="M3302" s="0" t="s">
        <v>656</v>
      </c>
      <c r="N3302" s="0" t="s">
        <v>101</v>
      </c>
      <c r="P3302" s="0" t="s">
        <v>102</v>
      </c>
      <c r="Q3302" s="0" t="s">
        <v>102</v>
      </c>
      <c r="R3302" s="0" t="s">
        <v>131</v>
      </c>
      <c r="S3302" s="0" t="s">
        <v>21</v>
      </c>
      <c r="T3302" s="0" t="s">
        <v>104</v>
      </c>
      <c r="W3302" s="0" t="s">
        <v>105</v>
      </c>
      <c r="X3302" s="0" t="s">
        <v>658</v>
      </c>
      <c r="Y3302" s="0" t="s">
        <v>659</v>
      </c>
    </row>
    <row r="3303" customFormat="false" ht="15" hidden="false" customHeight="false" outlineLevel="0" collapsed="false">
      <c r="A3303" s="0" t="s">
        <v>21</v>
      </c>
      <c r="B3303" s="0" t="s">
        <v>10547</v>
      </c>
      <c r="C3303" s="0" t="s">
        <v>97</v>
      </c>
      <c r="D3303" s="0" t="s">
        <v>10548</v>
      </c>
      <c r="E3303" s="0" t="s">
        <v>10548</v>
      </c>
      <c r="M3303" s="0" t="s">
        <v>442</v>
      </c>
      <c r="N3303" s="0" t="s">
        <v>101</v>
      </c>
      <c r="P3303" s="0" t="s">
        <v>102</v>
      </c>
      <c r="Q3303" s="0" t="s">
        <v>102</v>
      </c>
      <c r="R3303" s="0" t="s">
        <v>131</v>
      </c>
      <c r="S3303" s="0" t="s">
        <v>21</v>
      </c>
      <c r="T3303" s="0" t="s">
        <v>104</v>
      </c>
      <c r="W3303" s="0" t="s">
        <v>105</v>
      </c>
    </row>
    <row r="3304" customFormat="false" ht="15" hidden="false" customHeight="false" outlineLevel="0" collapsed="false">
      <c r="A3304" s="0" t="s">
        <v>21</v>
      </c>
      <c r="B3304" s="0" t="s">
        <v>10549</v>
      </c>
      <c r="C3304" s="0" t="s">
        <v>97</v>
      </c>
      <c r="D3304" s="0" t="s">
        <v>10550</v>
      </c>
      <c r="E3304" s="0" t="s">
        <v>10551</v>
      </c>
      <c r="M3304" s="0" t="s">
        <v>447</v>
      </c>
      <c r="N3304" s="0" t="s">
        <v>101</v>
      </c>
      <c r="P3304" s="0" t="s">
        <v>102</v>
      </c>
      <c r="Q3304" s="0" t="s">
        <v>102</v>
      </c>
      <c r="R3304" s="0" t="s">
        <v>131</v>
      </c>
      <c r="S3304" s="0" t="s">
        <v>21</v>
      </c>
      <c r="T3304" s="0" t="s">
        <v>104</v>
      </c>
      <c r="W3304" s="0" t="s">
        <v>105</v>
      </c>
    </row>
    <row r="3305" customFormat="false" ht="15" hidden="false" customHeight="false" outlineLevel="0" collapsed="false">
      <c r="A3305" s="0" t="s">
        <v>21</v>
      </c>
      <c r="B3305" s="0" t="s">
        <v>10552</v>
      </c>
      <c r="C3305" s="0" t="s">
        <v>97</v>
      </c>
      <c r="D3305" s="0" t="s">
        <v>10553</v>
      </c>
      <c r="E3305" s="0" t="s">
        <v>10554</v>
      </c>
      <c r="H3305" s="0" t="s">
        <v>10555</v>
      </c>
      <c r="I3305" s="0" t="s">
        <v>10556</v>
      </c>
      <c r="J3305" s="0" t="s">
        <v>10556</v>
      </c>
      <c r="K3305" s="0" t="s">
        <v>10557</v>
      </c>
      <c r="L3305" s="0" t="s">
        <v>101</v>
      </c>
      <c r="M3305" s="0" t="s">
        <v>10558</v>
      </c>
      <c r="N3305" s="0" t="s">
        <v>101</v>
      </c>
      <c r="P3305" s="0" t="s">
        <v>102</v>
      </c>
      <c r="Q3305" s="0" t="s">
        <v>102</v>
      </c>
      <c r="R3305" s="0" t="s">
        <v>144</v>
      </c>
      <c r="S3305" s="0" t="s">
        <v>21</v>
      </c>
      <c r="T3305" s="0" t="s">
        <v>104</v>
      </c>
      <c r="W3305" s="0" t="s">
        <v>105</v>
      </c>
      <c r="X3305" s="0" t="s">
        <v>10559</v>
      </c>
      <c r="Y3305" s="0" t="s">
        <v>10560</v>
      </c>
    </row>
    <row r="3306" customFormat="false" ht="15" hidden="false" customHeight="false" outlineLevel="0" collapsed="false">
      <c r="A3306" s="0" t="s">
        <v>21</v>
      </c>
      <c r="B3306" s="0" t="s">
        <v>10561</v>
      </c>
      <c r="C3306" s="0" t="s">
        <v>110</v>
      </c>
      <c r="D3306" s="0" t="s">
        <v>10562</v>
      </c>
      <c r="E3306" s="0" t="s">
        <v>10563</v>
      </c>
      <c r="H3306" s="0" t="s">
        <v>10564</v>
      </c>
      <c r="I3306" s="0" t="s">
        <v>10565</v>
      </c>
      <c r="J3306" s="0" t="s">
        <v>157</v>
      </c>
      <c r="K3306" s="0" t="s">
        <v>990</v>
      </c>
      <c r="M3306" s="0" t="s">
        <v>1151</v>
      </c>
      <c r="N3306" s="0" t="s">
        <v>124</v>
      </c>
      <c r="P3306" s="0" t="s">
        <v>102</v>
      </c>
      <c r="Q3306" s="0" t="s">
        <v>102</v>
      </c>
      <c r="R3306" s="0" t="s">
        <v>131</v>
      </c>
      <c r="S3306" s="0" t="s">
        <v>21</v>
      </c>
      <c r="T3306" s="0" t="s">
        <v>104</v>
      </c>
      <c r="W3306" s="0" t="s">
        <v>105</v>
      </c>
    </row>
    <row r="3307" customFormat="false" ht="15" hidden="false" customHeight="false" outlineLevel="0" collapsed="false">
      <c r="A3307" s="0" t="s">
        <v>21</v>
      </c>
      <c r="B3307" s="0" t="s">
        <v>10566</v>
      </c>
      <c r="C3307" s="0" t="s">
        <v>97</v>
      </c>
      <c r="D3307" s="0" t="s">
        <v>10567</v>
      </c>
      <c r="E3307" s="0" t="s">
        <v>10568</v>
      </c>
      <c r="M3307" s="0" t="s">
        <v>136</v>
      </c>
      <c r="N3307" s="0" t="s">
        <v>124</v>
      </c>
      <c r="P3307" s="0" t="s">
        <v>102</v>
      </c>
      <c r="Q3307" s="0" t="s">
        <v>102</v>
      </c>
      <c r="R3307" s="0" t="s">
        <v>131</v>
      </c>
      <c r="S3307" s="0" t="s">
        <v>21</v>
      </c>
      <c r="T3307" s="0" t="s">
        <v>104</v>
      </c>
      <c r="W3307" s="0" t="s">
        <v>105</v>
      </c>
    </row>
    <row r="3308" customFormat="false" ht="15" hidden="false" customHeight="false" outlineLevel="0" collapsed="false">
      <c r="A3308" s="0" t="s">
        <v>21</v>
      </c>
      <c r="B3308" s="0" t="s">
        <v>10569</v>
      </c>
      <c r="C3308" s="0" t="s">
        <v>97</v>
      </c>
      <c r="D3308" s="0" t="s">
        <v>10570</v>
      </c>
      <c r="E3308" s="0" t="s">
        <v>10571</v>
      </c>
      <c r="M3308" s="0" t="s">
        <v>136</v>
      </c>
      <c r="N3308" s="0" t="s">
        <v>124</v>
      </c>
      <c r="P3308" s="0" t="s">
        <v>102</v>
      </c>
      <c r="Q3308" s="0" t="s">
        <v>102</v>
      </c>
      <c r="R3308" s="0" t="s">
        <v>224</v>
      </c>
      <c r="S3308" s="0" t="s">
        <v>21</v>
      </c>
      <c r="T3308" s="0" t="s">
        <v>104</v>
      </c>
      <c r="W3308" s="0" t="s">
        <v>105</v>
      </c>
    </row>
    <row r="3309" customFormat="false" ht="15" hidden="false" customHeight="false" outlineLevel="0" collapsed="false">
      <c r="A3309" s="0" t="s">
        <v>21</v>
      </c>
      <c r="B3309" s="0" t="s">
        <v>10572</v>
      </c>
      <c r="C3309" s="0" t="s">
        <v>10573</v>
      </c>
      <c r="H3309" s="0" t="s">
        <v>10574</v>
      </c>
      <c r="I3309" s="0" t="s">
        <v>10575</v>
      </c>
      <c r="J3309" s="0" t="s">
        <v>157</v>
      </c>
      <c r="K3309" s="0" t="s">
        <v>10576</v>
      </c>
      <c r="L3309" s="0" t="s">
        <v>124</v>
      </c>
      <c r="M3309" s="0" t="s">
        <v>1151</v>
      </c>
      <c r="N3309" s="0" t="s">
        <v>124</v>
      </c>
      <c r="P3309" s="0" t="s">
        <v>130</v>
      </c>
      <c r="Q3309" s="0" t="s">
        <v>130</v>
      </c>
      <c r="R3309" s="0" t="s">
        <v>144</v>
      </c>
      <c r="S3309" s="0" t="s">
        <v>21</v>
      </c>
      <c r="T3309" s="0" t="s">
        <v>104</v>
      </c>
      <c r="W3309" s="0" t="s">
        <v>105</v>
      </c>
    </row>
    <row r="3310" customFormat="false" ht="15" hidden="false" customHeight="false" outlineLevel="0" collapsed="false">
      <c r="A3310" s="0" t="s">
        <v>21</v>
      </c>
      <c r="B3310" s="0" t="s">
        <v>10577</v>
      </c>
      <c r="C3310" s="0" t="s">
        <v>97</v>
      </c>
      <c r="D3310" s="0" t="s">
        <v>10578</v>
      </c>
      <c r="E3310" s="0" t="s">
        <v>10579</v>
      </c>
      <c r="M3310" s="0" t="s">
        <v>136</v>
      </c>
      <c r="N3310" s="0" t="s">
        <v>124</v>
      </c>
      <c r="P3310" s="0" t="s">
        <v>102</v>
      </c>
      <c r="Q3310" s="0" t="s">
        <v>102</v>
      </c>
      <c r="R3310" s="0" t="s">
        <v>131</v>
      </c>
      <c r="S3310" s="0" t="s">
        <v>21</v>
      </c>
      <c r="T3310" s="0" t="s">
        <v>104</v>
      </c>
      <c r="W3310" s="0" t="s">
        <v>105</v>
      </c>
    </row>
    <row r="3311" customFormat="false" ht="15" hidden="false" customHeight="false" outlineLevel="0" collapsed="false">
      <c r="A3311" s="0" t="s">
        <v>21</v>
      </c>
      <c r="B3311" s="0" t="s">
        <v>10580</v>
      </c>
      <c r="C3311" s="0" t="s">
        <v>372</v>
      </c>
      <c r="D3311" s="0" t="s">
        <v>10581</v>
      </c>
      <c r="E3311" s="0" t="s">
        <v>10582</v>
      </c>
      <c r="H3311" s="0" t="s">
        <v>10583</v>
      </c>
      <c r="I3311" s="0" t="s">
        <v>844</v>
      </c>
      <c r="J3311" s="0" t="s">
        <v>245</v>
      </c>
      <c r="K3311" s="0" t="s">
        <v>845</v>
      </c>
      <c r="L3311" s="0" t="s">
        <v>124</v>
      </c>
      <c r="M3311" s="0" t="s">
        <v>247</v>
      </c>
      <c r="N3311" s="0" t="s">
        <v>124</v>
      </c>
      <c r="P3311" s="0" t="s">
        <v>379</v>
      </c>
      <c r="Q3311" s="0" t="s">
        <v>379</v>
      </c>
      <c r="R3311" s="0" t="s">
        <v>379</v>
      </c>
      <c r="S3311" s="0" t="s">
        <v>21</v>
      </c>
      <c r="T3311" s="0" t="s">
        <v>104</v>
      </c>
      <c r="W3311" s="0" t="s">
        <v>183</v>
      </c>
      <c r="X3311" s="0" t="s">
        <v>10584</v>
      </c>
      <c r="Y3311" s="0" t="s">
        <v>10585</v>
      </c>
      <c r="Z3311" s="0" t="s">
        <v>382</v>
      </c>
    </row>
    <row r="3312" customFormat="false" ht="15" hidden="false" customHeight="false" outlineLevel="0" collapsed="false">
      <c r="A3312" s="0" t="s">
        <v>21</v>
      </c>
      <c r="B3312" s="0" t="s">
        <v>10580</v>
      </c>
      <c r="C3312" s="0" t="s">
        <v>372</v>
      </c>
      <c r="D3312" s="0" t="s">
        <v>10581</v>
      </c>
      <c r="E3312" s="0" t="s">
        <v>10582</v>
      </c>
      <c r="H3312" s="0" t="s">
        <v>10583</v>
      </c>
      <c r="I3312" s="0" t="s">
        <v>844</v>
      </c>
      <c r="J3312" s="0" t="s">
        <v>245</v>
      </c>
      <c r="K3312" s="0" t="s">
        <v>845</v>
      </c>
      <c r="L3312" s="0" t="s">
        <v>124</v>
      </c>
      <c r="M3312" s="0" t="s">
        <v>247</v>
      </c>
      <c r="N3312" s="0" t="s">
        <v>124</v>
      </c>
      <c r="P3312" s="0" t="s">
        <v>102</v>
      </c>
      <c r="Q3312" s="0" t="s">
        <v>102</v>
      </c>
      <c r="R3312" s="0" t="s">
        <v>113</v>
      </c>
      <c r="S3312" s="0" t="s">
        <v>21</v>
      </c>
      <c r="T3312" s="0" t="s">
        <v>104</v>
      </c>
      <c r="W3312" s="0" t="s">
        <v>105</v>
      </c>
      <c r="X3312" s="0" t="s">
        <v>10584</v>
      </c>
      <c r="Y3312" s="0" t="s">
        <v>10585</v>
      </c>
      <c r="Z3312" s="0" t="s">
        <v>382</v>
      </c>
    </row>
    <row r="3313" customFormat="false" ht="15" hidden="false" customHeight="false" outlineLevel="0" collapsed="false">
      <c r="A3313" s="0" t="s">
        <v>21</v>
      </c>
      <c r="B3313" s="0" t="s">
        <v>10586</v>
      </c>
      <c r="C3313" s="0" t="s">
        <v>110</v>
      </c>
      <c r="D3313" s="0" t="s">
        <v>10587</v>
      </c>
      <c r="E3313" s="0" t="s">
        <v>767</v>
      </c>
      <c r="F3313" s="0" t="s">
        <v>10588</v>
      </c>
      <c r="H3313" s="0" t="s">
        <v>10589</v>
      </c>
      <c r="I3313" s="0" t="s">
        <v>10586</v>
      </c>
      <c r="J3313" s="0" t="s">
        <v>275</v>
      </c>
      <c r="K3313" s="0" t="s">
        <v>2882</v>
      </c>
      <c r="L3313" s="0" t="s">
        <v>124</v>
      </c>
      <c r="M3313" s="0" t="s">
        <v>178</v>
      </c>
      <c r="N3313" s="0" t="s">
        <v>124</v>
      </c>
      <c r="P3313" s="0" t="s">
        <v>102</v>
      </c>
      <c r="Q3313" s="0" t="s">
        <v>102</v>
      </c>
      <c r="R3313" s="0" t="s">
        <v>804</v>
      </c>
      <c r="S3313" s="0" t="s">
        <v>21</v>
      </c>
      <c r="T3313" s="0" t="s">
        <v>104</v>
      </c>
      <c r="V3313" s="0" t="s">
        <v>2084</v>
      </c>
      <c r="W3313" s="0" t="s">
        <v>105</v>
      </c>
      <c r="X3313" s="0" t="s">
        <v>9832</v>
      </c>
      <c r="Y3313" s="0" t="s">
        <v>9833</v>
      </c>
      <c r="Z3313" s="0" t="s">
        <v>350</v>
      </c>
      <c r="AB3313" s="0" t="s">
        <v>2084</v>
      </c>
    </row>
    <row r="3314" customFormat="false" ht="15" hidden="false" customHeight="false" outlineLevel="0" collapsed="false">
      <c r="A3314" s="0" t="s">
        <v>21</v>
      </c>
      <c r="B3314" s="0" t="s">
        <v>10586</v>
      </c>
      <c r="C3314" s="0" t="s">
        <v>110</v>
      </c>
      <c r="D3314" s="0" t="s">
        <v>10587</v>
      </c>
      <c r="E3314" s="0" t="s">
        <v>767</v>
      </c>
      <c r="F3314" s="0" t="s">
        <v>10588</v>
      </c>
      <c r="H3314" s="0" t="s">
        <v>10589</v>
      </c>
      <c r="I3314" s="0" t="s">
        <v>10586</v>
      </c>
      <c r="J3314" s="0" t="s">
        <v>275</v>
      </c>
      <c r="K3314" s="0" t="s">
        <v>2882</v>
      </c>
      <c r="L3314" s="0" t="s">
        <v>124</v>
      </c>
      <c r="M3314" s="0" t="s">
        <v>178</v>
      </c>
      <c r="N3314" s="0" t="s">
        <v>124</v>
      </c>
      <c r="P3314" s="0" t="s">
        <v>130</v>
      </c>
      <c r="Q3314" s="0" t="s">
        <v>130</v>
      </c>
      <c r="R3314" s="0" t="s">
        <v>804</v>
      </c>
      <c r="S3314" s="0" t="s">
        <v>21</v>
      </c>
      <c r="T3314" s="0" t="s">
        <v>104</v>
      </c>
      <c r="U3314" s="0" t="s">
        <v>463</v>
      </c>
      <c r="W3314" s="0" t="s">
        <v>105</v>
      </c>
      <c r="X3314" s="0" t="s">
        <v>9832</v>
      </c>
      <c r="Y3314" s="0" t="s">
        <v>9833</v>
      </c>
      <c r="Z3314" s="0" t="s">
        <v>350</v>
      </c>
      <c r="AB3314" s="0" t="s">
        <v>2084</v>
      </c>
    </row>
    <row r="3315" customFormat="false" ht="15" hidden="false" customHeight="false" outlineLevel="0" collapsed="false">
      <c r="A3315" s="0" t="s">
        <v>21</v>
      </c>
      <c r="B3315" s="0" t="s">
        <v>10590</v>
      </c>
      <c r="C3315" s="0" t="s">
        <v>97</v>
      </c>
      <c r="D3315" s="0" t="s">
        <v>10587</v>
      </c>
      <c r="E3315" s="0" t="s">
        <v>10591</v>
      </c>
      <c r="M3315" s="0" t="s">
        <v>136</v>
      </c>
      <c r="N3315" s="0" t="s">
        <v>124</v>
      </c>
      <c r="P3315" s="0" t="s">
        <v>102</v>
      </c>
      <c r="Q3315" s="0" t="s">
        <v>102</v>
      </c>
      <c r="R3315" s="0" t="s">
        <v>804</v>
      </c>
      <c r="S3315" s="0" t="s">
        <v>21</v>
      </c>
      <c r="T3315" s="0" t="s">
        <v>104</v>
      </c>
      <c r="W3315" s="0" t="s">
        <v>105</v>
      </c>
    </row>
    <row r="3316" customFormat="false" ht="15" hidden="false" customHeight="false" outlineLevel="0" collapsed="false">
      <c r="A3316" s="0" t="s">
        <v>21</v>
      </c>
      <c r="B3316" s="0" t="s">
        <v>10592</v>
      </c>
      <c r="C3316" s="0" t="s">
        <v>97</v>
      </c>
      <c r="D3316" s="0" t="s">
        <v>10593</v>
      </c>
      <c r="E3316" s="0" t="s">
        <v>10593</v>
      </c>
      <c r="M3316" s="0" t="s">
        <v>136</v>
      </c>
      <c r="N3316" s="0" t="s">
        <v>124</v>
      </c>
      <c r="P3316" s="0" t="s">
        <v>102</v>
      </c>
      <c r="Q3316" s="0" t="s">
        <v>102</v>
      </c>
      <c r="R3316" s="0" t="s">
        <v>131</v>
      </c>
      <c r="S3316" s="0" t="s">
        <v>21</v>
      </c>
      <c r="T3316" s="0" t="s">
        <v>104</v>
      </c>
      <c r="W3316" s="0" t="s">
        <v>105</v>
      </c>
    </row>
    <row r="3317" customFormat="false" ht="15" hidden="false" customHeight="false" outlineLevel="0" collapsed="false">
      <c r="A3317" s="0" t="s">
        <v>21</v>
      </c>
      <c r="B3317" s="0" t="s">
        <v>10594</v>
      </c>
      <c r="C3317" s="0" t="s">
        <v>97</v>
      </c>
      <c r="D3317" s="0" t="s">
        <v>10595</v>
      </c>
      <c r="E3317" s="0" t="s">
        <v>10596</v>
      </c>
      <c r="M3317" s="0" t="s">
        <v>136</v>
      </c>
      <c r="N3317" s="0" t="s">
        <v>124</v>
      </c>
      <c r="P3317" s="0" t="s">
        <v>102</v>
      </c>
      <c r="Q3317" s="0" t="s">
        <v>102</v>
      </c>
      <c r="R3317" s="0" t="s">
        <v>131</v>
      </c>
      <c r="S3317" s="0" t="s">
        <v>21</v>
      </c>
      <c r="T3317" s="0" t="s">
        <v>104</v>
      </c>
      <c r="W3317" s="0" t="s">
        <v>105</v>
      </c>
    </row>
    <row r="3318" customFormat="false" ht="15" hidden="false" customHeight="false" outlineLevel="0" collapsed="false">
      <c r="A3318" s="0" t="s">
        <v>21</v>
      </c>
      <c r="B3318" s="0" t="s">
        <v>10597</v>
      </c>
      <c r="C3318" s="0" t="s">
        <v>97</v>
      </c>
      <c r="D3318" s="0" t="s">
        <v>10598</v>
      </c>
      <c r="E3318" s="0" t="s">
        <v>10599</v>
      </c>
      <c r="M3318" s="0" t="s">
        <v>136</v>
      </c>
      <c r="N3318" s="0" t="s">
        <v>124</v>
      </c>
      <c r="P3318" s="0" t="s">
        <v>102</v>
      </c>
      <c r="Q3318" s="0" t="s">
        <v>102</v>
      </c>
      <c r="R3318" s="0" t="s">
        <v>131</v>
      </c>
      <c r="S3318" s="0" t="s">
        <v>21</v>
      </c>
      <c r="T3318" s="0" t="s">
        <v>104</v>
      </c>
      <c r="W3318" s="0" t="s">
        <v>105</v>
      </c>
    </row>
    <row r="3319" customFormat="false" ht="15" hidden="false" customHeight="false" outlineLevel="0" collapsed="false">
      <c r="A3319" s="0" t="s">
        <v>21</v>
      </c>
      <c r="B3319" s="0" t="s">
        <v>10600</v>
      </c>
      <c r="C3319" s="0" t="s">
        <v>97</v>
      </c>
      <c r="D3319" s="0" t="s">
        <v>10601</v>
      </c>
      <c r="E3319" s="0" t="s">
        <v>10601</v>
      </c>
      <c r="F3319" s="0" t="s">
        <v>10601</v>
      </c>
      <c r="M3319" s="0" t="s">
        <v>136</v>
      </c>
      <c r="N3319" s="0" t="s">
        <v>124</v>
      </c>
      <c r="P3319" s="0" t="s">
        <v>102</v>
      </c>
      <c r="Q3319" s="0" t="s">
        <v>102</v>
      </c>
      <c r="R3319" s="0" t="s">
        <v>131</v>
      </c>
      <c r="S3319" s="0" t="s">
        <v>21</v>
      </c>
      <c r="T3319" s="0" t="s">
        <v>104</v>
      </c>
      <c r="W3319" s="0" t="s">
        <v>105</v>
      </c>
    </row>
    <row r="3320" customFormat="false" ht="15" hidden="false" customHeight="false" outlineLevel="0" collapsed="false">
      <c r="A3320" s="0" t="s">
        <v>21</v>
      </c>
      <c r="B3320" s="0" t="s">
        <v>10602</v>
      </c>
      <c r="C3320" s="0" t="s">
        <v>97</v>
      </c>
      <c r="D3320" s="0" t="s">
        <v>10603</v>
      </c>
      <c r="E3320" s="0" t="s">
        <v>10604</v>
      </c>
      <c r="M3320" s="0" t="s">
        <v>136</v>
      </c>
      <c r="N3320" s="0" t="s">
        <v>124</v>
      </c>
      <c r="P3320" s="0" t="s">
        <v>102</v>
      </c>
      <c r="Q3320" s="0" t="s">
        <v>102</v>
      </c>
      <c r="R3320" s="0" t="s">
        <v>113</v>
      </c>
      <c r="S3320" s="0" t="s">
        <v>21</v>
      </c>
      <c r="T3320" s="0" t="s">
        <v>104</v>
      </c>
      <c r="W3320" s="0" t="s">
        <v>105</v>
      </c>
    </row>
    <row r="3321" customFormat="false" ht="15" hidden="false" customHeight="false" outlineLevel="0" collapsed="false">
      <c r="A3321" s="0" t="s">
        <v>21</v>
      </c>
      <c r="B3321" s="0" t="s">
        <v>10605</v>
      </c>
      <c r="C3321" s="0" t="s">
        <v>97</v>
      </c>
      <c r="D3321" s="0" t="s">
        <v>10606</v>
      </c>
      <c r="E3321" s="0" t="s">
        <v>10607</v>
      </c>
      <c r="M3321" s="0" t="s">
        <v>136</v>
      </c>
      <c r="N3321" s="0" t="s">
        <v>124</v>
      </c>
      <c r="P3321" s="0" t="s">
        <v>102</v>
      </c>
      <c r="Q3321" s="0" t="s">
        <v>102</v>
      </c>
      <c r="R3321" s="0" t="s">
        <v>113</v>
      </c>
      <c r="S3321" s="0" t="s">
        <v>21</v>
      </c>
      <c r="T3321" s="0" t="s">
        <v>104</v>
      </c>
      <c r="W3321" s="0" t="s">
        <v>105</v>
      </c>
    </row>
    <row r="3322" customFormat="false" ht="15" hidden="false" customHeight="false" outlineLevel="0" collapsed="false">
      <c r="A3322" s="0" t="s">
        <v>21</v>
      </c>
      <c r="B3322" s="0" t="s">
        <v>10608</v>
      </c>
      <c r="C3322" s="0" t="s">
        <v>661</v>
      </c>
      <c r="D3322" s="0" t="s">
        <v>10609</v>
      </c>
      <c r="E3322" s="0" t="s">
        <v>10609</v>
      </c>
      <c r="M3322" s="0" t="s">
        <v>178</v>
      </c>
      <c r="N3322" s="0" t="s">
        <v>124</v>
      </c>
      <c r="P3322" s="0" t="s">
        <v>130</v>
      </c>
      <c r="Q3322" s="0" t="s">
        <v>130</v>
      </c>
      <c r="R3322" s="0" t="s">
        <v>113</v>
      </c>
      <c r="S3322" s="0" t="s">
        <v>21</v>
      </c>
      <c r="T3322" s="0" t="s">
        <v>104</v>
      </c>
      <c r="W3322" s="0" t="s">
        <v>105</v>
      </c>
    </row>
    <row r="3323" customFormat="false" ht="15" hidden="false" customHeight="false" outlineLevel="0" collapsed="false">
      <c r="A3323" s="0" t="s">
        <v>21</v>
      </c>
      <c r="B3323" s="0" t="s">
        <v>10610</v>
      </c>
      <c r="C3323" s="0" t="s">
        <v>97</v>
      </c>
      <c r="D3323" s="0" t="s">
        <v>5697</v>
      </c>
      <c r="E3323" s="0" t="s">
        <v>10611</v>
      </c>
      <c r="M3323" s="0" t="s">
        <v>136</v>
      </c>
      <c r="N3323" s="0" t="s">
        <v>124</v>
      </c>
      <c r="P3323" s="0" t="s">
        <v>102</v>
      </c>
      <c r="Q3323" s="0" t="s">
        <v>102</v>
      </c>
      <c r="R3323" s="0" t="s">
        <v>131</v>
      </c>
      <c r="S3323" s="0" t="s">
        <v>21</v>
      </c>
      <c r="T3323" s="0" t="s">
        <v>104</v>
      </c>
      <c r="W3323" s="0" t="s">
        <v>105</v>
      </c>
    </row>
    <row r="3324" customFormat="false" ht="15" hidden="false" customHeight="false" outlineLevel="0" collapsed="false">
      <c r="A3324" s="0" t="s">
        <v>21</v>
      </c>
      <c r="B3324" s="0" t="s">
        <v>10612</v>
      </c>
      <c r="C3324" s="0" t="s">
        <v>97</v>
      </c>
      <c r="D3324" s="0" t="s">
        <v>10613</v>
      </c>
      <c r="E3324" s="0" t="s">
        <v>10614</v>
      </c>
      <c r="H3324" s="0" t="s">
        <v>654</v>
      </c>
      <c r="I3324" s="0" t="s">
        <v>655</v>
      </c>
      <c r="J3324" s="0" t="s">
        <v>100</v>
      </c>
      <c r="K3324" s="0" t="s">
        <v>168</v>
      </c>
      <c r="L3324" s="0" t="s">
        <v>101</v>
      </c>
      <c r="M3324" s="0" t="s">
        <v>656</v>
      </c>
      <c r="N3324" s="0" t="s">
        <v>101</v>
      </c>
      <c r="P3324" s="0" t="s">
        <v>102</v>
      </c>
      <c r="Q3324" s="0" t="s">
        <v>102</v>
      </c>
      <c r="R3324" s="0" t="s">
        <v>113</v>
      </c>
      <c r="S3324" s="0" t="s">
        <v>21</v>
      </c>
      <c r="T3324" s="0" t="s">
        <v>104</v>
      </c>
      <c r="W3324" s="0" t="s">
        <v>105</v>
      </c>
      <c r="X3324" s="0" t="s">
        <v>658</v>
      </c>
      <c r="Y3324" s="0" t="s">
        <v>659</v>
      </c>
    </row>
    <row r="3325" customFormat="false" ht="15" hidden="false" customHeight="false" outlineLevel="0" collapsed="false">
      <c r="A3325" s="0" t="s">
        <v>21</v>
      </c>
      <c r="B3325" s="0" t="s">
        <v>10615</v>
      </c>
      <c r="C3325" s="0" t="s">
        <v>139</v>
      </c>
      <c r="D3325" s="0" t="s">
        <v>5087</v>
      </c>
      <c r="E3325" s="0" t="s">
        <v>10616</v>
      </c>
      <c r="F3325" s="0" t="s">
        <v>10617</v>
      </c>
      <c r="G3325" s="0" t="s">
        <v>10618</v>
      </c>
      <c r="H3325" s="0" t="s">
        <v>155</v>
      </c>
      <c r="I3325" s="0" t="s">
        <v>136</v>
      </c>
      <c r="J3325" s="0" t="s">
        <v>157</v>
      </c>
      <c r="K3325" s="0" t="s">
        <v>158</v>
      </c>
      <c r="L3325" s="0" t="s">
        <v>124</v>
      </c>
      <c r="M3325" s="0" t="s">
        <v>232</v>
      </c>
      <c r="N3325" s="0" t="s">
        <v>124</v>
      </c>
      <c r="P3325" s="0" t="s">
        <v>102</v>
      </c>
      <c r="Q3325" s="0" t="s">
        <v>102</v>
      </c>
      <c r="R3325" s="0" t="s">
        <v>137</v>
      </c>
      <c r="S3325" s="0" t="s">
        <v>21</v>
      </c>
      <c r="T3325" s="0" t="s">
        <v>104</v>
      </c>
      <c r="W3325" s="0" t="s">
        <v>105</v>
      </c>
      <c r="X3325" s="0" t="s">
        <v>2798</v>
      </c>
      <c r="Y3325" s="0" t="s">
        <v>2799</v>
      </c>
      <c r="Z3325" s="0" t="s">
        <v>159</v>
      </c>
    </row>
    <row r="3326" customFormat="false" ht="15" hidden="false" customHeight="false" outlineLevel="0" collapsed="false">
      <c r="A3326" s="0" t="s">
        <v>21</v>
      </c>
      <c r="B3326" s="0" t="s">
        <v>10619</v>
      </c>
      <c r="C3326" s="0" t="s">
        <v>139</v>
      </c>
      <c r="D3326" s="0" t="s">
        <v>10620</v>
      </c>
      <c r="E3326" s="0" t="s">
        <v>10621</v>
      </c>
      <c r="F3326" s="0" t="s">
        <v>6358</v>
      </c>
      <c r="G3326" s="0" t="s">
        <v>10622</v>
      </c>
      <c r="H3326" s="0" t="s">
        <v>155</v>
      </c>
      <c r="I3326" s="0" t="s">
        <v>136</v>
      </c>
      <c r="J3326" s="0" t="s">
        <v>157</v>
      </c>
      <c r="K3326" s="0" t="s">
        <v>158</v>
      </c>
      <c r="L3326" s="0" t="s">
        <v>124</v>
      </c>
      <c r="M3326" s="0" t="s">
        <v>232</v>
      </c>
      <c r="N3326" s="0" t="s">
        <v>124</v>
      </c>
      <c r="P3326" s="0" t="s">
        <v>102</v>
      </c>
      <c r="Q3326" s="0" t="s">
        <v>102</v>
      </c>
      <c r="R3326" s="0" t="s">
        <v>137</v>
      </c>
      <c r="S3326" s="0" t="s">
        <v>21</v>
      </c>
      <c r="T3326" s="0" t="s">
        <v>104</v>
      </c>
      <c r="W3326" s="0" t="s">
        <v>105</v>
      </c>
      <c r="X3326" s="0" t="s">
        <v>2798</v>
      </c>
      <c r="Y3326" s="0" t="s">
        <v>2799</v>
      </c>
      <c r="Z3326" s="0" t="s">
        <v>159</v>
      </c>
    </row>
    <row r="3327" customFormat="false" ht="15" hidden="false" customHeight="false" outlineLevel="0" collapsed="false">
      <c r="A3327" s="0" t="s">
        <v>21</v>
      </c>
      <c r="B3327" s="0" t="s">
        <v>10623</v>
      </c>
      <c r="C3327" s="0" t="s">
        <v>139</v>
      </c>
      <c r="D3327" s="0" t="s">
        <v>10624</v>
      </c>
      <c r="E3327" s="0" t="s">
        <v>10625</v>
      </c>
      <c r="F3327" s="0" t="s">
        <v>1832</v>
      </c>
      <c r="G3327" s="0" t="s">
        <v>10626</v>
      </c>
      <c r="H3327" s="0" t="s">
        <v>155</v>
      </c>
      <c r="I3327" s="0" t="s">
        <v>136</v>
      </c>
      <c r="J3327" s="0" t="s">
        <v>157</v>
      </c>
      <c r="K3327" s="0" t="s">
        <v>158</v>
      </c>
      <c r="L3327" s="0" t="s">
        <v>124</v>
      </c>
      <c r="M3327" s="0" t="s">
        <v>232</v>
      </c>
      <c r="N3327" s="0" t="s">
        <v>124</v>
      </c>
      <c r="P3327" s="0" t="s">
        <v>102</v>
      </c>
      <c r="Q3327" s="0" t="s">
        <v>102</v>
      </c>
      <c r="R3327" s="0" t="s">
        <v>137</v>
      </c>
      <c r="S3327" s="0" t="s">
        <v>21</v>
      </c>
      <c r="T3327" s="0" t="s">
        <v>104</v>
      </c>
      <c r="W3327" s="0" t="s">
        <v>105</v>
      </c>
      <c r="X3327" s="0" t="s">
        <v>2798</v>
      </c>
      <c r="Y3327" s="0" t="s">
        <v>2799</v>
      </c>
      <c r="Z3327" s="0" t="s">
        <v>159</v>
      </c>
    </row>
    <row r="3328" customFormat="false" ht="15" hidden="false" customHeight="false" outlineLevel="0" collapsed="false">
      <c r="A3328" s="0" t="s">
        <v>21</v>
      </c>
      <c r="B3328" s="0" t="s">
        <v>10627</v>
      </c>
      <c r="C3328" s="0" t="s">
        <v>139</v>
      </c>
      <c r="D3328" s="0" t="s">
        <v>10628</v>
      </c>
      <c r="E3328" s="0" t="s">
        <v>10629</v>
      </c>
      <c r="H3328" s="0" t="s">
        <v>155</v>
      </c>
      <c r="I3328" s="0" t="s">
        <v>156</v>
      </c>
      <c r="J3328" s="0" t="s">
        <v>157</v>
      </c>
      <c r="K3328" s="0" t="s">
        <v>158</v>
      </c>
      <c r="M3328" s="0" t="s">
        <v>136</v>
      </c>
      <c r="N3328" s="0" t="s">
        <v>124</v>
      </c>
      <c r="P3328" s="0" t="s">
        <v>102</v>
      </c>
      <c r="Q3328" s="0" t="s">
        <v>102</v>
      </c>
      <c r="R3328" s="0" t="s">
        <v>137</v>
      </c>
      <c r="S3328" s="0" t="s">
        <v>21</v>
      </c>
      <c r="T3328" s="0" t="s">
        <v>104</v>
      </c>
      <c r="W3328" s="0" t="s">
        <v>105</v>
      </c>
      <c r="Z3328" s="0" t="s">
        <v>159</v>
      </c>
    </row>
    <row r="3329" customFormat="false" ht="15" hidden="false" customHeight="false" outlineLevel="0" collapsed="false">
      <c r="A3329" s="0" t="s">
        <v>21</v>
      </c>
      <c r="B3329" s="0" t="s">
        <v>10630</v>
      </c>
      <c r="C3329" s="0" t="s">
        <v>139</v>
      </c>
      <c r="D3329" s="0" t="s">
        <v>10631</v>
      </c>
      <c r="E3329" s="0" t="s">
        <v>10632</v>
      </c>
      <c r="F3329" s="0" t="s">
        <v>10633</v>
      </c>
      <c r="G3329" s="0" t="s">
        <v>10634</v>
      </c>
      <c r="H3329" s="0" t="s">
        <v>10635</v>
      </c>
      <c r="I3329" s="0" t="s">
        <v>136</v>
      </c>
      <c r="J3329" s="0" t="s">
        <v>157</v>
      </c>
      <c r="K3329" s="0" t="s">
        <v>158</v>
      </c>
      <c r="L3329" s="0" t="s">
        <v>124</v>
      </c>
      <c r="M3329" s="0" t="s">
        <v>136</v>
      </c>
      <c r="N3329" s="0" t="s">
        <v>124</v>
      </c>
      <c r="P3329" s="0" t="s">
        <v>102</v>
      </c>
      <c r="Q3329" s="0" t="s">
        <v>102</v>
      </c>
      <c r="R3329" s="0" t="s">
        <v>137</v>
      </c>
      <c r="S3329" s="0" t="s">
        <v>21</v>
      </c>
      <c r="T3329" s="0" t="s">
        <v>104</v>
      </c>
      <c r="W3329" s="0" t="s">
        <v>105</v>
      </c>
      <c r="X3329" s="0" t="s">
        <v>2798</v>
      </c>
      <c r="Y3329" s="0" t="s">
        <v>2799</v>
      </c>
      <c r="Z3329" s="0" t="s">
        <v>159</v>
      </c>
    </row>
    <row r="3330" customFormat="false" ht="15" hidden="false" customHeight="false" outlineLevel="0" collapsed="false">
      <c r="A3330" s="0" t="s">
        <v>21</v>
      </c>
      <c r="B3330" s="0" t="s">
        <v>10636</v>
      </c>
      <c r="C3330" s="0" t="s">
        <v>97</v>
      </c>
      <c r="D3330" s="0" t="s">
        <v>10637</v>
      </c>
      <c r="E3330" s="0" t="s">
        <v>10638</v>
      </c>
      <c r="H3330" s="0" t="s">
        <v>654</v>
      </c>
      <c r="I3330" s="0" t="s">
        <v>655</v>
      </c>
      <c r="J3330" s="0" t="s">
        <v>100</v>
      </c>
      <c r="K3330" s="0" t="s">
        <v>168</v>
      </c>
      <c r="L3330" s="0" t="s">
        <v>101</v>
      </c>
      <c r="M3330" s="0" t="s">
        <v>656</v>
      </c>
      <c r="N3330" s="0" t="s">
        <v>101</v>
      </c>
      <c r="P3330" s="0" t="s">
        <v>102</v>
      </c>
      <c r="Q3330" s="0" t="s">
        <v>102</v>
      </c>
      <c r="R3330" s="0" t="s">
        <v>131</v>
      </c>
      <c r="S3330" s="0" t="s">
        <v>21</v>
      </c>
      <c r="T3330" s="0" t="s">
        <v>104</v>
      </c>
      <c r="W3330" s="0" t="s">
        <v>105</v>
      </c>
      <c r="X3330" s="0" t="s">
        <v>658</v>
      </c>
      <c r="Y3330" s="0" t="s">
        <v>659</v>
      </c>
    </row>
    <row r="3331" customFormat="false" ht="15" hidden="false" customHeight="false" outlineLevel="0" collapsed="false">
      <c r="A3331" s="0" t="s">
        <v>21</v>
      </c>
      <c r="B3331" s="0" t="s">
        <v>10639</v>
      </c>
      <c r="C3331" s="0" t="s">
        <v>97</v>
      </c>
      <c r="D3331" s="0" t="s">
        <v>10640</v>
      </c>
      <c r="E3331" s="0" t="s">
        <v>10641</v>
      </c>
      <c r="M3331" s="0" t="s">
        <v>136</v>
      </c>
      <c r="N3331" s="0" t="s">
        <v>124</v>
      </c>
      <c r="P3331" s="0" t="s">
        <v>102</v>
      </c>
      <c r="Q3331" s="0" t="s">
        <v>102</v>
      </c>
      <c r="R3331" s="0" t="s">
        <v>113</v>
      </c>
      <c r="S3331" s="0" t="s">
        <v>21</v>
      </c>
      <c r="T3331" s="0" t="s">
        <v>104</v>
      </c>
      <c r="W3331" s="0" t="s">
        <v>105</v>
      </c>
    </row>
    <row r="3332" customFormat="false" ht="15" hidden="false" customHeight="false" outlineLevel="0" collapsed="false">
      <c r="A3332" s="0" t="s">
        <v>21</v>
      </c>
      <c r="B3332" s="0" t="s">
        <v>10642</v>
      </c>
      <c r="C3332" s="0" t="s">
        <v>97</v>
      </c>
      <c r="D3332" s="0" t="s">
        <v>10643</v>
      </c>
      <c r="E3332" s="0" t="s">
        <v>10644</v>
      </c>
      <c r="M3332" s="0" t="s">
        <v>136</v>
      </c>
      <c r="N3332" s="0" t="s">
        <v>124</v>
      </c>
      <c r="P3332" s="0" t="s">
        <v>102</v>
      </c>
      <c r="Q3332" s="0" t="s">
        <v>102</v>
      </c>
      <c r="R3332" s="0" t="s">
        <v>113</v>
      </c>
      <c r="S3332" s="0" t="s">
        <v>21</v>
      </c>
      <c r="T3332" s="0" t="s">
        <v>104</v>
      </c>
      <c r="W3332" s="0" t="s">
        <v>105</v>
      </c>
    </row>
    <row r="3333" customFormat="false" ht="15" hidden="false" customHeight="false" outlineLevel="0" collapsed="false">
      <c r="A3333" s="0" t="s">
        <v>21</v>
      </c>
      <c r="B3333" s="0" t="s">
        <v>10645</v>
      </c>
      <c r="C3333" s="0" t="s">
        <v>6084</v>
      </c>
      <c r="D3333" s="0" t="s">
        <v>2036</v>
      </c>
      <c r="E3333" s="0" t="s">
        <v>2036</v>
      </c>
      <c r="G3333" s="0" t="s">
        <v>10646</v>
      </c>
      <c r="H3333" s="0" t="s">
        <v>10647</v>
      </c>
      <c r="I3333" s="0" t="s">
        <v>10648</v>
      </c>
      <c r="J3333" s="0" t="s">
        <v>157</v>
      </c>
      <c r="K3333" s="0" t="s">
        <v>5466</v>
      </c>
      <c r="M3333" s="0" t="s">
        <v>5465</v>
      </c>
      <c r="N3333" s="0" t="s">
        <v>124</v>
      </c>
      <c r="P3333" s="0" t="s">
        <v>102</v>
      </c>
      <c r="Q3333" s="0" t="s">
        <v>102</v>
      </c>
      <c r="R3333" s="0" t="s">
        <v>137</v>
      </c>
      <c r="S3333" s="0" t="s">
        <v>21</v>
      </c>
      <c r="T3333" s="0" t="s">
        <v>104</v>
      </c>
      <c r="W3333" s="0" t="s">
        <v>105</v>
      </c>
      <c r="X3333" s="0" t="s">
        <v>10649</v>
      </c>
      <c r="Y3333" s="0" t="s">
        <v>10650</v>
      </c>
      <c r="Z3333" s="0" t="s">
        <v>159</v>
      </c>
    </row>
    <row r="3334" customFormat="false" ht="41.75" hidden="false" customHeight="false" outlineLevel="0" collapsed="false">
      <c r="A3334" s="0" t="s">
        <v>21</v>
      </c>
      <c r="B3334" s="0" t="s">
        <v>10651</v>
      </c>
      <c r="C3334" s="0" t="s">
        <v>110</v>
      </c>
      <c r="D3334" s="0" t="s">
        <v>10603</v>
      </c>
      <c r="E3334" s="0" t="s">
        <v>10652</v>
      </c>
      <c r="F3334" s="0" t="s">
        <v>10603</v>
      </c>
      <c r="G3334" s="9" t="s">
        <v>10653</v>
      </c>
      <c r="M3334" s="0" t="s">
        <v>156</v>
      </c>
      <c r="N3334" s="0" t="s">
        <v>124</v>
      </c>
      <c r="P3334" s="0" t="s">
        <v>130</v>
      </c>
      <c r="Q3334" s="0" t="s">
        <v>130</v>
      </c>
      <c r="R3334" s="0" t="s">
        <v>113</v>
      </c>
      <c r="S3334" s="0" t="s">
        <v>21</v>
      </c>
      <c r="T3334" s="0" t="s">
        <v>104</v>
      </c>
      <c r="W3334" s="0" t="s">
        <v>105</v>
      </c>
    </row>
    <row r="3335" customFormat="false" ht="15" hidden="false" customHeight="false" outlineLevel="0" collapsed="false">
      <c r="A3335" s="0" t="s">
        <v>21</v>
      </c>
      <c r="B3335" s="0" t="s">
        <v>10654</v>
      </c>
      <c r="C3335" s="0" t="s">
        <v>97</v>
      </c>
      <c r="D3335" s="0" t="s">
        <v>10655</v>
      </c>
      <c r="E3335" s="0" t="s">
        <v>10656</v>
      </c>
      <c r="G3335" s="0" t="s">
        <v>10657</v>
      </c>
      <c r="H3335" s="0" t="s">
        <v>654</v>
      </c>
      <c r="I3335" s="0" t="s">
        <v>655</v>
      </c>
      <c r="J3335" s="0" t="s">
        <v>100</v>
      </c>
      <c r="K3335" s="0" t="s">
        <v>168</v>
      </c>
      <c r="L3335" s="0" t="s">
        <v>101</v>
      </c>
      <c r="M3335" s="0" t="s">
        <v>656</v>
      </c>
      <c r="N3335" s="0" t="s">
        <v>101</v>
      </c>
      <c r="P3335" s="0" t="s">
        <v>102</v>
      </c>
      <c r="Q3335" s="0" t="s">
        <v>102</v>
      </c>
      <c r="R3335" s="0" t="s">
        <v>131</v>
      </c>
      <c r="S3335" s="0" t="s">
        <v>21</v>
      </c>
      <c r="T3335" s="0" t="s">
        <v>104</v>
      </c>
      <c r="W3335" s="0" t="s">
        <v>105</v>
      </c>
      <c r="X3335" s="0" t="s">
        <v>658</v>
      </c>
      <c r="Y3335" s="0" t="s">
        <v>659</v>
      </c>
    </row>
    <row r="3336" customFormat="false" ht="15" hidden="false" customHeight="false" outlineLevel="0" collapsed="false">
      <c r="A3336" s="0" t="s">
        <v>21</v>
      </c>
      <c r="B3336" s="0" t="s">
        <v>10658</v>
      </c>
      <c r="C3336" s="0" t="s">
        <v>97</v>
      </c>
      <c r="D3336" s="0" t="s">
        <v>9701</v>
      </c>
      <c r="E3336" s="0" t="s">
        <v>10659</v>
      </c>
      <c r="H3336" s="0" t="s">
        <v>654</v>
      </c>
      <c r="I3336" s="0" t="s">
        <v>655</v>
      </c>
      <c r="J3336" s="0" t="s">
        <v>100</v>
      </c>
      <c r="K3336" s="0" t="s">
        <v>168</v>
      </c>
      <c r="L3336" s="0" t="s">
        <v>101</v>
      </c>
      <c r="M3336" s="0" t="s">
        <v>656</v>
      </c>
      <c r="N3336" s="0" t="s">
        <v>101</v>
      </c>
      <c r="P3336" s="0" t="s">
        <v>102</v>
      </c>
      <c r="Q3336" s="0" t="s">
        <v>102</v>
      </c>
      <c r="R3336" s="0" t="s">
        <v>144</v>
      </c>
      <c r="S3336" s="0" t="s">
        <v>21</v>
      </c>
      <c r="T3336" s="0" t="s">
        <v>104</v>
      </c>
      <c r="W3336" s="0" t="s">
        <v>105</v>
      </c>
      <c r="X3336" s="0" t="s">
        <v>658</v>
      </c>
      <c r="Y3336" s="0" t="s">
        <v>659</v>
      </c>
    </row>
    <row r="3337" customFormat="false" ht="15" hidden="false" customHeight="false" outlineLevel="0" collapsed="false">
      <c r="A3337" s="0" t="s">
        <v>21</v>
      </c>
      <c r="B3337" s="0" t="s">
        <v>10660</v>
      </c>
      <c r="C3337" s="0" t="s">
        <v>97</v>
      </c>
      <c r="D3337" s="0" t="s">
        <v>10661</v>
      </c>
      <c r="E3337" s="0" t="s">
        <v>10659</v>
      </c>
      <c r="M3337" s="0" t="s">
        <v>100</v>
      </c>
      <c r="N3337" s="0" t="s">
        <v>101</v>
      </c>
      <c r="P3337" s="0" t="s">
        <v>102</v>
      </c>
      <c r="Q3337" s="0" t="s">
        <v>102</v>
      </c>
      <c r="R3337" s="0" t="s">
        <v>144</v>
      </c>
      <c r="S3337" s="0" t="s">
        <v>21</v>
      </c>
      <c r="T3337" s="0" t="s">
        <v>104</v>
      </c>
      <c r="W3337" s="0" t="s">
        <v>105</v>
      </c>
    </row>
    <row r="3338" customFormat="false" ht="15" hidden="false" customHeight="false" outlineLevel="0" collapsed="false">
      <c r="A3338" s="0" t="s">
        <v>21</v>
      </c>
      <c r="B3338" s="0" t="s">
        <v>10662</v>
      </c>
      <c r="C3338" s="0" t="s">
        <v>97</v>
      </c>
      <c r="D3338" s="0" t="s">
        <v>10663</v>
      </c>
      <c r="E3338" s="0" t="s">
        <v>10664</v>
      </c>
      <c r="H3338" s="0" t="s">
        <v>654</v>
      </c>
      <c r="I3338" s="0" t="s">
        <v>655</v>
      </c>
      <c r="J3338" s="0" t="s">
        <v>100</v>
      </c>
      <c r="K3338" s="0" t="s">
        <v>168</v>
      </c>
      <c r="L3338" s="0" t="s">
        <v>101</v>
      </c>
      <c r="M3338" s="0" t="s">
        <v>656</v>
      </c>
      <c r="N3338" s="0" t="s">
        <v>101</v>
      </c>
      <c r="P3338" s="0" t="s">
        <v>102</v>
      </c>
      <c r="Q3338" s="0" t="s">
        <v>102</v>
      </c>
      <c r="R3338" s="0" t="s">
        <v>144</v>
      </c>
      <c r="S3338" s="0" t="s">
        <v>21</v>
      </c>
      <c r="T3338" s="0" t="s">
        <v>104</v>
      </c>
      <c r="W3338" s="0" t="s">
        <v>105</v>
      </c>
      <c r="X3338" s="0" t="s">
        <v>658</v>
      </c>
      <c r="Y3338" s="0" t="s">
        <v>659</v>
      </c>
    </row>
    <row r="3339" customFormat="false" ht="15" hidden="false" customHeight="false" outlineLevel="0" collapsed="false">
      <c r="A3339" s="0" t="s">
        <v>21</v>
      </c>
      <c r="B3339" s="0" t="s">
        <v>10665</v>
      </c>
      <c r="C3339" s="0" t="s">
        <v>97</v>
      </c>
      <c r="D3339" s="0" t="s">
        <v>4940</v>
      </c>
      <c r="E3339" s="0" t="s">
        <v>10666</v>
      </c>
      <c r="H3339" s="0" t="s">
        <v>654</v>
      </c>
      <c r="I3339" s="0" t="s">
        <v>655</v>
      </c>
      <c r="J3339" s="0" t="s">
        <v>100</v>
      </c>
      <c r="K3339" s="0" t="s">
        <v>168</v>
      </c>
      <c r="L3339" s="0" t="s">
        <v>101</v>
      </c>
      <c r="M3339" s="0" t="s">
        <v>656</v>
      </c>
      <c r="N3339" s="0" t="s">
        <v>101</v>
      </c>
      <c r="P3339" s="0" t="s">
        <v>102</v>
      </c>
      <c r="Q3339" s="0" t="s">
        <v>102</v>
      </c>
      <c r="R3339" s="0" t="s">
        <v>113</v>
      </c>
      <c r="S3339" s="0" t="s">
        <v>21</v>
      </c>
      <c r="T3339" s="0" t="s">
        <v>104</v>
      </c>
      <c r="W3339" s="0" t="s">
        <v>105</v>
      </c>
      <c r="X3339" s="0" t="s">
        <v>658</v>
      </c>
      <c r="Y3339" s="0" t="s">
        <v>659</v>
      </c>
    </row>
    <row r="3340" customFormat="false" ht="15" hidden="false" customHeight="false" outlineLevel="0" collapsed="false">
      <c r="A3340" s="0" t="s">
        <v>21</v>
      </c>
      <c r="B3340" s="0" t="s">
        <v>10667</v>
      </c>
      <c r="C3340" s="0" t="s">
        <v>97</v>
      </c>
      <c r="D3340" s="0" t="s">
        <v>10668</v>
      </c>
      <c r="E3340" s="0" t="s">
        <v>10669</v>
      </c>
      <c r="H3340" s="0" t="s">
        <v>654</v>
      </c>
      <c r="I3340" s="0" t="s">
        <v>655</v>
      </c>
      <c r="J3340" s="0" t="s">
        <v>100</v>
      </c>
      <c r="K3340" s="0" t="s">
        <v>168</v>
      </c>
      <c r="L3340" s="0" t="s">
        <v>101</v>
      </c>
      <c r="M3340" s="0" t="s">
        <v>656</v>
      </c>
      <c r="N3340" s="0" t="s">
        <v>101</v>
      </c>
      <c r="P3340" s="0" t="s">
        <v>102</v>
      </c>
      <c r="Q3340" s="0" t="s">
        <v>102</v>
      </c>
      <c r="R3340" s="0" t="s">
        <v>131</v>
      </c>
      <c r="S3340" s="0" t="s">
        <v>21</v>
      </c>
      <c r="T3340" s="0" t="s">
        <v>104</v>
      </c>
      <c r="W3340" s="0" t="s">
        <v>105</v>
      </c>
      <c r="X3340" s="0" t="s">
        <v>658</v>
      </c>
      <c r="Y3340" s="0" t="s">
        <v>659</v>
      </c>
    </row>
    <row r="3341" customFormat="false" ht="15" hidden="false" customHeight="false" outlineLevel="0" collapsed="false">
      <c r="A3341" s="0" t="s">
        <v>21</v>
      </c>
      <c r="B3341" s="0" t="s">
        <v>10670</v>
      </c>
      <c r="C3341" s="0" t="s">
        <v>97</v>
      </c>
      <c r="D3341" s="0" t="s">
        <v>10671</v>
      </c>
      <c r="E3341" s="0" t="s">
        <v>10672</v>
      </c>
      <c r="H3341" s="0" t="s">
        <v>654</v>
      </c>
      <c r="I3341" s="0" t="s">
        <v>655</v>
      </c>
      <c r="J3341" s="0" t="s">
        <v>100</v>
      </c>
      <c r="K3341" s="0" t="s">
        <v>168</v>
      </c>
      <c r="L3341" s="0" t="s">
        <v>101</v>
      </c>
      <c r="M3341" s="0" t="s">
        <v>656</v>
      </c>
      <c r="N3341" s="0" t="s">
        <v>101</v>
      </c>
      <c r="P3341" s="0" t="s">
        <v>102</v>
      </c>
      <c r="Q3341" s="0" t="s">
        <v>102</v>
      </c>
      <c r="R3341" s="0" t="s">
        <v>113</v>
      </c>
      <c r="S3341" s="0" t="s">
        <v>21</v>
      </c>
      <c r="T3341" s="0" t="s">
        <v>104</v>
      </c>
      <c r="W3341" s="0" t="s">
        <v>105</v>
      </c>
      <c r="X3341" s="0" t="s">
        <v>658</v>
      </c>
      <c r="Y3341" s="0" t="s">
        <v>659</v>
      </c>
    </row>
    <row r="3342" customFormat="false" ht="15" hidden="false" customHeight="false" outlineLevel="0" collapsed="false">
      <c r="A3342" s="0" t="s">
        <v>21</v>
      </c>
      <c r="B3342" s="0" t="s">
        <v>10673</v>
      </c>
      <c r="C3342" s="0" t="s">
        <v>97</v>
      </c>
      <c r="D3342" s="0" t="s">
        <v>10674</v>
      </c>
      <c r="E3342" s="0" t="s">
        <v>10675</v>
      </c>
      <c r="H3342" s="0" t="s">
        <v>654</v>
      </c>
      <c r="I3342" s="0" t="s">
        <v>655</v>
      </c>
      <c r="J3342" s="0" t="s">
        <v>100</v>
      </c>
      <c r="K3342" s="0" t="s">
        <v>168</v>
      </c>
      <c r="L3342" s="0" t="s">
        <v>101</v>
      </c>
      <c r="M3342" s="0" t="s">
        <v>656</v>
      </c>
      <c r="N3342" s="0" t="s">
        <v>101</v>
      </c>
      <c r="P3342" s="0" t="s">
        <v>102</v>
      </c>
      <c r="Q3342" s="0" t="s">
        <v>102</v>
      </c>
      <c r="R3342" s="0" t="s">
        <v>144</v>
      </c>
      <c r="S3342" s="0" t="s">
        <v>21</v>
      </c>
      <c r="T3342" s="0" t="s">
        <v>104</v>
      </c>
      <c r="W3342" s="0" t="s">
        <v>105</v>
      </c>
      <c r="X3342" s="0" t="s">
        <v>658</v>
      </c>
      <c r="Y3342" s="0" t="s">
        <v>659</v>
      </c>
    </row>
    <row r="3343" customFormat="false" ht="15" hidden="false" customHeight="false" outlineLevel="0" collapsed="false">
      <c r="A3343" s="0" t="s">
        <v>21</v>
      </c>
      <c r="B3343" s="0" t="s">
        <v>10676</v>
      </c>
      <c r="C3343" s="0" t="s">
        <v>97</v>
      </c>
      <c r="D3343" s="0" t="s">
        <v>10677</v>
      </c>
      <c r="E3343" s="0" t="s">
        <v>10675</v>
      </c>
      <c r="M3343" s="0" t="s">
        <v>100</v>
      </c>
      <c r="N3343" s="0" t="s">
        <v>101</v>
      </c>
      <c r="P3343" s="0" t="s">
        <v>102</v>
      </c>
      <c r="Q3343" s="0" t="s">
        <v>102</v>
      </c>
      <c r="R3343" s="0" t="s">
        <v>144</v>
      </c>
      <c r="S3343" s="0" t="s">
        <v>21</v>
      </c>
      <c r="T3343" s="0" t="s">
        <v>104</v>
      </c>
      <c r="W3343" s="0" t="s">
        <v>105</v>
      </c>
    </row>
    <row r="3344" customFormat="false" ht="15" hidden="false" customHeight="false" outlineLevel="0" collapsed="false">
      <c r="A3344" s="0" t="s">
        <v>21</v>
      </c>
      <c r="B3344" s="0" t="s">
        <v>10678</v>
      </c>
      <c r="C3344" s="0" t="s">
        <v>97</v>
      </c>
      <c r="D3344" s="0" t="s">
        <v>10679</v>
      </c>
      <c r="E3344" s="0" t="s">
        <v>10680</v>
      </c>
      <c r="M3344" s="0" t="s">
        <v>136</v>
      </c>
      <c r="N3344" s="0" t="s">
        <v>124</v>
      </c>
      <c r="P3344" s="0" t="s">
        <v>102</v>
      </c>
      <c r="Q3344" s="0" t="s">
        <v>102</v>
      </c>
      <c r="R3344" s="0" t="s">
        <v>131</v>
      </c>
      <c r="S3344" s="0" t="s">
        <v>21</v>
      </c>
      <c r="T3344" s="0" t="s">
        <v>104</v>
      </c>
      <c r="W3344" s="0" t="s">
        <v>105</v>
      </c>
    </row>
    <row r="3345" customFormat="false" ht="15" hidden="false" customHeight="false" outlineLevel="0" collapsed="false">
      <c r="A3345" s="0" t="s">
        <v>21</v>
      </c>
      <c r="B3345" s="0" t="s">
        <v>10681</v>
      </c>
      <c r="C3345" s="0" t="s">
        <v>97</v>
      </c>
      <c r="D3345" s="0" t="s">
        <v>10682</v>
      </c>
      <c r="E3345" s="0" t="s">
        <v>10683</v>
      </c>
      <c r="M3345" s="0" t="s">
        <v>656</v>
      </c>
      <c r="N3345" s="0" t="s">
        <v>101</v>
      </c>
      <c r="P3345" s="0" t="s">
        <v>102</v>
      </c>
      <c r="Q3345" s="0" t="s">
        <v>102</v>
      </c>
      <c r="R3345" s="0" t="s">
        <v>144</v>
      </c>
      <c r="S3345" s="0" t="s">
        <v>21</v>
      </c>
      <c r="T3345" s="0" t="s">
        <v>104</v>
      </c>
      <c r="W3345" s="0" t="s">
        <v>105</v>
      </c>
    </row>
    <row r="3346" customFormat="false" ht="15" hidden="false" customHeight="false" outlineLevel="0" collapsed="false">
      <c r="A3346" s="0" t="s">
        <v>21</v>
      </c>
      <c r="B3346" s="0" t="s">
        <v>10684</v>
      </c>
      <c r="C3346" s="0" t="s">
        <v>97</v>
      </c>
      <c r="D3346" s="0" t="s">
        <v>10685</v>
      </c>
      <c r="E3346" s="0" t="s">
        <v>10686</v>
      </c>
      <c r="H3346" s="0" t="s">
        <v>654</v>
      </c>
      <c r="I3346" s="0" t="s">
        <v>655</v>
      </c>
      <c r="J3346" s="0" t="s">
        <v>100</v>
      </c>
      <c r="K3346" s="0" t="s">
        <v>168</v>
      </c>
      <c r="L3346" s="0" t="s">
        <v>101</v>
      </c>
      <c r="M3346" s="0" t="s">
        <v>656</v>
      </c>
      <c r="N3346" s="0" t="s">
        <v>101</v>
      </c>
      <c r="P3346" s="0" t="s">
        <v>102</v>
      </c>
      <c r="Q3346" s="0" t="s">
        <v>102</v>
      </c>
      <c r="R3346" s="0" t="s">
        <v>144</v>
      </c>
      <c r="S3346" s="0" t="s">
        <v>21</v>
      </c>
      <c r="T3346" s="0" t="s">
        <v>104</v>
      </c>
      <c r="W3346" s="0" t="s">
        <v>105</v>
      </c>
      <c r="X3346" s="0" t="s">
        <v>658</v>
      </c>
      <c r="Y3346" s="0" t="s">
        <v>659</v>
      </c>
    </row>
    <row r="3347" customFormat="false" ht="15" hidden="false" customHeight="false" outlineLevel="0" collapsed="false">
      <c r="A3347" s="0" t="s">
        <v>21</v>
      </c>
      <c r="B3347" s="0" t="s">
        <v>10687</v>
      </c>
      <c r="C3347" s="0" t="s">
        <v>97</v>
      </c>
      <c r="D3347" s="0" t="s">
        <v>10685</v>
      </c>
      <c r="E3347" s="0" t="s">
        <v>10688</v>
      </c>
      <c r="M3347" s="0" t="s">
        <v>100</v>
      </c>
      <c r="N3347" s="0" t="s">
        <v>101</v>
      </c>
      <c r="P3347" s="0" t="s">
        <v>102</v>
      </c>
      <c r="Q3347" s="0" t="s">
        <v>102</v>
      </c>
      <c r="R3347" s="0" t="s">
        <v>144</v>
      </c>
      <c r="S3347" s="0" t="s">
        <v>21</v>
      </c>
      <c r="T3347" s="0" t="s">
        <v>104</v>
      </c>
      <c r="W3347" s="0" t="s">
        <v>105</v>
      </c>
    </row>
    <row r="3348" customFormat="false" ht="15" hidden="false" customHeight="false" outlineLevel="0" collapsed="false">
      <c r="A3348" s="0" t="s">
        <v>21</v>
      </c>
      <c r="B3348" s="0" t="s">
        <v>10689</v>
      </c>
      <c r="C3348" s="0" t="s">
        <v>97</v>
      </c>
      <c r="D3348" s="0" t="s">
        <v>10690</v>
      </c>
      <c r="E3348" s="0" t="s">
        <v>10690</v>
      </c>
      <c r="F3348" s="0" t="s">
        <v>10690</v>
      </c>
      <c r="M3348" s="0" t="s">
        <v>100</v>
      </c>
      <c r="N3348" s="0" t="s">
        <v>101</v>
      </c>
      <c r="P3348" s="0" t="s">
        <v>102</v>
      </c>
      <c r="Q3348" s="0" t="s">
        <v>102</v>
      </c>
      <c r="R3348" s="0" t="s">
        <v>131</v>
      </c>
      <c r="S3348" s="0" t="s">
        <v>21</v>
      </c>
      <c r="T3348" s="0" t="s">
        <v>104</v>
      </c>
      <c r="W3348" s="0" t="s">
        <v>105</v>
      </c>
    </row>
    <row r="3349" customFormat="false" ht="15" hidden="false" customHeight="false" outlineLevel="0" collapsed="false">
      <c r="A3349" s="0" t="s">
        <v>21</v>
      </c>
      <c r="B3349" s="0" t="s">
        <v>10691</v>
      </c>
      <c r="C3349" s="0" t="s">
        <v>97</v>
      </c>
      <c r="D3349" s="0" t="s">
        <v>10692</v>
      </c>
      <c r="E3349" s="0" t="s">
        <v>10693</v>
      </c>
      <c r="M3349" s="0" t="s">
        <v>136</v>
      </c>
      <c r="N3349" s="0" t="s">
        <v>124</v>
      </c>
      <c r="P3349" s="0" t="s">
        <v>102</v>
      </c>
      <c r="Q3349" s="0" t="s">
        <v>102</v>
      </c>
      <c r="R3349" s="0" t="s">
        <v>144</v>
      </c>
      <c r="S3349" s="0" t="s">
        <v>21</v>
      </c>
      <c r="T3349" s="0" t="s">
        <v>104</v>
      </c>
      <c r="W3349" s="0" t="s">
        <v>105</v>
      </c>
    </row>
    <row r="3350" customFormat="false" ht="15" hidden="false" customHeight="false" outlineLevel="0" collapsed="false">
      <c r="A3350" s="0" t="s">
        <v>21</v>
      </c>
      <c r="B3350" s="0" t="s">
        <v>10694</v>
      </c>
      <c r="C3350" s="0" t="s">
        <v>97</v>
      </c>
      <c r="D3350" s="0" t="s">
        <v>10695</v>
      </c>
      <c r="E3350" s="0" t="s">
        <v>10696</v>
      </c>
      <c r="M3350" s="0" t="s">
        <v>136</v>
      </c>
      <c r="N3350" s="0" t="s">
        <v>124</v>
      </c>
      <c r="P3350" s="0" t="s">
        <v>102</v>
      </c>
      <c r="Q3350" s="0" t="s">
        <v>102</v>
      </c>
      <c r="R3350" s="0" t="s">
        <v>234</v>
      </c>
      <c r="S3350" s="0" t="s">
        <v>21</v>
      </c>
      <c r="T3350" s="0" t="s">
        <v>104</v>
      </c>
      <c r="W3350" s="0" t="s">
        <v>105</v>
      </c>
    </row>
    <row r="3351" customFormat="false" ht="15" hidden="false" customHeight="false" outlineLevel="0" collapsed="false">
      <c r="A3351" s="0" t="s">
        <v>21</v>
      </c>
      <c r="B3351" s="0" t="s">
        <v>10697</v>
      </c>
      <c r="C3351" s="0" t="s">
        <v>97</v>
      </c>
      <c r="D3351" s="0" t="s">
        <v>10698</v>
      </c>
      <c r="E3351" s="0" t="s">
        <v>10699</v>
      </c>
      <c r="M3351" s="0" t="s">
        <v>136</v>
      </c>
      <c r="N3351" s="0" t="s">
        <v>124</v>
      </c>
      <c r="P3351" s="0" t="s">
        <v>102</v>
      </c>
      <c r="Q3351" s="0" t="s">
        <v>102</v>
      </c>
      <c r="R3351" s="0" t="s">
        <v>144</v>
      </c>
      <c r="S3351" s="0" t="s">
        <v>21</v>
      </c>
      <c r="T3351" s="0" t="s">
        <v>104</v>
      </c>
      <c r="W3351" s="0" t="s">
        <v>105</v>
      </c>
    </row>
    <row r="3352" customFormat="false" ht="15" hidden="false" customHeight="false" outlineLevel="0" collapsed="false">
      <c r="A3352" s="0" t="s">
        <v>21</v>
      </c>
      <c r="B3352" s="0" t="s">
        <v>10700</v>
      </c>
      <c r="C3352" s="0" t="s">
        <v>97</v>
      </c>
      <c r="D3352" s="0" t="s">
        <v>10701</v>
      </c>
      <c r="E3352" s="0" t="s">
        <v>10702</v>
      </c>
      <c r="M3352" s="0" t="s">
        <v>100</v>
      </c>
      <c r="N3352" s="0" t="s">
        <v>101</v>
      </c>
      <c r="P3352" s="0" t="s">
        <v>102</v>
      </c>
      <c r="Q3352" s="0" t="s">
        <v>102</v>
      </c>
      <c r="R3352" s="0" t="s">
        <v>131</v>
      </c>
      <c r="S3352" s="0" t="s">
        <v>21</v>
      </c>
      <c r="T3352" s="0" t="s">
        <v>104</v>
      </c>
      <c r="W3352" s="0" t="s">
        <v>105</v>
      </c>
    </row>
    <row r="3353" customFormat="false" ht="15" hidden="false" customHeight="false" outlineLevel="0" collapsed="false">
      <c r="A3353" s="0" t="s">
        <v>21</v>
      </c>
      <c r="B3353" s="0" t="s">
        <v>10703</v>
      </c>
      <c r="C3353" s="0" t="s">
        <v>97</v>
      </c>
      <c r="D3353" s="0" t="s">
        <v>10704</v>
      </c>
      <c r="E3353" s="0" t="s">
        <v>10705</v>
      </c>
      <c r="M3353" s="0" t="s">
        <v>136</v>
      </c>
      <c r="N3353" s="0" t="s">
        <v>124</v>
      </c>
      <c r="P3353" s="0" t="s">
        <v>102</v>
      </c>
      <c r="Q3353" s="0" t="s">
        <v>102</v>
      </c>
      <c r="R3353" s="0" t="s">
        <v>224</v>
      </c>
      <c r="S3353" s="0" t="s">
        <v>21</v>
      </c>
      <c r="T3353" s="0" t="s">
        <v>104</v>
      </c>
      <c r="W3353" s="0" t="s">
        <v>105</v>
      </c>
    </row>
    <row r="3354" customFormat="false" ht="15" hidden="false" customHeight="false" outlineLevel="0" collapsed="false">
      <c r="A3354" s="0" t="s">
        <v>21</v>
      </c>
      <c r="B3354" s="0" t="s">
        <v>10706</v>
      </c>
      <c r="C3354" s="0" t="s">
        <v>97</v>
      </c>
      <c r="D3354" s="0" t="s">
        <v>10707</v>
      </c>
      <c r="E3354" s="0" t="s">
        <v>10708</v>
      </c>
      <c r="M3354" s="0" t="s">
        <v>136</v>
      </c>
      <c r="N3354" s="0" t="s">
        <v>124</v>
      </c>
      <c r="P3354" s="0" t="s">
        <v>102</v>
      </c>
      <c r="Q3354" s="0" t="s">
        <v>102</v>
      </c>
      <c r="R3354" s="0" t="s">
        <v>131</v>
      </c>
      <c r="S3354" s="0" t="s">
        <v>21</v>
      </c>
      <c r="T3354" s="0" t="s">
        <v>104</v>
      </c>
      <c r="W3354" s="0" t="s">
        <v>105</v>
      </c>
    </row>
    <row r="3355" customFormat="false" ht="15" hidden="false" customHeight="false" outlineLevel="0" collapsed="false">
      <c r="A3355" s="0" t="s">
        <v>21</v>
      </c>
      <c r="B3355" s="0" t="s">
        <v>10709</v>
      </c>
      <c r="C3355" s="0" t="s">
        <v>97</v>
      </c>
      <c r="D3355" s="0" t="s">
        <v>10710</v>
      </c>
      <c r="E3355" s="0" t="s">
        <v>10711</v>
      </c>
      <c r="M3355" s="0" t="s">
        <v>136</v>
      </c>
      <c r="N3355" s="0" t="s">
        <v>124</v>
      </c>
      <c r="P3355" s="0" t="s">
        <v>102</v>
      </c>
      <c r="Q3355" s="0" t="s">
        <v>102</v>
      </c>
      <c r="R3355" s="0" t="s">
        <v>113</v>
      </c>
      <c r="S3355" s="0" t="s">
        <v>21</v>
      </c>
      <c r="T3355" s="0" t="s">
        <v>104</v>
      </c>
      <c r="W3355" s="0" t="s">
        <v>105</v>
      </c>
    </row>
    <row r="3356" customFormat="false" ht="15" hidden="false" customHeight="false" outlineLevel="0" collapsed="false">
      <c r="A3356" s="0" t="s">
        <v>21</v>
      </c>
      <c r="B3356" s="0" t="s">
        <v>10712</v>
      </c>
      <c r="C3356" s="0" t="s">
        <v>97</v>
      </c>
      <c r="D3356" s="0" t="s">
        <v>10713</v>
      </c>
      <c r="E3356" s="0" t="s">
        <v>10714</v>
      </c>
      <c r="M3356" s="0" t="s">
        <v>136</v>
      </c>
      <c r="N3356" s="0" t="s">
        <v>124</v>
      </c>
      <c r="P3356" s="0" t="s">
        <v>102</v>
      </c>
      <c r="Q3356" s="0" t="s">
        <v>102</v>
      </c>
      <c r="R3356" s="0" t="s">
        <v>113</v>
      </c>
      <c r="S3356" s="0" t="s">
        <v>21</v>
      </c>
      <c r="T3356" s="0" t="s">
        <v>104</v>
      </c>
      <c r="W3356" s="0" t="s">
        <v>105</v>
      </c>
    </row>
    <row r="3357" customFormat="false" ht="15" hidden="false" customHeight="false" outlineLevel="0" collapsed="false">
      <c r="A3357" s="0" t="s">
        <v>21</v>
      </c>
      <c r="B3357" s="0" t="s">
        <v>10715</v>
      </c>
      <c r="C3357" s="0" t="s">
        <v>97</v>
      </c>
      <c r="D3357" s="0" t="s">
        <v>10716</v>
      </c>
      <c r="E3357" s="0" t="s">
        <v>10717</v>
      </c>
      <c r="M3357" s="0" t="s">
        <v>136</v>
      </c>
      <c r="N3357" s="0" t="s">
        <v>124</v>
      </c>
      <c r="P3357" s="0" t="s">
        <v>102</v>
      </c>
      <c r="Q3357" s="0" t="s">
        <v>102</v>
      </c>
      <c r="R3357" s="0" t="s">
        <v>113</v>
      </c>
      <c r="S3357" s="0" t="s">
        <v>21</v>
      </c>
      <c r="T3357" s="0" t="s">
        <v>104</v>
      </c>
      <c r="W3357" s="0" t="s">
        <v>105</v>
      </c>
    </row>
    <row r="3358" customFormat="false" ht="15" hidden="false" customHeight="false" outlineLevel="0" collapsed="false">
      <c r="A3358" s="0" t="s">
        <v>21</v>
      </c>
      <c r="B3358" s="0" t="s">
        <v>10718</v>
      </c>
      <c r="C3358" s="0" t="s">
        <v>97</v>
      </c>
      <c r="D3358" s="0" t="s">
        <v>10719</v>
      </c>
      <c r="E3358" s="0" t="s">
        <v>10720</v>
      </c>
      <c r="M3358" s="0" t="s">
        <v>136</v>
      </c>
      <c r="N3358" s="0" t="s">
        <v>124</v>
      </c>
      <c r="P3358" s="0" t="s">
        <v>102</v>
      </c>
      <c r="Q3358" s="0" t="s">
        <v>102</v>
      </c>
      <c r="R3358" s="0" t="s">
        <v>131</v>
      </c>
      <c r="S3358" s="0" t="s">
        <v>21</v>
      </c>
      <c r="T3358" s="0" t="s">
        <v>104</v>
      </c>
      <c r="W3358" s="0" t="s">
        <v>105</v>
      </c>
    </row>
    <row r="3359" customFormat="false" ht="15" hidden="false" customHeight="false" outlineLevel="0" collapsed="false">
      <c r="A3359" s="0" t="s">
        <v>21</v>
      </c>
      <c r="B3359" s="0" t="s">
        <v>10721</v>
      </c>
      <c r="C3359" s="0" t="s">
        <v>5831</v>
      </c>
      <c r="D3359" s="0" t="s">
        <v>10722</v>
      </c>
      <c r="E3359" s="0" t="s">
        <v>10722</v>
      </c>
      <c r="M3359" s="0" t="s">
        <v>232</v>
      </c>
      <c r="N3359" s="0" t="s">
        <v>124</v>
      </c>
      <c r="P3359" s="0" t="s">
        <v>102</v>
      </c>
      <c r="Q3359" s="0" t="s">
        <v>102</v>
      </c>
      <c r="R3359" s="0" t="s">
        <v>144</v>
      </c>
      <c r="S3359" s="0" t="s">
        <v>21</v>
      </c>
      <c r="T3359" s="0" t="s">
        <v>104</v>
      </c>
      <c r="W3359" s="0" t="s">
        <v>105</v>
      </c>
    </row>
    <row r="3360" customFormat="false" ht="15" hidden="false" customHeight="false" outlineLevel="0" collapsed="false">
      <c r="A3360" s="0" t="s">
        <v>21</v>
      </c>
      <c r="B3360" s="0" t="s">
        <v>10723</v>
      </c>
      <c r="C3360" s="0" t="s">
        <v>97</v>
      </c>
      <c r="D3360" s="0" t="s">
        <v>10724</v>
      </c>
      <c r="E3360" s="0" t="s">
        <v>10725</v>
      </c>
      <c r="M3360" s="0" t="s">
        <v>136</v>
      </c>
      <c r="N3360" s="0" t="s">
        <v>124</v>
      </c>
      <c r="P3360" s="0" t="s">
        <v>102</v>
      </c>
      <c r="Q3360" s="0" t="s">
        <v>102</v>
      </c>
      <c r="R3360" s="0" t="s">
        <v>113</v>
      </c>
      <c r="S3360" s="0" t="s">
        <v>21</v>
      </c>
      <c r="T3360" s="0" t="s">
        <v>104</v>
      </c>
      <c r="W3360" s="0" t="s">
        <v>105</v>
      </c>
    </row>
    <row r="3361" customFormat="false" ht="15" hidden="false" customHeight="false" outlineLevel="0" collapsed="false">
      <c r="A3361" s="0" t="s">
        <v>21</v>
      </c>
      <c r="B3361" s="0" t="s">
        <v>10726</v>
      </c>
      <c r="C3361" s="0" t="s">
        <v>97</v>
      </c>
      <c r="D3361" s="0" t="s">
        <v>10727</v>
      </c>
      <c r="E3361" s="0" t="s">
        <v>10728</v>
      </c>
      <c r="M3361" s="0" t="s">
        <v>136</v>
      </c>
      <c r="N3361" s="0" t="s">
        <v>124</v>
      </c>
      <c r="P3361" s="0" t="s">
        <v>102</v>
      </c>
      <c r="Q3361" s="0" t="s">
        <v>102</v>
      </c>
      <c r="R3361" s="0" t="s">
        <v>144</v>
      </c>
      <c r="S3361" s="0" t="s">
        <v>21</v>
      </c>
      <c r="T3361" s="0" t="s">
        <v>104</v>
      </c>
      <c r="W3361" s="0" t="s">
        <v>105</v>
      </c>
    </row>
    <row r="3362" customFormat="false" ht="15" hidden="false" customHeight="false" outlineLevel="0" collapsed="false">
      <c r="A3362" s="0" t="s">
        <v>21</v>
      </c>
      <c r="B3362" s="0" t="s">
        <v>10729</v>
      </c>
      <c r="C3362" s="0" t="s">
        <v>97</v>
      </c>
      <c r="D3362" s="0" t="s">
        <v>10730</v>
      </c>
      <c r="E3362" s="0" t="s">
        <v>10731</v>
      </c>
      <c r="M3362" s="0" t="s">
        <v>136</v>
      </c>
      <c r="N3362" s="0" t="s">
        <v>124</v>
      </c>
      <c r="P3362" s="0" t="s">
        <v>102</v>
      </c>
      <c r="Q3362" s="0" t="s">
        <v>102</v>
      </c>
      <c r="R3362" s="0" t="s">
        <v>144</v>
      </c>
      <c r="S3362" s="0" t="s">
        <v>21</v>
      </c>
      <c r="T3362" s="0" t="s">
        <v>104</v>
      </c>
      <c r="W3362" s="0" t="s">
        <v>105</v>
      </c>
    </row>
    <row r="3363" customFormat="false" ht="15" hidden="false" customHeight="false" outlineLevel="0" collapsed="false">
      <c r="A3363" s="0" t="s">
        <v>21</v>
      </c>
      <c r="B3363" s="0" t="s">
        <v>10732</v>
      </c>
      <c r="C3363" s="0" t="s">
        <v>97</v>
      </c>
      <c r="D3363" s="0" t="s">
        <v>10733</v>
      </c>
      <c r="E3363" s="0" t="s">
        <v>10734</v>
      </c>
      <c r="M3363" s="0" t="s">
        <v>136</v>
      </c>
      <c r="N3363" s="0" t="s">
        <v>124</v>
      </c>
      <c r="P3363" s="0" t="s">
        <v>102</v>
      </c>
      <c r="Q3363" s="0" t="s">
        <v>102</v>
      </c>
      <c r="R3363" s="0" t="s">
        <v>144</v>
      </c>
      <c r="S3363" s="0" t="s">
        <v>21</v>
      </c>
      <c r="T3363" s="0" t="s">
        <v>104</v>
      </c>
      <c r="W3363" s="0" t="s">
        <v>105</v>
      </c>
    </row>
    <row r="3364" customFormat="false" ht="15" hidden="false" customHeight="false" outlineLevel="0" collapsed="false">
      <c r="A3364" s="0" t="s">
        <v>21</v>
      </c>
      <c r="B3364" s="0" t="s">
        <v>10735</v>
      </c>
      <c r="C3364" s="0" t="s">
        <v>97</v>
      </c>
      <c r="D3364" s="0" t="s">
        <v>10736</v>
      </c>
      <c r="E3364" s="0" t="s">
        <v>10737</v>
      </c>
      <c r="M3364" s="0" t="s">
        <v>136</v>
      </c>
      <c r="N3364" s="0" t="s">
        <v>124</v>
      </c>
      <c r="P3364" s="0" t="s">
        <v>102</v>
      </c>
      <c r="Q3364" s="0" t="s">
        <v>102</v>
      </c>
      <c r="R3364" s="0" t="s">
        <v>144</v>
      </c>
      <c r="S3364" s="0" t="s">
        <v>21</v>
      </c>
      <c r="T3364" s="0" t="s">
        <v>104</v>
      </c>
      <c r="W3364" s="0" t="s">
        <v>105</v>
      </c>
    </row>
    <row r="3365" customFormat="false" ht="15" hidden="false" customHeight="false" outlineLevel="0" collapsed="false">
      <c r="A3365" s="0" t="s">
        <v>21</v>
      </c>
      <c r="B3365" s="0" t="s">
        <v>10738</v>
      </c>
      <c r="C3365" s="0" t="s">
        <v>97</v>
      </c>
      <c r="D3365" s="0" t="s">
        <v>10739</v>
      </c>
      <c r="E3365" s="0" t="s">
        <v>10740</v>
      </c>
      <c r="M3365" s="0" t="s">
        <v>136</v>
      </c>
      <c r="N3365" s="0" t="s">
        <v>124</v>
      </c>
      <c r="P3365" s="0" t="s">
        <v>102</v>
      </c>
      <c r="Q3365" s="0" t="s">
        <v>102</v>
      </c>
      <c r="R3365" s="0" t="s">
        <v>144</v>
      </c>
      <c r="S3365" s="0" t="s">
        <v>21</v>
      </c>
      <c r="T3365" s="0" t="s">
        <v>104</v>
      </c>
      <c r="W3365" s="0" t="s">
        <v>105</v>
      </c>
    </row>
    <row r="3366" customFormat="false" ht="15" hidden="false" customHeight="false" outlineLevel="0" collapsed="false">
      <c r="A3366" s="0" t="s">
        <v>21</v>
      </c>
      <c r="B3366" s="0" t="s">
        <v>10741</v>
      </c>
      <c r="C3366" s="0" t="s">
        <v>97</v>
      </c>
      <c r="D3366" s="0" t="s">
        <v>10742</v>
      </c>
      <c r="E3366" s="0" t="s">
        <v>10743</v>
      </c>
      <c r="M3366" s="0" t="s">
        <v>136</v>
      </c>
      <c r="N3366" s="0" t="s">
        <v>124</v>
      </c>
      <c r="P3366" s="0" t="s">
        <v>102</v>
      </c>
      <c r="Q3366" s="0" t="s">
        <v>102</v>
      </c>
      <c r="R3366" s="0" t="s">
        <v>144</v>
      </c>
      <c r="S3366" s="0" t="s">
        <v>21</v>
      </c>
      <c r="T3366" s="0" t="s">
        <v>104</v>
      </c>
      <c r="W3366" s="0" t="s">
        <v>105</v>
      </c>
    </row>
    <row r="3367" customFormat="false" ht="15" hidden="false" customHeight="false" outlineLevel="0" collapsed="false">
      <c r="A3367" s="0" t="s">
        <v>21</v>
      </c>
      <c r="B3367" s="0" t="s">
        <v>10744</v>
      </c>
      <c r="C3367" s="0" t="s">
        <v>97</v>
      </c>
      <c r="D3367" s="0" t="s">
        <v>10745</v>
      </c>
      <c r="E3367" s="0" t="s">
        <v>10746</v>
      </c>
      <c r="M3367" s="0" t="s">
        <v>136</v>
      </c>
      <c r="N3367" s="0" t="s">
        <v>124</v>
      </c>
      <c r="P3367" s="0" t="s">
        <v>102</v>
      </c>
      <c r="Q3367" s="0" t="s">
        <v>102</v>
      </c>
      <c r="R3367" s="0" t="s">
        <v>144</v>
      </c>
      <c r="S3367" s="0" t="s">
        <v>21</v>
      </c>
      <c r="T3367" s="0" t="s">
        <v>104</v>
      </c>
      <c r="W3367" s="0" t="s">
        <v>105</v>
      </c>
    </row>
    <row r="3368" customFormat="false" ht="15" hidden="false" customHeight="false" outlineLevel="0" collapsed="false">
      <c r="A3368" s="0" t="s">
        <v>21</v>
      </c>
      <c r="B3368" s="0" t="s">
        <v>10747</v>
      </c>
      <c r="C3368" s="0" t="s">
        <v>97</v>
      </c>
      <c r="D3368" s="0" t="s">
        <v>10748</v>
      </c>
      <c r="E3368" s="0" t="s">
        <v>10749</v>
      </c>
      <c r="M3368" s="0" t="s">
        <v>136</v>
      </c>
      <c r="N3368" s="0" t="s">
        <v>124</v>
      </c>
      <c r="P3368" s="0" t="s">
        <v>102</v>
      </c>
      <c r="Q3368" s="0" t="s">
        <v>102</v>
      </c>
      <c r="R3368" s="0" t="s">
        <v>144</v>
      </c>
      <c r="S3368" s="0" t="s">
        <v>21</v>
      </c>
      <c r="T3368" s="0" t="s">
        <v>104</v>
      </c>
      <c r="W3368" s="0" t="s">
        <v>105</v>
      </c>
    </row>
    <row r="3369" customFormat="false" ht="15" hidden="false" customHeight="false" outlineLevel="0" collapsed="false">
      <c r="A3369" s="0" t="s">
        <v>21</v>
      </c>
      <c r="B3369" s="0" t="s">
        <v>10750</v>
      </c>
      <c r="C3369" s="0" t="s">
        <v>97</v>
      </c>
      <c r="D3369" s="0" t="s">
        <v>10751</v>
      </c>
      <c r="E3369" s="0" t="s">
        <v>10752</v>
      </c>
      <c r="M3369" s="0" t="s">
        <v>136</v>
      </c>
      <c r="N3369" s="0" t="s">
        <v>124</v>
      </c>
      <c r="P3369" s="0" t="s">
        <v>102</v>
      </c>
      <c r="Q3369" s="0" t="s">
        <v>102</v>
      </c>
      <c r="R3369" s="0" t="s">
        <v>144</v>
      </c>
      <c r="S3369" s="0" t="s">
        <v>21</v>
      </c>
      <c r="T3369" s="0" t="s">
        <v>104</v>
      </c>
      <c r="W3369" s="0" t="s">
        <v>105</v>
      </c>
    </row>
    <row r="3370" customFormat="false" ht="15" hidden="false" customHeight="false" outlineLevel="0" collapsed="false">
      <c r="A3370" s="0" t="s">
        <v>21</v>
      </c>
      <c r="B3370" s="0" t="s">
        <v>10753</v>
      </c>
      <c r="C3370" s="0" t="s">
        <v>97</v>
      </c>
      <c r="D3370" s="0" t="s">
        <v>10754</v>
      </c>
      <c r="E3370" s="0" t="s">
        <v>10755</v>
      </c>
      <c r="M3370" s="0" t="s">
        <v>136</v>
      </c>
      <c r="N3370" s="0" t="s">
        <v>124</v>
      </c>
      <c r="P3370" s="0" t="s">
        <v>102</v>
      </c>
      <c r="Q3370" s="0" t="s">
        <v>102</v>
      </c>
      <c r="R3370" s="0" t="s">
        <v>144</v>
      </c>
      <c r="S3370" s="0" t="s">
        <v>21</v>
      </c>
      <c r="T3370" s="0" t="s">
        <v>104</v>
      </c>
      <c r="W3370" s="0" t="s">
        <v>105</v>
      </c>
    </row>
    <row r="3371" customFormat="false" ht="15" hidden="false" customHeight="false" outlineLevel="0" collapsed="false">
      <c r="A3371" s="0" t="s">
        <v>21</v>
      </c>
      <c r="B3371" s="0" t="s">
        <v>10756</v>
      </c>
      <c r="C3371" s="0" t="s">
        <v>97</v>
      </c>
      <c r="D3371" s="0" t="s">
        <v>10757</v>
      </c>
      <c r="E3371" s="0" t="s">
        <v>10758</v>
      </c>
      <c r="M3371" s="0" t="s">
        <v>136</v>
      </c>
      <c r="N3371" s="0" t="s">
        <v>124</v>
      </c>
      <c r="P3371" s="0" t="s">
        <v>102</v>
      </c>
      <c r="Q3371" s="0" t="s">
        <v>102</v>
      </c>
      <c r="R3371" s="0" t="s">
        <v>144</v>
      </c>
      <c r="S3371" s="0" t="s">
        <v>21</v>
      </c>
      <c r="T3371" s="0" t="s">
        <v>104</v>
      </c>
      <c r="W3371" s="0" t="s">
        <v>105</v>
      </c>
    </row>
    <row r="3372" customFormat="false" ht="15" hidden="false" customHeight="false" outlineLevel="0" collapsed="false">
      <c r="A3372" s="0" t="s">
        <v>21</v>
      </c>
      <c r="B3372" s="0" t="s">
        <v>10759</v>
      </c>
      <c r="C3372" s="0" t="s">
        <v>97</v>
      </c>
      <c r="D3372" s="0" t="s">
        <v>10760</v>
      </c>
      <c r="E3372" s="0" t="s">
        <v>10761</v>
      </c>
      <c r="M3372" s="0" t="s">
        <v>136</v>
      </c>
      <c r="N3372" s="0" t="s">
        <v>124</v>
      </c>
      <c r="P3372" s="0" t="s">
        <v>102</v>
      </c>
      <c r="Q3372" s="0" t="s">
        <v>102</v>
      </c>
      <c r="R3372" s="0" t="s">
        <v>144</v>
      </c>
      <c r="S3372" s="0" t="s">
        <v>21</v>
      </c>
      <c r="T3372" s="0" t="s">
        <v>104</v>
      </c>
      <c r="W3372" s="0" t="s">
        <v>105</v>
      </c>
    </row>
    <row r="3373" customFormat="false" ht="15" hidden="false" customHeight="false" outlineLevel="0" collapsed="false">
      <c r="A3373" s="0" t="s">
        <v>21</v>
      </c>
      <c r="B3373" s="0" t="s">
        <v>10762</v>
      </c>
      <c r="C3373" s="0" t="s">
        <v>97</v>
      </c>
      <c r="D3373" s="0" t="s">
        <v>10763</v>
      </c>
      <c r="E3373" s="0" t="s">
        <v>10764</v>
      </c>
      <c r="M3373" s="0" t="s">
        <v>136</v>
      </c>
      <c r="N3373" s="0" t="s">
        <v>124</v>
      </c>
      <c r="P3373" s="0" t="s">
        <v>102</v>
      </c>
      <c r="Q3373" s="0" t="s">
        <v>102</v>
      </c>
      <c r="R3373" s="0" t="s">
        <v>144</v>
      </c>
      <c r="S3373" s="0" t="s">
        <v>21</v>
      </c>
      <c r="T3373" s="0" t="s">
        <v>104</v>
      </c>
      <c r="W3373" s="0" t="s">
        <v>105</v>
      </c>
    </row>
    <row r="3374" customFormat="false" ht="15" hidden="false" customHeight="false" outlineLevel="0" collapsed="false">
      <c r="A3374" s="0" t="s">
        <v>21</v>
      </c>
      <c r="B3374" s="0" t="s">
        <v>10765</v>
      </c>
      <c r="C3374" s="0" t="s">
        <v>97</v>
      </c>
      <c r="D3374" s="0" t="s">
        <v>10766</v>
      </c>
      <c r="E3374" s="0" t="s">
        <v>10767</v>
      </c>
      <c r="M3374" s="0" t="s">
        <v>136</v>
      </c>
      <c r="N3374" s="0" t="s">
        <v>124</v>
      </c>
      <c r="P3374" s="0" t="s">
        <v>102</v>
      </c>
      <c r="Q3374" s="0" t="s">
        <v>102</v>
      </c>
      <c r="R3374" s="0" t="s">
        <v>144</v>
      </c>
      <c r="S3374" s="0" t="s">
        <v>21</v>
      </c>
      <c r="T3374" s="0" t="s">
        <v>104</v>
      </c>
      <c r="W3374" s="0" t="s">
        <v>105</v>
      </c>
    </row>
    <row r="3375" customFormat="false" ht="15" hidden="false" customHeight="false" outlineLevel="0" collapsed="false">
      <c r="A3375" s="0" t="s">
        <v>21</v>
      </c>
      <c r="B3375" s="0" t="s">
        <v>10768</v>
      </c>
      <c r="C3375" s="0" t="s">
        <v>97</v>
      </c>
      <c r="D3375" s="0" t="s">
        <v>10769</v>
      </c>
      <c r="E3375" s="0" t="s">
        <v>10770</v>
      </c>
      <c r="M3375" s="0" t="s">
        <v>136</v>
      </c>
      <c r="N3375" s="0" t="s">
        <v>124</v>
      </c>
      <c r="P3375" s="0" t="s">
        <v>102</v>
      </c>
      <c r="Q3375" s="0" t="s">
        <v>102</v>
      </c>
      <c r="R3375" s="0" t="s">
        <v>144</v>
      </c>
      <c r="S3375" s="0" t="s">
        <v>21</v>
      </c>
      <c r="T3375" s="0" t="s">
        <v>104</v>
      </c>
      <c r="W3375" s="0" t="s">
        <v>105</v>
      </c>
    </row>
    <row r="3376" customFormat="false" ht="15" hidden="false" customHeight="false" outlineLevel="0" collapsed="false">
      <c r="A3376" s="0" t="s">
        <v>21</v>
      </c>
      <c r="B3376" s="0" t="s">
        <v>10771</v>
      </c>
      <c r="C3376" s="0" t="s">
        <v>97</v>
      </c>
      <c r="D3376" s="0" t="s">
        <v>10772</v>
      </c>
      <c r="E3376" s="0" t="s">
        <v>10773</v>
      </c>
      <c r="M3376" s="0" t="s">
        <v>136</v>
      </c>
      <c r="N3376" s="0" t="s">
        <v>124</v>
      </c>
      <c r="P3376" s="0" t="s">
        <v>102</v>
      </c>
      <c r="Q3376" s="0" t="s">
        <v>102</v>
      </c>
      <c r="R3376" s="0" t="s">
        <v>144</v>
      </c>
      <c r="S3376" s="0" t="s">
        <v>21</v>
      </c>
      <c r="T3376" s="0" t="s">
        <v>104</v>
      </c>
      <c r="W3376" s="0" t="s">
        <v>105</v>
      </c>
    </row>
    <row r="3377" customFormat="false" ht="15" hidden="false" customHeight="false" outlineLevel="0" collapsed="false">
      <c r="A3377" s="0" t="s">
        <v>21</v>
      </c>
      <c r="B3377" s="0" t="s">
        <v>10774</v>
      </c>
      <c r="C3377" s="0" t="s">
        <v>97</v>
      </c>
      <c r="D3377" s="0" t="s">
        <v>10775</v>
      </c>
      <c r="E3377" s="0" t="s">
        <v>10776</v>
      </c>
      <c r="M3377" s="0" t="s">
        <v>136</v>
      </c>
      <c r="N3377" s="0" t="s">
        <v>124</v>
      </c>
      <c r="P3377" s="0" t="s">
        <v>102</v>
      </c>
      <c r="Q3377" s="0" t="s">
        <v>102</v>
      </c>
      <c r="R3377" s="0" t="s">
        <v>144</v>
      </c>
      <c r="S3377" s="0" t="s">
        <v>21</v>
      </c>
      <c r="T3377" s="0" t="s">
        <v>104</v>
      </c>
      <c r="W3377" s="0" t="s">
        <v>105</v>
      </c>
    </row>
    <row r="3378" customFormat="false" ht="15" hidden="false" customHeight="false" outlineLevel="0" collapsed="false">
      <c r="A3378" s="0" t="s">
        <v>21</v>
      </c>
      <c r="B3378" s="0" t="s">
        <v>10777</v>
      </c>
      <c r="C3378" s="0" t="s">
        <v>97</v>
      </c>
      <c r="D3378" s="0" t="s">
        <v>10778</v>
      </c>
      <c r="E3378" s="0" t="s">
        <v>10779</v>
      </c>
      <c r="M3378" s="0" t="s">
        <v>136</v>
      </c>
      <c r="N3378" s="0" t="s">
        <v>124</v>
      </c>
      <c r="P3378" s="0" t="s">
        <v>102</v>
      </c>
      <c r="Q3378" s="0" t="s">
        <v>102</v>
      </c>
      <c r="R3378" s="0" t="s">
        <v>144</v>
      </c>
      <c r="S3378" s="0" t="s">
        <v>21</v>
      </c>
      <c r="T3378" s="0" t="s">
        <v>104</v>
      </c>
      <c r="W3378" s="0" t="s">
        <v>105</v>
      </c>
    </row>
    <row r="3379" customFormat="false" ht="15" hidden="false" customHeight="false" outlineLevel="0" collapsed="false">
      <c r="A3379" s="0" t="s">
        <v>21</v>
      </c>
      <c r="B3379" s="0" t="s">
        <v>10780</v>
      </c>
      <c r="C3379" s="0" t="s">
        <v>97</v>
      </c>
      <c r="D3379" s="0" t="s">
        <v>10781</v>
      </c>
      <c r="E3379" s="0" t="s">
        <v>10782</v>
      </c>
      <c r="M3379" s="0" t="s">
        <v>136</v>
      </c>
      <c r="N3379" s="0" t="s">
        <v>124</v>
      </c>
      <c r="P3379" s="0" t="s">
        <v>102</v>
      </c>
      <c r="Q3379" s="0" t="s">
        <v>102</v>
      </c>
      <c r="R3379" s="0" t="s">
        <v>144</v>
      </c>
      <c r="S3379" s="0" t="s">
        <v>21</v>
      </c>
      <c r="T3379" s="0" t="s">
        <v>104</v>
      </c>
      <c r="W3379" s="0" t="s">
        <v>105</v>
      </c>
    </row>
    <row r="3380" customFormat="false" ht="15" hidden="false" customHeight="false" outlineLevel="0" collapsed="false">
      <c r="A3380" s="0" t="s">
        <v>21</v>
      </c>
      <c r="B3380" s="0" t="s">
        <v>10783</v>
      </c>
      <c r="C3380" s="0" t="s">
        <v>97</v>
      </c>
      <c r="D3380" s="0" t="s">
        <v>10784</v>
      </c>
      <c r="E3380" s="0" t="s">
        <v>10785</v>
      </c>
      <c r="M3380" s="0" t="s">
        <v>136</v>
      </c>
      <c r="N3380" s="0" t="s">
        <v>124</v>
      </c>
      <c r="P3380" s="0" t="s">
        <v>102</v>
      </c>
      <c r="Q3380" s="0" t="s">
        <v>102</v>
      </c>
      <c r="R3380" s="0" t="s">
        <v>144</v>
      </c>
      <c r="S3380" s="0" t="s">
        <v>21</v>
      </c>
      <c r="T3380" s="0" t="s">
        <v>104</v>
      </c>
      <c r="W3380" s="0" t="s">
        <v>105</v>
      </c>
    </row>
    <row r="3381" customFormat="false" ht="15" hidden="false" customHeight="false" outlineLevel="0" collapsed="false">
      <c r="A3381" s="0" t="s">
        <v>21</v>
      </c>
      <c r="B3381" s="0" t="s">
        <v>10786</v>
      </c>
      <c r="C3381" s="0" t="s">
        <v>97</v>
      </c>
      <c r="D3381" s="0" t="s">
        <v>10787</v>
      </c>
      <c r="E3381" s="0" t="s">
        <v>10788</v>
      </c>
      <c r="M3381" s="0" t="s">
        <v>136</v>
      </c>
      <c r="N3381" s="0" t="s">
        <v>124</v>
      </c>
      <c r="P3381" s="0" t="s">
        <v>102</v>
      </c>
      <c r="Q3381" s="0" t="s">
        <v>102</v>
      </c>
      <c r="R3381" s="0" t="s">
        <v>144</v>
      </c>
      <c r="S3381" s="0" t="s">
        <v>21</v>
      </c>
      <c r="T3381" s="0" t="s">
        <v>104</v>
      </c>
      <c r="W3381" s="0" t="s">
        <v>105</v>
      </c>
    </row>
    <row r="3382" customFormat="false" ht="15" hidden="false" customHeight="false" outlineLevel="0" collapsed="false">
      <c r="A3382" s="0" t="s">
        <v>21</v>
      </c>
      <c r="B3382" s="0" t="s">
        <v>10789</v>
      </c>
      <c r="C3382" s="0" t="s">
        <v>97</v>
      </c>
      <c r="D3382" s="0" t="s">
        <v>10790</v>
      </c>
      <c r="E3382" s="0" t="s">
        <v>10791</v>
      </c>
      <c r="M3382" s="0" t="s">
        <v>136</v>
      </c>
      <c r="N3382" s="0" t="s">
        <v>124</v>
      </c>
      <c r="P3382" s="0" t="s">
        <v>102</v>
      </c>
      <c r="Q3382" s="0" t="s">
        <v>102</v>
      </c>
      <c r="R3382" s="0" t="s">
        <v>144</v>
      </c>
      <c r="S3382" s="0" t="s">
        <v>21</v>
      </c>
      <c r="T3382" s="0" t="s">
        <v>104</v>
      </c>
      <c r="W3382" s="0" t="s">
        <v>105</v>
      </c>
    </row>
    <row r="3383" customFormat="false" ht="15" hidden="false" customHeight="false" outlineLevel="0" collapsed="false">
      <c r="A3383" s="0" t="s">
        <v>21</v>
      </c>
      <c r="B3383" s="0" t="s">
        <v>10792</v>
      </c>
      <c r="C3383" s="0" t="s">
        <v>110</v>
      </c>
      <c r="D3383" s="0" t="s">
        <v>10793</v>
      </c>
      <c r="E3383" s="0" t="s">
        <v>10794</v>
      </c>
      <c r="G3383" s="0" t="s">
        <v>10795</v>
      </c>
      <c r="H3383" s="0" t="s">
        <v>10796</v>
      </c>
      <c r="I3383" s="0" t="s">
        <v>10797</v>
      </c>
      <c r="J3383" s="0" t="s">
        <v>157</v>
      </c>
      <c r="K3383" s="0" t="s">
        <v>10798</v>
      </c>
      <c r="L3383" s="0" t="s">
        <v>124</v>
      </c>
      <c r="M3383" s="0" t="s">
        <v>232</v>
      </c>
      <c r="N3383" s="0" t="s">
        <v>124</v>
      </c>
      <c r="P3383" s="0" t="s">
        <v>102</v>
      </c>
      <c r="Q3383" s="0" t="s">
        <v>102</v>
      </c>
      <c r="R3383" s="0" t="s">
        <v>113</v>
      </c>
      <c r="S3383" s="0" t="s">
        <v>21</v>
      </c>
      <c r="T3383" s="0" t="s">
        <v>104</v>
      </c>
      <c r="W3383" s="0" t="s">
        <v>105</v>
      </c>
      <c r="X3383" s="0" t="s">
        <v>4270</v>
      </c>
      <c r="Y3383" s="0" t="s">
        <v>4271</v>
      </c>
      <c r="Z3383" s="0" t="s">
        <v>134</v>
      </c>
    </row>
    <row r="3384" customFormat="false" ht="15" hidden="false" customHeight="false" outlineLevel="0" collapsed="false">
      <c r="A3384" s="0" t="s">
        <v>21</v>
      </c>
      <c r="B3384" s="0" t="s">
        <v>10799</v>
      </c>
      <c r="C3384" s="0" t="s">
        <v>97</v>
      </c>
      <c r="D3384" s="0" t="s">
        <v>10800</v>
      </c>
      <c r="E3384" s="0" t="s">
        <v>10801</v>
      </c>
      <c r="M3384" s="0" t="s">
        <v>136</v>
      </c>
      <c r="N3384" s="0" t="s">
        <v>124</v>
      </c>
      <c r="P3384" s="0" t="s">
        <v>102</v>
      </c>
      <c r="Q3384" s="0" t="s">
        <v>102</v>
      </c>
      <c r="R3384" s="0" t="s">
        <v>113</v>
      </c>
      <c r="S3384" s="0" t="s">
        <v>21</v>
      </c>
      <c r="T3384" s="0" t="s">
        <v>104</v>
      </c>
      <c r="W3384" s="0" t="s">
        <v>105</v>
      </c>
    </row>
    <row r="3385" customFormat="false" ht="15" hidden="false" customHeight="false" outlineLevel="0" collapsed="false">
      <c r="A3385" s="0" t="s">
        <v>21</v>
      </c>
      <c r="B3385" s="0" t="s">
        <v>10802</v>
      </c>
      <c r="C3385" s="0" t="s">
        <v>97</v>
      </c>
      <c r="D3385" s="0" t="s">
        <v>10803</v>
      </c>
      <c r="E3385" s="0" t="s">
        <v>10803</v>
      </c>
      <c r="F3385" s="0" t="s">
        <v>10803</v>
      </c>
      <c r="M3385" s="0" t="s">
        <v>136</v>
      </c>
      <c r="N3385" s="0" t="s">
        <v>124</v>
      </c>
      <c r="P3385" s="0" t="s">
        <v>102</v>
      </c>
      <c r="Q3385" s="0" t="s">
        <v>102</v>
      </c>
      <c r="R3385" s="0" t="s">
        <v>131</v>
      </c>
      <c r="S3385" s="0" t="s">
        <v>21</v>
      </c>
      <c r="T3385" s="0" t="s">
        <v>104</v>
      </c>
      <c r="W3385" s="0" t="s">
        <v>105</v>
      </c>
    </row>
    <row r="3386" customFormat="false" ht="15" hidden="false" customHeight="false" outlineLevel="0" collapsed="false">
      <c r="A3386" s="0" t="s">
        <v>21</v>
      </c>
      <c r="B3386" s="0" t="s">
        <v>10804</v>
      </c>
      <c r="C3386" s="0" t="s">
        <v>97</v>
      </c>
      <c r="D3386" s="0" t="s">
        <v>10803</v>
      </c>
      <c r="E3386" s="0" t="s">
        <v>10805</v>
      </c>
      <c r="M3386" s="0" t="s">
        <v>136</v>
      </c>
      <c r="N3386" s="0" t="s">
        <v>124</v>
      </c>
      <c r="P3386" s="0" t="s">
        <v>102</v>
      </c>
      <c r="Q3386" s="0" t="s">
        <v>102</v>
      </c>
      <c r="R3386" s="0" t="s">
        <v>131</v>
      </c>
      <c r="S3386" s="0" t="s">
        <v>21</v>
      </c>
      <c r="T3386" s="0" t="s">
        <v>104</v>
      </c>
      <c r="W3386" s="0" t="s">
        <v>105</v>
      </c>
    </row>
    <row r="3387" customFormat="false" ht="15" hidden="false" customHeight="false" outlineLevel="0" collapsed="false">
      <c r="A3387" s="0" t="s">
        <v>21</v>
      </c>
      <c r="B3387" s="0" t="s">
        <v>10806</v>
      </c>
      <c r="C3387" s="0" t="s">
        <v>97</v>
      </c>
      <c r="D3387" s="0" t="s">
        <v>10807</v>
      </c>
      <c r="E3387" s="0" t="s">
        <v>10808</v>
      </c>
      <c r="M3387" s="0" t="s">
        <v>136</v>
      </c>
      <c r="N3387" s="0" t="s">
        <v>124</v>
      </c>
      <c r="P3387" s="0" t="s">
        <v>102</v>
      </c>
      <c r="Q3387" s="0" t="s">
        <v>102</v>
      </c>
      <c r="R3387" s="0" t="s">
        <v>144</v>
      </c>
      <c r="S3387" s="0" t="s">
        <v>21</v>
      </c>
      <c r="T3387" s="0" t="s">
        <v>104</v>
      </c>
      <c r="W3387" s="0" t="s">
        <v>105</v>
      </c>
    </row>
    <row r="3388" customFormat="false" ht="15" hidden="false" customHeight="false" outlineLevel="0" collapsed="false">
      <c r="A3388" s="0" t="s">
        <v>21</v>
      </c>
      <c r="B3388" s="0" t="s">
        <v>10809</v>
      </c>
      <c r="C3388" s="0" t="s">
        <v>97</v>
      </c>
      <c r="D3388" s="0" t="s">
        <v>5865</v>
      </c>
      <c r="E3388" s="0" t="s">
        <v>5865</v>
      </c>
      <c r="M3388" s="0" t="s">
        <v>136</v>
      </c>
      <c r="N3388" s="0" t="s">
        <v>124</v>
      </c>
      <c r="P3388" s="0" t="s">
        <v>102</v>
      </c>
      <c r="Q3388" s="0" t="s">
        <v>102</v>
      </c>
      <c r="R3388" s="0" t="s">
        <v>131</v>
      </c>
      <c r="S3388" s="0" t="s">
        <v>21</v>
      </c>
      <c r="T3388" s="0" t="s">
        <v>104</v>
      </c>
      <c r="W3388" s="0" t="s">
        <v>105</v>
      </c>
    </row>
    <row r="3389" customFormat="false" ht="15" hidden="false" customHeight="false" outlineLevel="0" collapsed="false">
      <c r="A3389" s="0" t="s">
        <v>21</v>
      </c>
      <c r="B3389" s="0" t="s">
        <v>10810</v>
      </c>
      <c r="C3389" s="0" t="s">
        <v>97</v>
      </c>
      <c r="D3389" s="0" t="s">
        <v>10811</v>
      </c>
      <c r="E3389" s="0" t="s">
        <v>10811</v>
      </c>
      <c r="F3389" s="0" t="s">
        <v>10811</v>
      </c>
      <c r="M3389" s="0" t="s">
        <v>136</v>
      </c>
      <c r="N3389" s="0" t="s">
        <v>124</v>
      </c>
      <c r="P3389" s="0" t="s">
        <v>102</v>
      </c>
      <c r="Q3389" s="0" t="s">
        <v>102</v>
      </c>
      <c r="R3389" s="0" t="s">
        <v>131</v>
      </c>
      <c r="S3389" s="0" t="s">
        <v>21</v>
      </c>
      <c r="T3389" s="0" t="s">
        <v>104</v>
      </c>
      <c r="W3389" s="0" t="s">
        <v>105</v>
      </c>
    </row>
    <row r="3390" customFormat="false" ht="15" hidden="false" customHeight="false" outlineLevel="0" collapsed="false">
      <c r="A3390" s="0" t="s">
        <v>21</v>
      </c>
      <c r="B3390" s="0" t="s">
        <v>10812</v>
      </c>
      <c r="C3390" s="0" t="s">
        <v>97</v>
      </c>
      <c r="D3390" s="0" t="s">
        <v>10813</v>
      </c>
      <c r="E3390" s="0" t="s">
        <v>10813</v>
      </c>
      <c r="F3390" s="0" t="s">
        <v>10813</v>
      </c>
      <c r="M3390" s="0" t="s">
        <v>136</v>
      </c>
      <c r="N3390" s="0" t="s">
        <v>124</v>
      </c>
      <c r="P3390" s="0" t="s">
        <v>102</v>
      </c>
      <c r="Q3390" s="0" t="s">
        <v>102</v>
      </c>
      <c r="R3390" s="0" t="s">
        <v>131</v>
      </c>
      <c r="S3390" s="0" t="s">
        <v>21</v>
      </c>
      <c r="T3390" s="0" t="s">
        <v>104</v>
      </c>
      <c r="W3390" s="0" t="s">
        <v>105</v>
      </c>
    </row>
    <row r="3391" customFormat="false" ht="15" hidden="false" customHeight="false" outlineLevel="0" collapsed="false">
      <c r="A3391" s="0" t="s">
        <v>21</v>
      </c>
      <c r="B3391" s="0" t="s">
        <v>10814</v>
      </c>
      <c r="C3391" s="0" t="s">
        <v>97</v>
      </c>
      <c r="D3391" s="0" t="s">
        <v>10815</v>
      </c>
      <c r="E3391" s="0" t="s">
        <v>10816</v>
      </c>
      <c r="M3391" s="0" t="s">
        <v>136</v>
      </c>
      <c r="N3391" s="0" t="s">
        <v>124</v>
      </c>
      <c r="P3391" s="0" t="s">
        <v>102</v>
      </c>
      <c r="Q3391" s="0" t="s">
        <v>102</v>
      </c>
      <c r="R3391" s="0" t="s">
        <v>113</v>
      </c>
      <c r="S3391" s="0" t="s">
        <v>21</v>
      </c>
      <c r="T3391" s="0" t="s">
        <v>104</v>
      </c>
      <c r="W3391" s="0" t="s">
        <v>105</v>
      </c>
    </row>
    <row r="3392" customFormat="false" ht="15" hidden="false" customHeight="false" outlineLevel="0" collapsed="false">
      <c r="A3392" s="0" t="s">
        <v>21</v>
      </c>
      <c r="B3392" s="0" t="s">
        <v>10817</v>
      </c>
      <c r="C3392" s="0" t="s">
        <v>97</v>
      </c>
      <c r="D3392" s="0" t="s">
        <v>10818</v>
      </c>
      <c r="E3392" s="0" t="s">
        <v>10819</v>
      </c>
      <c r="M3392" s="0" t="s">
        <v>136</v>
      </c>
      <c r="N3392" s="0" t="s">
        <v>124</v>
      </c>
      <c r="P3392" s="0" t="s">
        <v>102</v>
      </c>
      <c r="Q3392" s="0" t="s">
        <v>102</v>
      </c>
      <c r="R3392" s="0" t="s">
        <v>113</v>
      </c>
      <c r="S3392" s="0" t="s">
        <v>21</v>
      </c>
      <c r="T3392" s="0" t="s">
        <v>104</v>
      </c>
      <c r="W3392" s="0" t="s">
        <v>105</v>
      </c>
    </row>
    <row r="3393" customFormat="false" ht="15" hidden="false" customHeight="false" outlineLevel="0" collapsed="false">
      <c r="A3393" s="0" t="s">
        <v>21</v>
      </c>
      <c r="B3393" s="0" t="s">
        <v>10820</v>
      </c>
      <c r="C3393" s="0" t="s">
        <v>97</v>
      </c>
      <c r="D3393" s="0" t="s">
        <v>10821</v>
      </c>
      <c r="E3393" s="0" t="s">
        <v>10822</v>
      </c>
      <c r="M3393" s="0" t="s">
        <v>136</v>
      </c>
      <c r="N3393" s="0" t="s">
        <v>124</v>
      </c>
      <c r="P3393" s="0" t="s">
        <v>102</v>
      </c>
      <c r="Q3393" s="0" t="s">
        <v>102</v>
      </c>
      <c r="R3393" s="0" t="s">
        <v>113</v>
      </c>
      <c r="S3393" s="0" t="s">
        <v>21</v>
      </c>
      <c r="T3393" s="0" t="s">
        <v>104</v>
      </c>
      <c r="W3393" s="0" t="s">
        <v>105</v>
      </c>
    </row>
    <row r="3394" customFormat="false" ht="15" hidden="false" customHeight="false" outlineLevel="0" collapsed="false">
      <c r="A3394" s="0" t="s">
        <v>21</v>
      </c>
      <c r="B3394" s="0" t="s">
        <v>10823</v>
      </c>
      <c r="C3394" s="0" t="s">
        <v>97</v>
      </c>
      <c r="D3394" s="0" t="s">
        <v>10824</v>
      </c>
      <c r="E3394" s="0" t="s">
        <v>10825</v>
      </c>
      <c r="M3394" s="0" t="s">
        <v>136</v>
      </c>
      <c r="N3394" s="0" t="s">
        <v>124</v>
      </c>
      <c r="P3394" s="0" t="s">
        <v>102</v>
      </c>
      <c r="Q3394" s="0" t="s">
        <v>102</v>
      </c>
      <c r="R3394" s="0" t="s">
        <v>113</v>
      </c>
      <c r="S3394" s="0" t="s">
        <v>21</v>
      </c>
      <c r="T3394" s="0" t="s">
        <v>104</v>
      </c>
      <c r="W3394" s="0" t="s">
        <v>105</v>
      </c>
    </row>
    <row r="3395" customFormat="false" ht="15" hidden="false" customHeight="false" outlineLevel="0" collapsed="false">
      <c r="A3395" s="0" t="s">
        <v>21</v>
      </c>
      <c r="B3395" s="0" t="s">
        <v>10826</v>
      </c>
      <c r="C3395" s="0" t="s">
        <v>97</v>
      </c>
      <c r="D3395" s="0" t="s">
        <v>10827</v>
      </c>
      <c r="E3395" s="0" t="s">
        <v>10828</v>
      </c>
      <c r="M3395" s="0" t="s">
        <v>136</v>
      </c>
      <c r="N3395" s="0" t="s">
        <v>124</v>
      </c>
      <c r="P3395" s="0" t="s">
        <v>102</v>
      </c>
      <c r="Q3395" s="0" t="s">
        <v>102</v>
      </c>
      <c r="R3395" s="0" t="s">
        <v>113</v>
      </c>
      <c r="S3395" s="0" t="s">
        <v>21</v>
      </c>
      <c r="T3395" s="0" t="s">
        <v>104</v>
      </c>
      <c r="W3395" s="0" t="s">
        <v>105</v>
      </c>
    </row>
    <row r="3396" customFormat="false" ht="15" hidden="false" customHeight="false" outlineLevel="0" collapsed="false">
      <c r="A3396" s="0" t="s">
        <v>21</v>
      </c>
      <c r="B3396" s="0" t="s">
        <v>10829</v>
      </c>
      <c r="C3396" s="0" t="s">
        <v>97</v>
      </c>
      <c r="D3396" s="0" t="s">
        <v>10830</v>
      </c>
      <c r="E3396" s="0" t="s">
        <v>10831</v>
      </c>
      <c r="M3396" s="0" t="s">
        <v>136</v>
      </c>
      <c r="N3396" s="0" t="s">
        <v>124</v>
      </c>
      <c r="P3396" s="0" t="s">
        <v>102</v>
      </c>
      <c r="Q3396" s="0" t="s">
        <v>102</v>
      </c>
      <c r="R3396" s="0" t="s">
        <v>131</v>
      </c>
      <c r="S3396" s="0" t="s">
        <v>21</v>
      </c>
      <c r="T3396" s="0" t="s">
        <v>104</v>
      </c>
      <c r="W3396" s="0" t="s">
        <v>105</v>
      </c>
    </row>
    <row r="3397" customFormat="false" ht="15" hidden="false" customHeight="false" outlineLevel="0" collapsed="false">
      <c r="A3397" s="0" t="s">
        <v>21</v>
      </c>
      <c r="B3397" s="0" t="s">
        <v>10832</v>
      </c>
      <c r="C3397" s="0" t="s">
        <v>97</v>
      </c>
      <c r="D3397" s="0" t="s">
        <v>10833</v>
      </c>
      <c r="E3397" s="0" t="s">
        <v>10834</v>
      </c>
      <c r="M3397" s="0" t="s">
        <v>136</v>
      </c>
      <c r="N3397" s="0" t="s">
        <v>124</v>
      </c>
      <c r="P3397" s="0" t="s">
        <v>102</v>
      </c>
      <c r="Q3397" s="0" t="s">
        <v>102</v>
      </c>
      <c r="R3397" s="0" t="s">
        <v>113</v>
      </c>
      <c r="S3397" s="0" t="s">
        <v>21</v>
      </c>
      <c r="T3397" s="0" t="s">
        <v>104</v>
      </c>
      <c r="W3397" s="0" t="s">
        <v>105</v>
      </c>
    </row>
    <row r="3398" customFormat="false" ht="15" hidden="false" customHeight="false" outlineLevel="0" collapsed="false">
      <c r="A3398" s="0" t="s">
        <v>21</v>
      </c>
      <c r="B3398" s="0" t="s">
        <v>10835</v>
      </c>
      <c r="C3398" s="0" t="s">
        <v>97</v>
      </c>
      <c r="D3398" s="0" t="s">
        <v>8654</v>
      </c>
      <c r="E3398" s="0" t="s">
        <v>10836</v>
      </c>
      <c r="M3398" s="0" t="s">
        <v>136</v>
      </c>
      <c r="N3398" s="0" t="s">
        <v>124</v>
      </c>
      <c r="P3398" s="0" t="s">
        <v>102</v>
      </c>
      <c r="Q3398" s="0" t="s">
        <v>102</v>
      </c>
      <c r="R3398" s="0" t="s">
        <v>113</v>
      </c>
      <c r="S3398" s="0" t="s">
        <v>21</v>
      </c>
      <c r="T3398" s="0" t="s">
        <v>104</v>
      </c>
      <c r="W3398" s="0" t="s">
        <v>105</v>
      </c>
    </row>
    <row r="3399" customFormat="false" ht="15" hidden="false" customHeight="false" outlineLevel="0" collapsed="false">
      <c r="A3399" s="0" t="s">
        <v>21</v>
      </c>
      <c r="B3399" s="0" t="s">
        <v>10837</v>
      </c>
      <c r="C3399" s="0" t="s">
        <v>97</v>
      </c>
      <c r="D3399" s="0" t="s">
        <v>10838</v>
      </c>
      <c r="E3399" s="0" t="s">
        <v>10839</v>
      </c>
      <c r="M3399" s="0" t="s">
        <v>136</v>
      </c>
      <c r="N3399" s="0" t="s">
        <v>124</v>
      </c>
      <c r="P3399" s="0" t="s">
        <v>102</v>
      </c>
      <c r="Q3399" s="0" t="s">
        <v>102</v>
      </c>
      <c r="R3399" s="0" t="s">
        <v>113</v>
      </c>
      <c r="S3399" s="0" t="s">
        <v>21</v>
      </c>
      <c r="T3399" s="0" t="s">
        <v>104</v>
      </c>
      <c r="W3399" s="0" t="s">
        <v>105</v>
      </c>
    </row>
    <row r="3400" customFormat="false" ht="15" hidden="false" customHeight="false" outlineLevel="0" collapsed="false">
      <c r="A3400" s="0" t="s">
        <v>21</v>
      </c>
      <c r="B3400" s="0" t="s">
        <v>10840</v>
      </c>
      <c r="C3400" s="0" t="s">
        <v>97</v>
      </c>
      <c r="D3400" s="0" t="s">
        <v>10841</v>
      </c>
      <c r="E3400" s="0" t="s">
        <v>10842</v>
      </c>
      <c r="M3400" s="0" t="s">
        <v>136</v>
      </c>
      <c r="N3400" s="0" t="s">
        <v>124</v>
      </c>
      <c r="P3400" s="0" t="s">
        <v>102</v>
      </c>
      <c r="Q3400" s="0" t="s">
        <v>102</v>
      </c>
      <c r="R3400" s="0" t="s">
        <v>131</v>
      </c>
      <c r="S3400" s="0" t="s">
        <v>21</v>
      </c>
      <c r="T3400" s="0" t="s">
        <v>104</v>
      </c>
      <c r="W3400" s="0" t="s">
        <v>105</v>
      </c>
    </row>
    <row r="3401" customFormat="false" ht="15" hidden="false" customHeight="false" outlineLevel="0" collapsed="false">
      <c r="A3401" s="0" t="s">
        <v>21</v>
      </c>
      <c r="B3401" s="0" t="s">
        <v>10843</v>
      </c>
      <c r="C3401" s="0" t="s">
        <v>97</v>
      </c>
      <c r="D3401" s="0" t="s">
        <v>8050</v>
      </c>
      <c r="E3401" s="0" t="s">
        <v>8051</v>
      </c>
      <c r="M3401" s="0" t="s">
        <v>100</v>
      </c>
      <c r="N3401" s="0" t="s">
        <v>101</v>
      </c>
      <c r="P3401" s="0" t="s">
        <v>102</v>
      </c>
      <c r="Q3401" s="0" t="s">
        <v>102</v>
      </c>
      <c r="R3401" s="0" t="s">
        <v>113</v>
      </c>
      <c r="S3401" s="0" t="s">
        <v>21</v>
      </c>
      <c r="T3401" s="0" t="s">
        <v>104</v>
      </c>
      <c r="W3401" s="0" t="s">
        <v>105</v>
      </c>
    </row>
    <row r="3402" customFormat="false" ht="15" hidden="false" customHeight="false" outlineLevel="0" collapsed="false">
      <c r="A3402" s="0" t="s">
        <v>21</v>
      </c>
      <c r="B3402" s="0" t="s">
        <v>10844</v>
      </c>
      <c r="C3402" s="0" t="s">
        <v>97</v>
      </c>
      <c r="D3402" s="0" t="s">
        <v>10845</v>
      </c>
      <c r="E3402" s="0" t="s">
        <v>10846</v>
      </c>
      <c r="M3402" s="0" t="s">
        <v>136</v>
      </c>
      <c r="N3402" s="0" t="s">
        <v>124</v>
      </c>
      <c r="P3402" s="0" t="s">
        <v>102</v>
      </c>
      <c r="Q3402" s="0" t="s">
        <v>102</v>
      </c>
      <c r="R3402" s="0" t="s">
        <v>131</v>
      </c>
      <c r="S3402" s="0" t="s">
        <v>21</v>
      </c>
      <c r="T3402" s="0" t="s">
        <v>104</v>
      </c>
      <c r="W3402" s="0" t="s">
        <v>105</v>
      </c>
    </row>
    <row r="3403" customFormat="false" ht="15" hidden="false" customHeight="false" outlineLevel="0" collapsed="false">
      <c r="A3403" s="0" t="s">
        <v>21</v>
      </c>
      <c r="B3403" s="0" t="s">
        <v>10847</v>
      </c>
      <c r="C3403" s="0" t="s">
        <v>97</v>
      </c>
      <c r="D3403" s="0" t="s">
        <v>10848</v>
      </c>
      <c r="E3403" s="0" t="s">
        <v>10849</v>
      </c>
      <c r="M3403" s="0" t="s">
        <v>136</v>
      </c>
      <c r="N3403" s="0" t="s">
        <v>124</v>
      </c>
      <c r="P3403" s="0" t="s">
        <v>102</v>
      </c>
      <c r="Q3403" s="0" t="s">
        <v>102</v>
      </c>
      <c r="R3403" s="0" t="s">
        <v>131</v>
      </c>
      <c r="S3403" s="0" t="s">
        <v>21</v>
      </c>
      <c r="T3403" s="0" t="s">
        <v>104</v>
      </c>
      <c r="W3403" s="0" t="s">
        <v>105</v>
      </c>
    </row>
    <row r="3404" customFormat="false" ht="15" hidden="false" customHeight="false" outlineLevel="0" collapsed="false">
      <c r="A3404" s="0" t="s">
        <v>21</v>
      </c>
      <c r="B3404" s="0" t="s">
        <v>10850</v>
      </c>
      <c r="C3404" s="0" t="s">
        <v>97</v>
      </c>
      <c r="D3404" s="0" t="s">
        <v>10851</v>
      </c>
      <c r="E3404" s="0" t="s">
        <v>10852</v>
      </c>
      <c r="M3404" s="0" t="s">
        <v>136</v>
      </c>
      <c r="N3404" s="0" t="s">
        <v>124</v>
      </c>
      <c r="P3404" s="0" t="s">
        <v>102</v>
      </c>
      <c r="Q3404" s="0" t="s">
        <v>102</v>
      </c>
      <c r="R3404" s="0" t="s">
        <v>144</v>
      </c>
      <c r="S3404" s="0" t="s">
        <v>21</v>
      </c>
      <c r="T3404" s="0" t="s">
        <v>104</v>
      </c>
      <c r="W3404" s="0" t="s">
        <v>105</v>
      </c>
    </row>
    <row r="3405" customFormat="false" ht="15" hidden="false" customHeight="false" outlineLevel="0" collapsed="false">
      <c r="A3405" s="0" t="s">
        <v>21</v>
      </c>
      <c r="B3405" s="0" t="s">
        <v>10853</v>
      </c>
      <c r="C3405" s="0" t="s">
        <v>97</v>
      </c>
      <c r="D3405" s="0" t="s">
        <v>10854</v>
      </c>
      <c r="E3405" s="0" t="s">
        <v>10855</v>
      </c>
      <c r="H3405" s="0" t="s">
        <v>10856</v>
      </c>
      <c r="I3405" s="0" t="s">
        <v>10857</v>
      </c>
      <c r="J3405" s="0" t="s">
        <v>10857</v>
      </c>
      <c r="K3405" s="0" t="s">
        <v>10858</v>
      </c>
      <c r="L3405" s="0" t="s">
        <v>101</v>
      </c>
      <c r="M3405" s="0" t="s">
        <v>497</v>
      </c>
      <c r="N3405" s="0" t="s">
        <v>101</v>
      </c>
      <c r="P3405" s="0" t="s">
        <v>102</v>
      </c>
      <c r="Q3405" s="0" t="s">
        <v>102</v>
      </c>
      <c r="R3405" s="0" t="s">
        <v>144</v>
      </c>
      <c r="S3405" s="0" t="s">
        <v>21</v>
      </c>
      <c r="T3405" s="0" t="s">
        <v>104</v>
      </c>
      <c r="W3405" s="0" t="s">
        <v>105</v>
      </c>
      <c r="X3405" s="0" t="s">
        <v>10859</v>
      </c>
      <c r="Y3405" s="0" t="s">
        <v>10860</v>
      </c>
    </row>
    <row r="3406" customFormat="false" ht="15" hidden="false" customHeight="false" outlineLevel="0" collapsed="false">
      <c r="A3406" s="0" t="s">
        <v>21</v>
      </c>
      <c r="B3406" s="0" t="s">
        <v>10861</v>
      </c>
      <c r="C3406" s="0" t="s">
        <v>97</v>
      </c>
      <c r="D3406" s="0" t="s">
        <v>10854</v>
      </c>
      <c r="E3406" s="0" t="s">
        <v>10854</v>
      </c>
      <c r="H3406" s="0" t="s">
        <v>654</v>
      </c>
      <c r="I3406" s="0" t="s">
        <v>655</v>
      </c>
      <c r="J3406" s="0" t="s">
        <v>100</v>
      </c>
      <c r="K3406" s="0" t="s">
        <v>168</v>
      </c>
      <c r="L3406" s="0" t="s">
        <v>101</v>
      </c>
      <c r="M3406" s="0" t="s">
        <v>656</v>
      </c>
      <c r="N3406" s="0" t="s">
        <v>101</v>
      </c>
      <c r="P3406" s="0" t="s">
        <v>102</v>
      </c>
      <c r="Q3406" s="0" t="s">
        <v>102</v>
      </c>
      <c r="R3406" s="0" t="s">
        <v>144</v>
      </c>
      <c r="S3406" s="0" t="s">
        <v>21</v>
      </c>
      <c r="T3406" s="0" t="s">
        <v>104</v>
      </c>
      <c r="W3406" s="0" t="s">
        <v>105</v>
      </c>
      <c r="X3406" s="0" t="s">
        <v>658</v>
      </c>
      <c r="Y3406" s="0" t="s">
        <v>659</v>
      </c>
    </row>
    <row r="3407" customFormat="false" ht="15" hidden="false" customHeight="false" outlineLevel="0" collapsed="false">
      <c r="A3407" s="0" t="s">
        <v>21</v>
      </c>
      <c r="B3407" s="0" t="s">
        <v>10862</v>
      </c>
      <c r="C3407" s="0" t="s">
        <v>97</v>
      </c>
      <c r="D3407" s="0" t="s">
        <v>10863</v>
      </c>
      <c r="E3407" s="0" t="s">
        <v>10864</v>
      </c>
      <c r="M3407" s="0" t="s">
        <v>100</v>
      </c>
      <c r="N3407" s="0" t="s">
        <v>101</v>
      </c>
      <c r="P3407" s="0" t="s">
        <v>102</v>
      </c>
      <c r="Q3407" s="0" t="s">
        <v>102</v>
      </c>
      <c r="R3407" s="0" t="s">
        <v>144</v>
      </c>
      <c r="S3407" s="0" t="s">
        <v>21</v>
      </c>
      <c r="T3407" s="0" t="s">
        <v>104</v>
      </c>
      <c r="W3407" s="0" t="s">
        <v>105</v>
      </c>
    </row>
    <row r="3408" customFormat="false" ht="15" hidden="false" customHeight="false" outlineLevel="0" collapsed="false">
      <c r="A3408" s="0" t="s">
        <v>21</v>
      </c>
      <c r="B3408" s="0" t="s">
        <v>10865</v>
      </c>
      <c r="C3408" s="0" t="s">
        <v>97</v>
      </c>
      <c r="D3408" s="0" t="s">
        <v>8337</v>
      </c>
      <c r="E3408" s="0" t="s">
        <v>10866</v>
      </c>
      <c r="M3408" s="0" t="s">
        <v>656</v>
      </c>
      <c r="N3408" s="0" t="s">
        <v>101</v>
      </c>
      <c r="P3408" s="0" t="s">
        <v>102</v>
      </c>
      <c r="Q3408" s="0" t="s">
        <v>102</v>
      </c>
      <c r="R3408" s="0" t="s">
        <v>113</v>
      </c>
      <c r="S3408" s="0" t="s">
        <v>21</v>
      </c>
      <c r="T3408" s="0" t="s">
        <v>104</v>
      </c>
      <c r="W3408" s="0" t="s">
        <v>105</v>
      </c>
    </row>
    <row r="3409" customFormat="false" ht="15" hidden="false" customHeight="false" outlineLevel="0" collapsed="false">
      <c r="A3409" s="0" t="s">
        <v>21</v>
      </c>
      <c r="B3409" s="0" t="s">
        <v>10867</v>
      </c>
      <c r="C3409" s="0" t="s">
        <v>97</v>
      </c>
      <c r="D3409" s="0" t="s">
        <v>10868</v>
      </c>
      <c r="E3409" s="0" t="s">
        <v>10869</v>
      </c>
      <c r="G3409" s="0" t="s">
        <v>10870</v>
      </c>
      <c r="M3409" s="0" t="s">
        <v>100</v>
      </c>
      <c r="N3409" s="0" t="s">
        <v>101</v>
      </c>
      <c r="P3409" s="0" t="s">
        <v>102</v>
      </c>
      <c r="Q3409" s="0" t="s">
        <v>102</v>
      </c>
      <c r="R3409" s="0" t="s">
        <v>113</v>
      </c>
      <c r="S3409" s="0" t="s">
        <v>21</v>
      </c>
      <c r="T3409" s="0" t="s">
        <v>104</v>
      </c>
      <c r="W3409" s="0" t="s">
        <v>105</v>
      </c>
    </row>
    <row r="3410" customFormat="false" ht="15" hidden="false" customHeight="false" outlineLevel="0" collapsed="false">
      <c r="A3410" s="0" t="s">
        <v>21</v>
      </c>
      <c r="B3410" s="0" t="s">
        <v>10871</v>
      </c>
      <c r="C3410" s="0" t="s">
        <v>97</v>
      </c>
      <c r="D3410" s="0" t="s">
        <v>10872</v>
      </c>
      <c r="E3410" s="0" t="s">
        <v>10873</v>
      </c>
      <c r="M3410" s="0" t="s">
        <v>442</v>
      </c>
      <c r="N3410" s="0" t="s">
        <v>101</v>
      </c>
      <c r="P3410" s="0" t="s">
        <v>102</v>
      </c>
      <c r="Q3410" s="0" t="s">
        <v>102</v>
      </c>
      <c r="R3410" s="0" t="s">
        <v>137</v>
      </c>
      <c r="S3410" s="0" t="s">
        <v>21</v>
      </c>
      <c r="T3410" s="0" t="s">
        <v>104</v>
      </c>
      <c r="W3410" s="0" t="s">
        <v>105</v>
      </c>
    </row>
    <row r="3411" customFormat="false" ht="15" hidden="false" customHeight="false" outlineLevel="0" collapsed="false">
      <c r="A3411" s="0" t="s">
        <v>21</v>
      </c>
      <c r="B3411" s="0" t="s">
        <v>10874</v>
      </c>
      <c r="C3411" s="0" t="s">
        <v>97</v>
      </c>
      <c r="D3411" s="0" t="s">
        <v>10875</v>
      </c>
      <c r="E3411" s="0" t="s">
        <v>10876</v>
      </c>
      <c r="H3411" s="0" t="s">
        <v>654</v>
      </c>
      <c r="I3411" s="0" t="s">
        <v>655</v>
      </c>
      <c r="J3411" s="0" t="s">
        <v>100</v>
      </c>
      <c r="K3411" s="0" t="s">
        <v>168</v>
      </c>
      <c r="L3411" s="0" t="s">
        <v>101</v>
      </c>
      <c r="M3411" s="0" t="s">
        <v>656</v>
      </c>
      <c r="N3411" s="0" t="s">
        <v>101</v>
      </c>
      <c r="P3411" s="0" t="s">
        <v>102</v>
      </c>
      <c r="Q3411" s="0" t="s">
        <v>102</v>
      </c>
      <c r="R3411" s="0" t="s">
        <v>144</v>
      </c>
      <c r="S3411" s="0" t="s">
        <v>21</v>
      </c>
      <c r="T3411" s="0" t="s">
        <v>104</v>
      </c>
      <c r="V3411" s="0" t="s">
        <v>6108</v>
      </c>
      <c r="W3411" s="0" t="s">
        <v>105</v>
      </c>
      <c r="X3411" s="0" t="s">
        <v>658</v>
      </c>
      <c r="Y3411" s="0" t="s">
        <v>659</v>
      </c>
    </row>
    <row r="3412" customFormat="false" ht="15" hidden="false" customHeight="false" outlineLevel="0" collapsed="false">
      <c r="A3412" s="0" t="s">
        <v>21</v>
      </c>
      <c r="B3412" s="0" t="s">
        <v>10874</v>
      </c>
      <c r="C3412" s="0" t="s">
        <v>97</v>
      </c>
      <c r="D3412" s="0" t="s">
        <v>10875</v>
      </c>
      <c r="E3412" s="0" t="s">
        <v>10876</v>
      </c>
      <c r="H3412" s="0" t="s">
        <v>654</v>
      </c>
      <c r="I3412" s="0" t="s">
        <v>655</v>
      </c>
      <c r="J3412" s="0" t="s">
        <v>100</v>
      </c>
      <c r="K3412" s="0" t="s">
        <v>168</v>
      </c>
      <c r="L3412" s="0" t="s">
        <v>101</v>
      </c>
      <c r="M3412" s="0" t="s">
        <v>656</v>
      </c>
      <c r="N3412" s="0" t="s">
        <v>101</v>
      </c>
      <c r="P3412" s="0" t="s">
        <v>346</v>
      </c>
      <c r="Q3412" s="0" t="s">
        <v>346</v>
      </c>
      <c r="R3412" s="0" t="s">
        <v>347</v>
      </c>
      <c r="S3412" s="0" t="s">
        <v>21</v>
      </c>
      <c r="T3412" s="0" t="s">
        <v>104</v>
      </c>
      <c r="U3412" s="0" t="s">
        <v>6110</v>
      </c>
      <c r="W3412" s="0" t="s">
        <v>105</v>
      </c>
      <c r="X3412" s="0" t="s">
        <v>658</v>
      </c>
      <c r="Y3412" s="0" t="s">
        <v>659</v>
      </c>
    </row>
    <row r="3413" customFormat="false" ht="15" hidden="false" customHeight="false" outlineLevel="0" collapsed="false">
      <c r="A3413" s="0" t="s">
        <v>21</v>
      </c>
      <c r="B3413" s="0" t="s">
        <v>10877</v>
      </c>
      <c r="C3413" s="0" t="s">
        <v>97</v>
      </c>
      <c r="D3413" s="0" t="s">
        <v>10878</v>
      </c>
      <c r="E3413" s="0" t="s">
        <v>10879</v>
      </c>
      <c r="H3413" s="0" t="s">
        <v>654</v>
      </c>
      <c r="I3413" s="0" t="s">
        <v>655</v>
      </c>
      <c r="J3413" s="0" t="s">
        <v>100</v>
      </c>
      <c r="K3413" s="0" t="s">
        <v>168</v>
      </c>
      <c r="L3413" s="0" t="s">
        <v>101</v>
      </c>
      <c r="M3413" s="0" t="s">
        <v>656</v>
      </c>
      <c r="N3413" s="0" t="s">
        <v>101</v>
      </c>
      <c r="P3413" s="0" t="s">
        <v>102</v>
      </c>
      <c r="Q3413" s="0" t="s">
        <v>102</v>
      </c>
      <c r="R3413" s="0" t="s">
        <v>144</v>
      </c>
      <c r="S3413" s="0" t="s">
        <v>21</v>
      </c>
      <c r="T3413" s="0" t="s">
        <v>104</v>
      </c>
      <c r="V3413" s="0" t="s">
        <v>6108</v>
      </c>
      <c r="W3413" s="0" t="s">
        <v>105</v>
      </c>
      <c r="X3413" s="0" t="s">
        <v>658</v>
      </c>
      <c r="Y3413" s="0" t="s">
        <v>659</v>
      </c>
    </row>
    <row r="3414" customFormat="false" ht="15" hidden="false" customHeight="false" outlineLevel="0" collapsed="false">
      <c r="A3414" s="0" t="s">
        <v>21</v>
      </c>
      <c r="B3414" s="0" t="s">
        <v>10877</v>
      </c>
      <c r="C3414" s="0" t="s">
        <v>97</v>
      </c>
      <c r="D3414" s="0" t="s">
        <v>10878</v>
      </c>
      <c r="E3414" s="0" t="s">
        <v>10879</v>
      </c>
      <c r="H3414" s="0" t="s">
        <v>654</v>
      </c>
      <c r="I3414" s="0" t="s">
        <v>655</v>
      </c>
      <c r="J3414" s="0" t="s">
        <v>100</v>
      </c>
      <c r="K3414" s="0" t="s">
        <v>168</v>
      </c>
      <c r="L3414" s="0" t="s">
        <v>101</v>
      </c>
      <c r="M3414" s="0" t="s">
        <v>656</v>
      </c>
      <c r="N3414" s="0" t="s">
        <v>101</v>
      </c>
      <c r="P3414" s="0" t="s">
        <v>236</v>
      </c>
      <c r="Q3414" s="0" t="s">
        <v>236</v>
      </c>
      <c r="R3414" s="0" t="s">
        <v>6109</v>
      </c>
      <c r="S3414" s="0" t="s">
        <v>21</v>
      </c>
      <c r="T3414" s="0" t="s">
        <v>104</v>
      </c>
      <c r="U3414" s="0" t="s">
        <v>6110</v>
      </c>
      <c r="W3414" s="0" t="s">
        <v>105</v>
      </c>
      <c r="X3414" s="0" t="s">
        <v>658</v>
      </c>
      <c r="Y3414" s="0" t="s">
        <v>659</v>
      </c>
    </row>
    <row r="3415" customFormat="false" ht="15" hidden="false" customHeight="false" outlineLevel="0" collapsed="false">
      <c r="A3415" s="0" t="s">
        <v>21</v>
      </c>
      <c r="B3415" s="0" t="s">
        <v>10880</v>
      </c>
      <c r="C3415" s="0" t="s">
        <v>97</v>
      </c>
      <c r="D3415" s="0" t="s">
        <v>10881</v>
      </c>
      <c r="E3415" s="0" t="s">
        <v>10882</v>
      </c>
      <c r="H3415" s="0" t="s">
        <v>654</v>
      </c>
      <c r="I3415" s="0" t="s">
        <v>655</v>
      </c>
      <c r="J3415" s="0" t="s">
        <v>100</v>
      </c>
      <c r="K3415" s="0" t="s">
        <v>168</v>
      </c>
      <c r="L3415" s="0" t="s">
        <v>101</v>
      </c>
      <c r="M3415" s="0" t="s">
        <v>656</v>
      </c>
      <c r="N3415" s="0" t="s">
        <v>101</v>
      </c>
      <c r="P3415" s="0" t="s">
        <v>102</v>
      </c>
      <c r="Q3415" s="0" t="s">
        <v>102</v>
      </c>
      <c r="R3415" s="0" t="s">
        <v>144</v>
      </c>
      <c r="S3415" s="0" t="s">
        <v>21</v>
      </c>
      <c r="T3415" s="0" t="s">
        <v>104</v>
      </c>
      <c r="V3415" s="0" t="s">
        <v>6108</v>
      </c>
      <c r="W3415" s="0" t="s">
        <v>105</v>
      </c>
      <c r="X3415" s="0" t="s">
        <v>658</v>
      </c>
      <c r="Y3415" s="0" t="s">
        <v>659</v>
      </c>
    </row>
    <row r="3416" customFormat="false" ht="15" hidden="false" customHeight="false" outlineLevel="0" collapsed="false">
      <c r="A3416" s="0" t="s">
        <v>21</v>
      </c>
      <c r="B3416" s="0" t="s">
        <v>10880</v>
      </c>
      <c r="C3416" s="0" t="s">
        <v>97</v>
      </c>
      <c r="D3416" s="0" t="s">
        <v>10881</v>
      </c>
      <c r="E3416" s="0" t="s">
        <v>10882</v>
      </c>
      <c r="H3416" s="0" t="s">
        <v>654</v>
      </c>
      <c r="I3416" s="0" t="s">
        <v>655</v>
      </c>
      <c r="J3416" s="0" t="s">
        <v>100</v>
      </c>
      <c r="K3416" s="0" t="s">
        <v>168</v>
      </c>
      <c r="L3416" s="0" t="s">
        <v>101</v>
      </c>
      <c r="M3416" s="0" t="s">
        <v>656</v>
      </c>
      <c r="N3416" s="0" t="s">
        <v>101</v>
      </c>
      <c r="P3416" s="0" t="s">
        <v>236</v>
      </c>
      <c r="Q3416" s="0" t="s">
        <v>236</v>
      </c>
      <c r="R3416" s="0" t="s">
        <v>6109</v>
      </c>
      <c r="S3416" s="0" t="s">
        <v>21</v>
      </c>
      <c r="T3416" s="0" t="s">
        <v>104</v>
      </c>
      <c r="U3416" s="0" t="s">
        <v>6110</v>
      </c>
      <c r="W3416" s="0" t="s">
        <v>105</v>
      </c>
      <c r="X3416" s="0" t="s">
        <v>658</v>
      </c>
      <c r="Y3416" s="0" t="s">
        <v>659</v>
      </c>
    </row>
    <row r="3417" customFormat="false" ht="15" hidden="false" customHeight="false" outlineLevel="0" collapsed="false">
      <c r="A3417" s="0" t="s">
        <v>21</v>
      </c>
      <c r="B3417" s="0" t="s">
        <v>10883</v>
      </c>
      <c r="C3417" s="0" t="s">
        <v>174</v>
      </c>
      <c r="D3417" s="0" t="s">
        <v>10884</v>
      </c>
      <c r="E3417" s="0" t="s">
        <v>10885</v>
      </c>
      <c r="M3417" s="0" t="s">
        <v>100</v>
      </c>
      <c r="N3417" s="0" t="s">
        <v>101</v>
      </c>
      <c r="P3417" s="0" t="s">
        <v>102</v>
      </c>
      <c r="Q3417" s="0" t="s">
        <v>102</v>
      </c>
      <c r="R3417" s="0" t="s">
        <v>144</v>
      </c>
      <c r="S3417" s="0" t="s">
        <v>21</v>
      </c>
      <c r="T3417" s="0" t="s">
        <v>104</v>
      </c>
      <c r="V3417" s="0" t="s">
        <v>6108</v>
      </c>
      <c r="W3417" s="0" t="s">
        <v>105</v>
      </c>
    </row>
    <row r="3418" customFormat="false" ht="15" hidden="false" customHeight="false" outlineLevel="0" collapsed="false">
      <c r="A3418" s="0" t="s">
        <v>21</v>
      </c>
      <c r="B3418" s="0" t="s">
        <v>10883</v>
      </c>
      <c r="C3418" s="0" t="s">
        <v>174</v>
      </c>
      <c r="D3418" s="0" t="s">
        <v>10884</v>
      </c>
      <c r="E3418" s="0" t="s">
        <v>10885</v>
      </c>
      <c r="M3418" s="0" t="s">
        <v>100</v>
      </c>
      <c r="N3418" s="0" t="s">
        <v>101</v>
      </c>
      <c r="P3418" s="0" t="s">
        <v>236</v>
      </c>
      <c r="Q3418" s="0" t="s">
        <v>236</v>
      </c>
      <c r="R3418" s="0" t="s">
        <v>6109</v>
      </c>
      <c r="S3418" s="0" t="s">
        <v>21</v>
      </c>
      <c r="T3418" s="0" t="s">
        <v>104</v>
      </c>
      <c r="U3418" s="0" t="s">
        <v>6110</v>
      </c>
      <c r="W3418" s="0" t="s">
        <v>105</v>
      </c>
    </row>
    <row r="3419" customFormat="false" ht="15" hidden="false" customHeight="false" outlineLevel="0" collapsed="false">
      <c r="A3419" s="0" t="s">
        <v>21</v>
      </c>
      <c r="B3419" s="0" t="s">
        <v>10886</v>
      </c>
      <c r="C3419" s="0" t="s">
        <v>97</v>
      </c>
      <c r="D3419" s="0" t="s">
        <v>10887</v>
      </c>
      <c r="E3419" s="0" t="s">
        <v>10888</v>
      </c>
      <c r="M3419" s="0" t="s">
        <v>100</v>
      </c>
      <c r="N3419" s="0" t="s">
        <v>101</v>
      </c>
      <c r="P3419" s="0" t="s">
        <v>102</v>
      </c>
      <c r="Q3419" s="0" t="s">
        <v>102</v>
      </c>
      <c r="R3419" s="0" t="s">
        <v>131</v>
      </c>
      <c r="S3419" s="0" t="s">
        <v>21</v>
      </c>
      <c r="T3419" s="0" t="s">
        <v>104</v>
      </c>
      <c r="W3419" s="0" t="s">
        <v>105</v>
      </c>
    </row>
    <row r="3420" customFormat="false" ht="15" hidden="false" customHeight="false" outlineLevel="0" collapsed="false">
      <c r="A3420" s="0" t="s">
        <v>21</v>
      </c>
      <c r="B3420" s="0" t="s">
        <v>10889</v>
      </c>
      <c r="C3420" s="0" t="s">
        <v>97</v>
      </c>
      <c r="D3420" s="0" t="s">
        <v>10890</v>
      </c>
      <c r="E3420" s="0" t="s">
        <v>10891</v>
      </c>
      <c r="M3420" s="0" t="s">
        <v>100</v>
      </c>
      <c r="N3420" s="0" t="s">
        <v>101</v>
      </c>
      <c r="P3420" s="0" t="s">
        <v>102</v>
      </c>
      <c r="Q3420" s="0" t="s">
        <v>102</v>
      </c>
      <c r="R3420" s="0" t="s">
        <v>131</v>
      </c>
      <c r="S3420" s="0" t="s">
        <v>21</v>
      </c>
      <c r="T3420" s="0" t="s">
        <v>104</v>
      </c>
      <c r="W3420" s="0" t="s">
        <v>105</v>
      </c>
    </row>
    <row r="3421" customFormat="false" ht="15" hidden="false" customHeight="false" outlineLevel="0" collapsed="false">
      <c r="A3421" s="0" t="s">
        <v>21</v>
      </c>
      <c r="B3421" s="0" t="s">
        <v>10892</v>
      </c>
      <c r="C3421" s="0" t="s">
        <v>97</v>
      </c>
      <c r="D3421" s="0" t="s">
        <v>10893</v>
      </c>
      <c r="E3421" s="0" t="s">
        <v>10894</v>
      </c>
      <c r="M3421" s="0" t="s">
        <v>100</v>
      </c>
      <c r="N3421" s="0" t="s">
        <v>101</v>
      </c>
      <c r="P3421" s="0" t="s">
        <v>102</v>
      </c>
      <c r="Q3421" s="0" t="s">
        <v>102</v>
      </c>
      <c r="R3421" s="0" t="s">
        <v>131</v>
      </c>
      <c r="S3421" s="0" t="s">
        <v>21</v>
      </c>
      <c r="T3421" s="0" t="s">
        <v>104</v>
      </c>
      <c r="W3421" s="0" t="s">
        <v>105</v>
      </c>
    </row>
    <row r="3422" customFormat="false" ht="15" hidden="false" customHeight="false" outlineLevel="0" collapsed="false">
      <c r="A3422" s="0" t="s">
        <v>21</v>
      </c>
      <c r="B3422" s="0" t="s">
        <v>10895</v>
      </c>
      <c r="C3422" s="0" t="s">
        <v>97</v>
      </c>
      <c r="D3422" s="0" t="s">
        <v>10896</v>
      </c>
      <c r="E3422" s="0" t="s">
        <v>10897</v>
      </c>
      <c r="H3422" s="0" t="s">
        <v>654</v>
      </c>
      <c r="I3422" s="0" t="s">
        <v>655</v>
      </c>
      <c r="J3422" s="0" t="s">
        <v>100</v>
      </c>
      <c r="K3422" s="0" t="s">
        <v>168</v>
      </c>
      <c r="L3422" s="0" t="s">
        <v>101</v>
      </c>
      <c r="M3422" s="0" t="s">
        <v>656</v>
      </c>
      <c r="N3422" s="0" t="s">
        <v>101</v>
      </c>
      <c r="P3422" s="0" t="s">
        <v>102</v>
      </c>
      <c r="Q3422" s="0" t="s">
        <v>102</v>
      </c>
      <c r="R3422" s="0" t="s">
        <v>144</v>
      </c>
      <c r="S3422" s="0" t="s">
        <v>21</v>
      </c>
      <c r="T3422" s="0" t="s">
        <v>104</v>
      </c>
      <c r="W3422" s="0" t="s">
        <v>105</v>
      </c>
      <c r="X3422" s="0" t="s">
        <v>658</v>
      </c>
      <c r="Y3422" s="0" t="s">
        <v>659</v>
      </c>
    </row>
    <row r="3423" customFormat="false" ht="15" hidden="false" customHeight="false" outlineLevel="0" collapsed="false">
      <c r="A3423" s="0" t="s">
        <v>21</v>
      </c>
      <c r="B3423" s="0" t="s">
        <v>10898</v>
      </c>
      <c r="C3423" s="0" t="s">
        <v>97</v>
      </c>
      <c r="D3423" s="0" t="s">
        <v>10896</v>
      </c>
      <c r="E3423" s="0" t="s">
        <v>10899</v>
      </c>
      <c r="M3423" s="0" t="s">
        <v>100</v>
      </c>
      <c r="N3423" s="0" t="s">
        <v>101</v>
      </c>
      <c r="P3423" s="0" t="s">
        <v>102</v>
      </c>
      <c r="Q3423" s="0" t="s">
        <v>102</v>
      </c>
      <c r="R3423" s="0" t="s">
        <v>144</v>
      </c>
      <c r="S3423" s="0" t="s">
        <v>21</v>
      </c>
      <c r="T3423" s="0" t="s">
        <v>104</v>
      </c>
      <c r="W3423" s="0" t="s">
        <v>105</v>
      </c>
    </row>
    <row r="3424" customFormat="false" ht="15" hidden="false" customHeight="false" outlineLevel="0" collapsed="false">
      <c r="A3424" s="0" t="s">
        <v>21</v>
      </c>
      <c r="B3424" s="0" t="s">
        <v>10900</v>
      </c>
      <c r="C3424" s="0" t="s">
        <v>97</v>
      </c>
      <c r="D3424" s="0" t="s">
        <v>10901</v>
      </c>
      <c r="E3424" s="0" t="s">
        <v>10902</v>
      </c>
      <c r="H3424" s="0" t="s">
        <v>654</v>
      </c>
      <c r="I3424" s="0" t="s">
        <v>655</v>
      </c>
      <c r="J3424" s="0" t="s">
        <v>100</v>
      </c>
      <c r="K3424" s="0" t="s">
        <v>168</v>
      </c>
      <c r="L3424" s="0" t="s">
        <v>101</v>
      </c>
      <c r="M3424" s="0" t="s">
        <v>656</v>
      </c>
      <c r="N3424" s="0" t="s">
        <v>101</v>
      </c>
      <c r="P3424" s="0" t="s">
        <v>102</v>
      </c>
      <c r="Q3424" s="0" t="s">
        <v>102</v>
      </c>
      <c r="R3424" s="0" t="s">
        <v>144</v>
      </c>
      <c r="S3424" s="0" t="s">
        <v>21</v>
      </c>
      <c r="T3424" s="0" t="s">
        <v>104</v>
      </c>
      <c r="W3424" s="0" t="s">
        <v>105</v>
      </c>
      <c r="X3424" s="0" t="s">
        <v>658</v>
      </c>
      <c r="Y3424" s="0" t="s">
        <v>659</v>
      </c>
    </row>
    <row r="3425" customFormat="false" ht="28.35" hidden="false" customHeight="false" outlineLevel="0" collapsed="false">
      <c r="A3425" s="0" t="s">
        <v>21</v>
      </c>
      <c r="B3425" s="0" t="s">
        <v>10903</v>
      </c>
      <c r="C3425" s="0" t="s">
        <v>4845</v>
      </c>
      <c r="D3425" s="0" t="s">
        <v>10904</v>
      </c>
      <c r="E3425" s="0" t="s">
        <v>10905</v>
      </c>
      <c r="G3425" s="9" t="s">
        <v>10906</v>
      </c>
      <c r="M3425" s="0" t="s">
        <v>420</v>
      </c>
      <c r="N3425" s="0" t="s">
        <v>101</v>
      </c>
      <c r="P3425" s="0" t="s">
        <v>130</v>
      </c>
      <c r="Q3425" s="0" t="s">
        <v>130</v>
      </c>
      <c r="R3425" s="0" t="s">
        <v>113</v>
      </c>
      <c r="S3425" s="0" t="s">
        <v>21</v>
      </c>
      <c r="T3425" s="0" t="s">
        <v>104</v>
      </c>
      <c r="W3425" s="0" t="s">
        <v>105</v>
      </c>
    </row>
    <row r="3426" customFormat="false" ht="15" hidden="false" customHeight="false" outlineLevel="0" collapsed="false">
      <c r="A3426" s="0" t="s">
        <v>21</v>
      </c>
      <c r="B3426" s="0" t="s">
        <v>10907</v>
      </c>
      <c r="C3426" s="0" t="s">
        <v>97</v>
      </c>
      <c r="D3426" s="0" t="s">
        <v>2825</v>
      </c>
      <c r="E3426" s="0" t="s">
        <v>10908</v>
      </c>
      <c r="H3426" s="0" t="s">
        <v>654</v>
      </c>
      <c r="I3426" s="0" t="s">
        <v>655</v>
      </c>
      <c r="J3426" s="0" t="s">
        <v>100</v>
      </c>
      <c r="K3426" s="0" t="s">
        <v>168</v>
      </c>
      <c r="L3426" s="0" t="s">
        <v>101</v>
      </c>
      <c r="M3426" s="0" t="s">
        <v>656</v>
      </c>
      <c r="N3426" s="0" t="s">
        <v>101</v>
      </c>
      <c r="P3426" s="0" t="s">
        <v>102</v>
      </c>
      <c r="Q3426" s="0" t="s">
        <v>102</v>
      </c>
      <c r="R3426" s="0" t="s">
        <v>144</v>
      </c>
      <c r="S3426" s="0" t="s">
        <v>21</v>
      </c>
      <c r="T3426" s="0" t="s">
        <v>104</v>
      </c>
      <c r="V3426" s="0" t="s">
        <v>6108</v>
      </c>
      <c r="W3426" s="0" t="s">
        <v>105</v>
      </c>
      <c r="X3426" s="0" t="s">
        <v>658</v>
      </c>
      <c r="Y3426" s="0" t="s">
        <v>659</v>
      </c>
    </row>
    <row r="3427" customFormat="false" ht="15" hidden="false" customHeight="false" outlineLevel="0" collapsed="false">
      <c r="A3427" s="0" t="s">
        <v>21</v>
      </c>
      <c r="B3427" s="0" t="s">
        <v>10907</v>
      </c>
      <c r="C3427" s="0" t="s">
        <v>97</v>
      </c>
      <c r="D3427" s="0" t="s">
        <v>2825</v>
      </c>
      <c r="E3427" s="0" t="s">
        <v>10908</v>
      </c>
      <c r="H3427" s="0" t="s">
        <v>654</v>
      </c>
      <c r="I3427" s="0" t="s">
        <v>655</v>
      </c>
      <c r="J3427" s="0" t="s">
        <v>100</v>
      </c>
      <c r="K3427" s="0" t="s">
        <v>168</v>
      </c>
      <c r="L3427" s="0" t="s">
        <v>101</v>
      </c>
      <c r="M3427" s="0" t="s">
        <v>656</v>
      </c>
      <c r="N3427" s="0" t="s">
        <v>101</v>
      </c>
      <c r="P3427" s="0" t="s">
        <v>236</v>
      </c>
      <c r="Q3427" s="0" t="s">
        <v>236</v>
      </c>
      <c r="R3427" s="0" t="s">
        <v>6109</v>
      </c>
      <c r="S3427" s="0" t="s">
        <v>21</v>
      </c>
      <c r="T3427" s="0" t="s">
        <v>104</v>
      </c>
      <c r="U3427" s="0" t="s">
        <v>6110</v>
      </c>
      <c r="W3427" s="0" t="s">
        <v>105</v>
      </c>
      <c r="X3427" s="0" t="s">
        <v>658</v>
      </c>
      <c r="Y3427" s="0" t="s">
        <v>659</v>
      </c>
    </row>
    <row r="3428" customFormat="false" ht="15" hidden="false" customHeight="false" outlineLevel="0" collapsed="false">
      <c r="A3428" s="0" t="s">
        <v>21</v>
      </c>
      <c r="B3428" s="0" t="s">
        <v>10909</v>
      </c>
      <c r="C3428" s="0" t="s">
        <v>97</v>
      </c>
      <c r="D3428" s="0" t="s">
        <v>10910</v>
      </c>
      <c r="E3428" s="0" t="s">
        <v>10911</v>
      </c>
      <c r="H3428" s="0" t="s">
        <v>654</v>
      </c>
      <c r="I3428" s="0" t="s">
        <v>655</v>
      </c>
      <c r="J3428" s="0" t="s">
        <v>100</v>
      </c>
      <c r="K3428" s="0" t="s">
        <v>168</v>
      </c>
      <c r="L3428" s="0" t="s">
        <v>101</v>
      </c>
      <c r="M3428" s="0" t="s">
        <v>656</v>
      </c>
      <c r="N3428" s="0" t="s">
        <v>101</v>
      </c>
      <c r="P3428" s="0" t="s">
        <v>102</v>
      </c>
      <c r="Q3428" s="0" t="s">
        <v>102</v>
      </c>
      <c r="R3428" s="0" t="s">
        <v>144</v>
      </c>
      <c r="S3428" s="0" t="s">
        <v>21</v>
      </c>
      <c r="T3428" s="0" t="s">
        <v>104</v>
      </c>
      <c r="V3428" s="0" t="s">
        <v>6108</v>
      </c>
      <c r="W3428" s="0" t="s">
        <v>105</v>
      </c>
      <c r="X3428" s="0" t="s">
        <v>658</v>
      </c>
      <c r="Y3428" s="0" t="s">
        <v>659</v>
      </c>
    </row>
    <row r="3429" customFormat="false" ht="15" hidden="false" customHeight="false" outlineLevel="0" collapsed="false">
      <c r="A3429" s="0" t="s">
        <v>21</v>
      </c>
      <c r="B3429" s="0" t="s">
        <v>10909</v>
      </c>
      <c r="C3429" s="0" t="s">
        <v>97</v>
      </c>
      <c r="D3429" s="0" t="s">
        <v>10910</v>
      </c>
      <c r="E3429" s="0" t="s">
        <v>10911</v>
      </c>
      <c r="H3429" s="0" t="s">
        <v>654</v>
      </c>
      <c r="I3429" s="0" t="s">
        <v>655</v>
      </c>
      <c r="J3429" s="0" t="s">
        <v>100</v>
      </c>
      <c r="K3429" s="0" t="s">
        <v>168</v>
      </c>
      <c r="L3429" s="0" t="s">
        <v>101</v>
      </c>
      <c r="M3429" s="0" t="s">
        <v>656</v>
      </c>
      <c r="N3429" s="0" t="s">
        <v>101</v>
      </c>
      <c r="P3429" s="0" t="s">
        <v>236</v>
      </c>
      <c r="Q3429" s="0" t="s">
        <v>236</v>
      </c>
      <c r="R3429" s="0" t="s">
        <v>6109</v>
      </c>
      <c r="S3429" s="0" t="s">
        <v>21</v>
      </c>
      <c r="T3429" s="0" t="s">
        <v>104</v>
      </c>
      <c r="U3429" s="0" t="s">
        <v>6110</v>
      </c>
      <c r="W3429" s="0" t="s">
        <v>105</v>
      </c>
      <c r="X3429" s="0" t="s">
        <v>658</v>
      </c>
      <c r="Y3429" s="0" t="s">
        <v>659</v>
      </c>
    </row>
    <row r="3430" customFormat="false" ht="15" hidden="false" customHeight="false" outlineLevel="0" collapsed="false">
      <c r="A3430" s="0" t="s">
        <v>21</v>
      </c>
      <c r="B3430" s="0" t="s">
        <v>10912</v>
      </c>
      <c r="C3430" s="0" t="s">
        <v>97</v>
      </c>
      <c r="D3430" s="0" t="s">
        <v>10913</v>
      </c>
      <c r="E3430" s="0" t="s">
        <v>10914</v>
      </c>
      <c r="H3430" s="0" t="s">
        <v>654</v>
      </c>
      <c r="I3430" s="0" t="s">
        <v>655</v>
      </c>
      <c r="J3430" s="0" t="s">
        <v>100</v>
      </c>
      <c r="K3430" s="0" t="s">
        <v>168</v>
      </c>
      <c r="L3430" s="0" t="s">
        <v>101</v>
      </c>
      <c r="M3430" s="0" t="s">
        <v>656</v>
      </c>
      <c r="N3430" s="0" t="s">
        <v>101</v>
      </c>
      <c r="P3430" s="0" t="s">
        <v>102</v>
      </c>
      <c r="Q3430" s="0" t="s">
        <v>102</v>
      </c>
      <c r="R3430" s="0" t="s">
        <v>144</v>
      </c>
      <c r="S3430" s="0" t="s">
        <v>21</v>
      </c>
      <c r="T3430" s="0" t="s">
        <v>104</v>
      </c>
      <c r="W3430" s="0" t="s">
        <v>105</v>
      </c>
      <c r="X3430" s="0" t="s">
        <v>658</v>
      </c>
      <c r="Y3430" s="0" t="s">
        <v>659</v>
      </c>
    </row>
    <row r="3431" customFormat="false" ht="15" hidden="false" customHeight="false" outlineLevel="0" collapsed="false">
      <c r="A3431" s="0" t="s">
        <v>21</v>
      </c>
      <c r="B3431" s="0" t="s">
        <v>10915</v>
      </c>
      <c r="C3431" s="0" t="s">
        <v>97</v>
      </c>
      <c r="D3431" s="0" t="s">
        <v>10913</v>
      </c>
      <c r="E3431" s="0" t="s">
        <v>10916</v>
      </c>
      <c r="M3431" s="0" t="s">
        <v>100</v>
      </c>
      <c r="N3431" s="0" t="s">
        <v>101</v>
      </c>
      <c r="P3431" s="0" t="s">
        <v>102</v>
      </c>
      <c r="Q3431" s="0" t="s">
        <v>102</v>
      </c>
      <c r="R3431" s="0" t="s">
        <v>144</v>
      </c>
      <c r="S3431" s="0" t="s">
        <v>21</v>
      </c>
      <c r="T3431" s="0" t="s">
        <v>104</v>
      </c>
      <c r="W3431" s="0" t="s">
        <v>105</v>
      </c>
    </row>
    <row r="3432" customFormat="false" ht="15" hidden="false" customHeight="false" outlineLevel="0" collapsed="false">
      <c r="A3432" s="0" t="s">
        <v>21</v>
      </c>
      <c r="B3432" s="0" t="s">
        <v>10917</v>
      </c>
      <c r="C3432" s="0" t="s">
        <v>97</v>
      </c>
      <c r="D3432" s="0" t="s">
        <v>10918</v>
      </c>
      <c r="E3432" s="0" t="s">
        <v>10919</v>
      </c>
      <c r="H3432" s="0" t="s">
        <v>10920</v>
      </c>
      <c r="I3432" s="0" t="s">
        <v>10921</v>
      </c>
      <c r="J3432" s="0" t="s">
        <v>437</v>
      </c>
      <c r="K3432" s="0" t="s">
        <v>10922</v>
      </c>
      <c r="L3432" s="0" t="s">
        <v>101</v>
      </c>
      <c r="M3432" s="0" t="s">
        <v>437</v>
      </c>
      <c r="N3432" s="0" t="s">
        <v>101</v>
      </c>
      <c r="P3432" s="0" t="s">
        <v>102</v>
      </c>
      <c r="Q3432" s="0" t="s">
        <v>102</v>
      </c>
      <c r="R3432" s="0" t="s">
        <v>144</v>
      </c>
      <c r="S3432" s="0" t="s">
        <v>21</v>
      </c>
      <c r="T3432" s="0" t="s">
        <v>104</v>
      </c>
      <c r="W3432" s="0" t="s">
        <v>105</v>
      </c>
      <c r="X3432" s="0" t="s">
        <v>10923</v>
      </c>
      <c r="Y3432" s="0" t="s">
        <v>10924</v>
      </c>
    </row>
    <row r="3433" customFormat="false" ht="15" hidden="false" customHeight="false" outlineLevel="0" collapsed="false">
      <c r="A3433" s="0" t="s">
        <v>21</v>
      </c>
      <c r="B3433" s="0" t="s">
        <v>10925</v>
      </c>
      <c r="C3433" s="0" t="s">
        <v>97</v>
      </c>
      <c r="D3433" s="0" t="s">
        <v>10918</v>
      </c>
      <c r="E3433" s="0" t="s">
        <v>10926</v>
      </c>
      <c r="M3433" s="0" t="s">
        <v>100</v>
      </c>
      <c r="N3433" s="0" t="s">
        <v>101</v>
      </c>
      <c r="P3433" s="0" t="s">
        <v>102</v>
      </c>
      <c r="Q3433" s="0" t="s">
        <v>102</v>
      </c>
      <c r="R3433" s="0" t="s">
        <v>144</v>
      </c>
      <c r="S3433" s="0" t="s">
        <v>21</v>
      </c>
      <c r="T3433" s="0" t="s">
        <v>104</v>
      </c>
      <c r="W3433" s="0" t="s">
        <v>105</v>
      </c>
    </row>
    <row r="3434" customFormat="false" ht="15" hidden="false" customHeight="false" outlineLevel="0" collapsed="false">
      <c r="A3434" s="0" t="s">
        <v>21</v>
      </c>
      <c r="B3434" s="0" t="s">
        <v>10927</v>
      </c>
      <c r="C3434" s="0" t="s">
        <v>97</v>
      </c>
      <c r="D3434" s="0" t="s">
        <v>10928</v>
      </c>
      <c r="E3434" s="0" t="s">
        <v>10929</v>
      </c>
      <c r="H3434" s="0" t="s">
        <v>654</v>
      </c>
      <c r="I3434" s="0" t="s">
        <v>655</v>
      </c>
      <c r="J3434" s="0" t="s">
        <v>100</v>
      </c>
      <c r="K3434" s="0" t="s">
        <v>168</v>
      </c>
      <c r="L3434" s="0" t="s">
        <v>101</v>
      </c>
      <c r="M3434" s="0" t="s">
        <v>656</v>
      </c>
      <c r="N3434" s="0" t="s">
        <v>101</v>
      </c>
      <c r="P3434" s="0" t="s">
        <v>102</v>
      </c>
      <c r="Q3434" s="0" t="s">
        <v>102</v>
      </c>
      <c r="R3434" s="0" t="s">
        <v>144</v>
      </c>
      <c r="S3434" s="0" t="s">
        <v>21</v>
      </c>
      <c r="T3434" s="0" t="s">
        <v>104</v>
      </c>
      <c r="W3434" s="0" t="s">
        <v>105</v>
      </c>
      <c r="X3434" s="0" t="s">
        <v>658</v>
      </c>
      <c r="Y3434" s="0" t="s">
        <v>659</v>
      </c>
    </row>
    <row r="3435" customFormat="false" ht="15" hidden="false" customHeight="false" outlineLevel="0" collapsed="false">
      <c r="A3435" s="0" t="s">
        <v>21</v>
      </c>
      <c r="B3435" s="0" t="s">
        <v>10930</v>
      </c>
      <c r="C3435" s="0" t="s">
        <v>97</v>
      </c>
      <c r="D3435" s="0" t="s">
        <v>10928</v>
      </c>
      <c r="E3435" s="0" t="s">
        <v>10931</v>
      </c>
      <c r="M3435" s="0" t="s">
        <v>100</v>
      </c>
      <c r="N3435" s="0" t="s">
        <v>101</v>
      </c>
      <c r="P3435" s="0" t="s">
        <v>102</v>
      </c>
      <c r="Q3435" s="0" t="s">
        <v>102</v>
      </c>
      <c r="R3435" s="0" t="s">
        <v>144</v>
      </c>
      <c r="S3435" s="0" t="s">
        <v>21</v>
      </c>
      <c r="T3435" s="0" t="s">
        <v>104</v>
      </c>
      <c r="W3435" s="0" t="s">
        <v>105</v>
      </c>
    </row>
    <row r="3436" customFormat="false" ht="15" hidden="false" customHeight="false" outlineLevel="0" collapsed="false">
      <c r="A3436" s="0" t="s">
        <v>21</v>
      </c>
      <c r="B3436" s="0" t="s">
        <v>10932</v>
      </c>
      <c r="C3436" s="0" t="s">
        <v>97</v>
      </c>
      <c r="D3436" s="0" t="s">
        <v>10933</v>
      </c>
      <c r="E3436" s="0" t="s">
        <v>10934</v>
      </c>
      <c r="H3436" s="0" t="s">
        <v>654</v>
      </c>
      <c r="I3436" s="0" t="s">
        <v>655</v>
      </c>
      <c r="J3436" s="0" t="s">
        <v>100</v>
      </c>
      <c r="K3436" s="0" t="s">
        <v>168</v>
      </c>
      <c r="L3436" s="0" t="s">
        <v>101</v>
      </c>
      <c r="M3436" s="0" t="s">
        <v>656</v>
      </c>
      <c r="N3436" s="0" t="s">
        <v>101</v>
      </c>
      <c r="P3436" s="0" t="s">
        <v>102</v>
      </c>
      <c r="Q3436" s="0" t="s">
        <v>102</v>
      </c>
      <c r="R3436" s="0" t="s">
        <v>144</v>
      </c>
      <c r="S3436" s="0" t="s">
        <v>21</v>
      </c>
      <c r="T3436" s="0" t="s">
        <v>104</v>
      </c>
      <c r="V3436" s="0" t="s">
        <v>6108</v>
      </c>
      <c r="W3436" s="0" t="s">
        <v>105</v>
      </c>
      <c r="X3436" s="0" t="s">
        <v>658</v>
      </c>
      <c r="Y3436" s="0" t="s">
        <v>659</v>
      </c>
    </row>
    <row r="3437" customFormat="false" ht="15" hidden="false" customHeight="false" outlineLevel="0" collapsed="false">
      <c r="A3437" s="0" t="s">
        <v>21</v>
      </c>
      <c r="B3437" s="0" t="s">
        <v>10932</v>
      </c>
      <c r="C3437" s="0" t="s">
        <v>97</v>
      </c>
      <c r="D3437" s="0" t="s">
        <v>10933</v>
      </c>
      <c r="E3437" s="0" t="s">
        <v>10934</v>
      </c>
      <c r="H3437" s="0" t="s">
        <v>654</v>
      </c>
      <c r="I3437" s="0" t="s">
        <v>655</v>
      </c>
      <c r="J3437" s="0" t="s">
        <v>100</v>
      </c>
      <c r="K3437" s="0" t="s">
        <v>168</v>
      </c>
      <c r="L3437" s="0" t="s">
        <v>101</v>
      </c>
      <c r="M3437" s="0" t="s">
        <v>656</v>
      </c>
      <c r="N3437" s="0" t="s">
        <v>101</v>
      </c>
      <c r="P3437" s="0" t="s">
        <v>236</v>
      </c>
      <c r="Q3437" s="0" t="s">
        <v>236</v>
      </c>
      <c r="R3437" s="0" t="s">
        <v>6109</v>
      </c>
      <c r="S3437" s="0" t="s">
        <v>21</v>
      </c>
      <c r="T3437" s="0" t="s">
        <v>104</v>
      </c>
      <c r="U3437" s="0" t="s">
        <v>6110</v>
      </c>
      <c r="W3437" s="0" t="s">
        <v>105</v>
      </c>
      <c r="X3437" s="0" t="s">
        <v>658</v>
      </c>
      <c r="Y3437" s="0" t="s">
        <v>659</v>
      </c>
    </row>
    <row r="3438" customFormat="false" ht="15" hidden="false" customHeight="false" outlineLevel="0" collapsed="false">
      <c r="A3438" s="0" t="s">
        <v>21</v>
      </c>
      <c r="B3438" s="0" t="s">
        <v>10935</v>
      </c>
      <c r="C3438" s="0" t="s">
        <v>97</v>
      </c>
      <c r="D3438" s="0" t="s">
        <v>10936</v>
      </c>
      <c r="E3438" s="0" t="s">
        <v>10937</v>
      </c>
      <c r="M3438" s="0" t="s">
        <v>100</v>
      </c>
      <c r="N3438" s="0" t="s">
        <v>101</v>
      </c>
      <c r="P3438" s="0" t="s">
        <v>102</v>
      </c>
      <c r="Q3438" s="0" t="s">
        <v>102</v>
      </c>
      <c r="R3438" s="0" t="s">
        <v>144</v>
      </c>
      <c r="S3438" s="0" t="s">
        <v>21</v>
      </c>
      <c r="T3438" s="0" t="s">
        <v>104</v>
      </c>
      <c r="V3438" s="0" t="s">
        <v>6108</v>
      </c>
      <c r="W3438" s="0" t="s">
        <v>105</v>
      </c>
    </row>
    <row r="3439" customFormat="false" ht="15" hidden="false" customHeight="false" outlineLevel="0" collapsed="false">
      <c r="A3439" s="0" t="s">
        <v>21</v>
      </c>
      <c r="B3439" s="0" t="s">
        <v>10935</v>
      </c>
      <c r="C3439" s="0" t="s">
        <v>97</v>
      </c>
      <c r="D3439" s="0" t="s">
        <v>10936</v>
      </c>
      <c r="E3439" s="0" t="s">
        <v>10937</v>
      </c>
      <c r="M3439" s="0" t="s">
        <v>100</v>
      </c>
      <c r="N3439" s="0" t="s">
        <v>101</v>
      </c>
      <c r="P3439" s="0" t="s">
        <v>236</v>
      </c>
      <c r="Q3439" s="0" t="s">
        <v>236</v>
      </c>
      <c r="R3439" s="0" t="s">
        <v>6109</v>
      </c>
      <c r="S3439" s="0" t="s">
        <v>21</v>
      </c>
      <c r="T3439" s="0" t="s">
        <v>104</v>
      </c>
      <c r="U3439" s="0" t="s">
        <v>6110</v>
      </c>
      <c r="W3439" s="0" t="s">
        <v>105</v>
      </c>
    </row>
    <row r="3440" customFormat="false" ht="15" hidden="false" customHeight="false" outlineLevel="0" collapsed="false">
      <c r="A3440" s="0" t="s">
        <v>21</v>
      </c>
      <c r="B3440" s="0" t="s">
        <v>10938</v>
      </c>
      <c r="C3440" s="0" t="s">
        <v>97</v>
      </c>
      <c r="D3440" s="0" t="s">
        <v>10939</v>
      </c>
      <c r="E3440" s="0" t="s">
        <v>10940</v>
      </c>
      <c r="M3440" s="0" t="s">
        <v>100</v>
      </c>
      <c r="N3440" s="0" t="s">
        <v>101</v>
      </c>
      <c r="P3440" s="0" t="s">
        <v>102</v>
      </c>
      <c r="Q3440" s="0" t="s">
        <v>102</v>
      </c>
      <c r="R3440" s="0" t="s">
        <v>144</v>
      </c>
      <c r="S3440" s="0" t="s">
        <v>21</v>
      </c>
      <c r="T3440" s="0" t="s">
        <v>104</v>
      </c>
      <c r="W3440" s="0" t="s">
        <v>105</v>
      </c>
    </row>
    <row r="3441" customFormat="false" ht="15" hidden="false" customHeight="false" outlineLevel="0" collapsed="false">
      <c r="A3441" s="0" t="s">
        <v>21</v>
      </c>
      <c r="B3441" s="0" t="s">
        <v>10941</v>
      </c>
      <c r="C3441" s="0" t="s">
        <v>97</v>
      </c>
      <c r="D3441" s="0" t="s">
        <v>10942</v>
      </c>
      <c r="E3441" s="0" t="s">
        <v>10943</v>
      </c>
      <c r="M3441" s="0" t="s">
        <v>100</v>
      </c>
      <c r="N3441" s="0" t="s">
        <v>101</v>
      </c>
      <c r="P3441" s="0" t="s">
        <v>102</v>
      </c>
      <c r="Q3441" s="0" t="s">
        <v>102</v>
      </c>
      <c r="R3441" s="0" t="s">
        <v>144</v>
      </c>
      <c r="S3441" s="0" t="s">
        <v>21</v>
      </c>
      <c r="T3441" s="0" t="s">
        <v>104</v>
      </c>
      <c r="W3441" s="0" t="s">
        <v>105</v>
      </c>
    </row>
    <row r="3442" customFormat="false" ht="15" hidden="false" customHeight="false" outlineLevel="0" collapsed="false">
      <c r="A3442" s="0" t="s">
        <v>21</v>
      </c>
      <c r="B3442" s="0" t="s">
        <v>10944</v>
      </c>
      <c r="C3442" s="0" t="s">
        <v>97</v>
      </c>
      <c r="D3442" s="0" t="s">
        <v>10945</v>
      </c>
      <c r="E3442" s="0" t="s">
        <v>10946</v>
      </c>
      <c r="M3442" s="0" t="s">
        <v>100</v>
      </c>
      <c r="N3442" s="0" t="s">
        <v>101</v>
      </c>
      <c r="P3442" s="0" t="s">
        <v>102</v>
      </c>
      <c r="Q3442" s="0" t="s">
        <v>102</v>
      </c>
      <c r="R3442" s="0" t="s">
        <v>144</v>
      </c>
      <c r="S3442" s="0" t="s">
        <v>21</v>
      </c>
      <c r="T3442" s="0" t="s">
        <v>104</v>
      </c>
      <c r="W3442" s="0" t="s">
        <v>105</v>
      </c>
    </row>
    <row r="3443" customFormat="false" ht="15" hidden="false" customHeight="false" outlineLevel="0" collapsed="false">
      <c r="A3443" s="0" t="s">
        <v>21</v>
      </c>
      <c r="B3443" s="0" t="s">
        <v>10947</v>
      </c>
      <c r="C3443" s="0" t="s">
        <v>97</v>
      </c>
      <c r="D3443" s="0" t="s">
        <v>10948</v>
      </c>
      <c r="E3443" s="0" t="s">
        <v>10949</v>
      </c>
      <c r="M3443" s="0" t="s">
        <v>100</v>
      </c>
      <c r="N3443" s="0" t="s">
        <v>101</v>
      </c>
      <c r="P3443" s="0" t="s">
        <v>102</v>
      </c>
      <c r="Q3443" s="0" t="s">
        <v>102</v>
      </c>
      <c r="R3443" s="0" t="s">
        <v>144</v>
      </c>
      <c r="S3443" s="0" t="s">
        <v>21</v>
      </c>
      <c r="T3443" s="0" t="s">
        <v>104</v>
      </c>
      <c r="W3443" s="0" t="s">
        <v>105</v>
      </c>
    </row>
    <row r="3444" customFormat="false" ht="15" hidden="false" customHeight="false" outlineLevel="0" collapsed="false">
      <c r="A3444" s="0" t="s">
        <v>21</v>
      </c>
      <c r="B3444" s="0" t="s">
        <v>10950</v>
      </c>
      <c r="C3444" s="0" t="s">
        <v>97</v>
      </c>
      <c r="D3444" s="0" t="s">
        <v>10951</v>
      </c>
      <c r="E3444" s="0" t="s">
        <v>10952</v>
      </c>
      <c r="M3444" s="0" t="s">
        <v>100</v>
      </c>
      <c r="N3444" s="0" t="s">
        <v>101</v>
      </c>
      <c r="P3444" s="0" t="s">
        <v>102</v>
      </c>
      <c r="Q3444" s="0" t="s">
        <v>102</v>
      </c>
      <c r="R3444" s="0" t="s">
        <v>144</v>
      </c>
      <c r="S3444" s="0" t="s">
        <v>21</v>
      </c>
      <c r="T3444" s="0" t="s">
        <v>104</v>
      </c>
      <c r="W3444" s="0" t="s">
        <v>105</v>
      </c>
    </row>
    <row r="3445" customFormat="false" ht="15" hidden="false" customHeight="false" outlineLevel="0" collapsed="false">
      <c r="A3445" s="0" t="s">
        <v>21</v>
      </c>
      <c r="B3445" s="0" t="s">
        <v>10953</v>
      </c>
      <c r="C3445" s="0" t="s">
        <v>97</v>
      </c>
      <c r="D3445" s="0" t="s">
        <v>10553</v>
      </c>
      <c r="E3445" s="0" t="s">
        <v>10954</v>
      </c>
      <c r="M3445" s="0" t="s">
        <v>100</v>
      </c>
      <c r="N3445" s="0" t="s">
        <v>101</v>
      </c>
      <c r="P3445" s="0" t="s">
        <v>102</v>
      </c>
      <c r="Q3445" s="0" t="s">
        <v>102</v>
      </c>
      <c r="R3445" s="0" t="s">
        <v>144</v>
      </c>
      <c r="S3445" s="0" t="s">
        <v>21</v>
      </c>
      <c r="T3445" s="0" t="s">
        <v>104</v>
      </c>
      <c r="W3445" s="0" t="s">
        <v>105</v>
      </c>
    </row>
    <row r="3446" customFormat="false" ht="15" hidden="false" customHeight="false" outlineLevel="0" collapsed="false">
      <c r="A3446" s="0" t="s">
        <v>21</v>
      </c>
      <c r="B3446" s="0" t="s">
        <v>10955</v>
      </c>
      <c r="C3446" s="0" t="s">
        <v>97</v>
      </c>
      <c r="D3446" s="0" t="s">
        <v>10956</v>
      </c>
      <c r="E3446" s="0" t="s">
        <v>10957</v>
      </c>
      <c r="M3446" s="0" t="s">
        <v>100</v>
      </c>
      <c r="N3446" s="0" t="s">
        <v>101</v>
      </c>
      <c r="P3446" s="0" t="s">
        <v>102</v>
      </c>
      <c r="Q3446" s="0" t="s">
        <v>102</v>
      </c>
      <c r="R3446" s="0" t="s">
        <v>131</v>
      </c>
      <c r="S3446" s="0" t="s">
        <v>21</v>
      </c>
      <c r="T3446" s="0" t="s">
        <v>104</v>
      </c>
      <c r="W3446" s="0" t="s">
        <v>105</v>
      </c>
    </row>
    <row r="3447" customFormat="false" ht="15" hidden="false" customHeight="false" outlineLevel="0" collapsed="false">
      <c r="A3447" s="0" t="s">
        <v>21</v>
      </c>
      <c r="B3447" s="0" t="s">
        <v>10958</v>
      </c>
      <c r="C3447" s="0" t="s">
        <v>116</v>
      </c>
      <c r="D3447" s="0" t="s">
        <v>10959</v>
      </c>
      <c r="E3447" s="0" t="s">
        <v>10960</v>
      </c>
      <c r="G3447" s="0" t="s">
        <v>10961</v>
      </c>
      <c r="M3447" s="0" t="s">
        <v>10962</v>
      </c>
      <c r="N3447" s="0" t="s">
        <v>10963</v>
      </c>
      <c r="P3447" s="0" t="s">
        <v>102</v>
      </c>
      <c r="Q3447" s="0" t="s">
        <v>102</v>
      </c>
      <c r="R3447" s="0" t="s">
        <v>113</v>
      </c>
      <c r="S3447" s="0" t="s">
        <v>21</v>
      </c>
      <c r="T3447" s="0" t="s">
        <v>104</v>
      </c>
      <c r="W3447" s="0" t="s">
        <v>105</v>
      </c>
    </row>
    <row r="3448" customFormat="false" ht="15" hidden="false" customHeight="false" outlineLevel="0" collapsed="false">
      <c r="A3448" s="0" t="s">
        <v>21</v>
      </c>
      <c r="B3448" s="0" t="s">
        <v>10964</v>
      </c>
      <c r="C3448" s="0" t="s">
        <v>116</v>
      </c>
      <c r="D3448" s="0" t="s">
        <v>10965</v>
      </c>
      <c r="E3448" s="0" t="s">
        <v>1106</v>
      </c>
      <c r="M3448" s="0" t="s">
        <v>10966</v>
      </c>
      <c r="N3448" s="0" t="s">
        <v>10967</v>
      </c>
      <c r="P3448" s="0" t="s">
        <v>102</v>
      </c>
      <c r="Q3448" s="0" t="s">
        <v>102</v>
      </c>
      <c r="R3448" s="0" t="s">
        <v>113</v>
      </c>
      <c r="S3448" s="0" t="s">
        <v>21</v>
      </c>
      <c r="T3448" s="0" t="s">
        <v>104</v>
      </c>
      <c r="W3448" s="0" t="s">
        <v>105</v>
      </c>
    </row>
    <row r="3449" customFormat="false" ht="15" hidden="false" customHeight="false" outlineLevel="0" collapsed="false">
      <c r="A3449" s="0" t="s">
        <v>21</v>
      </c>
      <c r="B3449" s="0" t="s">
        <v>10968</v>
      </c>
      <c r="C3449" s="0" t="s">
        <v>97</v>
      </c>
      <c r="D3449" s="0" t="s">
        <v>10969</v>
      </c>
      <c r="E3449" s="0" t="s">
        <v>10970</v>
      </c>
      <c r="G3449" s="0" t="s">
        <v>10971</v>
      </c>
      <c r="H3449" s="0" t="s">
        <v>10972</v>
      </c>
      <c r="J3449" s="0" t="s">
        <v>5914</v>
      </c>
      <c r="L3449" s="0" t="s">
        <v>5914</v>
      </c>
      <c r="M3449" s="0" t="s">
        <v>10973</v>
      </c>
      <c r="N3449" s="0" t="s">
        <v>5914</v>
      </c>
      <c r="P3449" s="0" t="s">
        <v>102</v>
      </c>
      <c r="Q3449" s="0" t="s">
        <v>102</v>
      </c>
      <c r="R3449" s="0" t="s">
        <v>113</v>
      </c>
      <c r="S3449" s="0" t="s">
        <v>21</v>
      </c>
      <c r="T3449" s="0" t="s">
        <v>104</v>
      </c>
      <c r="W3449" s="0" t="s">
        <v>105</v>
      </c>
      <c r="X3449" s="0" t="s">
        <v>10974</v>
      </c>
      <c r="Y3449" s="0" t="s">
        <v>10975</v>
      </c>
      <c r="Z3449" s="0" t="s">
        <v>134</v>
      </c>
    </row>
    <row r="3450" customFormat="false" ht="15" hidden="false" customHeight="false" outlineLevel="0" collapsed="false">
      <c r="A3450" s="0" t="s">
        <v>21</v>
      </c>
      <c r="B3450" s="0" t="s">
        <v>10976</v>
      </c>
      <c r="C3450" s="0" t="s">
        <v>2145</v>
      </c>
      <c r="D3450" s="0" t="s">
        <v>10977</v>
      </c>
      <c r="E3450" s="0" t="s">
        <v>10978</v>
      </c>
      <c r="G3450" s="0" t="s">
        <v>10979</v>
      </c>
      <c r="M3450" s="0" t="s">
        <v>448</v>
      </c>
      <c r="N3450" s="0" t="s">
        <v>101</v>
      </c>
      <c r="P3450" s="0" t="s">
        <v>102</v>
      </c>
      <c r="Q3450" s="0" t="s">
        <v>102</v>
      </c>
      <c r="R3450" s="0" t="s">
        <v>113</v>
      </c>
      <c r="S3450" s="0" t="s">
        <v>21</v>
      </c>
      <c r="T3450" s="0" t="s">
        <v>104</v>
      </c>
      <c r="W3450" s="0" t="s">
        <v>105</v>
      </c>
    </row>
    <row r="3451" customFormat="false" ht="15" hidden="false" customHeight="false" outlineLevel="0" collapsed="false">
      <c r="A3451" s="0" t="s">
        <v>21</v>
      </c>
      <c r="B3451" s="0" t="s">
        <v>10980</v>
      </c>
      <c r="C3451" s="0" t="s">
        <v>97</v>
      </c>
      <c r="D3451" s="0" t="s">
        <v>10981</v>
      </c>
      <c r="E3451" s="0" t="s">
        <v>10982</v>
      </c>
      <c r="M3451" s="0" t="s">
        <v>656</v>
      </c>
      <c r="N3451" s="0" t="s">
        <v>101</v>
      </c>
      <c r="P3451" s="0" t="s">
        <v>102</v>
      </c>
      <c r="Q3451" s="0" t="s">
        <v>102</v>
      </c>
      <c r="R3451" s="0" t="s">
        <v>113</v>
      </c>
      <c r="S3451" s="0" t="s">
        <v>21</v>
      </c>
      <c r="T3451" s="0" t="s">
        <v>104</v>
      </c>
      <c r="W3451" s="0" t="s">
        <v>105</v>
      </c>
    </row>
    <row r="3452" customFormat="false" ht="15" hidden="false" customHeight="false" outlineLevel="0" collapsed="false">
      <c r="A3452" s="0" t="s">
        <v>21</v>
      </c>
      <c r="B3452" s="0" t="s">
        <v>10983</v>
      </c>
      <c r="C3452" s="0" t="s">
        <v>97</v>
      </c>
      <c r="D3452" s="0" t="s">
        <v>10984</v>
      </c>
      <c r="E3452" s="0" t="s">
        <v>10985</v>
      </c>
      <c r="F3452" s="0" t="s">
        <v>10985</v>
      </c>
      <c r="M3452" s="0" t="s">
        <v>167</v>
      </c>
      <c r="N3452" s="0" t="s">
        <v>101</v>
      </c>
      <c r="P3452" s="0" t="s">
        <v>102</v>
      </c>
      <c r="Q3452" s="0" t="s">
        <v>102</v>
      </c>
      <c r="R3452" s="0" t="s">
        <v>113</v>
      </c>
      <c r="S3452" s="0" t="s">
        <v>21</v>
      </c>
      <c r="T3452" s="0" t="s">
        <v>104</v>
      </c>
      <c r="W3452" s="0" t="s">
        <v>105</v>
      </c>
    </row>
    <row r="3453" customFormat="false" ht="15" hidden="false" customHeight="false" outlineLevel="0" collapsed="false">
      <c r="A3453" s="0" t="s">
        <v>21</v>
      </c>
      <c r="B3453" s="0" t="s">
        <v>10986</v>
      </c>
      <c r="C3453" s="0" t="s">
        <v>97</v>
      </c>
      <c r="D3453" s="0" t="s">
        <v>10987</v>
      </c>
      <c r="E3453" s="0" t="s">
        <v>10988</v>
      </c>
      <c r="H3453" s="0" t="s">
        <v>654</v>
      </c>
      <c r="I3453" s="0" t="s">
        <v>655</v>
      </c>
      <c r="J3453" s="0" t="s">
        <v>100</v>
      </c>
      <c r="K3453" s="0" t="s">
        <v>168</v>
      </c>
      <c r="L3453" s="0" t="s">
        <v>101</v>
      </c>
      <c r="M3453" s="0" t="s">
        <v>656</v>
      </c>
      <c r="N3453" s="0" t="s">
        <v>101</v>
      </c>
      <c r="P3453" s="0" t="s">
        <v>102</v>
      </c>
      <c r="Q3453" s="0" t="s">
        <v>102</v>
      </c>
      <c r="R3453" s="0" t="s">
        <v>113</v>
      </c>
      <c r="S3453" s="0" t="s">
        <v>21</v>
      </c>
      <c r="T3453" s="0" t="s">
        <v>104</v>
      </c>
      <c r="W3453" s="0" t="s">
        <v>105</v>
      </c>
      <c r="X3453" s="0" t="s">
        <v>658</v>
      </c>
      <c r="Y3453" s="0" t="s">
        <v>659</v>
      </c>
    </row>
    <row r="3454" customFormat="false" ht="15" hidden="false" customHeight="false" outlineLevel="0" collapsed="false">
      <c r="A3454" s="0" t="s">
        <v>21</v>
      </c>
      <c r="B3454" s="0" t="s">
        <v>10989</v>
      </c>
      <c r="C3454" s="0" t="s">
        <v>97</v>
      </c>
      <c r="D3454" s="0" t="s">
        <v>10990</v>
      </c>
      <c r="E3454" s="0" t="s">
        <v>10991</v>
      </c>
      <c r="M3454" s="0" t="s">
        <v>656</v>
      </c>
      <c r="N3454" s="0" t="s">
        <v>101</v>
      </c>
      <c r="P3454" s="0" t="s">
        <v>102</v>
      </c>
      <c r="Q3454" s="0" t="s">
        <v>102</v>
      </c>
      <c r="R3454" s="0" t="s">
        <v>113</v>
      </c>
      <c r="S3454" s="0" t="s">
        <v>21</v>
      </c>
      <c r="T3454" s="0" t="s">
        <v>104</v>
      </c>
      <c r="W3454" s="0" t="s">
        <v>105</v>
      </c>
    </row>
    <row r="3455" customFormat="false" ht="15" hidden="false" customHeight="false" outlineLevel="0" collapsed="false">
      <c r="A3455" s="0" t="s">
        <v>21</v>
      </c>
      <c r="B3455" s="0" t="s">
        <v>10992</v>
      </c>
      <c r="C3455" s="0" t="s">
        <v>97</v>
      </c>
      <c r="D3455" s="0" t="s">
        <v>10993</v>
      </c>
      <c r="E3455" s="0" t="s">
        <v>10994</v>
      </c>
      <c r="H3455" s="0" t="s">
        <v>10995</v>
      </c>
      <c r="I3455" s="0" t="s">
        <v>1463</v>
      </c>
      <c r="J3455" s="0" t="s">
        <v>430</v>
      </c>
      <c r="K3455" s="0" t="s">
        <v>10996</v>
      </c>
      <c r="L3455" s="0" t="s">
        <v>101</v>
      </c>
      <c r="M3455" s="0" t="s">
        <v>1463</v>
      </c>
      <c r="N3455" s="0" t="s">
        <v>101</v>
      </c>
      <c r="P3455" s="0" t="s">
        <v>102</v>
      </c>
      <c r="Q3455" s="0" t="s">
        <v>102</v>
      </c>
      <c r="R3455" s="0" t="s">
        <v>113</v>
      </c>
      <c r="S3455" s="0" t="s">
        <v>21</v>
      </c>
      <c r="T3455" s="0" t="s">
        <v>104</v>
      </c>
      <c r="W3455" s="0" t="s">
        <v>105</v>
      </c>
      <c r="X3455" s="0" t="s">
        <v>10997</v>
      </c>
      <c r="Y3455" s="0" t="s">
        <v>10998</v>
      </c>
    </row>
    <row r="3456" customFormat="false" ht="15" hidden="false" customHeight="false" outlineLevel="0" collapsed="false">
      <c r="A3456" s="0" t="s">
        <v>21</v>
      </c>
      <c r="B3456" s="0" t="s">
        <v>10999</v>
      </c>
      <c r="C3456" s="0" t="s">
        <v>97</v>
      </c>
      <c r="D3456" s="0" t="s">
        <v>11000</v>
      </c>
      <c r="E3456" s="0" t="s">
        <v>11001</v>
      </c>
      <c r="H3456" s="0" t="s">
        <v>654</v>
      </c>
      <c r="I3456" s="0" t="s">
        <v>655</v>
      </c>
      <c r="J3456" s="0" t="s">
        <v>100</v>
      </c>
      <c r="K3456" s="0" t="s">
        <v>168</v>
      </c>
      <c r="L3456" s="0" t="s">
        <v>101</v>
      </c>
      <c r="M3456" s="0" t="s">
        <v>656</v>
      </c>
      <c r="N3456" s="0" t="s">
        <v>101</v>
      </c>
      <c r="P3456" s="0" t="s">
        <v>102</v>
      </c>
      <c r="Q3456" s="0" t="s">
        <v>102</v>
      </c>
      <c r="R3456" s="0" t="s">
        <v>113</v>
      </c>
      <c r="S3456" s="0" t="s">
        <v>21</v>
      </c>
      <c r="T3456" s="0" t="s">
        <v>104</v>
      </c>
      <c r="W3456" s="0" t="s">
        <v>105</v>
      </c>
      <c r="X3456" s="0" t="s">
        <v>658</v>
      </c>
      <c r="Y3456" s="0" t="s">
        <v>659</v>
      </c>
    </row>
    <row r="3457" customFormat="false" ht="15" hidden="false" customHeight="false" outlineLevel="0" collapsed="false">
      <c r="A3457" s="0" t="s">
        <v>21</v>
      </c>
      <c r="B3457" s="0" t="s">
        <v>11002</v>
      </c>
      <c r="C3457" s="0" t="s">
        <v>97</v>
      </c>
      <c r="D3457" s="0" t="s">
        <v>11003</v>
      </c>
      <c r="E3457" s="0" t="s">
        <v>11004</v>
      </c>
      <c r="F3457" s="0" t="s">
        <v>11004</v>
      </c>
      <c r="M3457" s="0" t="s">
        <v>448</v>
      </c>
      <c r="N3457" s="0" t="s">
        <v>101</v>
      </c>
      <c r="P3457" s="0" t="s">
        <v>102</v>
      </c>
      <c r="Q3457" s="0" t="s">
        <v>102</v>
      </c>
      <c r="R3457" s="0" t="s">
        <v>113</v>
      </c>
      <c r="S3457" s="0" t="s">
        <v>21</v>
      </c>
      <c r="T3457" s="0" t="s">
        <v>104</v>
      </c>
      <c r="W3457" s="0" t="s">
        <v>105</v>
      </c>
    </row>
    <row r="3458" customFormat="false" ht="15" hidden="false" customHeight="false" outlineLevel="0" collapsed="false">
      <c r="A3458" s="0" t="s">
        <v>21</v>
      </c>
      <c r="B3458" s="0" t="s">
        <v>11005</v>
      </c>
      <c r="C3458" s="0" t="s">
        <v>97</v>
      </c>
      <c r="D3458" s="0" t="s">
        <v>11006</v>
      </c>
      <c r="E3458" s="0" t="s">
        <v>11007</v>
      </c>
      <c r="M3458" s="0" t="s">
        <v>656</v>
      </c>
      <c r="N3458" s="0" t="s">
        <v>101</v>
      </c>
      <c r="P3458" s="0" t="s">
        <v>102</v>
      </c>
      <c r="Q3458" s="0" t="s">
        <v>102</v>
      </c>
      <c r="R3458" s="0" t="s">
        <v>113</v>
      </c>
      <c r="S3458" s="0" t="s">
        <v>21</v>
      </c>
      <c r="T3458" s="0" t="s">
        <v>104</v>
      </c>
      <c r="W3458" s="0" t="s">
        <v>105</v>
      </c>
    </row>
    <row r="3459" customFormat="false" ht="15" hidden="false" customHeight="false" outlineLevel="0" collapsed="false">
      <c r="A3459" s="0" t="s">
        <v>21</v>
      </c>
      <c r="B3459" s="0" t="s">
        <v>11008</v>
      </c>
      <c r="C3459" s="0" t="s">
        <v>139</v>
      </c>
      <c r="D3459" s="0" t="s">
        <v>11009</v>
      </c>
      <c r="E3459" s="0" t="s">
        <v>11010</v>
      </c>
      <c r="G3459" s="0" t="s">
        <v>11011</v>
      </c>
      <c r="M3459" s="0" t="s">
        <v>1273</v>
      </c>
      <c r="N3459" s="0" t="s">
        <v>101</v>
      </c>
      <c r="P3459" s="0" t="s">
        <v>102</v>
      </c>
      <c r="Q3459" s="0" t="s">
        <v>102</v>
      </c>
      <c r="R3459" s="0" t="s">
        <v>113</v>
      </c>
      <c r="S3459" s="0" t="s">
        <v>21</v>
      </c>
      <c r="T3459" s="0" t="s">
        <v>104</v>
      </c>
      <c r="W3459" s="0" t="s">
        <v>105</v>
      </c>
    </row>
    <row r="3460" customFormat="false" ht="15" hidden="false" customHeight="false" outlineLevel="0" collapsed="false">
      <c r="A3460" s="0" t="s">
        <v>21</v>
      </c>
      <c r="B3460" s="0" t="s">
        <v>11012</v>
      </c>
      <c r="C3460" s="0" t="s">
        <v>97</v>
      </c>
      <c r="D3460" s="0" t="s">
        <v>11013</v>
      </c>
      <c r="E3460" s="0" t="s">
        <v>11014</v>
      </c>
      <c r="H3460" s="0" t="s">
        <v>11015</v>
      </c>
      <c r="I3460" s="0" t="s">
        <v>166</v>
      </c>
      <c r="J3460" s="0" t="s">
        <v>166</v>
      </c>
      <c r="K3460" s="0" t="s">
        <v>11016</v>
      </c>
      <c r="L3460" s="0" t="s">
        <v>101</v>
      </c>
      <c r="M3460" s="0" t="s">
        <v>166</v>
      </c>
      <c r="N3460" s="0" t="s">
        <v>101</v>
      </c>
      <c r="P3460" s="0" t="s">
        <v>102</v>
      </c>
      <c r="Q3460" s="0" t="s">
        <v>102</v>
      </c>
      <c r="R3460" s="0" t="s">
        <v>137</v>
      </c>
      <c r="S3460" s="0" t="s">
        <v>21</v>
      </c>
      <c r="T3460" s="0" t="s">
        <v>104</v>
      </c>
      <c r="W3460" s="0" t="s">
        <v>105</v>
      </c>
      <c r="X3460" s="0" t="s">
        <v>11017</v>
      </c>
      <c r="Y3460" s="0" t="s">
        <v>11018</v>
      </c>
    </row>
    <row r="3461" customFormat="false" ht="15" hidden="false" customHeight="false" outlineLevel="0" collapsed="false">
      <c r="A3461" s="0" t="s">
        <v>21</v>
      </c>
      <c r="B3461" s="0" t="s">
        <v>11019</v>
      </c>
      <c r="C3461" s="0" t="s">
        <v>97</v>
      </c>
      <c r="D3461" s="0" t="s">
        <v>1342</v>
      </c>
      <c r="E3461" s="0" t="s">
        <v>11020</v>
      </c>
      <c r="H3461" s="0" t="s">
        <v>11021</v>
      </c>
      <c r="I3461" s="0" t="s">
        <v>11022</v>
      </c>
      <c r="J3461" s="0" t="s">
        <v>166</v>
      </c>
      <c r="K3461" s="0" t="s">
        <v>1503</v>
      </c>
      <c r="L3461" s="0" t="s">
        <v>101</v>
      </c>
      <c r="M3461" s="0" t="s">
        <v>166</v>
      </c>
      <c r="N3461" s="0" t="s">
        <v>101</v>
      </c>
      <c r="P3461" s="0" t="s">
        <v>102</v>
      </c>
      <c r="Q3461" s="0" t="s">
        <v>102</v>
      </c>
      <c r="R3461" s="0" t="s">
        <v>113</v>
      </c>
      <c r="S3461" s="0" t="s">
        <v>21</v>
      </c>
      <c r="T3461" s="0" t="s">
        <v>104</v>
      </c>
      <c r="W3461" s="0" t="s">
        <v>105</v>
      </c>
      <c r="X3461" s="0" t="s">
        <v>11023</v>
      </c>
      <c r="Y3461" s="0" t="s">
        <v>11024</v>
      </c>
    </row>
    <row r="3462" customFormat="false" ht="15" hidden="false" customHeight="false" outlineLevel="0" collapsed="false">
      <c r="A3462" s="0" t="s">
        <v>21</v>
      </c>
      <c r="B3462" s="0" t="s">
        <v>11025</v>
      </c>
      <c r="C3462" s="0" t="s">
        <v>97</v>
      </c>
      <c r="D3462" s="0" t="s">
        <v>11026</v>
      </c>
      <c r="E3462" s="0" t="s">
        <v>11027</v>
      </c>
      <c r="F3462" s="0" t="s">
        <v>11027</v>
      </c>
      <c r="M3462" s="0" t="s">
        <v>456</v>
      </c>
      <c r="N3462" s="0" t="s">
        <v>101</v>
      </c>
      <c r="P3462" s="0" t="s">
        <v>102</v>
      </c>
      <c r="Q3462" s="0" t="s">
        <v>102</v>
      </c>
      <c r="R3462" s="0" t="s">
        <v>113</v>
      </c>
      <c r="S3462" s="0" t="s">
        <v>21</v>
      </c>
      <c r="T3462" s="0" t="s">
        <v>104</v>
      </c>
      <c r="W3462" s="0" t="s">
        <v>105</v>
      </c>
    </row>
    <row r="3463" customFormat="false" ht="15" hidden="false" customHeight="false" outlineLevel="0" collapsed="false">
      <c r="A3463" s="0" t="s">
        <v>21</v>
      </c>
      <c r="B3463" s="0" t="s">
        <v>11028</v>
      </c>
      <c r="C3463" s="0" t="s">
        <v>97</v>
      </c>
      <c r="D3463" s="0" t="s">
        <v>11029</v>
      </c>
      <c r="E3463" s="0" t="s">
        <v>11030</v>
      </c>
      <c r="M3463" s="0" t="s">
        <v>656</v>
      </c>
      <c r="N3463" s="0" t="s">
        <v>101</v>
      </c>
      <c r="P3463" s="0" t="s">
        <v>102</v>
      </c>
      <c r="Q3463" s="0" t="s">
        <v>102</v>
      </c>
      <c r="R3463" s="0" t="s">
        <v>113</v>
      </c>
      <c r="S3463" s="0" t="s">
        <v>21</v>
      </c>
      <c r="T3463" s="0" t="s">
        <v>104</v>
      </c>
      <c r="W3463" s="0" t="s">
        <v>105</v>
      </c>
    </row>
    <row r="3464" customFormat="false" ht="15" hidden="false" customHeight="false" outlineLevel="0" collapsed="false">
      <c r="A3464" s="0" t="s">
        <v>21</v>
      </c>
      <c r="B3464" s="0" t="s">
        <v>11031</v>
      </c>
      <c r="C3464" s="0" t="s">
        <v>97</v>
      </c>
      <c r="D3464" s="0" t="s">
        <v>11032</v>
      </c>
      <c r="E3464" s="0" t="s">
        <v>11033</v>
      </c>
      <c r="M3464" s="0" t="s">
        <v>100</v>
      </c>
      <c r="N3464" s="0" t="s">
        <v>101</v>
      </c>
      <c r="P3464" s="0" t="s">
        <v>102</v>
      </c>
      <c r="Q3464" s="0" t="s">
        <v>102</v>
      </c>
      <c r="R3464" s="0" t="s">
        <v>144</v>
      </c>
      <c r="S3464" s="0" t="s">
        <v>21</v>
      </c>
      <c r="T3464" s="0" t="s">
        <v>104</v>
      </c>
      <c r="W3464" s="0" t="s">
        <v>105</v>
      </c>
    </row>
    <row r="3465" customFormat="false" ht="15" hidden="false" customHeight="false" outlineLevel="0" collapsed="false">
      <c r="A3465" s="0" t="s">
        <v>21</v>
      </c>
      <c r="B3465" s="0" t="s">
        <v>11034</v>
      </c>
      <c r="C3465" s="0" t="s">
        <v>97</v>
      </c>
      <c r="D3465" s="0" t="s">
        <v>11032</v>
      </c>
      <c r="E3465" s="0" t="s">
        <v>11032</v>
      </c>
      <c r="G3465" s="0" t="s">
        <v>11035</v>
      </c>
      <c r="H3465" s="0" t="s">
        <v>654</v>
      </c>
      <c r="I3465" s="0" t="s">
        <v>655</v>
      </c>
      <c r="J3465" s="0" t="s">
        <v>100</v>
      </c>
      <c r="K3465" s="0" t="s">
        <v>168</v>
      </c>
      <c r="L3465" s="0" t="s">
        <v>101</v>
      </c>
      <c r="M3465" s="0" t="s">
        <v>656</v>
      </c>
      <c r="N3465" s="0" t="s">
        <v>101</v>
      </c>
      <c r="P3465" s="0" t="s">
        <v>102</v>
      </c>
      <c r="Q3465" s="0" t="s">
        <v>102</v>
      </c>
      <c r="R3465" s="0" t="s">
        <v>144</v>
      </c>
      <c r="S3465" s="0" t="s">
        <v>21</v>
      </c>
      <c r="T3465" s="0" t="s">
        <v>104</v>
      </c>
      <c r="W3465" s="0" t="s">
        <v>105</v>
      </c>
      <c r="X3465" s="0" t="s">
        <v>658</v>
      </c>
      <c r="Y3465" s="0" t="s">
        <v>659</v>
      </c>
    </row>
    <row r="3466" customFormat="false" ht="15" hidden="false" customHeight="false" outlineLevel="0" collapsed="false">
      <c r="A3466" s="0" t="s">
        <v>21</v>
      </c>
      <c r="B3466" s="0" t="s">
        <v>11036</v>
      </c>
      <c r="C3466" s="0" t="s">
        <v>97</v>
      </c>
      <c r="D3466" s="0" t="s">
        <v>11037</v>
      </c>
      <c r="E3466" s="0" t="s">
        <v>11037</v>
      </c>
      <c r="M3466" s="0" t="s">
        <v>136</v>
      </c>
      <c r="N3466" s="0" t="s">
        <v>124</v>
      </c>
      <c r="P3466" s="0" t="s">
        <v>102</v>
      </c>
      <c r="Q3466" s="0" t="s">
        <v>102</v>
      </c>
      <c r="R3466" s="0" t="s">
        <v>131</v>
      </c>
      <c r="S3466" s="0" t="s">
        <v>21</v>
      </c>
      <c r="T3466" s="0" t="s">
        <v>104</v>
      </c>
      <c r="W3466" s="0" t="s">
        <v>105</v>
      </c>
    </row>
    <row r="3467" customFormat="false" ht="15" hidden="false" customHeight="false" outlineLevel="0" collapsed="false">
      <c r="A3467" s="0" t="s">
        <v>21</v>
      </c>
      <c r="B3467" s="0" t="s">
        <v>11038</v>
      </c>
      <c r="C3467" s="0" t="s">
        <v>97</v>
      </c>
      <c r="D3467" s="0" t="s">
        <v>11039</v>
      </c>
      <c r="E3467" s="0" t="s">
        <v>11040</v>
      </c>
      <c r="M3467" s="0" t="s">
        <v>136</v>
      </c>
      <c r="N3467" s="0" t="s">
        <v>124</v>
      </c>
      <c r="P3467" s="0" t="s">
        <v>102</v>
      </c>
      <c r="Q3467" s="0" t="s">
        <v>102</v>
      </c>
      <c r="R3467" s="0" t="s">
        <v>131</v>
      </c>
      <c r="S3467" s="0" t="s">
        <v>21</v>
      </c>
      <c r="T3467" s="0" t="s">
        <v>104</v>
      </c>
      <c r="W3467" s="0" t="s">
        <v>105</v>
      </c>
    </row>
    <row r="3468" customFormat="false" ht="15" hidden="false" customHeight="false" outlineLevel="0" collapsed="false">
      <c r="A3468" s="0" t="s">
        <v>21</v>
      </c>
      <c r="B3468" s="0" t="s">
        <v>11041</v>
      </c>
      <c r="C3468" s="0" t="s">
        <v>97</v>
      </c>
      <c r="D3468" s="0" t="s">
        <v>11042</v>
      </c>
      <c r="E3468" s="0" t="s">
        <v>11043</v>
      </c>
      <c r="M3468" s="0" t="s">
        <v>136</v>
      </c>
      <c r="N3468" s="0" t="s">
        <v>124</v>
      </c>
      <c r="P3468" s="0" t="s">
        <v>102</v>
      </c>
      <c r="Q3468" s="0" t="s">
        <v>102</v>
      </c>
      <c r="R3468" s="0" t="s">
        <v>131</v>
      </c>
      <c r="S3468" s="0" t="s">
        <v>21</v>
      </c>
      <c r="T3468" s="0" t="s">
        <v>104</v>
      </c>
      <c r="W3468" s="0" t="s">
        <v>105</v>
      </c>
    </row>
    <row r="3469" customFormat="false" ht="15" hidden="false" customHeight="false" outlineLevel="0" collapsed="false">
      <c r="A3469" s="0" t="s">
        <v>21</v>
      </c>
      <c r="B3469" s="0" t="s">
        <v>11044</v>
      </c>
      <c r="C3469" s="0" t="s">
        <v>97</v>
      </c>
      <c r="D3469" s="0" t="s">
        <v>11045</v>
      </c>
      <c r="E3469" s="0" t="s">
        <v>11046</v>
      </c>
      <c r="M3469" s="0" t="s">
        <v>136</v>
      </c>
      <c r="N3469" s="0" t="s">
        <v>124</v>
      </c>
      <c r="P3469" s="0" t="s">
        <v>102</v>
      </c>
      <c r="Q3469" s="0" t="s">
        <v>102</v>
      </c>
      <c r="R3469" s="0" t="s">
        <v>131</v>
      </c>
      <c r="S3469" s="0" t="s">
        <v>21</v>
      </c>
      <c r="T3469" s="0" t="s">
        <v>104</v>
      </c>
      <c r="W3469" s="0" t="s">
        <v>105</v>
      </c>
    </row>
    <row r="3470" customFormat="false" ht="15" hidden="false" customHeight="false" outlineLevel="0" collapsed="false">
      <c r="A3470" s="0" t="s">
        <v>21</v>
      </c>
      <c r="B3470" s="0" t="s">
        <v>11047</v>
      </c>
      <c r="C3470" s="0" t="s">
        <v>97</v>
      </c>
      <c r="D3470" s="0" t="s">
        <v>11048</v>
      </c>
      <c r="E3470" s="0" t="s">
        <v>11048</v>
      </c>
      <c r="F3470" s="0" t="s">
        <v>11048</v>
      </c>
      <c r="M3470" s="0" t="s">
        <v>136</v>
      </c>
      <c r="N3470" s="0" t="s">
        <v>124</v>
      </c>
      <c r="P3470" s="0" t="s">
        <v>102</v>
      </c>
      <c r="Q3470" s="0" t="s">
        <v>102</v>
      </c>
      <c r="R3470" s="0" t="s">
        <v>131</v>
      </c>
      <c r="S3470" s="0" t="s">
        <v>21</v>
      </c>
      <c r="T3470" s="0" t="s">
        <v>104</v>
      </c>
      <c r="W3470" s="0" t="s">
        <v>105</v>
      </c>
    </row>
    <row r="3471" customFormat="false" ht="15" hidden="false" customHeight="false" outlineLevel="0" collapsed="false">
      <c r="A3471" s="0" t="s">
        <v>21</v>
      </c>
      <c r="B3471" s="0" t="s">
        <v>11049</v>
      </c>
      <c r="C3471" s="0" t="s">
        <v>97</v>
      </c>
      <c r="D3471" s="0" t="s">
        <v>11050</v>
      </c>
      <c r="E3471" s="0" t="s">
        <v>11050</v>
      </c>
      <c r="F3471" s="0" t="s">
        <v>11050</v>
      </c>
      <c r="M3471" s="0" t="s">
        <v>136</v>
      </c>
      <c r="N3471" s="0" t="s">
        <v>124</v>
      </c>
      <c r="P3471" s="0" t="s">
        <v>102</v>
      </c>
      <c r="Q3471" s="0" t="s">
        <v>102</v>
      </c>
      <c r="R3471" s="0" t="s">
        <v>131</v>
      </c>
      <c r="S3471" s="0" t="s">
        <v>21</v>
      </c>
      <c r="T3471" s="0" t="s">
        <v>104</v>
      </c>
      <c r="W3471" s="0" t="s">
        <v>105</v>
      </c>
    </row>
    <row r="3472" customFormat="false" ht="15" hidden="false" customHeight="false" outlineLevel="0" collapsed="false">
      <c r="A3472" s="0" t="s">
        <v>21</v>
      </c>
      <c r="B3472" s="0" t="s">
        <v>11051</v>
      </c>
      <c r="C3472" s="0" t="s">
        <v>97</v>
      </c>
      <c r="D3472" s="0" t="s">
        <v>11052</v>
      </c>
      <c r="E3472" s="0" t="s">
        <v>11053</v>
      </c>
      <c r="M3472" s="0" t="s">
        <v>136</v>
      </c>
      <c r="N3472" s="0" t="s">
        <v>124</v>
      </c>
      <c r="P3472" s="0" t="s">
        <v>102</v>
      </c>
      <c r="Q3472" s="0" t="s">
        <v>102</v>
      </c>
      <c r="R3472" s="0" t="s">
        <v>131</v>
      </c>
      <c r="S3472" s="0" t="s">
        <v>21</v>
      </c>
      <c r="T3472" s="0" t="s">
        <v>104</v>
      </c>
      <c r="W3472" s="0" t="s">
        <v>105</v>
      </c>
    </row>
    <row r="3473" customFormat="false" ht="15" hidden="false" customHeight="false" outlineLevel="0" collapsed="false">
      <c r="A3473" s="0" t="s">
        <v>21</v>
      </c>
      <c r="B3473" s="0" t="s">
        <v>11054</v>
      </c>
      <c r="C3473" s="0" t="s">
        <v>97</v>
      </c>
      <c r="D3473" s="0" t="s">
        <v>11055</v>
      </c>
      <c r="E3473" s="0" t="s">
        <v>11056</v>
      </c>
      <c r="M3473" s="0" t="s">
        <v>136</v>
      </c>
      <c r="N3473" s="0" t="s">
        <v>124</v>
      </c>
      <c r="P3473" s="0" t="s">
        <v>102</v>
      </c>
      <c r="Q3473" s="0" t="s">
        <v>102</v>
      </c>
      <c r="R3473" s="0" t="s">
        <v>131</v>
      </c>
      <c r="S3473" s="0" t="s">
        <v>21</v>
      </c>
      <c r="T3473" s="0" t="s">
        <v>104</v>
      </c>
      <c r="W3473" s="0" t="s">
        <v>105</v>
      </c>
    </row>
    <row r="3474" customFormat="false" ht="15" hidden="false" customHeight="false" outlineLevel="0" collapsed="false">
      <c r="A3474" s="0" t="s">
        <v>21</v>
      </c>
      <c r="B3474" s="0" t="s">
        <v>11057</v>
      </c>
      <c r="C3474" s="0" t="s">
        <v>97</v>
      </c>
      <c r="D3474" s="0" t="s">
        <v>11058</v>
      </c>
      <c r="E3474" s="0" t="s">
        <v>11059</v>
      </c>
      <c r="M3474" s="0" t="s">
        <v>136</v>
      </c>
      <c r="N3474" s="0" t="s">
        <v>124</v>
      </c>
      <c r="P3474" s="0" t="s">
        <v>102</v>
      </c>
      <c r="Q3474" s="0" t="s">
        <v>102</v>
      </c>
      <c r="R3474" s="0" t="s">
        <v>131</v>
      </c>
      <c r="S3474" s="0" t="s">
        <v>21</v>
      </c>
      <c r="T3474" s="0" t="s">
        <v>104</v>
      </c>
      <c r="W3474" s="0" t="s">
        <v>105</v>
      </c>
    </row>
    <row r="3475" customFormat="false" ht="15" hidden="false" customHeight="false" outlineLevel="0" collapsed="false">
      <c r="A3475" s="0" t="s">
        <v>21</v>
      </c>
      <c r="B3475" s="0" t="s">
        <v>11060</v>
      </c>
      <c r="C3475" s="0" t="s">
        <v>97</v>
      </c>
      <c r="D3475" s="0" t="s">
        <v>11061</v>
      </c>
      <c r="E3475" s="0" t="s">
        <v>11062</v>
      </c>
      <c r="M3475" s="0" t="s">
        <v>136</v>
      </c>
      <c r="N3475" s="0" t="s">
        <v>124</v>
      </c>
      <c r="P3475" s="0" t="s">
        <v>102</v>
      </c>
      <c r="Q3475" s="0" t="s">
        <v>102</v>
      </c>
      <c r="R3475" s="0" t="s">
        <v>131</v>
      </c>
      <c r="S3475" s="0" t="s">
        <v>21</v>
      </c>
      <c r="T3475" s="0" t="s">
        <v>104</v>
      </c>
      <c r="W3475" s="0" t="s">
        <v>105</v>
      </c>
    </row>
    <row r="3476" customFormat="false" ht="15" hidden="false" customHeight="false" outlineLevel="0" collapsed="false">
      <c r="A3476" s="0" t="s">
        <v>21</v>
      </c>
      <c r="B3476" s="0" t="s">
        <v>11063</v>
      </c>
      <c r="C3476" s="0" t="s">
        <v>139</v>
      </c>
      <c r="M3476" s="0" t="s">
        <v>220</v>
      </c>
      <c r="N3476" s="0" t="s">
        <v>124</v>
      </c>
      <c r="P3476" s="0" t="s">
        <v>130</v>
      </c>
      <c r="Q3476" s="0" t="s">
        <v>130</v>
      </c>
      <c r="R3476" s="0" t="s">
        <v>144</v>
      </c>
      <c r="S3476" s="0" t="s">
        <v>21</v>
      </c>
      <c r="T3476" s="0" t="s">
        <v>104</v>
      </c>
      <c r="W3476" s="0" t="s">
        <v>105</v>
      </c>
    </row>
    <row r="3477" customFormat="false" ht="15" hidden="false" customHeight="false" outlineLevel="0" collapsed="false">
      <c r="A3477" s="0" t="s">
        <v>21</v>
      </c>
      <c r="B3477" s="0" t="s">
        <v>11064</v>
      </c>
      <c r="C3477" s="0" t="s">
        <v>97</v>
      </c>
      <c r="D3477" s="0" t="s">
        <v>11065</v>
      </c>
      <c r="E3477" s="0" t="s">
        <v>11066</v>
      </c>
      <c r="M3477" s="0" t="s">
        <v>100</v>
      </c>
      <c r="N3477" s="0" t="s">
        <v>101</v>
      </c>
      <c r="P3477" s="0" t="s">
        <v>102</v>
      </c>
      <c r="Q3477" s="0" t="s">
        <v>102</v>
      </c>
      <c r="R3477" s="0" t="s">
        <v>144</v>
      </c>
      <c r="S3477" s="0" t="s">
        <v>21</v>
      </c>
      <c r="T3477" s="0" t="s">
        <v>104</v>
      </c>
      <c r="W3477" s="0" t="s">
        <v>105</v>
      </c>
    </row>
    <row r="3478" customFormat="false" ht="15" hidden="false" customHeight="false" outlineLevel="0" collapsed="false">
      <c r="A3478" s="0" t="s">
        <v>21</v>
      </c>
      <c r="B3478" s="0" t="s">
        <v>11067</v>
      </c>
      <c r="C3478" s="0" t="s">
        <v>97</v>
      </c>
      <c r="D3478" s="0" t="s">
        <v>11068</v>
      </c>
      <c r="E3478" s="0" t="s">
        <v>11069</v>
      </c>
      <c r="M3478" s="0" t="s">
        <v>100</v>
      </c>
      <c r="N3478" s="0" t="s">
        <v>101</v>
      </c>
      <c r="P3478" s="0" t="s">
        <v>102</v>
      </c>
      <c r="Q3478" s="0" t="s">
        <v>102</v>
      </c>
      <c r="R3478" s="0" t="s">
        <v>144</v>
      </c>
      <c r="S3478" s="0" t="s">
        <v>21</v>
      </c>
      <c r="T3478" s="0" t="s">
        <v>104</v>
      </c>
      <c r="W3478" s="0" t="s">
        <v>105</v>
      </c>
    </row>
    <row r="3479" customFormat="false" ht="15" hidden="false" customHeight="false" outlineLevel="0" collapsed="false">
      <c r="A3479" s="0" t="s">
        <v>21</v>
      </c>
      <c r="B3479" s="0" t="s">
        <v>11070</v>
      </c>
      <c r="C3479" s="0" t="s">
        <v>97</v>
      </c>
      <c r="D3479" s="0" t="s">
        <v>11071</v>
      </c>
      <c r="E3479" s="0" t="s">
        <v>11072</v>
      </c>
      <c r="M3479" s="0" t="s">
        <v>100</v>
      </c>
      <c r="N3479" s="0" t="s">
        <v>101</v>
      </c>
      <c r="P3479" s="0" t="s">
        <v>102</v>
      </c>
      <c r="Q3479" s="0" t="s">
        <v>102</v>
      </c>
      <c r="R3479" s="0" t="s">
        <v>144</v>
      </c>
      <c r="S3479" s="0" t="s">
        <v>21</v>
      </c>
      <c r="T3479" s="0" t="s">
        <v>104</v>
      </c>
      <c r="W3479" s="0" t="s">
        <v>105</v>
      </c>
    </row>
    <row r="3480" customFormat="false" ht="15" hidden="false" customHeight="false" outlineLevel="0" collapsed="false">
      <c r="A3480" s="0" t="s">
        <v>21</v>
      </c>
      <c r="B3480" s="0" t="s">
        <v>11073</v>
      </c>
      <c r="C3480" s="0" t="s">
        <v>97</v>
      </c>
      <c r="D3480" s="0" t="s">
        <v>11074</v>
      </c>
      <c r="E3480" s="0" t="s">
        <v>11075</v>
      </c>
      <c r="M3480" s="0" t="s">
        <v>100</v>
      </c>
      <c r="N3480" s="0" t="s">
        <v>101</v>
      </c>
      <c r="P3480" s="0" t="s">
        <v>102</v>
      </c>
      <c r="Q3480" s="0" t="s">
        <v>102</v>
      </c>
      <c r="R3480" s="0" t="s">
        <v>144</v>
      </c>
      <c r="S3480" s="0" t="s">
        <v>21</v>
      </c>
      <c r="T3480" s="0" t="s">
        <v>104</v>
      </c>
      <c r="W3480" s="0" t="s">
        <v>105</v>
      </c>
    </row>
    <row r="3481" customFormat="false" ht="15" hidden="false" customHeight="false" outlineLevel="0" collapsed="false">
      <c r="A3481" s="0" t="s">
        <v>21</v>
      </c>
      <c r="B3481" s="0" t="s">
        <v>11076</v>
      </c>
      <c r="C3481" s="0" t="s">
        <v>97</v>
      </c>
      <c r="D3481" s="0" t="s">
        <v>11077</v>
      </c>
      <c r="E3481" s="0" t="s">
        <v>11078</v>
      </c>
      <c r="H3481" s="0" t="s">
        <v>654</v>
      </c>
      <c r="I3481" s="0" t="s">
        <v>655</v>
      </c>
      <c r="J3481" s="0" t="s">
        <v>100</v>
      </c>
      <c r="K3481" s="0" t="s">
        <v>168</v>
      </c>
      <c r="L3481" s="0" t="s">
        <v>101</v>
      </c>
      <c r="M3481" s="0" t="s">
        <v>656</v>
      </c>
      <c r="N3481" s="0" t="s">
        <v>101</v>
      </c>
      <c r="P3481" s="0" t="s">
        <v>102</v>
      </c>
      <c r="Q3481" s="0" t="s">
        <v>102</v>
      </c>
      <c r="R3481" s="0" t="s">
        <v>144</v>
      </c>
      <c r="S3481" s="0" t="s">
        <v>21</v>
      </c>
      <c r="T3481" s="0" t="s">
        <v>104</v>
      </c>
      <c r="W3481" s="0" t="s">
        <v>105</v>
      </c>
      <c r="X3481" s="0" t="s">
        <v>658</v>
      </c>
      <c r="Y3481" s="0" t="s">
        <v>659</v>
      </c>
    </row>
    <row r="3482" customFormat="false" ht="15" hidden="false" customHeight="false" outlineLevel="0" collapsed="false">
      <c r="A3482" s="0" t="s">
        <v>21</v>
      </c>
      <c r="B3482" s="0" t="s">
        <v>11079</v>
      </c>
      <c r="C3482" s="0" t="s">
        <v>97</v>
      </c>
      <c r="D3482" s="0" t="s">
        <v>11080</v>
      </c>
      <c r="E3482" s="0" t="s">
        <v>11081</v>
      </c>
      <c r="M3482" s="0" t="s">
        <v>100</v>
      </c>
      <c r="N3482" s="0" t="s">
        <v>101</v>
      </c>
      <c r="P3482" s="0" t="s">
        <v>102</v>
      </c>
      <c r="Q3482" s="0" t="s">
        <v>102</v>
      </c>
      <c r="R3482" s="0" t="s">
        <v>144</v>
      </c>
      <c r="S3482" s="0" t="s">
        <v>21</v>
      </c>
      <c r="T3482" s="0" t="s">
        <v>104</v>
      </c>
      <c r="W3482" s="0" t="s">
        <v>105</v>
      </c>
    </row>
    <row r="3483" customFormat="false" ht="28.35" hidden="false" customHeight="false" outlineLevel="0" collapsed="false">
      <c r="A3483" s="0" t="s">
        <v>21</v>
      </c>
      <c r="B3483" s="0" t="s">
        <v>11082</v>
      </c>
      <c r="C3483" s="0" t="s">
        <v>4845</v>
      </c>
      <c r="D3483" s="0" t="s">
        <v>11083</v>
      </c>
      <c r="E3483" s="0" t="s">
        <v>11084</v>
      </c>
      <c r="G3483" s="9" t="s">
        <v>11085</v>
      </c>
      <c r="M3483" s="0" t="s">
        <v>100</v>
      </c>
      <c r="N3483" s="0" t="s">
        <v>101</v>
      </c>
      <c r="P3483" s="0" t="s">
        <v>102</v>
      </c>
      <c r="Q3483" s="0" t="s">
        <v>102</v>
      </c>
      <c r="R3483" s="0" t="s">
        <v>113</v>
      </c>
      <c r="S3483" s="0" t="s">
        <v>21</v>
      </c>
      <c r="T3483" s="0" t="s">
        <v>104</v>
      </c>
      <c r="W3483" s="0" t="s">
        <v>105</v>
      </c>
    </row>
    <row r="3484" customFormat="false" ht="15" hidden="false" customHeight="false" outlineLevel="0" collapsed="false">
      <c r="A3484" s="0" t="s">
        <v>21</v>
      </c>
      <c r="B3484" s="0" t="s">
        <v>11086</v>
      </c>
      <c r="C3484" s="0" t="s">
        <v>97</v>
      </c>
      <c r="D3484" s="0" t="s">
        <v>3403</v>
      </c>
      <c r="E3484" s="0" t="s">
        <v>11087</v>
      </c>
      <c r="M3484" s="0" t="s">
        <v>136</v>
      </c>
      <c r="N3484" s="0" t="s">
        <v>124</v>
      </c>
      <c r="P3484" s="0" t="s">
        <v>102</v>
      </c>
      <c r="Q3484" s="0" t="s">
        <v>102</v>
      </c>
      <c r="R3484" s="0" t="s">
        <v>224</v>
      </c>
      <c r="S3484" s="0" t="s">
        <v>21</v>
      </c>
      <c r="T3484" s="0" t="s">
        <v>104</v>
      </c>
      <c r="W3484" s="0" t="s">
        <v>105</v>
      </c>
    </row>
    <row r="3485" customFormat="false" ht="15" hidden="false" customHeight="false" outlineLevel="0" collapsed="false">
      <c r="A3485" s="0" t="s">
        <v>21</v>
      </c>
      <c r="B3485" s="0" t="s">
        <v>11088</v>
      </c>
      <c r="C3485" s="0" t="s">
        <v>97</v>
      </c>
      <c r="D3485" s="0" t="s">
        <v>11089</v>
      </c>
      <c r="E3485" s="0" t="s">
        <v>11090</v>
      </c>
      <c r="M3485" s="0" t="s">
        <v>136</v>
      </c>
      <c r="N3485" s="0" t="s">
        <v>124</v>
      </c>
      <c r="P3485" s="0" t="s">
        <v>102</v>
      </c>
      <c r="Q3485" s="0" t="s">
        <v>102</v>
      </c>
      <c r="R3485" s="0" t="s">
        <v>131</v>
      </c>
      <c r="S3485" s="0" t="s">
        <v>21</v>
      </c>
      <c r="T3485" s="0" t="s">
        <v>104</v>
      </c>
      <c r="W3485" s="0" t="s">
        <v>105</v>
      </c>
    </row>
    <row r="3486" customFormat="false" ht="15" hidden="false" customHeight="false" outlineLevel="0" collapsed="false">
      <c r="A3486" s="0" t="s">
        <v>21</v>
      </c>
      <c r="B3486" s="0" t="s">
        <v>11091</v>
      </c>
      <c r="C3486" s="0" t="s">
        <v>97</v>
      </c>
      <c r="D3486" s="0" t="s">
        <v>11092</v>
      </c>
      <c r="E3486" s="0" t="s">
        <v>11092</v>
      </c>
      <c r="M3486" s="0" t="s">
        <v>136</v>
      </c>
      <c r="N3486" s="0" t="s">
        <v>124</v>
      </c>
      <c r="P3486" s="0" t="s">
        <v>102</v>
      </c>
      <c r="Q3486" s="0" t="s">
        <v>102</v>
      </c>
      <c r="R3486" s="0" t="s">
        <v>131</v>
      </c>
      <c r="S3486" s="0" t="s">
        <v>21</v>
      </c>
      <c r="T3486" s="0" t="s">
        <v>104</v>
      </c>
      <c r="W3486" s="0" t="s">
        <v>105</v>
      </c>
    </row>
    <row r="3487" customFormat="false" ht="15" hidden="false" customHeight="false" outlineLevel="0" collapsed="false">
      <c r="A3487" s="0" t="s">
        <v>21</v>
      </c>
      <c r="B3487" s="0" t="s">
        <v>11093</v>
      </c>
      <c r="C3487" s="0" t="s">
        <v>97</v>
      </c>
      <c r="D3487" s="0" t="s">
        <v>9784</v>
      </c>
      <c r="E3487" s="0" t="s">
        <v>1814</v>
      </c>
      <c r="M3487" s="0" t="s">
        <v>136</v>
      </c>
      <c r="N3487" s="0" t="s">
        <v>124</v>
      </c>
      <c r="P3487" s="0" t="s">
        <v>102</v>
      </c>
      <c r="Q3487" s="0" t="s">
        <v>102</v>
      </c>
      <c r="R3487" s="0" t="s">
        <v>131</v>
      </c>
      <c r="S3487" s="0" t="s">
        <v>21</v>
      </c>
      <c r="T3487" s="0" t="s">
        <v>104</v>
      </c>
      <c r="W3487" s="0" t="s">
        <v>105</v>
      </c>
    </row>
    <row r="3488" customFormat="false" ht="15" hidden="false" customHeight="false" outlineLevel="0" collapsed="false">
      <c r="A3488" s="0" t="s">
        <v>21</v>
      </c>
      <c r="B3488" s="0" t="s">
        <v>11094</v>
      </c>
      <c r="C3488" s="0" t="s">
        <v>97</v>
      </c>
      <c r="D3488" s="0" t="s">
        <v>11095</v>
      </c>
      <c r="E3488" s="0" t="s">
        <v>11095</v>
      </c>
      <c r="F3488" s="0" t="s">
        <v>11095</v>
      </c>
      <c r="M3488" s="0" t="s">
        <v>136</v>
      </c>
      <c r="N3488" s="0" t="s">
        <v>124</v>
      </c>
      <c r="P3488" s="0" t="s">
        <v>102</v>
      </c>
      <c r="Q3488" s="0" t="s">
        <v>102</v>
      </c>
      <c r="R3488" s="0" t="s">
        <v>131</v>
      </c>
      <c r="S3488" s="0" t="s">
        <v>21</v>
      </c>
      <c r="T3488" s="0" t="s">
        <v>104</v>
      </c>
      <c r="W3488" s="0" t="s">
        <v>105</v>
      </c>
    </row>
    <row r="3489" customFormat="false" ht="15" hidden="false" customHeight="false" outlineLevel="0" collapsed="false">
      <c r="A3489" s="0" t="s">
        <v>21</v>
      </c>
      <c r="B3489" s="0" t="s">
        <v>11096</v>
      </c>
      <c r="C3489" s="0" t="s">
        <v>97</v>
      </c>
      <c r="D3489" s="0" t="s">
        <v>11097</v>
      </c>
      <c r="E3489" s="0" t="s">
        <v>11098</v>
      </c>
      <c r="M3489" s="0" t="s">
        <v>136</v>
      </c>
      <c r="N3489" s="0" t="s">
        <v>124</v>
      </c>
      <c r="P3489" s="0" t="s">
        <v>102</v>
      </c>
      <c r="Q3489" s="0" t="s">
        <v>102</v>
      </c>
      <c r="R3489" s="0" t="s">
        <v>131</v>
      </c>
      <c r="S3489" s="0" t="s">
        <v>21</v>
      </c>
      <c r="T3489" s="0" t="s">
        <v>104</v>
      </c>
      <c r="W3489" s="0" t="s">
        <v>105</v>
      </c>
    </row>
    <row r="3490" customFormat="false" ht="15" hidden="false" customHeight="false" outlineLevel="0" collapsed="false">
      <c r="A3490" s="0" t="s">
        <v>21</v>
      </c>
      <c r="B3490" s="0" t="s">
        <v>11099</v>
      </c>
      <c r="C3490" s="0" t="s">
        <v>97</v>
      </c>
      <c r="D3490" s="0" t="s">
        <v>11100</v>
      </c>
      <c r="E3490" s="0" t="s">
        <v>11101</v>
      </c>
      <c r="M3490" s="0" t="s">
        <v>136</v>
      </c>
      <c r="N3490" s="0" t="s">
        <v>124</v>
      </c>
      <c r="P3490" s="0" t="s">
        <v>102</v>
      </c>
      <c r="Q3490" s="0" t="s">
        <v>102</v>
      </c>
      <c r="R3490" s="0" t="s">
        <v>131</v>
      </c>
      <c r="S3490" s="0" t="s">
        <v>21</v>
      </c>
      <c r="T3490" s="0" t="s">
        <v>104</v>
      </c>
      <c r="W3490" s="0" t="s">
        <v>105</v>
      </c>
    </row>
    <row r="3491" customFormat="false" ht="15" hidden="false" customHeight="false" outlineLevel="0" collapsed="false">
      <c r="A3491" s="0" t="s">
        <v>21</v>
      </c>
      <c r="B3491" s="0" t="s">
        <v>11102</v>
      </c>
      <c r="C3491" s="0" t="s">
        <v>931</v>
      </c>
      <c r="D3491" s="0" t="s">
        <v>932</v>
      </c>
      <c r="E3491" s="0" t="s">
        <v>11103</v>
      </c>
      <c r="G3491" s="0" t="s">
        <v>11104</v>
      </c>
      <c r="H3491" s="0" t="s">
        <v>11105</v>
      </c>
      <c r="I3491" s="0" t="s">
        <v>598</v>
      </c>
      <c r="J3491" s="0" t="s">
        <v>178</v>
      </c>
      <c r="M3491" s="0" t="s">
        <v>598</v>
      </c>
      <c r="N3491" s="0" t="s">
        <v>124</v>
      </c>
      <c r="P3491" s="0" t="s">
        <v>102</v>
      </c>
      <c r="Q3491" s="0" t="s">
        <v>102</v>
      </c>
      <c r="R3491" s="0" t="s">
        <v>137</v>
      </c>
      <c r="S3491" s="0" t="s">
        <v>21</v>
      </c>
      <c r="T3491" s="0" t="s">
        <v>104</v>
      </c>
      <c r="W3491" s="0" t="s">
        <v>105</v>
      </c>
    </row>
    <row r="3492" customFormat="false" ht="15" hidden="false" customHeight="false" outlineLevel="0" collapsed="false">
      <c r="A3492" s="0" t="s">
        <v>21</v>
      </c>
      <c r="B3492" s="0" t="s">
        <v>11106</v>
      </c>
      <c r="C3492" s="0" t="s">
        <v>97</v>
      </c>
      <c r="D3492" s="0" t="s">
        <v>11107</v>
      </c>
      <c r="E3492" s="0" t="s">
        <v>11108</v>
      </c>
      <c r="G3492" s="0" t="s">
        <v>11109</v>
      </c>
      <c r="M3492" s="0" t="s">
        <v>100</v>
      </c>
      <c r="N3492" s="0" t="s">
        <v>101</v>
      </c>
      <c r="P3492" s="0" t="s">
        <v>102</v>
      </c>
      <c r="Q3492" s="0" t="s">
        <v>102</v>
      </c>
      <c r="R3492" s="0" t="s">
        <v>131</v>
      </c>
      <c r="S3492" s="0" t="s">
        <v>21</v>
      </c>
      <c r="T3492" s="0" t="s">
        <v>104</v>
      </c>
      <c r="W3492" s="0" t="s">
        <v>105</v>
      </c>
    </row>
    <row r="3493" customFormat="false" ht="15" hidden="false" customHeight="false" outlineLevel="0" collapsed="false">
      <c r="A3493" s="0" t="s">
        <v>21</v>
      </c>
      <c r="B3493" s="0" t="s">
        <v>11110</v>
      </c>
      <c r="C3493" s="0" t="s">
        <v>97</v>
      </c>
      <c r="D3493" s="0" t="s">
        <v>11111</v>
      </c>
      <c r="E3493" s="0" t="s">
        <v>11111</v>
      </c>
      <c r="M3493" s="0" t="s">
        <v>442</v>
      </c>
      <c r="N3493" s="0" t="s">
        <v>101</v>
      </c>
      <c r="P3493" s="0" t="s">
        <v>102</v>
      </c>
      <c r="Q3493" s="0" t="s">
        <v>102</v>
      </c>
      <c r="R3493" s="0" t="s">
        <v>131</v>
      </c>
      <c r="S3493" s="0" t="s">
        <v>21</v>
      </c>
      <c r="T3493" s="0" t="s">
        <v>104</v>
      </c>
      <c r="W3493" s="0" t="s">
        <v>105</v>
      </c>
    </row>
    <row r="3494" customFormat="false" ht="15" hidden="false" customHeight="false" outlineLevel="0" collapsed="false">
      <c r="A3494" s="0" t="s">
        <v>21</v>
      </c>
      <c r="B3494" s="0" t="s">
        <v>11112</v>
      </c>
      <c r="C3494" s="0" t="s">
        <v>8415</v>
      </c>
      <c r="D3494" s="0" t="s">
        <v>11113</v>
      </c>
      <c r="E3494" s="0" t="s">
        <v>11114</v>
      </c>
      <c r="G3494" s="0" t="s">
        <v>11115</v>
      </c>
      <c r="M3494" s="0" t="s">
        <v>100</v>
      </c>
      <c r="N3494" s="0" t="s">
        <v>101</v>
      </c>
      <c r="P3494" s="0" t="s">
        <v>130</v>
      </c>
      <c r="Q3494" s="0" t="s">
        <v>130</v>
      </c>
      <c r="R3494" s="0" t="s">
        <v>131</v>
      </c>
      <c r="S3494" s="0" t="s">
        <v>21</v>
      </c>
      <c r="T3494" s="0" t="s">
        <v>104</v>
      </c>
      <c r="W3494" s="0" t="s">
        <v>105</v>
      </c>
    </row>
    <row r="3495" customFormat="false" ht="15" hidden="false" customHeight="false" outlineLevel="0" collapsed="false">
      <c r="A3495" s="0" t="s">
        <v>21</v>
      </c>
      <c r="B3495" s="0" t="s">
        <v>11116</v>
      </c>
      <c r="C3495" s="0" t="s">
        <v>97</v>
      </c>
      <c r="D3495" s="0" t="s">
        <v>11117</v>
      </c>
      <c r="E3495" s="0" t="s">
        <v>11117</v>
      </c>
      <c r="M3495" s="0" t="s">
        <v>442</v>
      </c>
      <c r="N3495" s="0" t="s">
        <v>101</v>
      </c>
      <c r="P3495" s="0" t="s">
        <v>102</v>
      </c>
      <c r="Q3495" s="0" t="s">
        <v>102</v>
      </c>
      <c r="R3495" s="0" t="s">
        <v>131</v>
      </c>
      <c r="S3495" s="0" t="s">
        <v>21</v>
      </c>
      <c r="T3495" s="0" t="s">
        <v>104</v>
      </c>
      <c r="W3495" s="0" t="s">
        <v>105</v>
      </c>
    </row>
    <row r="3496" customFormat="false" ht="15" hidden="false" customHeight="false" outlineLevel="0" collapsed="false">
      <c r="A3496" s="0" t="s">
        <v>21</v>
      </c>
      <c r="B3496" s="0" t="s">
        <v>11118</v>
      </c>
      <c r="C3496" s="0" t="s">
        <v>97</v>
      </c>
      <c r="D3496" s="0" t="s">
        <v>11119</v>
      </c>
      <c r="E3496" s="0" t="s">
        <v>11119</v>
      </c>
      <c r="M3496" s="0" t="s">
        <v>442</v>
      </c>
      <c r="N3496" s="0" t="s">
        <v>101</v>
      </c>
      <c r="P3496" s="0" t="s">
        <v>102</v>
      </c>
      <c r="Q3496" s="0" t="s">
        <v>102</v>
      </c>
      <c r="R3496" s="0" t="s">
        <v>131</v>
      </c>
      <c r="S3496" s="0" t="s">
        <v>21</v>
      </c>
      <c r="T3496" s="0" t="s">
        <v>104</v>
      </c>
      <c r="W3496" s="0" t="s">
        <v>105</v>
      </c>
    </row>
    <row r="3497" customFormat="false" ht="15" hidden="false" customHeight="false" outlineLevel="0" collapsed="false">
      <c r="A3497" s="0" t="s">
        <v>21</v>
      </c>
      <c r="B3497" s="0" t="s">
        <v>11120</v>
      </c>
      <c r="C3497" s="0" t="s">
        <v>97</v>
      </c>
      <c r="D3497" s="0" t="s">
        <v>11121</v>
      </c>
      <c r="E3497" s="0" t="s">
        <v>11122</v>
      </c>
      <c r="M3497" s="0" t="s">
        <v>656</v>
      </c>
      <c r="N3497" s="0" t="s">
        <v>101</v>
      </c>
      <c r="P3497" s="0" t="s">
        <v>102</v>
      </c>
      <c r="Q3497" s="0" t="s">
        <v>102</v>
      </c>
      <c r="R3497" s="0" t="s">
        <v>113</v>
      </c>
      <c r="S3497" s="0" t="s">
        <v>21</v>
      </c>
      <c r="T3497" s="0" t="s">
        <v>104</v>
      </c>
      <c r="W3497" s="0" t="s">
        <v>105</v>
      </c>
    </row>
    <row r="3498" customFormat="false" ht="15" hidden="false" customHeight="false" outlineLevel="0" collapsed="false">
      <c r="A3498" s="0" t="s">
        <v>21</v>
      </c>
      <c r="B3498" s="0" t="s">
        <v>5675</v>
      </c>
      <c r="C3498" s="0" t="s">
        <v>97</v>
      </c>
      <c r="D3498" s="0" t="s">
        <v>11123</v>
      </c>
      <c r="E3498" s="0" t="s">
        <v>11124</v>
      </c>
      <c r="H3498" s="0" t="s">
        <v>654</v>
      </c>
      <c r="I3498" s="0" t="s">
        <v>655</v>
      </c>
      <c r="J3498" s="0" t="s">
        <v>100</v>
      </c>
      <c r="K3498" s="0" t="s">
        <v>168</v>
      </c>
      <c r="L3498" s="0" t="s">
        <v>101</v>
      </c>
      <c r="M3498" s="0" t="s">
        <v>656</v>
      </c>
      <c r="N3498" s="0" t="s">
        <v>101</v>
      </c>
      <c r="P3498" s="0" t="s">
        <v>102</v>
      </c>
      <c r="Q3498" s="0" t="s">
        <v>102</v>
      </c>
      <c r="R3498" s="0" t="s">
        <v>113</v>
      </c>
      <c r="S3498" s="0" t="s">
        <v>21</v>
      </c>
      <c r="T3498" s="0" t="s">
        <v>104</v>
      </c>
      <c r="W3498" s="0" t="s">
        <v>105</v>
      </c>
      <c r="X3498" s="0" t="s">
        <v>658</v>
      </c>
      <c r="Y3498" s="0" t="s">
        <v>659</v>
      </c>
    </row>
    <row r="3499" customFormat="false" ht="15" hidden="false" customHeight="false" outlineLevel="0" collapsed="false">
      <c r="A3499" s="0" t="s">
        <v>21</v>
      </c>
      <c r="B3499" s="0" t="s">
        <v>11125</v>
      </c>
      <c r="C3499" s="0" t="s">
        <v>97</v>
      </c>
      <c r="D3499" s="0" t="s">
        <v>4785</v>
      </c>
      <c r="E3499" s="0" t="s">
        <v>11126</v>
      </c>
      <c r="H3499" s="0" t="s">
        <v>654</v>
      </c>
      <c r="I3499" s="0" t="s">
        <v>655</v>
      </c>
      <c r="J3499" s="0" t="s">
        <v>100</v>
      </c>
      <c r="K3499" s="0" t="s">
        <v>168</v>
      </c>
      <c r="L3499" s="0" t="s">
        <v>101</v>
      </c>
      <c r="M3499" s="0" t="s">
        <v>656</v>
      </c>
      <c r="N3499" s="0" t="s">
        <v>101</v>
      </c>
      <c r="P3499" s="0" t="s">
        <v>102</v>
      </c>
      <c r="Q3499" s="0" t="s">
        <v>102</v>
      </c>
      <c r="R3499" s="0" t="s">
        <v>113</v>
      </c>
      <c r="S3499" s="0" t="s">
        <v>21</v>
      </c>
      <c r="T3499" s="0" t="s">
        <v>104</v>
      </c>
      <c r="W3499" s="0" t="s">
        <v>105</v>
      </c>
      <c r="X3499" s="0" t="s">
        <v>658</v>
      </c>
      <c r="Y3499" s="0" t="s">
        <v>659</v>
      </c>
    </row>
    <row r="3500" customFormat="false" ht="15" hidden="false" customHeight="false" outlineLevel="0" collapsed="false">
      <c r="A3500" s="0" t="s">
        <v>21</v>
      </c>
      <c r="B3500" s="0" t="s">
        <v>11127</v>
      </c>
      <c r="C3500" s="0" t="s">
        <v>97</v>
      </c>
      <c r="D3500" s="0" t="s">
        <v>11029</v>
      </c>
      <c r="E3500" s="0" t="s">
        <v>11128</v>
      </c>
      <c r="M3500" s="0" t="s">
        <v>136</v>
      </c>
      <c r="N3500" s="0" t="s">
        <v>124</v>
      </c>
      <c r="P3500" s="0" t="s">
        <v>102</v>
      </c>
      <c r="Q3500" s="0" t="s">
        <v>102</v>
      </c>
      <c r="R3500" s="0" t="s">
        <v>131</v>
      </c>
      <c r="S3500" s="0" t="s">
        <v>21</v>
      </c>
      <c r="T3500" s="0" t="s">
        <v>104</v>
      </c>
      <c r="W3500" s="0" t="s">
        <v>105</v>
      </c>
    </row>
    <row r="3501" customFormat="false" ht="15" hidden="false" customHeight="false" outlineLevel="0" collapsed="false">
      <c r="A3501" s="0" t="s">
        <v>21</v>
      </c>
      <c r="B3501" s="0" t="s">
        <v>11129</v>
      </c>
      <c r="C3501" s="0" t="s">
        <v>97</v>
      </c>
      <c r="D3501" s="0" t="s">
        <v>4805</v>
      </c>
      <c r="E3501" s="0" t="s">
        <v>11130</v>
      </c>
      <c r="H3501" s="0" t="s">
        <v>654</v>
      </c>
      <c r="I3501" s="0" t="s">
        <v>655</v>
      </c>
      <c r="J3501" s="0" t="s">
        <v>100</v>
      </c>
      <c r="K3501" s="0" t="s">
        <v>168</v>
      </c>
      <c r="L3501" s="0" t="s">
        <v>101</v>
      </c>
      <c r="M3501" s="0" t="s">
        <v>656</v>
      </c>
      <c r="N3501" s="0" t="s">
        <v>101</v>
      </c>
      <c r="P3501" s="0" t="s">
        <v>102</v>
      </c>
      <c r="Q3501" s="0" t="s">
        <v>102</v>
      </c>
      <c r="R3501" s="0" t="s">
        <v>113</v>
      </c>
      <c r="S3501" s="0" t="s">
        <v>21</v>
      </c>
      <c r="T3501" s="0" t="s">
        <v>104</v>
      </c>
      <c r="W3501" s="0" t="s">
        <v>105</v>
      </c>
      <c r="X3501" s="0" t="s">
        <v>658</v>
      </c>
      <c r="Y3501" s="0" t="s">
        <v>659</v>
      </c>
    </row>
    <row r="3502" customFormat="false" ht="15" hidden="false" customHeight="false" outlineLevel="0" collapsed="false">
      <c r="A3502" s="0" t="s">
        <v>21</v>
      </c>
      <c r="B3502" s="0" t="s">
        <v>11131</v>
      </c>
      <c r="C3502" s="0" t="s">
        <v>97</v>
      </c>
      <c r="D3502" s="0" t="s">
        <v>4737</v>
      </c>
      <c r="E3502" s="0" t="s">
        <v>11132</v>
      </c>
      <c r="G3502" s="0" t="s">
        <v>11133</v>
      </c>
      <c r="H3502" s="0" t="s">
        <v>654</v>
      </c>
      <c r="I3502" s="0" t="s">
        <v>655</v>
      </c>
      <c r="J3502" s="0" t="s">
        <v>100</v>
      </c>
      <c r="K3502" s="0" t="s">
        <v>168</v>
      </c>
      <c r="L3502" s="0" t="s">
        <v>101</v>
      </c>
      <c r="M3502" s="0" t="s">
        <v>656</v>
      </c>
      <c r="N3502" s="0" t="s">
        <v>101</v>
      </c>
      <c r="P3502" s="0" t="s">
        <v>102</v>
      </c>
      <c r="Q3502" s="0" t="s">
        <v>102</v>
      </c>
      <c r="R3502" s="0" t="s">
        <v>131</v>
      </c>
      <c r="S3502" s="0" t="s">
        <v>21</v>
      </c>
      <c r="T3502" s="0" t="s">
        <v>104</v>
      </c>
      <c r="W3502" s="0" t="s">
        <v>105</v>
      </c>
      <c r="X3502" s="0" t="s">
        <v>658</v>
      </c>
      <c r="Y3502" s="0" t="s">
        <v>659</v>
      </c>
    </row>
    <row r="3503" customFormat="false" ht="15" hidden="false" customHeight="false" outlineLevel="0" collapsed="false">
      <c r="A3503" s="0" t="s">
        <v>21</v>
      </c>
      <c r="B3503" s="0" t="s">
        <v>11134</v>
      </c>
      <c r="C3503" s="0" t="s">
        <v>97</v>
      </c>
      <c r="D3503" s="0" t="s">
        <v>11135</v>
      </c>
      <c r="E3503" s="0" t="s">
        <v>11135</v>
      </c>
      <c r="M3503" s="0" t="s">
        <v>100</v>
      </c>
      <c r="N3503" s="0" t="s">
        <v>101</v>
      </c>
      <c r="P3503" s="0" t="s">
        <v>102</v>
      </c>
      <c r="Q3503" s="0" t="s">
        <v>102</v>
      </c>
      <c r="R3503" s="0" t="s">
        <v>131</v>
      </c>
      <c r="S3503" s="0" t="s">
        <v>21</v>
      </c>
      <c r="T3503" s="0" t="s">
        <v>104</v>
      </c>
      <c r="W3503" s="0" t="s">
        <v>105</v>
      </c>
    </row>
    <row r="3504" customFormat="false" ht="15" hidden="false" customHeight="false" outlineLevel="0" collapsed="false">
      <c r="A3504" s="0" t="s">
        <v>21</v>
      </c>
      <c r="B3504" s="0" t="s">
        <v>11136</v>
      </c>
      <c r="C3504" s="0" t="s">
        <v>97</v>
      </c>
      <c r="D3504" s="0" t="s">
        <v>11137</v>
      </c>
      <c r="E3504" s="0" t="s">
        <v>11138</v>
      </c>
      <c r="H3504" s="0" t="s">
        <v>654</v>
      </c>
      <c r="I3504" s="0" t="s">
        <v>655</v>
      </c>
      <c r="J3504" s="0" t="s">
        <v>100</v>
      </c>
      <c r="K3504" s="0" t="s">
        <v>168</v>
      </c>
      <c r="L3504" s="0" t="s">
        <v>101</v>
      </c>
      <c r="M3504" s="0" t="s">
        <v>656</v>
      </c>
      <c r="N3504" s="0" t="s">
        <v>101</v>
      </c>
      <c r="P3504" s="0" t="s">
        <v>102</v>
      </c>
      <c r="Q3504" s="0" t="s">
        <v>102</v>
      </c>
      <c r="R3504" s="0" t="s">
        <v>113</v>
      </c>
      <c r="S3504" s="0" t="s">
        <v>21</v>
      </c>
      <c r="T3504" s="0" t="s">
        <v>104</v>
      </c>
      <c r="W3504" s="0" t="s">
        <v>105</v>
      </c>
      <c r="X3504" s="0" t="s">
        <v>658</v>
      </c>
      <c r="Y3504" s="0" t="s">
        <v>659</v>
      </c>
    </row>
    <row r="3505" customFormat="false" ht="15" hidden="false" customHeight="false" outlineLevel="0" collapsed="false">
      <c r="A3505" s="0" t="s">
        <v>21</v>
      </c>
      <c r="B3505" s="0" t="s">
        <v>11139</v>
      </c>
      <c r="C3505" s="0" t="s">
        <v>97</v>
      </c>
      <c r="D3505" s="0" t="s">
        <v>11140</v>
      </c>
      <c r="E3505" s="0" t="s">
        <v>11140</v>
      </c>
      <c r="M3505" s="0" t="s">
        <v>442</v>
      </c>
      <c r="N3505" s="0" t="s">
        <v>101</v>
      </c>
      <c r="P3505" s="0" t="s">
        <v>102</v>
      </c>
      <c r="Q3505" s="0" t="s">
        <v>102</v>
      </c>
      <c r="R3505" s="0" t="s">
        <v>131</v>
      </c>
      <c r="S3505" s="0" t="s">
        <v>21</v>
      </c>
      <c r="T3505" s="0" t="s">
        <v>104</v>
      </c>
      <c r="W3505" s="0" t="s">
        <v>105</v>
      </c>
    </row>
    <row r="3506" customFormat="false" ht="15" hidden="false" customHeight="false" outlineLevel="0" collapsed="false">
      <c r="A3506" s="0" t="s">
        <v>21</v>
      </c>
      <c r="B3506" s="0" t="s">
        <v>11141</v>
      </c>
      <c r="C3506" s="0" t="s">
        <v>97</v>
      </c>
      <c r="D3506" s="0" t="s">
        <v>4817</v>
      </c>
      <c r="E3506" s="0" t="s">
        <v>11142</v>
      </c>
      <c r="G3506" s="0" t="s">
        <v>11143</v>
      </c>
      <c r="H3506" s="0" t="s">
        <v>654</v>
      </c>
      <c r="I3506" s="0" t="s">
        <v>655</v>
      </c>
      <c r="J3506" s="0" t="s">
        <v>100</v>
      </c>
      <c r="K3506" s="0" t="s">
        <v>168</v>
      </c>
      <c r="L3506" s="0" t="s">
        <v>101</v>
      </c>
      <c r="M3506" s="0" t="s">
        <v>656</v>
      </c>
      <c r="N3506" s="0" t="s">
        <v>101</v>
      </c>
      <c r="P3506" s="0" t="s">
        <v>102</v>
      </c>
      <c r="Q3506" s="0" t="s">
        <v>102</v>
      </c>
      <c r="R3506" s="0" t="s">
        <v>131</v>
      </c>
      <c r="S3506" s="0" t="s">
        <v>21</v>
      </c>
      <c r="T3506" s="0" t="s">
        <v>104</v>
      </c>
      <c r="W3506" s="0" t="s">
        <v>105</v>
      </c>
      <c r="X3506" s="0" t="s">
        <v>658</v>
      </c>
      <c r="Y3506" s="0" t="s">
        <v>659</v>
      </c>
    </row>
    <row r="3507" customFormat="false" ht="15" hidden="false" customHeight="false" outlineLevel="0" collapsed="false">
      <c r="A3507" s="0" t="s">
        <v>21</v>
      </c>
      <c r="B3507" s="0" t="s">
        <v>11144</v>
      </c>
      <c r="C3507" s="0" t="s">
        <v>97</v>
      </c>
      <c r="D3507" s="0" t="s">
        <v>11145</v>
      </c>
      <c r="E3507" s="0" t="s">
        <v>11146</v>
      </c>
      <c r="M3507" s="0" t="s">
        <v>136</v>
      </c>
      <c r="N3507" s="0" t="s">
        <v>124</v>
      </c>
      <c r="P3507" s="0" t="s">
        <v>102</v>
      </c>
      <c r="Q3507" s="0" t="s">
        <v>102</v>
      </c>
      <c r="R3507" s="0" t="s">
        <v>144</v>
      </c>
      <c r="S3507" s="0" t="s">
        <v>21</v>
      </c>
      <c r="T3507" s="0" t="s">
        <v>104</v>
      </c>
      <c r="W3507" s="0" t="s">
        <v>105</v>
      </c>
    </row>
    <row r="3508" customFormat="false" ht="15" hidden="false" customHeight="false" outlineLevel="0" collapsed="false">
      <c r="A3508" s="0" t="s">
        <v>21</v>
      </c>
      <c r="B3508" s="0" t="s">
        <v>11147</v>
      </c>
      <c r="C3508" s="0" t="s">
        <v>97</v>
      </c>
      <c r="D3508" s="0" t="s">
        <v>11148</v>
      </c>
      <c r="E3508" s="0" t="s">
        <v>11149</v>
      </c>
      <c r="M3508" s="0" t="s">
        <v>136</v>
      </c>
      <c r="N3508" s="0" t="s">
        <v>124</v>
      </c>
      <c r="P3508" s="0" t="s">
        <v>102</v>
      </c>
      <c r="Q3508" s="0" t="s">
        <v>102</v>
      </c>
      <c r="R3508" s="0" t="s">
        <v>144</v>
      </c>
      <c r="S3508" s="0" t="s">
        <v>21</v>
      </c>
      <c r="T3508" s="0" t="s">
        <v>104</v>
      </c>
      <c r="W3508" s="0" t="s">
        <v>105</v>
      </c>
    </row>
    <row r="3509" customFormat="false" ht="15" hidden="false" customHeight="false" outlineLevel="0" collapsed="false">
      <c r="A3509" s="0" t="s">
        <v>21</v>
      </c>
      <c r="B3509" s="0" t="s">
        <v>11150</v>
      </c>
      <c r="C3509" s="0" t="s">
        <v>97</v>
      </c>
      <c r="D3509" s="0" t="s">
        <v>11151</v>
      </c>
      <c r="E3509" s="0" t="s">
        <v>11152</v>
      </c>
      <c r="M3509" s="0" t="s">
        <v>136</v>
      </c>
      <c r="N3509" s="0" t="s">
        <v>124</v>
      </c>
      <c r="P3509" s="0" t="s">
        <v>102</v>
      </c>
      <c r="Q3509" s="0" t="s">
        <v>102</v>
      </c>
      <c r="R3509" s="0" t="s">
        <v>144</v>
      </c>
      <c r="S3509" s="0" t="s">
        <v>21</v>
      </c>
      <c r="T3509" s="0" t="s">
        <v>104</v>
      </c>
      <c r="W3509" s="0" t="s">
        <v>105</v>
      </c>
    </row>
    <row r="3510" customFormat="false" ht="15" hidden="false" customHeight="false" outlineLevel="0" collapsed="false">
      <c r="A3510" s="0" t="s">
        <v>21</v>
      </c>
      <c r="B3510" s="0" t="s">
        <v>11153</v>
      </c>
      <c r="C3510" s="0" t="s">
        <v>97</v>
      </c>
      <c r="D3510" s="0" t="s">
        <v>11154</v>
      </c>
      <c r="E3510" s="0" t="s">
        <v>11155</v>
      </c>
      <c r="M3510" s="0" t="s">
        <v>136</v>
      </c>
      <c r="N3510" s="0" t="s">
        <v>124</v>
      </c>
      <c r="P3510" s="0" t="s">
        <v>102</v>
      </c>
      <c r="Q3510" s="0" t="s">
        <v>102</v>
      </c>
      <c r="R3510" s="0" t="s">
        <v>144</v>
      </c>
      <c r="S3510" s="0" t="s">
        <v>21</v>
      </c>
      <c r="T3510" s="0" t="s">
        <v>104</v>
      </c>
      <c r="W3510" s="0" t="s">
        <v>105</v>
      </c>
    </row>
    <row r="3511" customFormat="false" ht="15" hidden="false" customHeight="false" outlineLevel="0" collapsed="false">
      <c r="A3511" s="0" t="s">
        <v>21</v>
      </c>
      <c r="B3511" s="0" t="s">
        <v>11156</v>
      </c>
      <c r="C3511" s="0" t="s">
        <v>97</v>
      </c>
      <c r="D3511" s="0" t="s">
        <v>11157</v>
      </c>
      <c r="E3511" s="0" t="s">
        <v>11158</v>
      </c>
      <c r="M3511" s="0" t="s">
        <v>136</v>
      </c>
      <c r="N3511" s="0" t="s">
        <v>124</v>
      </c>
      <c r="P3511" s="0" t="s">
        <v>102</v>
      </c>
      <c r="Q3511" s="0" t="s">
        <v>102</v>
      </c>
      <c r="R3511" s="0" t="s">
        <v>144</v>
      </c>
      <c r="S3511" s="0" t="s">
        <v>21</v>
      </c>
      <c r="T3511" s="0" t="s">
        <v>104</v>
      </c>
      <c r="W3511" s="0" t="s">
        <v>105</v>
      </c>
    </row>
    <row r="3512" customFormat="false" ht="15" hidden="false" customHeight="false" outlineLevel="0" collapsed="false">
      <c r="A3512" s="0" t="s">
        <v>21</v>
      </c>
      <c r="B3512" s="0" t="s">
        <v>11159</v>
      </c>
      <c r="C3512" s="0" t="s">
        <v>97</v>
      </c>
      <c r="D3512" s="0" t="s">
        <v>11160</v>
      </c>
      <c r="E3512" s="0" t="s">
        <v>11161</v>
      </c>
      <c r="M3512" s="0" t="s">
        <v>136</v>
      </c>
      <c r="N3512" s="0" t="s">
        <v>124</v>
      </c>
      <c r="P3512" s="0" t="s">
        <v>102</v>
      </c>
      <c r="Q3512" s="0" t="s">
        <v>102</v>
      </c>
      <c r="R3512" s="0" t="s">
        <v>144</v>
      </c>
      <c r="S3512" s="0" t="s">
        <v>21</v>
      </c>
      <c r="T3512" s="0" t="s">
        <v>104</v>
      </c>
      <c r="W3512" s="0" t="s">
        <v>105</v>
      </c>
    </row>
    <row r="3513" customFormat="false" ht="15" hidden="false" customHeight="false" outlineLevel="0" collapsed="false">
      <c r="A3513" s="0" t="s">
        <v>21</v>
      </c>
      <c r="B3513" s="0" t="s">
        <v>11162</v>
      </c>
      <c r="C3513" s="0" t="s">
        <v>97</v>
      </c>
      <c r="D3513" s="0" t="s">
        <v>11163</v>
      </c>
      <c r="E3513" s="0" t="s">
        <v>11164</v>
      </c>
      <c r="M3513" s="0" t="s">
        <v>136</v>
      </c>
      <c r="N3513" s="0" t="s">
        <v>124</v>
      </c>
      <c r="P3513" s="0" t="s">
        <v>102</v>
      </c>
      <c r="Q3513" s="0" t="s">
        <v>102</v>
      </c>
      <c r="R3513" s="0" t="s">
        <v>144</v>
      </c>
      <c r="S3513" s="0" t="s">
        <v>21</v>
      </c>
      <c r="T3513" s="0" t="s">
        <v>104</v>
      </c>
      <c r="W3513" s="0" t="s">
        <v>105</v>
      </c>
    </row>
    <row r="3514" customFormat="false" ht="15" hidden="false" customHeight="false" outlineLevel="0" collapsed="false">
      <c r="A3514" s="0" t="s">
        <v>21</v>
      </c>
      <c r="B3514" s="0" t="s">
        <v>11165</v>
      </c>
      <c r="C3514" s="0" t="s">
        <v>97</v>
      </c>
      <c r="D3514" s="0" t="s">
        <v>11166</v>
      </c>
      <c r="E3514" s="0" t="s">
        <v>11167</v>
      </c>
      <c r="M3514" s="0" t="s">
        <v>136</v>
      </c>
      <c r="N3514" s="0" t="s">
        <v>124</v>
      </c>
      <c r="P3514" s="0" t="s">
        <v>102</v>
      </c>
      <c r="Q3514" s="0" t="s">
        <v>102</v>
      </c>
      <c r="R3514" s="0" t="s">
        <v>131</v>
      </c>
      <c r="S3514" s="0" t="s">
        <v>21</v>
      </c>
      <c r="T3514" s="0" t="s">
        <v>104</v>
      </c>
      <c r="W3514" s="0" t="s">
        <v>105</v>
      </c>
    </row>
    <row r="3515" customFormat="false" ht="15" hidden="false" customHeight="false" outlineLevel="0" collapsed="false">
      <c r="A3515" s="0" t="s">
        <v>21</v>
      </c>
      <c r="B3515" s="0" t="s">
        <v>11168</v>
      </c>
      <c r="C3515" s="0" t="s">
        <v>97</v>
      </c>
      <c r="D3515" s="0" t="s">
        <v>11169</v>
      </c>
      <c r="E3515" s="0" t="s">
        <v>11170</v>
      </c>
      <c r="M3515" s="0" t="s">
        <v>136</v>
      </c>
      <c r="N3515" s="0" t="s">
        <v>124</v>
      </c>
      <c r="P3515" s="0" t="s">
        <v>102</v>
      </c>
      <c r="Q3515" s="0" t="s">
        <v>102</v>
      </c>
      <c r="R3515" s="0" t="s">
        <v>131</v>
      </c>
      <c r="S3515" s="0" t="s">
        <v>21</v>
      </c>
      <c r="T3515" s="0" t="s">
        <v>104</v>
      </c>
      <c r="W3515" s="0" t="s">
        <v>105</v>
      </c>
    </row>
    <row r="3516" customFormat="false" ht="15" hidden="false" customHeight="false" outlineLevel="0" collapsed="false">
      <c r="A3516" s="0" t="s">
        <v>21</v>
      </c>
      <c r="B3516" s="0" t="s">
        <v>11171</v>
      </c>
      <c r="C3516" s="0" t="s">
        <v>97</v>
      </c>
      <c r="D3516" s="0" t="s">
        <v>11172</v>
      </c>
      <c r="E3516" s="0" t="s">
        <v>11173</v>
      </c>
      <c r="M3516" s="0" t="s">
        <v>136</v>
      </c>
      <c r="N3516" s="0" t="s">
        <v>124</v>
      </c>
      <c r="P3516" s="0" t="s">
        <v>102</v>
      </c>
      <c r="Q3516" s="0" t="s">
        <v>102</v>
      </c>
      <c r="R3516" s="0" t="s">
        <v>131</v>
      </c>
      <c r="S3516" s="0" t="s">
        <v>21</v>
      </c>
      <c r="T3516" s="0" t="s">
        <v>104</v>
      </c>
      <c r="W3516" s="0" t="s">
        <v>105</v>
      </c>
    </row>
    <row r="3517" customFormat="false" ht="15" hidden="false" customHeight="false" outlineLevel="0" collapsed="false">
      <c r="A3517" s="0" t="s">
        <v>21</v>
      </c>
      <c r="B3517" s="0" t="s">
        <v>11174</v>
      </c>
      <c r="C3517" s="0" t="s">
        <v>97</v>
      </c>
      <c r="D3517" s="0" t="s">
        <v>11175</v>
      </c>
      <c r="E3517" s="0" t="s">
        <v>11175</v>
      </c>
      <c r="M3517" s="0" t="s">
        <v>136</v>
      </c>
      <c r="N3517" s="0" t="s">
        <v>124</v>
      </c>
      <c r="P3517" s="0" t="s">
        <v>102</v>
      </c>
      <c r="Q3517" s="0" t="s">
        <v>102</v>
      </c>
      <c r="R3517" s="0" t="s">
        <v>131</v>
      </c>
      <c r="S3517" s="0" t="s">
        <v>21</v>
      </c>
      <c r="T3517" s="0" t="s">
        <v>104</v>
      </c>
      <c r="W3517" s="0" t="s">
        <v>105</v>
      </c>
    </row>
    <row r="3518" customFormat="false" ht="15" hidden="false" customHeight="false" outlineLevel="0" collapsed="false">
      <c r="A3518" s="0" t="s">
        <v>21</v>
      </c>
      <c r="B3518" s="0" t="s">
        <v>11176</v>
      </c>
      <c r="C3518" s="0" t="s">
        <v>110</v>
      </c>
      <c r="D3518" s="0" t="s">
        <v>2040</v>
      </c>
      <c r="E3518" s="0" t="s">
        <v>2040</v>
      </c>
      <c r="M3518" s="0" t="s">
        <v>208</v>
      </c>
      <c r="N3518" s="0" t="s">
        <v>124</v>
      </c>
      <c r="P3518" s="0" t="s">
        <v>130</v>
      </c>
      <c r="Q3518" s="0" t="s">
        <v>130</v>
      </c>
      <c r="R3518" s="0" t="s">
        <v>804</v>
      </c>
      <c r="S3518" s="0" t="s">
        <v>21</v>
      </c>
      <c r="T3518" s="0" t="s">
        <v>104</v>
      </c>
      <c r="U3518" s="0" t="s">
        <v>11177</v>
      </c>
      <c r="W3518" s="0" t="s">
        <v>105</v>
      </c>
      <c r="AA3518" s="0" t="s">
        <v>11177</v>
      </c>
    </row>
    <row r="3519" customFormat="false" ht="15" hidden="false" customHeight="false" outlineLevel="0" collapsed="false">
      <c r="A3519" s="0" t="s">
        <v>21</v>
      </c>
      <c r="B3519" s="0" t="s">
        <v>11178</v>
      </c>
      <c r="C3519" s="0" t="s">
        <v>97</v>
      </c>
      <c r="D3519" s="0" t="s">
        <v>11179</v>
      </c>
      <c r="E3519" s="0" t="s">
        <v>11180</v>
      </c>
      <c r="G3519" s="0" t="s">
        <v>11181</v>
      </c>
      <c r="M3519" s="0" t="s">
        <v>167</v>
      </c>
      <c r="N3519" s="0" t="s">
        <v>101</v>
      </c>
      <c r="P3519" s="0" t="s">
        <v>102</v>
      </c>
      <c r="Q3519" s="0" t="s">
        <v>102</v>
      </c>
      <c r="R3519" s="0" t="s">
        <v>113</v>
      </c>
      <c r="S3519" s="0" t="s">
        <v>21</v>
      </c>
      <c r="T3519" s="0" t="s">
        <v>104</v>
      </c>
      <c r="W3519" s="0" t="s">
        <v>105</v>
      </c>
    </row>
    <row r="3520" customFormat="false" ht="15" hidden="false" customHeight="false" outlineLevel="0" collapsed="false">
      <c r="A3520" s="0" t="s">
        <v>21</v>
      </c>
      <c r="B3520" s="0" t="s">
        <v>11182</v>
      </c>
      <c r="C3520" s="0" t="s">
        <v>97</v>
      </c>
      <c r="D3520" s="0" t="s">
        <v>5166</v>
      </c>
      <c r="E3520" s="0" t="s">
        <v>11183</v>
      </c>
      <c r="G3520" s="0" t="s">
        <v>11184</v>
      </c>
      <c r="H3520" s="0" t="s">
        <v>654</v>
      </c>
      <c r="I3520" s="0" t="s">
        <v>655</v>
      </c>
      <c r="J3520" s="0" t="s">
        <v>100</v>
      </c>
      <c r="K3520" s="0" t="s">
        <v>168</v>
      </c>
      <c r="L3520" s="0" t="s">
        <v>101</v>
      </c>
      <c r="M3520" s="0" t="s">
        <v>656</v>
      </c>
      <c r="N3520" s="0" t="s">
        <v>101</v>
      </c>
      <c r="P3520" s="0" t="s">
        <v>102</v>
      </c>
      <c r="Q3520" s="0" t="s">
        <v>102</v>
      </c>
      <c r="R3520" s="0" t="s">
        <v>131</v>
      </c>
      <c r="S3520" s="0" t="s">
        <v>21</v>
      </c>
      <c r="T3520" s="0" t="s">
        <v>104</v>
      </c>
      <c r="W3520" s="0" t="s">
        <v>105</v>
      </c>
      <c r="X3520" s="0" t="s">
        <v>658</v>
      </c>
      <c r="Y3520" s="0" t="s">
        <v>659</v>
      </c>
    </row>
    <row r="3521" customFormat="false" ht="28.35" hidden="false" customHeight="false" outlineLevel="0" collapsed="false">
      <c r="A3521" s="0" t="s">
        <v>21</v>
      </c>
      <c r="B3521" s="0" t="s">
        <v>11185</v>
      </c>
      <c r="C3521" s="0" t="s">
        <v>139</v>
      </c>
      <c r="D3521" s="0" t="s">
        <v>11186</v>
      </c>
      <c r="E3521" s="0" t="s">
        <v>11187</v>
      </c>
      <c r="G3521" s="9" t="s">
        <v>11188</v>
      </c>
      <c r="M3521" s="0" t="s">
        <v>11189</v>
      </c>
      <c r="N3521" s="0" t="s">
        <v>101</v>
      </c>
      <c r="P3521" s="0" t="s">
        <v>102</v>
      </c>
      <c r="Q3521" s="0" t="s">
        <v>102</v>
      </c>
      <c r="R3521" s="0" t="s">
        <v>113</v>
      </c>
      <c r="S3521" s="0" t="s">
        <v>21</v>
      </c>
      <c r="T3521" s="0" t="s">
        <v>104</v>
      </c>
      <c r="W3521" s="0" t="s">
        <v>105</v>
      </c>
    </row>
    <row r="3522" customFormat="false" ht="15" hidden="false" customHeight="false" outlineLevel="0" collapsed="false">
      <c r="A3522" s="0" t="s">
        <v>21</v>
      </c>
      <c r="B3522" s="0" t="s">
        <v>11190</v>
      </c>
      <c r="C3522" s="0" t="s">
        <v>97</v>
      </c>
      <c r="D3522" s="0" t="s">
        <v>10508</v>
      </c>
      <c r="E3522" s="0" t="s">
        <v>10508</v>
      </c>
      <c r="M3522" s="0" t="s">
        <v>124</v>
      </c>
      <c r="N3522" s="0" t="s">
        <v>124</v>
      </c>
      <c r="P3522" s="0" t="s">
        <v>102</v>
      </c>
      <c r="Q3522" s="0" t="s">
        <v>102</v>
      </c>
      <c r="R3522" s="0" t="s">
        <v>131</v>
      </c>
      <c r="S3522" s="0" t="s">
        <v>21</v>
      </c>
      <c r="T3522" s="0" t="s">
        <v>104</v>
      </c>
      <c r="W3522" s="0" t="s">
        <v>105</v>
      </c>
    </row>
    <row r="3523" customFormat="false" ht="15" hidden="false" customHeight="false" outlineLevel="0" collapsed="false">
      <c r="A3523" s="0" t="s">
        <v>21</v>
      </c>
      <c r="B3523" s="0" t="s">
        <v>11191</v>
      </c>
      <c r="C3523" s="0" t="s">
        <v>97</v>
      </c>
      <c r="D3523" s="0" t="s">
        <v>11192</v>
      </c>
      <c r="E3523" s="0" t="s">
        <v>11193</v>
      </c>
      <c r="M3523" s="0" t="s">
        <v>136</v>
      </c>
      <c r="N3523" s="0" t="s">
        <v>124</v>
      </c>
      <c r="P3523" s="0" t="s">
        <v>1044</v>
      </c>
      <c r="Q3523" s="0" t="s">
        <v>1044</v>
      </c>
      <c r="R3523" s="0" t="s">
        <v>103</v>
      </c>
      <c r="S3523" s="0" t="s">
        <v>21</v>
      </c>
      <c r="T3523" s="0" t="s">
        <v>104</v>
      </c>
      <c r="W3523" s="0" t="s">
        <v>105</v>
      </c>
    </row>
    <row r="3524" customFormat="false" ht="15" hidden="false" customHeight="false" outlineLevel="0" collapsed="false">
      <c r="A3524" s="0" t="s">
        <v>21</v>
      </c>
      <c r="B3524" s="0" t="s">
        <v>11194</v>
      </c>
      <c r="C3524" s="0" t="s">
        <v>97</v>
      </c>
      <c r="D3524" s="0" t="s">
        <v>11195</v>
      </c>
      <c r="E3524" s="0" t="s">
        <v>11195</v>
      </c>
      <c r="M3524" s="0" t="s">
        <v>136</v>
      </c>
      <c r="N3524" s="0" t="s">
        <v>124</v>
      </c>
      <c r="P3524" s="0" t="s">
        <v>102</v>
      </c>
      <c r="Q3524" s="0" t="s">
        <v>102</v>
      </c>
      <c r="R3524" s="0" t="s">
        <v>131</v>
      </c>
      <c r="S3524" s="0" t="s">
        <v>21</v>
      </c>
      <c r="T3524" s="0" t="s">
        <v>104</v>
      </c>
      <c r="W3524" s="0" t="s">
        <v>105</v>
      </c>
    </row>
    <row r="3525" customFormat="false" ht="15" hidden="false" customHeight="false" outlineLevel="0" collapsed="false">
      <c r="A3525" s="0" t="s">
        <v>21</v>
      </c>
      <c r="B3525" s="0" t="s">
        <v>11196</v>
      </c>
      <c r="C3525" s="0" t="s">
        <v>97</v>
      </c>
      <c r="D3525" s="0" t="s">
        <v>11197</v>
      </c>
      <c r="E3525" s="0" t="s">
        <v>11198</v>
      </c>
      <c r="M3525" s="0" t="s">
        <v>136</v>
      </c>
      <c r="N3525" s="0" t="s">
        <v>124</v>
      </c>
      <c r="P3525" s="0" t="s">
        <v>102</v>
      </c>
      <c r="Q3525" s="0" t="s">
        <v>102</v>
      </c>
      <c r="R3525" s="0" t="s">
        <v>131</v>
      </c>
      <c r="S3525" s="0" t="s">
        <v>21</v>
      </c>
      <c r="T3525" s="0" t="s">
        <v>104</v>
      </c>
      <c r="W3525" s="0" t="s">
        <v>105</v>
      </c>
    </row>
    <row r="3526" customFormat="false" ht="15" hidden="false" customHeight="false" outlineLevel="0" collapsed="false">
      <c r="A3526" s="0" t="s">
        <v>21</v>
      </c>
      <c r="B3526" s="0" t="s">
        <v>11199</v>
      </c>
      <c r="C3526" s="0" t="s">
        <v>97</v>
      </c>
      <c r="D3526" s="0" t="s">
        <v>11200</v>
      </c>
      <c r="E3526" s="0" t="s">
        <v>11201</v>
      </c>
      <c r="M3526" s="0" t="s">
        <v>136</v>
      </c>
      <c r="N3526" s="0" t="s">
        <v>124</v>
      </c>
      <c r="P3526" s="0" t="s">
        <v>102</v>
      </c>
      <c r="Q3526" s="0" t="s">
        <v>102</v>
      </c>
      <c r="R3526" s="0" t="s">
        <v>131</v>
      </c>
      <c r="S3526" s="0" t="s">
        <v>21</v>
      </c>
      <c r="T3526" s="0" t="s">
        <v>104</v>
      </c>
      <c r="W3526" s="0" t="s">
        <v>105</v>
      </c>
    </row>
    <row r="3527" customFormat="false" ht="15" hidden="false" customHeight="false" outlineLevel="0" collapsed="false">
      <c r="A3527" s="0" t="s">
        <v>21</v>
      </c>
      <c r="B3527" s="0" t="s">
        <v>11202</v>
      </c>
      <c r="C3527" s="0" t="s">
        <v>97</v>
      </c>
      <c r="D3527" s="0" t="s">
        <v>11203</v>
      </c>
      <c r="E3527" s="0" t="s">
        <v>11204</v>
      </c>
      <c r="M3527" s="0" t="s">
        <v>656</v>
      </c>
      <c r="N3527" s="0" t="s">
        <v>101</v>
      </c>
      <c r="P3527" s="0" t="s">
        <v>102</v>
      </c>
      <c r="Q3527" s="0" t="s">
        <v>102</v>
      </c>
      <c r="R3527" s="0" t="s">
        <v>113</v>
      </c>
      <c r="S3527" s="0" t="s">
        <v>21</v>
      </c>
      <c r="T3527" s="0" t="s">
        <v>104</v>
      </c>
      <c r="W3527" s="0" t="s">
        <v>105</v>
      </c>
    </row>
    <row r="3528" customFormat="false" ht="15" hidden="false" customHeight="false" outlineLevel="0" collapsed="false">
      <c r="A3528" s="0" t="s">
        <v>21</v>
      </c>
      <c r="B3528" s="0" t="s">
        <v>11205</v>
      </c>
      <c r="C3528" s="0" t="s">
        <v>97</v>
      </c>
      <c r="D3528" s="0" t="s">
        <v>11206</v>
      </c>
      <c r="E3528" s="0" t="s">
        <v>11207</v>
      </c>
      <c r="H3528" s="0" t="s">
        <v>654</v>
      </c>
      <c r="I3528" s="0" t="s">
        <v>655</v>
      </c>
      <c r="J3528" s="0" t="s">
        <v>100</v>
      </c>
      <c r="K3528" s="0" t="s">
        <v>168</v>
      </c>
      <c r="L3528" s="0" t="s">
        <v>101</v>
      </c>
      <c r="M3528" s="0" t="s">
        <v>656</v>
      </c>
      <c r="N3528" s="0" t="s">
        <v>101</v>
      </c>
      <c r="P3528" s="0" t="s">
        <v>102</v>
      </c>
      <c r="Q3528" s="0" t="s">
        <v>102</v>
      </c>
      <c r="R3528" s="0" t="s">
        <v>131</v>
      </c>
      <c r="S3528" s="0" t="s">
        <v>21</v>
      </c>
      <c r="T3528" s="0" t="s">
        <v>104</v>
      </c>
      <c r="W3528" s="0" t="s">
        <v>105</v>
      </c>
      <c r="X3528" s="0" t="s">
        <v>658</v>
      </c>
      <c r="Y3528" s="0" t="s">
        <v>659</v>
      </c>
    </row>
    <row r="3529" customFormat="false" ht="15" hidden="false" customHeight="false" outlineLevel="0" collapsed="false">
      <c r="A3529" s="0" t="s">
        <v>21</v>
      </c>
      <c r="B3529" s="0" t="s">
        <v>11208</v>
      </c>
      <c r="C3529" s="0" t="s">
        <v>97</v>
      </c>
      <c r="D3529" s="0" t="s">
        <v>11209</v>
      </c>
      <c r="E3529" s="0" t="s">
        <v>11210</v>
      </c>
      <c r="H3529" s="0" t="s">
        <v>654</v>
      </c>
      <c r="I3529" s="0" t="s">
        <v>655</v>
      </c>
      <c r="J3529" s="0" t="s">
        <v>100</v>
      </c>
      <c r="K3529" s="0" t="s">
        <v>168</v>
      </c>
      <c r="L3529" s="0" t="s">
        <v>101</v>
      </c>
      <c r="M3529" s="0" t="s">
        <v>656</v>
      </c>
      <c r="N3529" s="0" t="s">
        <v>101</v>
      </c>
      <c r="P3529" s="0" t="s">
        <v>102</v>
      </c>
      <c r="Q3529" s="0" t="s">
        <v>102</v>
      </c>
      <c r="R3529" s="0" t="s">
        <v>131</v>
      </c>
      <c r="S3529" s="0" t="s">
        <v>21</v>
      </c>
      <c r="T3529" s="0" t="s">
        <v>104</v>
      </c>
      <c r="W3529" s="0" t="s">
        <v>105</v>
      </c>
      <c r="X3529" s="0" t="s">
        <v>658</v>
      </c>
      <c r="Y3529" s="0" t="s">
        <v>659</v>
      </c>
    </row>
    <row r="3530" customFormat="false" ht="15" hidden="false" customHeight="false" outlineLevel="0" collapsed="false">
      <c r="A3530" s="0" t="s">
        <v>21</v>
      </c>
      <c r="B3530" s="0" t="s">
        <v>11211</v>
      </c>
      <c r="C3530" s="0" t="s">
        <v>97</v>
      </c>
      <c r="D3530" s="0" t="s">
        <v>5203</v>
      </c>
      <c r="E3530" s="0" t="s">
        <v>11212</v>
      </c>
      <c r="H3530" s="0" t="s">
        <v>654</v>
      </c>
      <c r="I3530" s="0" t="s">
        <v>655</v>
      </c>
      <c r="J3530" s="0" t="s">
        <v>100</v>
      </c>
      <c r="K3530" s="0" t="s">
        <v>168</v>
      </c>
      <c r="L3530" s="0" t="s">
        <v>101</v>
      </c>
      <c r="M3530" s="0" t="s">
        <v>656</v>
      </c>
      <c r="N3530" s="0" t="s">
        <v>101</v>
      </c>
      <c r="P3530" s="0" t="s">
        <v>102</v>
      </c>
      <c r="Q3530" s="0" t="s">
        <v>102</v>
      </c>
      <c r="R3530" s="0" t="s">
        <v>131</v>
      </c>
      <c r="S3530" s="0" t="s">
        <v>21</v>
      </c>
      <c r="T3530" s="0" t="s">
        <v>104</v>
      </c>
      <c r="W3530" s="0" t="s">
        <v>105</v>
      </c>
      <c r="X3530" s="0" t="s">
        <v>658</v>
      </c>
      <c r="Y3530" s="0" t="s">
        <v>659</v>
      </c>
    </row>
    <row r="3531" customFormat="false" ht="15" hidden="false" customHeight="false" outlineLevel="0" collapsed="false">
      <c r="A3531" s="0" t="s">
        <v>21</v>
      </c>
      <c r="B3531" s="0" t="s">
        <v>11213</v>
      </c>
      <c r="C3531" s="0" t="s">
        <v>97</v>
      </c>
      <c r="D3531" s="0" t="s">
        <v>1353</v>
      </c>
      <c r="E3531" s="0" t="s">
        <v>11214</v>
      </c>
      <c r="H3531" s="0" t="s">
        <v>1355</v>
      </c>
      <c r="I3531" s="0" t="s">
        <v>1356</v>
      </c>
      <c r="J3531" s="0" t="s">
        <v>1356</v>
      </c>
      <c r="K3531" s="0" t="s">
        <v>1340</v>
      </c>
      <c r="L3531" s="0" t="s">
        <v>101</v>
      </c>
      <c r="M3531" s="0" t="s">
        <v>1356</v>
      </c>
      <c r="N3531" s="0" t="s">
        <v>101</v>
      </c>
      <c r="P3531" s="0" t="s">
        <v>102</v>
      </c>
      <c r="Q3531" s="0" t="s">
        <v>102</v>
      </c>
      <c r="R3531" s="0" t="s">
        <v>113</v>
      </c>
      <c r="S3531" s="0" t="s">
        <v>21</v>
      </c>
      <c r="T3531" s="0" t="s">
        <v>104</v>
      </c>
      <c r="W3531" s="0" t="s">
        <v>105</v>
      </c>
      <c r="X3531" s="0" t="s">
        <v>11215</v>
      </c>
      <c r="Y3531" s="0" t="s">
        <v>11216</v>
      </c>
    </row>
    <row r="3532" customFormat="false" ht="15" hidden="false" customHeight="false" outlineLevel="0" collapsed="false">
      <c r="A3532" s="0" t="s">
        <v>21</v>
      </c>
      <c r="B3532" s="0" t="s">
        <v>11217</v>
      </c>
      <c r="C3532" s="0" t="s">
        <v>97</v>
      </c>
      <c r="D3532" s="0" t="s">
        <v>11218</v>
      </c>
      <c r="E3532" s="0" t="s">
        <v>11219</v>
      </c>
      <c r="H3532" s="0" t="s">
        <v>11220</v>
      </c>
      <c r="I3532" s="0" t="s">
        <v>1823</v>
      </c>
      <c r="J3532" s="0" t="s">
        <v>1823</v>
      </c>
      <c r="K3532" s="0" t="s">
        <v>1627</v>
      </c>
      <c r="L3532" s="0" t="s">
        <v>101</v>
      </c>
      <c r="M3532" s="0" t="s">
        <v>1372</v>
      </c>
      <c r="N3532" s="0" t="s">
        <v>101</v>
      </c>
      <c r="P3532" s="0" t="s">
        <v>102</v>
      </c>
      <c r="Q3532" s="0" t="s">
        <v>102</v>
      </c>
      <c r="R3532" s="0" t="s">
        <v>131</v>
      </c>
      <c r="S3532" s="0" t="s">
        <v>21</v>
      </c>
      <c r="T3532" s="0" t="s">
        <v>104</v>
      </c>
      <c r="W3532" s="0" t="s">
        <v>105</v>
      </c>
      <c r="X3532" s="0" t="s">
        <v>11221</v>
      </c>
      <c r="Y3532" s="0" t="s">
        <v>11222</v>
      </c>
    </row>
    <row r="3533" customFormat="false" ht="15" hidden="false" customHeight="false" outlineLevel="0" collapsed="false">
      <c r="A3533" s="0" t="s">
        <v>21</v>
      </c>
      <c r="B3533" s="0" t="s">
        <v>11223</v>
      </c>
      <c r="C3533" s="0" t="s">
        <v>97</v>
      </c>
      <c r="D3533" s="0" t="s">
        <v>11224</v>
      </c>
      <c r="E3533" s="0" t="s">
        <v>11225</v>
      </c>
      <c r="H3533" s="0" t="s">
        <v>11226</v>
      </c>
      <c r="I3533" s="0" t="s">
        <v>11227</v>
      </c>
      <c r="J3533" s="0" t="s">
        <v>1372</v>
      </c>
      <c r="K3533" s="0" t="s">
        <v>11228</v>
      </c>
      <c r="L3533" s="0" t="s">
        <v>101</v>
      </c>
      <c r="M3533" s="0" t="s">
        <v>1372</v>
      </c>
      <c r="N3533" s="0" t="s">
        <v>101</v>
      </c>
      <c r="P3533" s="0" t="s">
        <v>102</v>
      </c>
      <c r="Q3533" s="0" t="s">
        <v>102</v>
      </c>
      <c r="R3533" s="0" t="s">
        <v>137</v>
      </c>
      <c r="S3533" s="0" t="s">
        <v>21</v>
      </c>
      <c r="T3533" s="0" t="s">
        <v>104</v>
      </c>
      <c r="W3533" s="0" t="s">
        <v>105</v>
      </c>
      <c r="X3533" s="0" t="s">
        <v>11229</v>
      </c>
      <c r="Y3533" s="0" t="s">
        <v>11230</v>
      </c>
      <c r="AB3533" s="0" t="s">
        <v>832</v>
      </c>
    </row>
    <row r="3534" customFormat="false" ht="15" hidden="false" customHeight="false" outlineLevel="0" collapsed="false">
      <c r="A3534" s="0" t="s">
        <v>21</v>
      </c>
      <c r="B3534" s="0" t="s">
        <v>11231</v>
      </c>
      <c r="C3534" s="0" t="s">
        <v>97</v>
      </c>
      <c r="D3534" s="0" t="s">
        <v>11232</v>
      </c>
      <c r="E3534" s="0" t="s">
        <v>11233</v>
      </c>
      <c r="H3534" s="0" t="s">
        <v>11234</v>
      </c>
      <c r="I3534" s="0" t="s">
        <v>11235</v>
      </c>
      <c r="J3534" s="0" t="s">
        <v>1372</v>
      </c>
      <c r="K3534" s="0" t="s">
        <v>11236</v>
      </c>
      <c r="L3534" s="0" t="s">
        <v>101</v>
      </c>
      <c r="M3534" s="0" t="s">
        <v>1372</v>
      </c>
      <c r="N3534" s="0" t="s">
        <v>101</v>
      </c>
      <c r="P3534" s="0" t="s">
        <v>102</v>
      </c>
      <c r="Q3534" s="0" t="s">
        <v>102</v>
      </c>
      <c r="R3534" s="0" t="s">
        <v>137</v>
      </c>
      <c r="S3534" s="0" t="s">
        <v>21</v>
      </c>
      <c r="T3534" s="0" t="s">
        <v>104</v>
      </c>
      <c r="W3534" s="0" t="s">
        <v>105</v>
      </c>
      <c r="X3534" s="0" t="s">
        <v>11237</v>
      </c>
      <c r="Y3534" s="0" t="s">
        <v>11238</v>
      </c>
      <c r="AB3534" s="0" t="s">
        <v>832</v>
      </c>
    </row>
    <row r="3535" customFormat="false" ht="15" hidden="false" customHeight="false" outlineLevel="0" collapsed="false">
      <c r="A3535" s="0" t="s">
        <v>21</v>
      </c>
      <c r="B3535" s="0" t="s">
        <v>11239</v>
      </c>
      <c r="C3535" s="0" t="s">
        <v>97</v>
      </c>
      <c r="D3535" s="0" t="s">
        <v>1361</v>
      </c>
      <c r="E3535" s="0" t="s">
        <v>11240</v>
      </c>
      <c r="H3535" s="0" t="s">
        <v>1363</v>
      </c>
      <c r="I3535" s="0" t="s">
        <v>1364</v>
      </c>
      <c r="J3535" s="0" t="s">
        <v>1364</v>
      </c>
      <c r="K3535" s="0" t="s">
        <v>11241</v>
      </c>
      <c r="L3535" s="0" t="s">
        <v>101</v>
      </c>
      <c r="M3535" s="0" t="s">
        <v>1365</v>
      </c>
      <c r="N3535" s="0" t="s">
        <v>101</v>
      </c>
      <c r="P3535" s="0" t="s">
        <v>102</v>
      </c>
      <c r="Q3535" s="0" t="s">
        <v>102</v>
      </c>
      <c r="R3535" s="0" t="s">
        <v>113</v>
      </c>
      <c r="S3535" s="0" t="s">
        <v>21</v>
      </c>
      <c r="T3535" s="0" t="s">
        <v>104</v>
      </c>
      <c r="W3535" s="0" t="s">
        <v>105</v>
      </c>
      <c r="X3535" s="0" t="s">
        <v>11242</v>
      </c>
      <c r="Y3535" s="0" t="s">
        <v>11243</v>
      </c>
    </row>
    <row r="3536" customFormat="false" ht="15" hidden="false" customHeight="false" outlineLevel="0" collapsed="false">
      <c r="A3536" s="0" t="s">
        <v>21</v>
      </c>
      <c r="B3536" s="0" t="s">
        <v>11244</v>
      </c>
      <c r="C3536" s="0" t="s">
        <v>97</v>
      </c>
      <c r="D3536" s="0" t="s">
        <v>11245</v>
      </c>
      <c r="E3536" s="0" t="s">
        <v>11246</v>
      </c>
      <c r="M3536" s="0" t="s">
        <v>656</v>
      </c>
      <c r="N3536" s="0" t="s">
        <v>101</v>
      </c>
      <c r="P3536" s="0" t="s">
        <v>102</v>
      </c>
      <c r="Q3536" s="0" t="s">
        <v>102</v>
      </c>
      <c r="R3536" s="0" t="s">
        <v>131</v>
      </c>
      <c r="S3536" s="0" t="s">
        <v>21</v>
      </c>
      <c r="T3536" s="0" t="s">
        <v>104</v>
      </c>
      <c r="W3536" s="0" t="s">
        <v>105</v>
      </c>
    </row>
    <row r="3537" customFormat="false" ht="15" hidden="false" customHeight="false" outlineLevel="0" collapsed="false">
      <c r="A3537" s="0" t="s">
        <v>21</v>
      </c>
      <c r="B3537" s="0" t="s">
        <v>11247</v>
      </c>
      <c r="C3537" s="0" t="s">
        <v>97</v>
      </c>
      <c r="D3537" s="0" t="s">
        <v>11248</v>
      </c>
      <c r="E3537" s="0" t="s">
        <v>11249</v>
      </c>
      <c r="H3537" s="0" t="s">
        <v>654</v>
      </c>
      <c r="I3537" s="0" t="s">
        <v>655</v>
      </c>
      <c r="J3537" s="0" t="s">
        <v>100</v>
      </c>
      <c r="K3537" s="0" t="s">
        <v>168</v>
      </c>
      <c r="L3537" s="0" t="s">
        <v>101</v>
      </c>
      <c r="M3537" s="0" t="s">
        <v>656</v>
      </c>
      <c r="N3537" s="0" t="s">
        <v>101</v>
      </c>
      <c r="P3537" s="0" t="s">
        <v>102</v>
      </c>
      <c r="Q3537" s="0" t="s">
        <v>102</v>
      </c>
      <c r="R3537" s="0" t="s">
        <v>131</v>
      </c>
      <c r="S3537" s="0" t="s">
        <v>21</v>
      </c>
      <c r="T3537" s="0" t="s">
        <v>104</v>
      </c>
      <c r="W3537" s="0" t="s">
        <v>105</v>
      </c>
      <c r="X3537" s="0" t="s">
        <v>658</v>
      </c>
      <c r="Y3537" s="0" t="s">
        <v>659</v>
      </c>
    </row>
    <row r="3538" customFormat="false" ht="15" hidden="false" customHeight="false" outlineLevel="0" collapsed="false">
      <c r="A3538" s="0" t="s">
        <v>21</v>
      </c>
      <c r="B3538" s="0" t="s">
        <v>11250</v>
      </c>
      <c r="C3538" s="0" t="s">
        <v>97</v>
      </c>
      <c r="D3538" s="0" t="s">
        <v>5196</v>
      </c>
      <c r="E3538" s="0" t="s">
        <v>11251</v>
      </c>
      <c r="H3538" s="0" t="s">
        <v>654</v>
      </c>
      <c r="I3538" s="0" t="s">
        <v>655</v>
      </c>
      <c r="J3538" s="0" t="s">
        <v>100</v>
      </c>
      <c r="K3538" s="0" t="s">
        <v>168</v>
      </c>
      <c r="L3538" s="0" t="s">
        <v>101</v>
      </c>
      <c r="M3538" s="0" t="s">
        <v>656</v>
      </c>
      <c r="N3538" s="0" t="s">
        <v>101</v>
      </c>
      <c r="P3538" s="0" t="s">
        <v>102</v>
      </c>
      <c r="Q3538" s="0" t="s">
        <v>102</v>
      </c>
      <c r="R3538" s="0" t="s">
        <v>131</v>
      </c>
      <c r="S3538" s="0" t="s">
        <v>21</v>
      </c>
      <c r="T3538" s="0" t="s">
        <v>104</v>
      </c>
      <c r="W3538" s="0" t="s">
        <v>105</v>
      </c>
      <c r="X3538" s="0" t="s">
        <v>658</v>
      </c>
      <c r="Y3538" s="0" t="s">
        <v>659</v>
      </c>
    </row>
    <row r="3539" customFormat="false" ht="15" hidden="false" customHeight="false" outlineLevel="0" collapsed="false">
      <c r="A3539" s="0" t="s">
        <v>21</v>
      </c>
      <c r="B3539" s="0" t="s">
        <v>11252</v>
      </c>
      <c r="C3539" s="0" t="s">
        <v>97</v>
      </c>
      <c r="D3539" s="0" t="s">
        <v>11253</v>
      </c>
      <c r="E3539" s="0" t="s">
        <v>11254</v>
      </c>
      <c r="H3539" s="0" t="s">
        <v>11255</v>
      </c>
      <c r="I3539" s="0" t="s">
        <v>11227</v>
      </c>
      <c r="J3539" s="0" t="s">
        <v>1372</v>
      </c>
      <c r="K3539" s="0" t="s">
        <v>11228</v>
      </c>
      <c r="L3539" s="0" t="s">
        <v>101</v>
      </c>
      <c r="M3539" s="0" t="s">
        <v>1372</v>
      </c>
      <c r="N3539" s="0" t="s">
        <v>101</v>
      </c>
      <c r="P3539" s="0" t="s">
        <v>102</v>
      </c>
      <c r="Q3539" s="0" t="s">
        <v>102</v>
      </c>
      <c r="R3539" s="0" t="s">
        <v>137</v>
      </c>
      <c r="S3539" s="0" t="s">
        <v>21</v>
      </c>
      <c r="T3539" s="0" t="s">
        <v>104</v>
      </c>
      <c r="W3539" s="0" t="s">
        <v>105</v>
      </c>
      <c r="X3539" s="0" t="s">
        <v>11256</v>
      </c>
      <c r="Y3539" s="0" t="s">
        <v>11257</v>
      </c>
      <c r="AB3539" s="0" t="s">
        <v>832</v>
      </c>
    </row>
    <row r="3540" customFormat="false" ht="15" hidden="false" customHeight="false" outlineLevel="0" collapsed="false">
      <c r="A3540" s="0" t="s">
        <v>21</v>
      </c>
      <c r="B3540" s="0" t="s">
        <v>11258</v>
      </c>
      <c r="C3540" s="0" t="s">
        <v>97</v>
      </c>
      <c r="D3540" s="0" t="s">
        <v>11259</v>
      </c>
      <c r="E3540" s="0" t="s">
        <v>11260</v>
      </c>
      <c r="H3540" s="0" t="s">
        <v>11261</v>
      </c>
      <c r="I3540" s="0" t="s">
        <v>8805</v>
      </c>
      <c r="J3540" s="0" t="s">
        <v>1372</v>
      </c>
      <c r="K3540" s="0" t="s">
        <v>11262</v>
      </c>
      <c r="L3540" s="0" t="s">
        <v>101</v>
      </c>
      <c r="M3540" s="0" t="s">
        <v>1372</v>
      </c>
      <c r="N3540" s="0" t="s">
        <v>101</v>
      </c>
      <c r="P3540" s="0" t="s">
        <v>102</v>
      </c>
      <c r="Q3540" s="0" t="s">
        <v>102</v>
      </c>
      <c r="R3540" s="0" t="s">
        <v>137</v>
      </c>
      <c r="S3540" s="0" t="s">
        <v>21</v>
      </c>
      <c r="T3540" s="0" t="s">
        <v>104</v>
      </c>
      <c r="W3540" s="0" t="s">
        <v>105</v>
      </c>
      <c r="X3540" s="0" t="s">
        <v>11263</v>
      </c>
      <c r="Y3540" s="0" t="s">
        <v>11264</v>
      </c>
      <c r="AB3540" s="0" t="s">
        <v>832</v>
      </c>
    </row>
    <row r="3541" customFormat="false" ht="15" hidden="false" customHeight="false" outlineLevel="0" collapsed="false">
      <c r="A3541" s="0" t="s">
        <v>21</v>
      </c>
      <c r="B3541" s="0" t="s">
        <v>11265</v>
      </c>
      <c r="C3541" s="0" t="s">
        <v>97</v>
      </c>
      <c r="D3541" s="0" t="s">
        <v>11266</v>
      </c>
      <c r="E3541" s="0" t="s">
        <v>11267</v>
      </c>
      <c r="H3541" s="0" t="s">
        <v>11268</v>
      </c>
      <c r="I3541" s="0" t="s">
        <v>11269</v>
      </c>
      <c r="J3541" s="0" t="s">
        <v>1372</v>
      </c>
      <c r="K3541" s="0" t="s">
        <v>11228</v>
      </c>
      <c r="L3541" s="0" t="s">
        <v>101</v>
      </c>
      <c r="M3541" s="0" t="s">
        <v>1372</v>
      </c>
      <c r="N3541" s="0" t="s">
        <v>101</v>
      </c>
      <c r="P3541" s="0" t="s">
        <v>102</v>
      </c>
      <c r="Q3541" s="0" t="s">
        <v>102</v>
      </c>
      <c r="R3541" s="0" t="s">
        <v>137</v>
      </c>
      <c r="S3541" s="0" t="s">
        <v>21</v>
      </c>
      <c r="T3541" s="0" t="s">
        <v>104</v>
      </c>
      <c r="W3541" s="0" t="s">
        <v>105</v>
      </c>
      <c r="X3541" s="0" t="s">
        <v>11270</v>
      </c>
      <c r="Y3541" s="0" t="s">
        <v>11271</v>
      </c>
      <c r="AB3541" s="0" t="s">
        <v>832</v>
      </c>
    </row>
    <row r="3542" customFormat="false" ht="15" hidden="false" customHeight="false" outlineLevel="0" collapsed="false">
      <c r="A3542" s="0" t="s">
        <v>21</v>
      </c>
      <c r="B3542" s="0" t="s">
        <v>11272</v>
      </c>
      <c r="C3542" s="0" t="s">
        <v>97</v>
      </c>
      <c r="D3542" s="0" t="s">
        <v>11273</v>
      </c>
      <c r="E3542" s="0" t="s">
        <v>11274</v>
      </c>
      <c r="H3542" s="0" t="s">
        <v>11275</v>
      </c>
      <c r="I3542" s="0" t="s">
        <v>11276</v>
      </c>
      <c r="J3542" s="0" t="s">
        <v>1372</v>
      </c>
      <c r="K3542" s="0" t="s">
        <v>11262</v>
      </c>
      <c r="L3542" s="0" t="s">
        <v>101</v>
      </c>
      <c r="M3542" s="0" t="s">
        <v>1372</v>
      </c>
      <c r="N3542" s="0" t="s">
        <v>101</v>
      </c>
      <c r="P3542" s="0" t="s">
        <v>102</v>
      </c>
      <c r="Q3542" s="0" t="s">
        <v>102</v>
      </c>
      <c r="R3542" s="0" t="s">
        <v>137</v>
      </c>
      <c r="S3542" s="0" t="s">
        <v>21</v>
      </c>
      <c r="T3542" s="0" t="s">
        <v>104</v>
      </c>
      <c r="W3542" s="0" t="s">
        <v>105</v>
      </c>
      <c r="X3542" s="0" t="s">
        <v>11277</v>
      </c>
      <c r="Y3542" s="0" t="s">
        <v>11278</v>
      </c>
      <c r="AB3542" s="0" t="s">
        <v>832</v>
      </c>
    </row>
    <row r="3543" customFormat="false" ht="15" hidden="false" customHeight="false" outlineLevel="0" collapsed="false">
      <c r="A3543" s="0" t="s">
        <v>21</v>
      </c>
      <c r="B3543" s="0" t="s">
        <v>11279</v>
      </c>
      <c r="C3543" s="0" t="s">
        <v>97</v>
      </c>
      <c r="D3543" s="0" t="s">
        <v>1606</v>
      </c>
      <c r="E3543" s="0" t="s">
        <v>11280</v>
      </c>
      <c r="H3543" s="0" t="s">
        <v>11281</v>
      </c>
      <c r="I3543" s="0" t="s">
        <v>2444</v>
      </c>
      <c r="J3543" s="0" t="s">
        <v>1372</v>
      </c>
      <c r="K3543" s="0" t="s">
        <v>1591</v>
      </c>
      <c r="L3543" s="0" t="s">
        <v>101</v>
      </c>
      <c r="M3543" s="0" t="s">
        <v>1372</v>
      </c>
      <c r="N3543" s="0" t="s">
        <v>101</v>
      </c>
      <c r="P3543" s="0" t="s">
        <v>102</v>
      </c>
      <c r="Q3543" s="0" t="s">
        <v>102</v>
      </c>
      <c r="R3543" s="0" t="s">
        <v>131</v>
      </c>
      <c r="S3543" s="0" t="s">
        <v>21</v>
      </c>
      <c r="T3543" s="0" t="s">
        <v>104</v>
      </c>
      <c r="W3543" s="0" t="s">
        <v>105</v>
      </c>
      <c r="X3543" s="0" t="s">
        <v>11282</v>
      </c>
      <c r="Y3543" s="0" t="s">
        <v>11283</v>
      </c>
    </row>
    <row r="3544" customFormat="false" ht="15" hidden="false" customHeight="false" outlineLevel="0" collapsed="false">
      <c r="A3544" s="0" t="s">
        <v>21</v>
      </c>
      <c r="B3544" s="0" t="s">
        <v>11284</v>
      </c>
      <c r="C3544" s="0" t="s">
        <v>97</v>
      </c>
      <c r="D3544" s="0" t="s">
        <v>1369</v>
      </c>
      <c r="E3544" s="0" t="s">
        <v>11285</v>
      </c>
      <c r="H3544" s="0" t="s">
        <v>1371</v>
      </c>
      <c r="I3544" s="0" t="s">
        <v>11286</v>
      </c>
      <c r="J3544" s="0" t="s">
        <v>1372</v>
      </c>
      <c r="K3544" s="0" t="s">
        <v>1357</v>
      </c>
      <c r="L3544" s="0" t="s">
        <v>101</v>
      </c>
      <c r="M3544" s="0" t="s">
        <v>1372</v>
      </c>
      <c r="N3544" s="0" t="s">
        <v>101</v>
      </c>
      <c r="P3544" s="0" t="s">
        <v>102</v>
      </c>
      <c r="Q3544" s="0" t="s">
        <v>102</v>
      </c>
      <c r="R3544" s="0" t="s">
        <v>113</v>
      </c>
      <c r="S3544" s="0" t="s">
        <v>21</v>
      </c>
      <c r="T3544" s="0" t="s">
        <v>104</v>
      </c>
      <c r="W3544" s="0" t="s">
        <v>105</v>
      </c>
      <c r="X3544" s="0" t="s">
        <v>11287</v>
      </c>
      <c r="Y3544" s="0" t="s">
        <v>11288</v>
      </c>
    </row>
    <row r="3545" customFormat="false" ht="15" hidden="false" customHeight="false" outlineLevel="0" collapsed="false">
      <c r="A3545" s="0" t="s">
        <v>21</v>
      </c>
      <c r="B3545" s="0" t="s">
        <v>11289</v>
      </c>
      <c r="C3545" s="0" t="s">
        <v>97</v>
      </c>
      <c r="D3545" s="0" t="s">
        <v>11290</v>
      </c>
      <c r="E3545" s="0" t="s">
        <v>11291</v>
      </c>
      <c r="M3545" s="0" t="s">
        <v>100</v>
      </c>
      <c r="N3545" s="0" t="s">
        <v>101</v>
      </c>
      <c r="P3545" s="0" t="s">
        <v>102</v>
      </c>
      <c r="Q3545" s="0" t="s">
        <v>102</v>
      </c>
      <c r="R3545" s="0" t="s">
        <v>131</v>
      </c>
      <c r="S3545" s="0" t="s">
        <v>21</v>
      </c>
      <c r="T3545" s="0" t="s">
        <v>104</v>
      </c>
      <c r="W3545" s="0" t="s">
        <v>105</v>
      </c>
    </row>
    <row r="3546" customFormat="false" ht="15" hidden="false" customHeight="false" outlineLevel="0" collapsed="false">
      <c r="A3546" s="0" t="s">
        <v>21</v>
      </c>
      <c r="B3546" s="0" t="s">
        <v>11292</v>
      </c>
      <c r="C3546" s="0" t="s">
        <v>97</v>
      </c>
      <c r="D3546" s="0" t="s">
        <v>11293</v>
      </c>
      <c r="E3546" s="0" t="s">
        <v>11294</v>
      </c>
      <c r="G3546" s="0" t="s">
        <v>11295</v>
      </c>
      <c r="H3546" s="0" t="s">
        <v>654</v>
      </c>
      <c r="I3546" s="0" t="s">
        <v>655</v>
      </c>
      <c r="J3546" s="0" t="s">
        <v>100</v>
      </c>
      <c r="K3546" s="0" t="s">
        <v>168</v>
      </c>
      <c r="L3546" s="0" t="s">
        <v>101</v>
      </c>
      <c r="M3546" s="0" t="s">
        <v>656</v>
      </c>
      <c r="N3546" s="0" t="s">
        <v>101</v>
      </c>
      <c r="P3546" s="0" t="s">
        <v>102</v>
      </c>
      <c r="Q3546" s="0" t="s">
        <v>102</v>
      </c>
      <c r="R3546" s="0" t="s">
        <v>131</v>
      </c>
      <c r="S3546" s="0" t="s">
        <v>21</v>
      </c>
      <c r="T3546" s="0" t="s">
        <v>104</v>
      </c>
      <c r="W3546" s="0" t="s">
        <v>105</v>
      </c>
      <c r="X3546" s="0" t="s">
        <v>658</v>
      </c>
      <c r="Y3546" s="0" t="s">
        <v>659</v>
      </c>
    </row>
    <row r="3547" customFormat="false" ht="15" hidden="false" customHeight="false" outlineLevel="0" collapsed="false">
      <c r="A3547" s="0" t="s">
        <v>21</v>
      </c>
      <c r="B3547" s="0" t="s">
        <v>11296</v>
      </c>
      <c r="C3547" s="0" t="s">
        <v>97</v>
      </c>
      <c r="D3547" s="0" t="s">
        <v>11297</v>
      </c>
      <c r="E3547" s="0" t="s">
        <v>11298</v>
      </c>
      <c r="M3547" s="0" t="s">
        <v>100</v>
      </c>
      <c r="N3547" s="0" t="s">
        <v>101</v>
      </c>
      <c r="P3547" s="0" t="s">
        <v>102</v>
      </c>
      <c r="Q3547" s="0" t="s">
        <v>102</v>
      </c>
      <c r="R3547" s="0" t="s">
        <v>131</v>
      </c>
      <c r="S3547" s="0" t="s">
        <v>21</v>
      </c>
      <c r="T3547" s="0" t="s">
        <v>104</v>
      </c>
      <c r="W3547" s="0" t="s">
        <v>105</v>
      </c>
    </row>
    <row r="3548" customFormat="false" ht="15" hidden="false" customHeight="false" outlineLevel="0" collapsed="false">
      <c r="A3548" s="0" t="s">
        <v>21</v>
      </c>
      <c r="B3548" s="0" t="s">
        <v>11299</v>
      </c>
      <c r="C3548" s="0" t="s">
        <v>97</v>
      </c>
      <c r="D3548" s="0" t="s">
        <v>11300</v>
      </c>
      <c r="E3548" s="0" t="s">
        <v>11301</v>
      </c>
      <c r="G3548" s="0" t="s">
        <v>11302</v>
      </c>
      <c r="H3548" s="0" t="s">
        <v>654</v>
      </c>
      <c r="I3548" s="0" t="s">
        <v>655</v>
      </c>
      <c r="J3548" s="0" t="s">
        <v>100</v>
      </c>
      <c r="K3548" s="0" t="s">
        <v>168</v>
      </c>
      <c r="L3548" s="0" t="s">
        <v>101</v>
      </c>
      <c r="M3548" s="0" t="s">
        <v>656</v>
      </c>
      <c r="N3548" s="0" t="s">
        <v>101</v>
      </c>
      <c r="P3548" s="0" t="s">
        <v>102</v>
      </c>
      <c r="Q3548" s="0" t="s">
        <v>102</v>
      </c>
      <c r="R3548" s="0" t="s">
        <v>131</v>
      </c>
      <c r="S3548" s="0" t="s">
        <v>21</v>
      </c>
      <c r="T3548" s="0" t="s">
        <v>104</v>
      </c>
      <c r="W3548" s="0" t="s">
        <v>105</v>
      </c>
      <c r="X3548" s="0" t="s">
        <v>658</v>
      </c>
      <c r="Y3548" s="0" t="s">
        <v>659</v>
      </c>
    </row>
    <row r="3549" customFormat="false" ht="15" hidden="false" customHeight="false" outlineLevel="0" collapsed="false">
      <c r="A3549" s="0" t="s">
        <v>21</v>
      </c>
      <c r="B3549" s="0" t="s">
        <v>11303</v>
      </c>
      <c r="C3549" s="0" t="s">
        <v>97</v>
      </c>
      <c r="D3549" s="0" t="s">
        <v>11304</v>
      </c>
      <c r="E3549" s="0" t="s">
        <v>11305</v>
      </c>
      <c r="M3549" s="0" t="s">
        <v>136</v>
      </c>
      <c r="N3549" s="0" t="s">
        <v>124</v>
      </c>
      <c r="P3549" s="0" t="s">
        <v>102</v>
      </c>
      <c r="Q3549" s="0" t="s">
        <v>102</v>
      </c>
      <c r="R3549" s="0" t="s">
        <v>144</v>
      </c>
      <c r="S3549" s="0" t="s">
        <v>21</v>
      </c>
      <c r="T3549" s="0" t="s">
        <v>104</v>
      </c>
      <c r="W3549" s="0" t="s">
        <v>105</v>
      </c>
    </row>
    <row r="3550" customFormat="false" ht="15" hidden="false" customHeight="false" outlineLevel="0" collapsed="false">
      <c r="A3550" s="0" t="s">
        <v>21</v>
      </c>
      <c r="B3550" s="0" t="s">
        <v>11306</v>
      </c>
      <c r="C3550" s="0" t="s">
        <v>97</v>
      </c>
      <c r="D3550" s="0" t="s">
        <v>11307</v>
      </c>
      <c r="E3550" s="0" t="s">
        <v>11308</v>
      </c>
      <c r="M3550" s="0" t="s">
        <v>136</v>
      </c>
      <c r="N3550" s="0" t="s">
        <v>124</v>
      </c>
      <c r="P3550" s="0" t="s">
        <v>102</v>
      </c>
      <c r="Q3550" s="0" t="s">
        <v>102</v>
      </c>
      <c r="R3550" s="0" t="s">
        <v>144</v>
      </c>
      <c r="S3550" s="0" t="s">
        <v>21</v>
      </c>
      <c r="T3550" s="0" t="s">
        <v>104</v>
      </c>
      <c r="W3550" s="0" t="s">
        <v>105</v>
      </c>
    </row>
    <row r="3551" customFormat="false" ht="15" hidden="false" customHeight="false" outlineLevel="0" collapsed="false">
      <c r="A3551" s="0" t="s">
        <v>21</v>
      </c>
      <c r="B3551" s="0" t="s">
        <v>11309</v>
      </c>
      <c r="C3551" s="0" t="s">
        <v>97</v>
      </c>
      <c r="D3551" s="0" t="s">
        <v>11310</v>
      </c>
      <c r="E3551" s="0" t="s">
        <v>11311</v>
      </c>
      <c r="M3551" s="0" t="s">
        <v>136</v>
      </c>
      <c r="N3551" s="0" t="s">
        <v>124</v>
      </c>
      <c r="P3551" s="0" t="s">
        <v>102</v>
      </c>
      <c r="Q3551" s="0" t="s">
        <v>102</v>
      </c>
      <c r="R3551" s="0" t="s">
        <v>144</v>
      </c>
      <c r="S3551" s="0" t="s">
        <v>21</v>
      </c>
      <c r="T3551" s="0" t="s">
        <v>104</v>
      </c>
      <c r="W3551" s="0" t="s">
        <v>105</v>
      </c>
    </row>
    <row r="3552" customFormat="false" ht="15" hidden="false" customHeight="false" outlineLevel="0" collapsed="false">
      <c r="A3552" s="0" t="s">
        <v>21</v>
      </c>
      <c r="B3552" s="0" t="s">
        <v>11312</v>
      </c>
      <c r="C3552" s="0" t="s">
        <v>97</v>
      </c>
      <c r="D3552" s="0" t="s">
        <v>11313</v>
      </c>
      <c r="E3552" s="0" t="s">
        <v>11314</v>
      </c>
      <c r="M3552" s="0" t="s">
        <v>136</v>
      </c>
      <c r="N3552" s="0" t="s">
        <v>124</v>
      </c>
      <c r="P3552" s="0" t="s">
        <v>102</v>
      </c>
      <c r="Q3552" s="0" t="s">
        <v>102</v>
      </c>
      <c r="R3552" s="0" t="s">
        <v>144</v>
      </c>
      <c r="S3552" s="0" t="s">
        <v>21</v>
      </c>
      <c r="T3552" s="0" t="s">
        <v>104</v>
      </c>
      <c r="W3552" s="0" t="s">
        <v>105</v>
      </c>
    </row>
    <row r="3553" customFormat="false" ht="15" hidden="false" customHeight="false" outlineLevel="0" collapsed="false">
      <c r="A3553" s="0" t="s">
        <v>21</v>
      </c>
      <c r="B3553" s="0" t="s">
        <v>11315</v>
      </c>
      <c r="C3553" s="0" t="s">
        <v>97</v>
      </c>
      <c r="D3553" s="0" t="s">
        <v>11316</v>
      </c>
      <c r="E3553" s="0" t="s">
        <v>11317</v>
      </c>
      <c r="M3553" s="0" t="s">
        <v>136</v>
      </c>
      <c r="N3553" s="0" t="s">
        <v>124</v>
      </c>
      <c r="P3553" s="0" t="s">
        <v>102</v>
      </c>
      <c r="Q3553" s="0" t="s">
        <v>102</v>
      </c>
      <c r="R3553" s="0" t="s">
        <v>144</v>
      </c>
      <c r="S3553" s="0" t="s">
        <v>21</v>
      </c>
      <c r="T3553" s="0" t="s">
        <v>104</v>
      </c>
      <c r="W3553" s="0" t="s">
        <v>105</v>
      </c>
    </row>
    <row r="3554" customFormat="false" ht="15" hidden="false" customHeight="false" outlineLevel="0" collapsed="false">
      <c r="A3554" s="0" t="s">
        <v>21</v>
      </c>
      <c r="B3554" s="0" t="s">
        <v>11318</v>
      </c>
      <c r="C3554" s="0" t="s">
        <v>97</v>
      </c>
      <c r="D3554" s="0" t="s">
        <v>11319</v>
      </c>
      <c r="E3554" s="0" t="s">
        <v>11320</v>
      </c>
      <c r="M3554" s="0" t="s">
        <v>136</v>
      </c>
      <c r="N3554" s="0" t="s">
        <v>124</v>
      </c>
      <c r="P3554" s="0" t="s">
        <v>102</v>
      </c>
      <c r="Q3554" s="0" t="s">
        <v>102</v>
      </c>
      <c r="R3554" s="0" t="s">
        <v>144</v>
      </c>
      <c r="S3554" s="0" t="s">
        <v>21</v>
      </c>
      <c r="T3554" s="0" t="s">
        <v>104</v>
      </c>
      <c r="W3554" s="0" t="s">
        <v>105</v>
      </c>
    </row>
    <row r="3555" customFormat="false" ht="15" hidden="false" customHeight="false" outlineLevel="0" collapsed="false">
      <c r="A3555" s="0" t="s">
        <v>21</v>
      </c>
      <c r="B3555" s="0" t="s">
        <v>11321</v>
      </c>
      <c r="C3555" s="0" t="s">
        <v>97</v>
      </c>
      <c r="D3555" s="0" t="s">
        <v>11322</v>
      </c>
      <c r="E3555" s="0" t="s">
        <v>11323</v>
      </c>
      <c r="M3555" s="0" t="s">
        <v>136</v>
      </c>
      <c r="N3555" s="0" t="s">
        <v>124</v>
      </c>
      <c r="P3555" s="0" t="s">
        <v>102</v>
      </c>
      <c r="Q3555" s="0" t="s">
        <v>102</v>
      </c>
      <c r="R3555" s="0" t="s">
        <v>144</v>
      </c>
      <c r="S3555" s="0" t="s">
        <v>21</v>
      </c>
      <c r="T3555" s="0" t="s">
        <v>104</v>
      </c>
      <c r="W3555" s="0" t="s">
        <v>105</v>
      </c>
    </row>
    <row r="3556" customFormat="false" ht="15" hidden="false" customHeight="false" outlineLevel="0" collapsed="false">
      <c r="A3556" s="0" t="s">
        <v>21</v>
      </c>
      <c r="B3556" s="0" t="s">
        <v>11324</v>
      </c>
      <c r="C3556" s="0" t="s">
        <v>97</v>
      </c>
      <c r="D3556" s="0" t="s">
        <v>11325</v>
      </c>
      <c r="E3556" s="0" t="s">
        <v>11326</v>
      </c>
      <c r="M3556" s="0" t="s">
        <v>136</v>
      </c>
      <c r="N3556" s="0" t="s">
        <v>124</v>
      </c>
      <c r="P3556" s="0" t="s">
        <v>102</v>
      </c>
      <c r="Q3556" s="0" t="s">
        <v>102</v>
      </c>
      <c r="R3556" s="0" t="s">
        <v>144</v>
      </c>
      <c r="S3556" s="0" t="s">
        <v>21</v>
      </c>
      <c r="T3556" s="0" t="s">
        <v>104</v>
      </c>
      <c r="W3556" s="0" t="s">
        <v>105</v>
      </c>
    </row>
    <row r="3557" customFormat="false" ht="15" hidden="false" customHeight="false" outlineLevel="0" collapsed="false">
      <c r="A3557" s="0" t="s">
        <v>21</v>
      </c>
      <c r="B3557" s="0" t="s">
        <v>11327</v>
      </c>
      <c r="C3557" s="0" t="s">
        <v>97</v>
      </c>
      <c r="D3557" s="0" t="s">
        <v>11328</v>
      </c>
      <c r="E3557" s="0" t="s">
        <v>11329</v>
      </c>
      <c r="M3557" s="0" t="s">
        <v>136</v>
      </c>
      <c r="N3557" s="0" t="s">
        <v>124</v>
      </c>
      <c r="P3557" s="0" t="s">
        <v>102</v>
      </c>
      <c r="Q3557" s="0" t="s">
        <v>102</v>
      </c>
      <c r="R3557" s="0" t="s">
        <v>144</v>
      </c>
      <c r="S3557" s="0" t="s">
        <v>21</v>
      </c>
      <c r="T3557" s="0" t="s">
        <v>104</v>
      </c>
      <c r="W3557" s="0" t="s">
        <v>105</v>
      </c>
    </row>
    <row r="3558" customFormat="false" ht="15" hidden="false" customHeight="false" outlineLevel="0" collapsed="false">
      <c r="A3558" s="0" t="s">
        <v>21</v>
      </c>
      <c r="B3558" s="0" t="s">
        <v>11330</v>
      </c>
      <c r="C3558" s="0" t="s">
        <v>97</v>
      </c>
      <c r="D3558" s="0" t="s">
        <v>11331</v>
      </c>
      <c r="E3558" s="0" t="s">
        <v>11332</v>
      </c>
      <c r="M3558" s="0" t="s">
        <v>136</v>
      </c>
      <c r="N3558" s="0" t="s">
        <v>124</v>
      </c>
      <c r="P3558" s="0" t="s">
        <v>102</v>
      </c>
      <c r="Q3558" s="0" t="s">
        <v>102</v>
      </c>
      <c r="R3558" s="0" t="s">
        <v>144</v>
      </c>
      <c r="S3558" s="0" t="s">
        <v>21</v>
      </c>
      <c r="T3558" s="0" t="s">
        <v>104</v>
      </c>
      <c r="W3558" s="0" t="s">
        <v>105</v>
      </c>
    </row>
    <row r="3559" customFormat="false" ht="15" hidden="false" customHeight="false" outlineLevel="0" collapsed="false">
      <c r="A3559" s="0" t="s">
        <v>21</v>
      </c>
      <c r="B3559" s="0" t="s">
        <v>11333</v>
      </c>
      <c r="C3559" s="0" t="s">
        <v>97</v>
      </c>
      <c r="D3559" s="0" t="s">
        <v>11334</v>
      </c>
      <c r="E3559" s="0" t="s">
        <v>11335</v>
      </c>
      <c r="M3559" s="0" t="s">
        <v>136</v>
      </c>
      <c r="N3559" s="0" t="s">
        <v>124</v>
      </c>
      <c r="P3559" s="0" t="s">
        <v>102</v>
      </c>
      <c r="Q3559" s="0" t="s">
        <v>102</v>
      </c>
      <c r="R3559" s="0" t="s">
        <v>144</v>
      </c>
      <c r="S3559" s="0" t="s">
        <v>21</v>
      </c>
      <c r="T3559" s="0" t="s">
        <v>104</v>
      </c>
      <c r="W3559" s="0" t="s">
        <v>105</v>
      </c>
    </row>
    <row r="3560" customFormat="false" ht="15" hidden="false" customHeight="false" outlineLevel="0" collapsed="false">
      <c r="A3560" s="0" t="s">
        <v>21</v>
      </c>
      <c r="B3560" s="0" t="s">
        <v>11336</v>
      </c>
      <c r="C3560" s="0" t="s">
        <v>97</v>
      </c>
      <c r="D3560" s="0" t="s">
        <v>11337</v>
      </c>
      <c r="E3560" s="0" t="s">
        <v>11338</v>
      </c>
      <c r="M3560" s="0" t="s">
        <v>136</v>
      </c>
      <c r="N3560" s="0" t="s">
        <v>124</v>
      </c>
      <c r="P3560" s="0" t="s">
        <v>102</v>
      </c>
      <c r="Q3560" s="0" t="s">
        <v>102</v>
      </c>
      <c r="R3560" s="0" t="s">
        <v>144</v>
      </c>
      <c r="S3560" s="0" t="s">
        <v>21</v>
      </c>
      <c r="T3560" s="0" t="s">
        <v>104</v>
      </c>
      <c r="W3560" s="0" t="s">
        <v>105</v>
      </c>
    </row>
    <row r="3561" customFormat="false" ht="15" hidden="false" customHeight="false" outlineLevel="0" collapsed="false">
      <c r="A3561" s="0" t="s">
        <v>21</v>
      </c>
      <c r="B3561" s="0" t="s">
        <v>11339</v>
      </c>
      <c r="C3561" s="0" t="s">
        <v>97</v>
      </c>
      <c r="D3561" s="0" t="s">
        <v>11340</v>
      </c>
      <c r="E3561" s="0" t="s">
        <v>11341</v>
      </c>
      <c r="M3561" s="0" t="s">
        <v>136</v>
      </c>
      <c r="N3561" s="0" t="s">
        <v>124</v>
      </c>
      <c r="P3561" s="0" t="s">
        <v>102</v>
      </c>
      <c r="Q3561" s="0" t="s">
        <v>102</v>
      </c>
      <c r="R3561" s="0" t="s">
        <v>144</v>
      </c>
      <c r="S3561" s="0" t="s">
        <v>21</v>
      </c>
      <c r="T3561" s="0" t="s">
        <v>104</v>
      </c>
      <c r="W3561" s="0" t="s">
        <v>105</v>
      </c>
    </row>
    <row r="3562" customFormat="false" ht="15" hidden="false" customHeight="false" outlineLevel="0" collapsed="false">
      <c r="A3562" s="0" t="s">
        <v>21</v>
      </c>
      <c r="B3562" s="0" t="s">
        <v>11342</v>
      </c>
      <c r="C3562" s="0" t="s">
        <v>97</v>
      </c>
      <c r="D3562" s="0" t="s">
        <v>11343</v>
      </c>
      <c r="E3562" s="0" t="s">
        <v>11344</v>
      </c>
      <c r="M3562" s="0" t="s">
        <v>136</v>
      </c>
      <c r="N3562" s="0" t="s">
        <v>124</v>
      </c>
      <c r="P3562" s="0" t="s">
        <v>102</v>
      </c>
      <c r="Q3562" s="0" t="s">
        <v>102</v>
      </c>
      <c r="R3562" s="0" t="s">
        <v>144</v>
      </c>
      <c r="S3562" s="0" t="s">
        <v>21</v>
      </c>
      <c r="T3562" s="0" t="s">
        <v>104</v>
      </c>
      <c r="W3562" s="0" t="s">
        <v>105</v>
      </c>
    </row>
    <row r="3563" customFormat="false" ht="15" hidden="false" customHeight="false" outlineLevel="0" collapsed="false">
      <c r="A3563" s="0" t="s">
        <v>21</v>
      </c>
      <c r="B3563" s="0" t="s">
        <v>11345</v>
      </c>
      <c r="C3563" s="0" t="s">
        <v>97</v>
      </c>
      <c r="D3563" s="0" t="s">
        <v>11346</v>
      </c>
      <c r="E3563" s="0" t="s">
        <v>11346</v>
      </c>
      <c r="M3563" s="0" t="s">
        <v>136</v>
      </c>
      <c r="N3563" s="0" t="s">
        <v>124</v>
      </c>
      <c r="P3563" s="0" t="s">
        <v>102</v>
      </c>
      <c r="Q3563" s="0" t="s">
        <v>102</v>
      </c>
      <c r="R3563" s="0" t="s">
        <v>144</v>
      </c>
      <c r="S3563" s="0" t="s">
        <v>21</v>
      </c>
      <c r="T3563" s="0" t="s">
        <v>104</v>
      </c>
      <c r="W3563" s="0" t="s">
        <v>105</v>
      </c>
    </row>
    <row r="3564" customFormat="false" ht="15" hidden="false" customHeight="false" outlineLevel="0" collapsed="false">
      <c r="A3564" s="0" t="s">
        <v>21</v>
      </c>
      <c r="B3564" s="0" t="s">
        <v>11347</v>
      </c>
      <c r="C3564" s="0" t="s">
        <v>97</v>
      </c>
      <c r="D3564" s="0" t="s">
        <v>11348</v>
      </c>
      <c r="E3564" s="0" t="s">
        <v>11349</v>
      </c>
      <c r="M3564" s="0" t="s">
        <v>136</v>
      </c>
      <c r="N3564" s="0" t="s">
        <v>124</v>
      </c>
      <c r="P3564" s="0" t="s">
        <v>102</v>
      </c>
      <c r="Q3564" s="0" t="s">
        <v>102</v>
      </c>
      <c r="R3564" s="0" t="s">
        <v>144</v>
      </c>
      <c r="S3564" s="0" t="s">
        <v>21</v>
      </c>
      <c r="T3564" s="0" t="s">
        <v>104</v>
      </c>
      <c r="W3564" s="0" t="s">
        <v>105</v>
      </c>
    </row>
    <row r="3565" customFormat="false" ht="15" hidden="false" customHeight="false" outlineLevel="0" collapsed="false">
      <c r="A3565" s="0" t="s">
        <v>21</v>
      </c>
      <c r="B3565" s="0" t="s">
        <v>11350</v>
      </c>
      <c r="C3565" s="0" t="s">
        <v>97</v>
      </c>
      <c r="D3565" s="0" t="s">
        <v>11351</v>
      </c>
      <c r="E3565" s="0" t="s">
        <v>11352</v>
      </c>
      <c r="M3565" s="0" t="s">
        <v>136</v>
      </c>
      <c r="N3565" s="0" t="s">
        <v>124</v>
      </c>
      <c r="P3565" s="0" t="s">
        <v>102</v>
      </c>
      <c r="Q3565" s="0" t="s">
        <v>102</v>
      </c>
      <c r="R3565" s="0" t="s">
        <v>144</v>
      </c>
      <c r="S3565" s="0" t="s">
        <v>21</v>
      </c>
      <c r="T3565" s="0" t="s">
        <v>104</v>
      </c>
      <c r="W3565" s="0" t="s">
        <v>105</v>
      </c>
    </row>
    <row r="3566" customFormat="false" ht="15" hidden="false" customHeight="false" outlineLevel="0" collapsed="false">
      <c r="A3566" s="0" t="s">
        <v>21</v>
      </c>
      <c r="B3566" s="0" t="s">
        <v>11353</v>
      </c>
      <c r="C3566" s="0" t="s">
        <v>97</v>
      </c>
      <c r="D3566" s="0" t="s">
        <v>11354</v>
      </c>
      <c r="E3566" s="0" t="s">
        <v>11355</v>
      </c>
      <c r="M3566" s="0" t="s">
        <v>136</v>
      </c>
      <c r="N3566" s="0" t="s">
        <v>124</v>
      </c>
      <c r="P3566" s="0" t="s">
        <v>102</v>
      </c>
      <c r="Q3566" s="0" t="s">
        <v>102</v>
      </c>
      <c r="R3566" s="0" t="s">
        <v>144</v>
      </c>
      <c r="S3566" s="0" t="s">
        <v>21</v>
      </c>
      <c r="T3566" s="0" t="s">
        <v>104</v>
      </c>
      <c r="W3566" s="0" t="s">
        <v>105</v>
      </c>
    </row>
    <row r="3567" customFormat="false" ht="15" hidden="false" customHeight="false" outlineLevel="0" collapsed="false">
      <c r="A3567" s="0" t="s">
        <v>21</v>
      </c>
      <c r="B3567" s="0" t="s">
        <v>11356</v>
      </c>
      <c r="C3567" s="0" t="s">
        <v>97</v>
      </c>
      <c r="D3567" s="0" t="s">
        <v>11357</v>
      </c>
      <c r="E3567" s="0" t="s">
        <v>11358</v>
      </c>
      <c r="M3567" s="0" t="s">
        <v>136</v>
      </c>
      <c r="N3567" s="0" t="s">
        <v>124</v>
      </c>
      <c r="P3567" s="0" t="s">
        <v>102</v>
      </c>
      <c r="Q3567" s="0" t="s">
        <v>102</v>
      </c>
      <c r="R3567" s="0" t="s">
        <v>144</v>
      </c>
      <c r="S3567" s="0" t="s">
        <v>21</v>
      </c>
      <c r="T3567" s="0" t="s">
        <v>104</v>
      </c>
      <c r="W3567" s="0" t="s">
        <v>105</v>
      </c>
    </row>
    <row r="3568" customFormat="false" ht="15" hidden="false" customHeight="false" outlineLevel="0" collapsed="false">
      <c r="A3568" s="0" t="s">
        <v>21</v>
      </c>
      <c r="B3568" s="0" t="s">
        <v>11359</v>
      </c>
      <c r="C3568" s="0" t="s">
        <v>97</v>
      </c>
      <c r="D3568" s="0" t="s">
        <v>11360</v>
      </c>
      <c r="E3568" s="0" t="s">
        <v>11361</v>
      </c>
      <c r="M3568" s="0" t="s">
        <v>136</v>
      </c>
      <c r="N3568" s="0" t="s">
        <v>124</v>
      </c>
      <c r="P3568" s="0" t="s">
        <v>102</v>
      </c>
      <c r="Q3568" s="0" t="s">
        <v>102</v>
      </c>
      <c r="R3568" s="0" t="s">
        <v>144</v>
      </c>
      <c r="S3568" s="0" t="s">
        <v>21</v>
      </c>
      <c r="T3568" s="0" t="s">
        <v>104</v>
      </c>
      <c r="W3568" s="0" t="s">
        <v>105</v>
      </c>
    </row>
    <row r="3569" customFormat="false" ht="15" hidden="false" customHeight="false" outlineLevel="0" collapsed="false">
      <c r="A3569" s="0" t="s">
        <v>21</v>
      </c>
      <c r="B3569" s="0" t="s">
        <v>11362</v>
      </c>
      <c r="C3569" s="0" t="s">
        <v>97</v>
      </c>
      <c r="D3569" s="0" t="s">
        <v>11363</v>
      </c>
      <c r="E3569" s="0" t="s">
        <v>11364</v>
      </c>
      <c r="M3569" s="0" t="s">
        <v>136</v>
      </c>
      <c r="N3569" s="0" t="s">
        <v>124</v>
      </c>
      <c r="P3569" s="0" t="s">
        <v>102</v>
      </c>
      <c r="Q3569" s="0" t="s">
        <v>102</v>
      </c>
      <c r="R3569" s="0" t="s">
        <v>144</v>
      </c>
      <c r="S3569" s="0" t="s">
        <v>21</v>
      </c>
      <c r="T3569" s="0" t="s">
        <v>104</v>
      </c>
      <c r="W3569" s="0" t="s">
        <v>105</v>
      </c>
    </row>
    <row r="3570" customFormat="false" ht="15" hidden="false" customHeight="false" outlineLevel="0" collapsed="false">
      <c r="A3570" s="0" t="s">
        <v>21</v>
      </c>
      <c r="B3570" s="0" t="s">
        <v>11365</v>
      </c>
      <c r="C3570" s="0" t="s">
        <v>97</v>
      </c>
      <c r="D3570" s="0" t="s">
        <v>11366</v>
      </c>
      <c r="E3570" s="0" t="s">
        <v>11367</v>
      </c>
      <c r="M3570" s="0" t="s">
        <v>136</v>
      </c>
      <c r="N3570" s="0" t="s">
        <v>124</v>
      </c>
      <c r="P3570" s="0" t="s">
        <v>102</v>
      </c>
      <c r="Q3570" s="0" t="s">
        <v>102</v>
      </c>
      <c r="R3570" s="0" t="s">
        <v>144</v>
      </c>
      <c r="S3570" s="0" t="s">
        <v>21</v>
      </c>
      <c r="T3570" s="0" t="s">
        <v>104</v>
      </c>
      <c r="W3570" s="0" t="s">
        <v>105</v>
      </c>
    </row>
    <row r="3571" customFormat="false" ht="15" hidden="false" customHeight="false" outlineLevel="0" collapsed="false">
      <c r="A3571" s="0" t="s">
        <v>21</v>
      </c>
      <c r="B3571" s="0" t="s">
        <v>11368</v>
      </c>
      <c r="C3571" s="0" t="s">
        <v>97</v>
      </c>
      <c r="D3571" s="0" t="s">
        <v>11369</v>
      </c>
      <c r="E3571" s="0" t="s">
        <v>11369</v>
      </c>
      <c r="M3571" s="0" t="s">
        <v>136</v>
      </c>
      <c r="N3571" s="0" t="s">
        <v>124</v>
      </c>
      <c r="P3571" s="0" t="s">
        <v>102</v>
      </c>
      <c r="Q3571" s="0" t="s">
        <v>102</v>
      </c>
      <c r="R3571" s="0" t="s">
        <v>144</v>
      </c>
      <c r="S3571" s="0" t="s">
        <v>21</v>
      </c>
      <c r="T3571" s="0" t="s">
        <v>104</v>
      </c>
      <c r="W3571" s="0" t="s">
        <v>105</v>
      </c>
    </row>
    <row r="3572" customFormat="false" ht="15" hidden="false" customHeight="false" outlineLevel="0" collapsed="false">
      <c r="A3572" s="0" t="s">
        <v>21</v>
      </c>
      <c r="B3572" s="0" t="s">
        <v>11370</v>
      </c>
      <c r="C3572" s="0" t="s">
        <v>97</v>
      </c>
      <c r="D3572" s="0" t="s">
        <v>11371</v>
      </c>
      <c r="E3572" s="0" t="s">
        <v>11372</v>
      </c>
      <c r="M3572" s="0" t="s">
        <v>136</v>
      </c>
      <c r="N3572" s="0" t="s">
        <v>124</v>
      </c>
      <c r="P3572" s="0" t="s">
        <v>102</v>
      </c>
      <c r="Q3572" s="0" t="s">
        <v>102</v>
      </c>
      <c r="R3572" s="0" t="s">
        <v>144</v>
      </c>
      <c r="S3572" s="0" t="s">
        <v>21</v>
      </c>
      <c r="T3572" s="0" t="s">
        <v>104</v>
      </c>
      <c r="W3572" s="0" t="s">
        <v>105</v>
      </c>
    </row>
    <row r="3573" customFormat="false" ht="15" hidden="false" customHeight="false" outlineLevel="0" collapsed="false">
      <c r="A3573" s="0" t="s">
        <v>21</v>
      </c>
      <c r="B3573" s="0" t="s">
        <v>11373</v>
      </c>
      <c r="C3573" s="0" t="s">
        <v>97</v>
      </c>
      <c r="D3573" s="0" t="s">
        <v>11374</v>
      </c>
      <c r="E3573" s="0" t="s">
        <v>11375</v>
      </c>
      <c r="M3573" s="0" t="s">
        <v>136</v>
      </c>
      <c r="N3573" s="0" t="s">
        <v>124</v>
      </c>
      <c r="P3573" s="0" t="s">
        <v>102</v>
      </c>
      <c r="Q3573" s="0" t="s">
        <v>102</v>
      </c>
      <c r="R3573" s="0" t="s">
        <v>144</v>
      </c>
      <c r="S3573" s="0" t="s">
        <v>21</v>
      </c>
      <c r="T3573" s="0" t="s">
        <v>104</v>
      </c>
      <c r="W3573" s="0" t="s">
        <v>105</v>
      </c>
    </row>
    <row r="3574" customFormat="false" ht="15" hidden="false" customHeight="false" outlineLevel="0" collapsed="false">
      <c r="A3574" s="0" t="s">
        <v>21</v>
      </c>
      <c r="B3574" s="0" t="s">
        <v>11376</v>
      </c>
      <c r="C3574" s="0" t="s">
        <v>97</v>
      </c>
      <c r="D3574" s="0" t="s">
        <v>11377</v>
      </c>
      <c r="E3574" s="0" t="s">
        <v>11378</v>
      </c>
      <c r="M3574" s="0" t="s">
        <v>136</v>
      </c>
      <c r="N3574" s="0" t="s">
        <v>124</v>
      </c>
      <c r="P3574" s="0" t="s">
        <v>102</v>
      </c>
      <c r="Q3574" s="0" t="s">
        <v>102</v>
      </c>
      <c r="R3574" s="0" t="s">
        <v>144</v>
      </c>
      <c r="S3574" s="0" t="s">
        <v>21</v>
      </c>
      <c r="T3574" s="0" t="s">
        <v>104</v>
      </c>
      <c r="W3574" s="0" t="s">
        <v>105</v>
      </c>
    </row>
    <row r="3575" customFormat="false" ht="15" hidden="false" customHeight="false" outlineLevel="0" collapsed="false">
      <c r="A3575" s="0" t="s">
        <v>21</v>
      </c>
      <c r="B3575" s="0" t="s">
        <v>11379</v>
      </c>
      <c r="C3575" s="0" t="s">
        <v>97</v>
      </c>
      <c r="D3575" s="0" t="s">
        <v>11380</v>
      </c>
      <c r="E3575" s="0" t="s">
        <v>11381</v>
      </c>
      <c r="M3575" s="0" t="s">
        <v>136</v>
      </c>
      <c r="N3575" s="0" t="s">
        <v>124</v>
      </c>
      <c r="P3575" s="0" t="s">
        <v>102</v>
      </c>
      <c r="Q3575" s="0" t="s">
        <v>102</v>
      </c>
      <c r="R3575" s="0" t="s">
        <v>144</v>
      </c>
      <c r="S3575" s="0" t="s">
        <v>21</v>
      </c>
      <c r="T3575" s="0" t="s">
        <v>104</v>
      </c>
      <c r="W3575" s="0" t="s">
        <v>105</v>
      </c>
    </row>
    <row r="3576" customFormat="false" ht="15" hidden="false" customHeight="false" outlineLevel="0" collapsed="false">
      <c r="A3576" s="0" t="s">
        <v>21</v>
      </c>
      <c r="B3576" s="0" t="s">
        <v>11382</v>
      </c>
      <c r="C3576" s="0" t="s">
        <v>97</v>
      </c>
      <c r="D3576" s="0" t="s">
        <v>11383</v>
      </c>
      <c r="E3576" s="0" t="s">
        <v>11384</v>
      </c>
      <c r="M3576" s="0" t="s">
        <v>136</v>
      </c>
      <c r="N3576" s="0" t="s">
        <v>124</v>
      </c>
      <c r="P3576" s="0" t="s">
        <v>102</v>
      </c>
      <c r="Q3576" s="0" t="s">
        <v>102</v>
      </c>
      <c r="R3576" s="0" t="s">
        <v>144</v>
      </c>
      <c r="S3576" s="0" t="s">
        <v>21</v>
      </c>
      <c r="T3576" s="0" t="s">
        <v>104</v>
      </c>
      <c r="W3576" s="0" t="s">
        <v>105</v>
      </c>
    </row>
    <row r="3577" customFormat="false" ht="15" hidden="false" customHeight="false" outlineLevel="0" collapsed="false">
      <c r="A3577" s="0" t="s">
        <v>21</v>
      </c>
      <c r="B3577" s="0" t="s">
        <v>11385</v>
      </c>
      <c r="C3577" s="0" t="s">
        <v>97</v>
      </c>
      <c r="D3577" s="0" t="s">
        <v>11386</v>
      </c>
      <c r="E3577" s="0" t="s">
        <v>11387</v>
      </c>
      <c r="M3577" s="0" t="s">
        <v>136</v>
      </c>
      <c r="N3577" s="0" t="s">
        <v>124</v>
      </c>
      <c r="P3577" s="0" t="s">
        <v>102</v>
      </c>
      <c r="Q3577" s="0" t="s">
        <v>102</v>
      </c>
      <c r="R3577" s="0" t="s">
        <v>144</v>
      </c>
      <c r="S3577" s="0" t="s">
        <v>21</v>
      </c>
      <c r="T3577" s="0" t="s">
        <v>104</v>
      </c>
      <c r="W3577" s="0" t="s">
        <v>105</v>
      </c>
    </row>
    <row r="3578" customFormat="false" ht="15" hidden="false" customHeight="false" outlineLevel="0" collapsed="false">
      <c r="A3578" s="0" t="s">
        <v>21</v>
      </c>
      <c r="B3578" s="0" t="s">
        <v>11388</v>
      </c>
      <c r="C3578" s="0" t="s">
        <v>97</v>
      </c>
      <c r="D3578" s="0" t="s">
        <v>11386</v>
      </c>
      <c r="E3578" s="0" t="s">
        <v>11387</v>
      </c>
      <c r="M3578" s="0" t="s">
        <v>136</v>
      </c>
      <c r="N3578" s="0" t="s">
        <v>124</v>
      </c>
      <c r="P3578" s="0" t="s">
        <v>102</v>
      </c>
      <c r="Q3578" s="0" t="s">
        <v>102</v>
      </c>
      <c r="R3578" s="0" t="s">
        <v>144</v>
      </c>
      <c r="S3578" s="0" t="s">
        <v>21</v>
      </c>
      <c r="T3578" s="0" t="s">
        <v>104</v>
      </c>
      <c r="W3578" s="0" t="s">
        <v>105</v>
      </c>
    </row>
    <row r="3579" customFormat="false" ht="15" hidden="false" customHeight="false" outlineLevel="0" collapsed="false">
      <c r="A3579" s="0" t="s">
        <v>21</v>
      </c>
      <c r="B3579" s="0" t="s">
        <v>11389</v>
      </c>
      <c r="C3579" s="0" t="s">
        <v>97</v>
      </c>
      <c r="D3579" s="0" t="s">
        <v>11390</v>
      </c>
      <c r="E3579" s="0" t="s">
        <v>11391</v>
      </c>
      <c r="M3579" s="0" t="s">
        <v>136</v>
      </c>
      <c r="N3579" s="0" t="s">
        <v>124</v>
      </c>
      <c r="P3579" s="0" t="s">
        <v>102</v>
      </c>
      <c r="Q3579" s="0" t="s">
        <v>102</v>
      </c>
      <c r="R3579" s="0" t="s">
        <v>144</v>
      </c>
      <c r="S3579" s="0" t="s">
        <v>21</v>
      </c>
      <c r="T3579" s="0" t="s">
        <v>104</v>
      </c>
      <c r="W3579" s="0" t="s">
        <v>105</v>
      </c>
    </row>
    <row r="3580" customFormat="false" ht="15" hidden="false" customHeight="false" outlineLevel="0" collapsed="false">
      <c r="A3580" s="0" t="s">
        <v>21</v>
      </c>
      <c r="B3580" s="0" t="s">
        <v>11392</v>
      </c>
      <c r="C3580" s="0" t="s">
        <v>97</v>
      </c>
      <c r="D3580" s="0" t="s">
        <v>11393</v>
      </c>
      <c r="E3580" s="0" t="s">
        <v>11394</v>
      </c>
      <c r="M3580" s="0" t="s">
        <v>136</v>
      </c>
      <c r="N3580" s="0" t="s">
        <v>124</v>
      </c>
      <c r="P3580" s="0" t="s">
        <v>102</v>
      </c>
      <c r="Q3580" s="0" t="s">
        <v>102</v>
      </c>
      <c r="R3580" s="0" t="s">
        <v>144</v>
      </c>
      <c r="S3580" s="0" t="s">
        <v>21</v>
      </c>
      <c r="T3580" s="0" t="s">
        <v>104</v>
      </c>
      <c r="W3580" s="0" t="s">
        <v>105</v>
      </c>
    </row>
    <row r="3581" customFormat="false" ht="15" hidden="false" customHeight="false" outlineLevel="0" collapsed="false">
      <c r="A3581" s="0" t="s">
        <v>21</v>
      </c>
      <c r="B3581" s="0" t="s">
        <v>11395</v>
      </c>
      <c r="C3581" s="0" t="s">
        <v>97</v>
      </c>
      <c r="D3581" s="0" t="s">
        <v>11396</v>
      </c>
      <c r="E3581" s="0" t="s">
        <v>11397</v>
      </c>
      <c r="M3581" s="0" t="s">
        <v>136</v>
      </c>
      <c r="N3581" s="0" t="s">
        <v>124</v>
      </c>
      <c r="P3581" s="0" t="s">
        <v>102</v>
      </c>
      <c r="Q3581" s="0" t="s">
        <v>102</v>
      </c>
      <c r="R3581" s="0" t="s">
        <v>144</v>
      </c>
      <c r="S3581" s="0" t="s">
        <v>21</v>
      </c>
      <c r="T3581" s="0" t="s">
        <v>104</v>
      </c>
      <c r="W3581" s="0" t="s">
        <v>105</v>
      </c>
    </row>
    <row r="3582" customFormat="false" ht="15" hidden="false" customHeight="false" outlineLevel="0" collapsed="false">
      <c r="A3582" s="0" t="s">
        <v>21</v>
      </c>
      <c r="B3582" s="0" t="s">
        <v>11398</v>
      </c>
      <c r="C3582" s="0" t="s">
        <v>97</v>
      </c>
      <c r="D3582" s="0" t="s">
        <v>11399</v>
      </c>
      <c r="E3582" s="0" t="s">
        <v>11400</v>
      </c>
      <c r="M3582" s="0" t="s">
        <v>136</v>
      </c>
      <c r="N3582" s="0" t="s">
        <v>124</v>
      </c>
      <c r="P3582" s="0" t="s">
        <v>102</v>
      </c>
      <c r="Q3582" s="0" t="s">
        <v>102</v>
      </c>
      <c r="R3582" s="0" t="s">
        <v>144</v>
      </c>
      <c r="S3582" s="0" t="s">
        <v>21</v>
      </c>
      <c r="T3582" s="0" t="s">
        <v>104</v>
      </c>
      <c r="W3582" s="0" t="s">
        <v>105</v>
      </c>
    </row>
    <row r="3583" customFormat="false" ht="15" hidden="false" customHeight="false" outlineLevel="0" collapsed="false">
      <c r="A3583" s="0" t="s">
        <v>21</v>
      </c>
      <c r="B3583" s="0" t="s">
        <v>11401</v>
      </c>
      <c r="C3583" s="0" t="s">
        <v>97</v>
      </c>
      <c r="D3583" s="0" t="s">
        <v>11402</v>
      </c>
      <c r="E3583" s="0" t="s">
        <v>11403</v>
      </c>
      <c r="M3583" s="0" t="s">
        <v>136</v>
      </c>
      <c r="N3583" s="0" t="s">
        <v>124</v>
      </c>
      <c r="P3583" s="0" t="s">
        <v>102</v>
      </c>
      <c r="Q3583" s="0" t="s">
        <v>102</v>
      </c>
      <c r="R3583" s="0" t="s">
        <v>144</v>
      </c>
      <c r="S3583" s="0" t="s">
        <v>21</v>
      </c>
      <c r="T3583" s="0" t="s">
        <v>104</v>
      </c>
      <c r="W3583" s="0" t="s">
        <v>105</v>
      </c>
    </row>
    <row r="3584" customFormat="false" ht="15" hidden="false" customHeight="false" outlineLevel="0" collapsed="false">
      <c r="A3584" s="0" t="s">
        <v>21</v>
      </c>
      <c r="B3584" s="0" t="s">
        <v>11404</v>
      </c>
      <c r="C3584" s="0" t="s">
        <v>97</v>
      </c>
      <c r="D3584" s="0" t="s">
        <v>11405</v>
      </c>
      <c r="E3584" s="0" t="s">
        <v>11406</v>
      </c>
      <c r="M3584" s="0" t="s">
        <v>136</v>
      </c>
      <c r="N3584" s="0" t="s">
        <v>124</v>
      </c>
      <c r="P3584" s="0" t="s">
        <v>102</v>
      </c>
      <c r="Q3584" s="0" t="s">
        <v>102</v>
      </c>
      <c r="R3584" s="0" t="s">
        <v>144</v>
      </c>
      <c r="S3584" s="0" t="s">
        <v>21</v>
      </c>
      <c r="T3584" s="0" t="s">
        <v>104</v>
      </c>
      <c r="W3584" s="0" t="s">
        <v>105</v>
      </c>
    </row>
    <row r="3585" customFormat="false" ht="15" hidden="false" customHeight="false" outlineLevel="0" collapsed="false">
      <c r="A3585" s="0" t="s">
        <v>21</v>
      </c>
      <c r="B3585" s="0" t="s">
        <v>11407</v>
      </c>
      <c r="C3585" s="0" t="s">
        <v>97</v>
      </c>
      <c r="D3585" s="0" t="s">
        <v>11408</v>
      </c>
      <c r="E3585" s="0" t="s">
        <v>11409</v>
      </c>
      <c r="M3585" s="0" t="s">
        <v>136</v>
      </c>
      <c r="N3585" s="0" t="s">
        <v>124</v>
      </c>
      <c r="P3585" s="0" t="s">
        <v>102</v>
      </c>
      <c r="Q3585" s="0" t="s">
        <v>102</v>
      </c>
      <c r="R3585" s="0" t="s">
        <v>144</v>
      </c>
      <c r="S3585" s="0" t="s">
        <v>21</v>
      </c>
      <c r="T3585" s="0" t="s">
        <v>104</v>
      </c>
      <c r="W3585" s="0" t="s">
        <v>105</v>
      </c>
    </row>
    <row r="3586" customFormat="false" ht="15" hidden="false" customHeight="false" outlineLevel="0" collapsed="false">
      <c r="A3586" s="0" t="s">
        <v>21</v>
      </c>
      <c r="B3586" s="0" t="s">
        <v>11410</v>
      </c>
      <c r="C3586" s="0" t="s">
        <v>97</v>
      </c>
      <c r="D3586" s="0" t="s">
        <v>11411</v>
      </c>
      <c r="E3586" s="0" t="s">
        <v>11412</v>
      </c>
      <c r="M3586" s="0" t="s">
        <v>136</v>
      </c>
      <c r="N3586" s="0" t="s">
        <v>124</v>
      </c>
      <c r="P3586" s="0" t="s">
        <v>102</v>
      </c>
      <c r="Q3586" s="0" t="s">
        <v>102</v>
      </c>
      <c r="R3586" s="0" t="s">
        <v>144</v>
      </c>
      <c r="S3586" s="0" t="s">
        <v>21</v>
      </c>
      <c r="T3586" s="0" t="s">
        <v>104</v>
      </c>
      <c r="W3586" s="0" t="s">
        <v>105</v>
      </c>
    </row>
    <row r="3587" customFormat="false" ht="15" hidden="false" customHeight="false" outlineLevel="0" collapsed="false">
      <c r="A3587" s="0" t="s">
        <v>21</v>
      </c>
      <c r="B3587" s="0" t="s">
        <v>11413</v>
      </c>
      <c r="C3587" s="0" t="s">
        <v>97</v>
      </c>
      <c r="D3587" s="0" t="s">
        <v>11414</v>
      </c>
      <c r="E3587" s="0" t="s">
        <v>11414</v>
      </c>
      <c r="M3587" s="0" t="s">
        <v>136</v>
      </c>
      <c r="N3587" s="0" t="s">
        <v>124</v>
      </c>
      <c r="P3587" s="0" t="s">
        <v>102</v>
      </c>
      <c r="Q3587" s="0" t="s">
        <v>102</v>
      </c>
      <c r="R3587" s="0" t="s">
        <v>144</v>
      </c>
      <c r="S3587" s="0" t="s">
        <v>21</v>
      </c>
      <c r="T3587" s="0" t="s">
        <v>104</v>
      </c>
      <c r="W3587" s="0" t="s">
        <v>105</v>
      </c>
    </row>
    <row r="3588" customFormat="false" ht="15" hidden="false" customHeight="false" outlineLevel="0" collapsed="false">
      <c r="A3588" s="0" t="s">
        <v>21</v>
      </c>
      <c r="B3588" s="0" t="s">
        <v>11415</v>
      </c>
      <c r="C3588" s="0" t="s">
        <v>97</v>
      </c>
      <c r="D3588" s="0" t="s">
        <v>11416</v>
      </c>
      <c r="E3588" s="0" t="s">
        <v>11417</v>
      </c>
      <c r="M3588" s="0" t="s">
        <v>136</v>
      </c>
      <c r="N3588" s="0" t="s">
        <v>124</v>
      </c>
      <c r="P3588" s="0" t="s">
        <v>102</v>
      </c>
      <c r="Q3588" s="0" t="s">
        <v>102</v>
      </c>
      <c r="R3588" s="0" t="s">
        <v>144</v>
      </c>
      <c r="S3588" s="0" t="s">
        <v>21</v>
      </c>
      <c r="T3588" s="0" t="s">
        <v>104</v>
      </c>
      <c r="W3588" s="0" t="s">
        <v>105</v>
      </c>
    </row>
    <row r="3589" customFormat="false" ht="15" hidden="false" customHeight="false" outlineLevel="0" collapsed="false">
      <c r="A3589" s="0" t="s">
        <v>21</v>
      </c>
      <c r="B3589" s="0" t="s">
        <v>11418</v>
      </c>
      <c r="C3589" s="0" t="s">
        <v>97</v>
      </c>
      <c r="D3589" s="0" t="s">
        <v>11419</v>
      </c>
      <c r="E3589" s="0" t="s">
        <v>11420</v>
      </c>
      <c r="M3589" s="0" t="s">
        <v>136</v>
      </c>
      <c r="N3589" s="0" t="s">
        <v>124</v>
      </c>
      <c r="P3589" s="0" t="s">
        <v>102</v>
      </c>
      <c r="Q3589" s="0" t="s">
        <v>102</v>
      </c>
      <c r="R3589" s="0" t="s">
        <v>144</v>
      </c>
      <c r="S3589" s="0" t="s">
        <v>21</v>
      </c>
      <c r="T3589" s="0" t="s">
        <v>104</v>
      </c>
      <c r="W3589" s="0" t="s">
        <v>105</v>
      </c>
    </row>
    <row r="3590" customFormat="false" ht="15" hidden="false" customHeight="false" outlineLevel="0" collapsed="false">
      <c r="A3590" s="0" t="s">
        <v>21</v>
      </c>
      <c r="B3590" s="0" t="s">
        <v>11421</v>
      </c>
      <c r="C3590" s="0" t="s">
        <v>97</v>
      </c>
      <c r="D3590" s="0" t="s">
        <v>11422</v>
      </c>
      <c r="E3590" s="0" t="s">
        <v>11423</v>
      </c>
      <c r="M3590" s="0" t="s">
        <v>136</v>
      </c>
      <c r="N3590" s="0" t="s">
        <v>124</v>
      </c>
      <c r="P3590" s="0" t="s">
        <v>102</v>
      </c>
      <c r="Q3590" s="0" t="s">
        <v>102</v>
      </c>
      <c r="R3590" s="0" t="s">
        <v>144</v>
      </c>
      <c r="S3590" s="0" t="s">
        <v>21</v>
      </c>
      <c r="T3590" s="0" t="s">
        <v>104</v>
      </c>
      <c r="W3590" s="0" t="s">
        <v>105</v>
      </c>
    </row>
    <row r="3591" customFormat="false" ht="15" hidden="false" customHeight="false" outlineLevel="0" collapsed="false">
      <c r="A3591" s="0" t="s">
        <v>21</v>
      </c>
      <c r="B3591" s="0" t="s">
        <v>11424</v>
      </c>
      <c r="C3591" s="0" t="s">
        <v>97</v>
      </c>
      <c r="D3591" s="0" t="s">
        <v>11425</v>
      </c>
      <c r="E3591" s="0" t="s">
        <v>11426</v>
      </c>
      <c r="M3591" s="0" t="s">
        <v>136</v>
      </c>
      <c r="N3591" s="0" t="s">
        <v>124</v>
      </c>
      <c r="P3591" s="0" t="s">
        <v>102</v>
      </c>
      <c r="Q3591" s="0" t="s">
        <v>102</v>
      </c>
      <c r="R3591" s="0" t="s">
        <v>144</v>
      </c>
      <c r="S3591" s="0" t="s">
        <v>21</v>
      </c>
      <c r="T3591" s="0" t="s">
        <v>104</v>
      </c>
      <c r="W3591" s="0" t="s">
        <v>105</v>
      </c>
    </row>
    <row r="3592" customFormat="false" ht="15" hidden="false" customHeight="false" outlineLevel="0" collapsed="false">
      <c r="A3592" s="0" t="s">
        <v>21</v>
      </c>
      <c r="B3592" s="0" t="s">
        <v>11427</v>
      </c>
      <c r="C3592" s="0" t="s">
        <v>97</v>
      </c>
      <c r="D3592" s="0" t="s">
        <v>11428</v>
      </c>
      <c r="E3592" s="0" t="s">
        <v>11429</v>
      </c>
      <c r="M3592" s="0" t="s">
        <v>136</v>
      </c>
      <c r="N3592" s="0" t="s">
        <v>124</v>
      </c>
      <c r="P3592" s="0" t="s">
        <v>102</v>
      </c>
      <c r="Q3592" s="0" t="s">
        <v>102</v>
      </c>
      <c r="R3592" s="0" t="s">
        <v>144</v>
      </c>
      <c r="S3592" s="0" t="s">
        <v>21</v>
      </c>
      <c r="T3592" s="0" t="s">
        <v>104</v>
      </c>
      <c r="W3592" s="0" t="s">
        <v>105</v>
      </c>
    </row>
    <row r="3593" customFormat="false" ht="15" hidden="false" customHeight="false" outlineLevel="0" collapsed="false">
      <c r="A3593" s="0" t="s">
        <v>21</v>
      </c>
      <c r="B3593" s="0" t="s">
        <v>11430</v>
      </c>
      <c r="C3593" s="0" t="s">
        <v>97</v>
      </c>
      <c r="D3593" s="0" t="s">
        <v>11431</v>
      </c>
      <c r="E3593" s="0" t="s">
        <v>11432</v>
      </c>
      <c r="M3593" s="0" t="s">
        <v>136</v>
      </c>
      <c r="N3593" s="0" t="s">
        <v>124</v>
      </c>
      <c r="P3593" s="0" t="s">
        <v>102</v>
      </c>
      <c r="Q3593" s="0" t="s">
        <v>102</v>
      </c>
      <c r="R3593" s="0" t="s">
        <v>144</v>
      </c>
      <c r="S3593" s="0" t="s">
        <v>21</v>
      </c>
      <c r="T3593" s="0" t="s">
        <v>104</v>
      </c>
      <c r="W3593" s="0" t="s">
        <v>105</v>
      </c>
    </row>
    <row r="3594" customFormat="false" ht="15" hidden="false" customHeight="false" outlineLevel="0" collapsed="false">
      <c r="A3594" s="0" t="s">
        <v>21</v>
      </c>
      <c r="B3594" s="0" t="s">
        <v>11433</v>
      </c>
      <c r="C3594" s="0" t="s">
        <v>97</v>
      </c>
      <c r="D3594" s="0" t="s">
        <v>11434</v>
      </c>
      <c r="E3594" s="0" t="s">
        <v>11435</v>
      </c>
      <c r="M3594" s="0" t="s">
        <v>136</v>
      </c>
      <c r="N3594" s="0" t="s">
        <v>124</v>
      </c>
      <c r="P3594" s="0" t="s">
        <v>102</v>
      </c>
      <c r="Q3594" s="0" t="s">
        <v>102</v>
      </c>
      <c r="R3594" s="0" t="s">
        <v>144</v>
      </c>
      <c r="S3594" s="0" t="s">
        <v>21</v>
      </c>
      <c r="T3594" s="0" t="s">
        <v>104</v>
      </c>
      <c r="W3594" s="0" t="s">
        <v>105</v>
      </c>
    </row>
    <row r="3595" customFormat="false" ht="15" hidden="false" customHeight="false" outlineLevel="0" collapsed="false">
      <c r="A3595" s="0" t="s">
        <v>21</v>
      </c>
      <c r="B3595" s="0" t="s">
        <v>11436</v>
      </c>
      <c r="C3595" s="0" t="s">
        <v>97</v>
      </c>
      <c r="D3595" s="0" t="s">
        <v>11437</v>
      </c>
      <c r="E3595" s="0" t="s">
        <v>11438</v>
      </c>
      <c r="M3595" s="0" t="s">
        <v>136</v>
      </c>
      <c r="N3595" s="0" t="s">
        <v>124</v>
      </c>
      <c r="P3595" s="0" t="s">
        <v>102</v>
      </c>
      <c r="Q3595" s="0" t="s">
        <v>102</v>
      </c>
      <c r="R3595" s="0" t="s">
        <v>144</v>
      </c>
      <c r="S3595" s="0" t="s">
        <v>21</v>
      </c>
      <c r="T3595" s="0" t="s">
        <v>104</v>
      </c>
      <c r="W3595" s="0" t="s">
        <v>105</v>
      </c>
    </row>
    <row r="3596" customFormat="false" ht="15" hidden="false" customHeight="false" outlineLevel="0" collapsed="false">
      <c r="A3596" s="0" t="s">
        <v>21</v>
      </c>
      <c r="B3596" s="0" t="s">
        <v>11439</v>
      </c>
      <c r="C3596" s="0" t="s">
        <v>97</v>
      </c>
      <c r="D3596" s="0" t="s">
        <v>11440</v>
      </c>
      <c r="E3596" s="0" t="s">
        <v>11441</v>
      </c>
      <c r="M3596" s="0" t="s">
        <v>136</v>
      </c>
      <c r="N3596" s="0" t="s">
        <v>124</v>
      </c>
      <c r="P3596" s="0" t="s">
        <v>102</v>
      </c>
      <c r="Q3596" s="0" t="s">
        <v>102</v>
      </c>
      <c r="R3596" s="0" t="s">
        <v>144</v>
      </c>
      <c r="S3596" s="0" t="s">
        <v>21</v>
      </c>
      <c r="T3596" s="0" t="s">
        <v>104</v>
      </c>
      <c r="W3596" s="0" t="s">
        <v>105</v>
      </c>
    </row>
    <row r="3597" customFormat="false" ht="15" hidden="false" customHeight="false" outlineLevel="0" collapsed="false">
      <c r="A3597" s="0" t="s">
        <v>21</v>
      </c>
      <c r="B3597" s="0" t="s">
        <v>11442</v>
      </c>
      <c r="C3597" s="0" t="s">
        <v>97</v>
      </c>
      <c r="D3597" s="0" t="s">
        <v>11443</v>
      </c>
      <c r="E3597" s="0" t="s">
        <v>11444</v>
      </c>
      <c r="M3597" s="0" t="s">
        <v>136</v>
      </c>
      <c r="N3597" s="0" t="s">
        <v>124</v>
      </c>
      <c r="P3597" s="0" t="s">
        <v>102</v>
      </c>
      <c r="Q3597" s="0" t="s">
        <v>102</v>
      </c>
      <c r="R3597" s="0" t="s">
        <v>144</v>
      </c>
      <c r="S3597" s="0" t="s">
        <v>21</v>
      </c>
      <c r="T3597" s="0" t="s">
        <v>104</v>
      </c>
      <c r="W3597" s="0" t="s">
        <v>105</v>
      </c>
    </row>
    <row r="3598" customFormat="false" ht="15" hidden="false" customHeight="false" outlineLevel="0" collapsed="false">
      <c r="A3598" s="0" t="s">
        <v>21</v>
      </c>
      <c r="B3598" s="0" t="s">
        <v>11445</v>
      </c>
      <c r="C3598" s="0" t="s">
        <v>97</v>
      </c>
      <c r="D3598" s="0" t="s">
        <v>11446</v>
      </c>
      <c r="E3598" s="0" t="s">
        <v>11447</v>
      </c>
      <c r="M3598" s="0" t="s">
        <v>136</v>
      </c>
      <c r="N3598" s="0" t="s">
        <v>124</v>
      </c>
      <c r="P3598" s="0" t="s">
        <v>102</v>
      </c>
      <c r="Q3598" s="0" t="s">
        <v>102</v>
      </c>
      <c r="R3598" s="0" t="s">
        <v>144</v>
      </c>
      <c r="S3598" s="0" t="s">
        <v>21</v>
      </c>
      <c r="T3598" s="0" t="s">
        <v>104</v>
      </c>
      <c r="W3598" s="0" t="s">
        <v>105</v>
      </c>
    </row>
    <row r="3599" customFormat="false" ht="15" hidden="false" customHeight="false" outlineLevel="0" collapsed="false">
      <c r="A3599" s="0" t="s">
        <v>21</v>
      </c>
      <c r="B3599" s="0" t="s">
        <v>11448</v>
      </c>
      <c r="C3599" s="0" t="s">
        <v>97</v>
      </c>
      <c r="D3599" s="0" t="s">
        <v>11449</v>
      </c>
      <c r="E3599" s="0" t="s">
        <v>11450</v>
      </c>
      <c r="M3599" s="0" t="s">
        <v>136</v>
      </c>
      <c r="N3599" s="0" t="s">
        <v>124</v>
      </c>
      <c r="P3599" s="0" t="s">
        <v>102</v>
      </c>
      <c r="Q3599" s="0" t="s">
        <v>102</v>
      </c>
      <c r="R3599" s="0" t="s">
        <v>144</v>
      </c>
      <c r="S3599" s="0" t="s">
        <v>21</v>
      </c>
      <c r="T3599" s="0" t="s">
        <v>104</v>
      </c>
      <c r="W3599" s="0" t="s">
        <v>105</v>
      </c>
    </row>
    <row r="3600" customFormat="false" ht="15" hidden="false" customHeight="false" outlineLevel="0" collapsed="false">
      <c r="A3600" s="0" t="s">
        <v>21</v>
      </c>
      <c r="B3600" s="0" t="s">
        <v>11451</v>
      </c>
      <c r="C3600" s="0" t="s">
        <v>97</v>
      </c>
      <c r="D3600" s="0" t="s">
        <v>11452</v>
      </c>
      <c r="E3600" s="0" t="s">
        <v>11453</v>
      </c>
      <c r="M3600" s="0" t="s">
        <v>136</v>
      </c>
      <c r="N3600" s="0" t="s">
        <v>124</v>
      </c>
      <c r="P3600" s="0" t="s">
        <v>102</v>
      </c>
      <c r="Q3600" s="0" t="s">
        <v>102</v>
      </c>
      <c r="R3600" s="0" t="s">
        <v>144</v>
      </c>
      <c r="S3600" s="0" t="s">
        <v>21</v>
      </c>
      <c r="T3600" s="0" t="s">
        <v>104</v>
      </c>
      <c r="W3600" s="0" t="s">
        <v>105</v>
      </c>
    </row>
    <row r="3601" customFormat="false" ht="15" hidden="false" customHeight="false" outlineLevel="0" collapsed="false">
      <c r="A3601" s="0" t="s">
        <v>21</v>
      </c>
      <c r="B3601" s="0" t="s">
        <v>11454</v>
      </c>
      <c r="C3601" s="0" t="s">
        <v>97</v>
      </c>
      <c r="D3601" s="0" t="s">
        <v>11455</v>
      </c>
      <c r="E3601" s="0" t="s">
        <v>11456</v>
      </c>
      <c r="M3601" s="0" t="s">
        <v>136</v>
      </c>
      <c r="N3601" s="0" t="s">
        <v>124</v>
      </c>
      <c r="P3601" s="0" t="s">
        <v>102</v>
      </c>
      <c r="Q3601" s="0" t="s">
        <v>102</v>
      </c>
      <c r="R3601" s="0" t="s">
        <v>144</v>
      </c>
      <c r="S3601" s="0" t="s">
        <v>21</v>
      </c>
      <c r="T3601" s="0" t="s">
        <v>104</v>
      </c>
      <c r="W3601" s="0" t="s">
        <v>105</v>
      </c>
    </row>
    <row r="3602" customFormat="false" ht="15" hidden="false" customHeight="false" outlineLevel="0" collapsed="false">
      <c r="A3602" s="0" t="s">
        <v>21</v>
      </c>
      <c r="B3602" s="0" t="s">
        <v>11457</v>
      </c>
      <c r="C3602" s="0" t="s">
        <v>97</v>
      </c>
      <c r="D3602" s="0" t="s">
        <v>11458</v>
      </c>
      <c r="E3602" s="0" t="s">
        <v>11459</v>
      </c>
      <c r="M3602" s="0" t="s">
        <v>136</v>
      </c>
      <c r="N3602" s="0" t="s">
        <v>124</v>
      </c>
      <c r="P3602" s="0" t="s">
        <v>102</v>
      </c>
      <c r="Q3602" s="0" t="s">
        <v>102</v>
      </c>
      <c r="R3602" s="0" t="s">
        <v>144</v>
      </c>
      <c r="S3602" s="0" t="s">
        <v>21</v>
      </c>
      <c r="T3602" s="0" t="s">
        <v>104</v>
      </c>
      <c r="W3602" s="0" t="s">
        <v>105</v>
      </c>
    </row>
    <row r="3603" customFormat="false" ht="15" hidden="false" customHeight="false" outlineLevel="0" collapsed="false">
      <c r="A3603" s="0" t="s">
        <v>21</v>
      </c>
      <c r="B3603" s="0" t="s">
        <v>11460</v>
      </c>
      <c r="C3603" s="0" t="s">
        <v>97</v>
      </c>
      <c r="D3603" s="0" t="s">
        <v>11461</v>
      </c>
      <c r="E3603" s="0" t="s">
        <v>11462</v>
      </c>
      <c r="M3603" s="0" t="s">
        <v>136</v>
      </c>
      <c r="N3603" s="0" t="s">
        <v>124</v>
      </c>
      <c r="P3603" s="0" t="s">
        <v>102</v>
      </c>
      <c r="Q3603" s="0" t="s">
        <v>102</v>
      </c>
      <c r="R3603" s="0" t="s">
        <v>144</v>
      </c>
      <c r="S3603" s="0" t="s">
        <v>21</v>
      </c>
      <c r="T3603" s="0" t="s">
        <v>104</v>
      </c>
      <c r="W3603" s="0" t="s">
        <v>105</v>
      </c>
    </row>
    <row r="3604" customFormat="false" ht="15" hidden="false" customHeight="false" outlineLevel="0" collapsed="false">
      <c r="A3604" s="0" t="s">
        <v>21</v>
      </c>
      <c r="B3604" s="0" t="s">
        <v>11463</v>
      </c>
      <c r="C3604" s="0" t="s">
        <v>97</v>
      </c>
      <c r="D3604" s="0" t="s">
        <v>11464</v>
      </c>
      <c r="E3604" s="0" t="s">
        <v>11465</v>
      </c>
      <c r="M3604" s="0" t="s">
        <v>136</v>
      </c>
      <c r="N3604" s="0" t="s">
        <v>124</v>
      </c>
      <c r="P3604" s="0" t="s">
        <v>102</v>
      </c>
      <c r="Q3604" s="0" t="s">
        <v>102</v>
      </c>
      <c r="R3604" s="0" t="s">
        <v>144</v>
      </c>
      <c r="S3604" s="0" t="s">
        <v>21</v>
      </c>
      <c r="T3604" s="0" t="s">
        <v>104</v>
      </c>
      <c r="W3604" s="0" t="s">
        <v>105</v>
      </c>
    </row>
    <row r="3605" customFormat="false" ht="15" hidden="false" customHeight="false" outlineLevel="0" collapsed="false">
      <c r="A3605" s="0" t="s">
        <v>21</v>
      </c>
      <c r="B3605" s="0" t="s">
        <v>11466</v>
      </c>
      <c r="C3605" s="0" t="s">
        <v>97</v>
      </c>
      <c r="D3605" s="0" t="s">
        <v>11467</v>
      </c>
      <c r="E3605" s="0" t="s">
        <v>11468</v>
      </c>
      <c r="M3605" s="0" t="s">
        <v>136</v>
      </c>
      <c r="N3605" s="0" t="s">
        <v>124</v>
      </c>
      <c r="P3605" s="0" t="s">
        <v>102</v>
      </c>
      <c r="Q3605" s="0" t="s">
        <v>102</v>
      </c>
      <c r="R3605" s="0" t="s">
        <v>144</v>
      </c>
      <c r="S3605" s="0" t="s">
        <v>21</v>
      </c>
      <c r="T3605" s="0" t="s">
        <v>104</v>
      </c>
      <c r="W3605" s="0" t="s">
        <v>105</v>
      </c>
    </row>
    <row r="3606" customFormat="false" ht="15" hidden="false" customHeight="false" outlineLevel="0" collapsed="false">
      <c r="A3606" s="0" t="s">
        <v>21</v>
      </c>
      <c r="B3606" s="0" t="s">
        <v>11469</v>
      </c>
      <c r="C3606" s="0" t="s">
        <v>97</v>
      </c>
      <c r="D3606" s="0" t="s">
        <v>11470</v>
      </c>
      <c r="E3606" s="0" t="s">
        <v>11471</v>
      </c>
      <c r="M3606" s="0" t="s">
        <v>136</v>
      </c>
      <c r="N3606" s="0" t="s">
        <v>124</v>
      </c>
      <c r="P3606" s="0" t="s">
        <v>102</v>
      </c>
      <c r="Q3606" s="0" t="s">
        <v>102</v>
      </c>
      <c r="R3606" s="0" t="s">
        <v>144</v>
      </c>
      <c r="S3606" s="0" t="s">
        <v>21</v>
      </c>
      <c r="T3606" s="0" t="s">
        <v>104</v>
      </c>
      <c r="W3606" s="0" t="s">
        <v>105</v>
      </c>
    </row>
    <row r="3607" customFormat="false" ht="15" hidden="false" customHeight="false" outlineLevel="0" collapsed="false">
      <c r="A3607" s="0" t="s">
        <v>21</v>
      </c>
      <c r="B3607" s="0" t="s">
        <v>11472</v>
      </c>
      <c r="C3607" s="0" t="s">
        <v>97</v>
      </c>
      <c r="D3607" s="0" t="s">
        <v>11473</v>
      </c>
      <c r="E3607" s="0" t="s">
        <v>11474</v>
      </c>
      <c r="M3607" s="0" t="s">
        <v>136</v>
      </c>
      <c r="N3607" s="0" t="s">
        <v>124</v>
      </c>
      <c r="P3607" s="0" t="s">
        <v>102</v>
      </c>
      <c r="Q3607" s="0" t="s">
        <v>102</v>
      </c>
      <c r="R3607" s="0" t="s">
        <v>144</v>
      </c>
      <c r="S3607" s="0" t="s">
        <v>21</v>
      </c>
      <c r="T3607" s="0" t="s">
        <v>104</v>
      </c>
      <c r="W3607" s="0" t="s">
        <v>105</v>
      </c>
    </row>
    <row r="3608" customFormat="false" ht="15" hidden="false" customHeight="false" outlineLevel="0" collapsed="false">
      <c r="A3608" s="0" t="s">
        <v>21</v>
      </c>
      <c r="B3608" s="0" t="s">
        <v>11475</v>
      </c>
      <c r="C3608" s="0" t="s">
        <v>97</v>
      </c>
      <c r="D3608" s="0" t="s">
        <v>11476</v>
      </c>
      <c r="E3608" s="0" t="s">
        <v>11477</v>
      </c>
      <c r="M3608" s="0" t="s">
        <v>136</v>
      </c>
      <c r="N3608" s="0" t="s">
        <v>124</v>
      </c>
      <c r="P3608" s="0" t="s">
        <v>102</v>
      </c>
      <c r="Q3608" s="0" t="s">
        <v>102</v>
      </c>
      <c r="R3608" s="0" t="s">
        <v>144</v>
      </c>
      <c r="S3608" s="0" t="s">
        <v>21</v>
      </c>
      <c r="T3608" s="0" t="s">
        <v>104</v>
      </c>
      <c r="W3608" s="0" t="s">
        <v>105</v>
      </c>
    </row>
    <row r="3609" customFormat="false" ht="15" hidden="false" customHeight="false" outlineLevel="0" collapsed="false">
      <c r="A3609" s="0" t="s">
        <v>21</v>
      </c>
      <c r="B3609" s="0" t="s">
        <v>11478</v>
      </c>
      <c r="C3609" s="0" t="s">
        <v>97</v>
      </c>
      <c r="D3609" s="0" t="s">
        <v>11479</v>
      </c>
      <c r="E3609" s="0" t="s">
        <v>11480</v>
      </c>
      <c r="M3609" s="0" t="s">
        <v>136</v>
      </c>
      <c r="N3609" s="0" t="s">
        <v>124</v>
      </c>
      <c r="P3609" s="0" t="s">
        <v>102</v>
      </c>
      <c r="Q3609" s="0" t="s">
        <v>102</v>
      </c>
      <c r="R3609" s="0" t="s">
        <v>144</v>
      </c>
      <c r="S3609" s="0" t="s">
        <v>21</v>
      </c>
      <c r="T3609" s="0" t="s">
        <v>104</v>
      </c>
      <c r="W3609" s="0" t="s">
        <v>105</v>
      </c>
    </row>
    <row r="3610" customFormat="false" ht="15" hidden="false" customHeight="false" outlineLevel="0" collapsed="false">
      <c r="A3610" s="0" t="s">
        <v>21</v>
      </c>
      <c r="B3610" s="0" t="s">
        <v>11481</v>
      </c>
      <c r="C3610" s="0" t="s">
        <v>97</v>
      </c>
      <c r="D3610" s="0" t="s">
        <v>11482</v>
      </c>
      <c r="E3610" s="0" t="s">
        <v>11483</v>
      </c>
      <c r="M3610" s="0" t="s">
        <v>136</v>
      </c>
      <c r="N3610" s="0" t="s">
        <v>124</v>
      </c>
      <c r="P3610" s="0" t="s">
        <v>102</v>
      </c>
      <c r="Q3610" s="0" t="s">
        <v>102</v>
      </c>
      <c r="R3610" s="0" t="s">
        <v>144</v>
      </c>
      <c r="S3610" s="0" t="s">
        <v>21</v>
      </c>
      <c r="T3610" s="0" t="s">
        <v>104</v>
      </c>
      <c r="W3610" s="0" t="s">
        <v>105</v>
      </c>
    </row>
    <row r="3611" customFormat="false" ht="15" hidden="false" customHeight="false" outlineLevel="0" collapsed="false">
      <c r="A3611" s="0" t="s">
        <v>21</v>
      </c>
      <c r="B3611" s="0" t="s">
        <v>11484</v>
      </c>
      <c r="C3611" s="0" t="s">
        <v>97</v>
      </c>
      <c r="D3611" s="0" t="s">
        <v>11485</v>
      </c>
      <c r="E3611" s="0" t="s">
        <v>11486</v>
      </c>
      <c r="M3611" s="0" t="s">
        <v>136</v>
      </c>
      <c r="N3611" s="0" t="s">
        <v>124</v>
      </c>
      <c r="P3611" s="0" t="s">
        <v>102</v>
      </c>
      <c r="Q3611" s="0" t="s">
        <v>102</v>
      </c>
      <c r="R3611" s="0" t="s">
        <v>144</v>
      </c>
      <c r="S3611" s="0" t="s">
        <v>21</v>
      </c>
      <c r="T3611" s="0" t="s">
        <v>104</v>
      </c>
      <c r="W3611" s="0" t="s">
        <v>105</v>
      </c>
    </row>
    <row r="3612" customFormat="false" ht="15" hidden="false" customHeight="false" outlineLevel="0" collapsed="false">
      <c r="A3612" s="0" t="s">
        <v>21</v>
      </c>
      <c r="B3612" s="0" t="s">
        <v>11487</v>
      </c>
      <c r="C3612" s="0" t="s">
        <v>97</v>
      </c>
      <c r="D3612" s="0" t="s">
        <v>11488</v>
      </c>
      <c r="E3612" s="0" t="s">
        <v>11489</v>
      </c>
      <c r="M3612" s="0" t="s">
        <v>136</v>
      </c>
      <c r="N3612" s="0" t="s">
        <v>124</v>
      </c>
      <c r="P3612" s="0" t="s">
        <v>102</v>
      </c>
      <c r="Q3612" s="0" t="s">
        <v>102</v>
      </c>
      <c r="R3612" s="0" t="s">
        <v>144</v>
      </c>
      <c r="S3612" s="0" t="s">
        <v>21</v>
      </c>
      <c r="T3612" s="0" t="s">
        <v>104</v>
      </c>
      <c r="W3612" s="0" t="s">
        <v>105</v>
      </c>
    </row>
    <row r="3613" customFormat="false" ht="15" hidden="false" customHeight="false" outlineLevel="0" collapsed="false">
      <c r="A3613" s="0" t="s">
        <v>21</v>
      </c>
      <c r="B3613" s="0" t="s">
        <v>11490</v>
      </c>
      <c r="C3613" s="0" t="s">
        <v>97</v>
      </c>
      <c r="D3613" s="0" t="s">
        <v>11491</v>
      </c>
      <c r="E3613" s="0" t="s">
        <v>11492</v>
      </c>
      <c r="M3613" s="0" t="s">
        <v>136</v>
      </c>
      <c r="N3613" s="0" t="s">
        <v>124</v>
      </c>
      <c r="P3613" s="0" t="s">
        <v>102</v>
      </c>
      <c r="Q3613" s="0" t="s">
        <v>102</v>
      </c>
      <c r="R3613" s="0" t="s">
        <v>144</v>
      </c>
      <c r="S3613" s="0" t="s">
        <v>21</v>
      </c>
      <c r="T3613" s="0" t="s">
        <v>104</v>
      </c>
      <c r="W3613" s="0" t="s">
        <v>105</v>
      </c>
    </row>
    <row r="3614" customFormat="false" ht="15" hidden="false" customHeight="false" outlineLevel="0" collapsed="false">
      <c r="A3614" s="0" t="s">
        <v>21</v>
      </c>
      <c r="B3614" s="0" t="s">
        <v>11493</v>
      </c>
      <c r="C3614" s="0" t="s">
        <v>97</v>
      </c>
      <c r="D3614" s="0" t="s">
        <v>11494</v>
      </c>
      <c r="E3614" s="0" t="s">
        <v>11495</v>
      </c>
      <c r="M3614" s="0" t="s">
        <v>136</v>
      </c>
      <c r="N3614" s="0" t="s">
        <v>124</v>
      </c>
      <c r="P3614" s="0" t="s">
        <v>102</v>
      </c>
      <c r="Q3614" s="0" t="s">
        <v>102</v>
      </c>
      <c r="R3614" s="0" t="s">
        <v>144</v>
      </c>
      <c r="S3614" s="0" t="s">
        <v>21</v>
      </c>
      <c r="T3614" s="0" t="s">
        <v>104</v>
      </c>
      <c r="W3614" s="0" t="s">
        <v>105</v>
      </c>
    </row>
    <row r="3615" customFormat="false" ht="15" hidden="false" customHeight="false" outlineLevel="0" collapsed="false">
      <c r="A3615" s="0" t="s">
        <v>21</v>
      </c>
      <c r="B3615" s="0" t="s">
        <v>11496</v>
      </c>
      <c r="C3615" s="0" t="s">
        <v>97</v>
      </c>
      <c r="D3615" s="0" t="s">
        <v>11497</v>
      </c>
      <c r="E3615" s="0" t="s">
        <v>11497</v>
      </c>
      <c r="M3615" s="0" t="s">
        <v>136</v>
      </c>
      <c r="N3615" s="0" t="s">
        <v>124</v>
      </c>
      <c r="P3615" s="0" t="s">
        <v>102</v>
      </c>
      <c r="Q3615" s="0" t="s">
        <v>102</v>
      </c>
      <c r="R3615" s="0" t="s">
        <v>144</v>
      </c>
      <c r="S3615" s="0" t="s">
        <v>21</v>
      </c>
      <c r="T3615" s="0" t="s">
        <v>104</v>
      </c>
      <c r="W3615" s="0" t="s">
        <v>105</v>
      </c>
    </row>
    <row r="3616" customFormat="false" ht="15" hidden="false" customHeight="false" outlineLevel="0" collapsed="false">
      <c r="A3616" s="0" t="s">
        <v>21</v>
      </c>
      <c r="B3616" s="0" t="s">
        <v>11498</v>
      </c>
      <c r="C3616" s="0" t="s">
        <v>97</v>
      </c>
      <c r="D3616" s="0" t="s">
        <v>11499</v>
      </c>
      <c r="E3616" s="0" t="s">
        <v>11499</v>
      </c>
      <c r="M3616" s="0" t="s">
        <v>136</v>
      </c>
      <c r="N3616" s="0" t="s">
        <v>124</v>
      </c>
      <c r="P3616" s="0" t="s">
        <v>102</v>
      </c>
      <c r="Q3616" s="0" t="s">
        <v>102</v>
      </c>
      <c r="R3616" s="0" t="s">
        <v>144</v>
      </c>
      <c r="S3616" s="0" t="s">
        <v>21</v>
      </c>
      <c r="T3616" s="0" t="s">
        <v>104</v>
      </c>
      <c r="W3616" s="0" t="s">
        <v>105</v>
      </c>
    </row>
    <row r="3617" customFormat="false" ht="15" hidden="false" customHeight="false" outlineLevel="0" collapsed="false">
      <c r="A3617" s="0" t="s">
        <v>21</v>
      </c>
      <c r="B3617" s="0" t="s">
        <v>11500</v>
      </c>
      <c r="C3617" s="0" t="s">
        <v>97</v>
      </c>
      <c r="D3617" s="0" t="s">
        <v>11501</v>
      </c>
      <c r="E3617" s="0" t="s">
        <v>11501</v>
      </c>
      <c r="M3617" s="0" t="s">
        <v>136</v>
      </c>
      <c r="N3617" s="0" t="s">
        <v>124</v>
      </c>
      <c r="P3617" s="0" t="s">
        <v>102</v>
      </c>
      <c r="Q3617" s="0" t="s">
        <v>102</v>
      </c>
      <c r="R3617" s="0" t="s">
        <v>144</v>
      </c>
      <c r="S3617" s="0" t="s">
        <v>21</v>
      </c>
      <c r="T3617" s="0" t="s">
        <v>104</v>
      </c>
      <c r="W3617" s="0" t="s">
        <v>105</v>
      </c>
    </row>
    <row r="3618" customFormat="false" ht="15" hidden="false" customHeight="false" outlineLevel="0" collapsed="false">
      <c r="A3618" s="0" t="s">
        <v>21</v>
      </c>
      <c r="B3618" s="0" t="s">
        <v>11502</v>
      </c>
      <c r="C3618" s="0" t="s">
        <v>97</v>
      </c>
      <c r="D3618" s="0" t="s">
        <v>11503</v>
      </c>
      <c r="E3618" s="0" t="s">
        <v>11504</v>
      </c>
      <c r="M3618" s="0" t="s">
        <v>136</v>
      </c>
      <c r="N3618" s="0" t="s">
        <v>124</v>
      </c>
      <c r="P3618" s="0" t="s">
        <v>102</v>
      </c>
      <c r="Q3618" s="0" t="s">
        <v>102</v>
      </c>
      <c r="R3618" s="0" t="s">
        <v>144</v>
      </c>
      <c r="S3618" s="0" t="s">
        <v>21</v>
      </c>
      <c r="T3618" s="0" t="s">
        <v>104</v>
      </c>
      <c r="W3618" s="0" t="s">
        <v>105</v>
      </c>
    </row>
    <row r="3619" customFormat="false" ht="15" hidden="false" customHeight="false" outlineLevel="0" collapsed="false">
      <c r="A3619" s="0" t="s">
        <v>21</v>
      </c>
      <c r="B3619" s="0" t="s">
        <v>11505</v>
      </c>
      <c r="C3619" s="0" t="s">
        <v>97</v>
      </c>
      <c r="D3619" s="0" t="s">
        <v>11506</v>
      </c>
      <c r="E3619" s="0" t="s">
        <v>11507</v>
      </c>
      <c r="M3619" s="0" t="s">
        <v>136</v>
      </c>
      <c r="N3619" s="0" t="s">
        <v>124</v>
      </c>
      <c r="P3619" s="0" t="s">
        <v>102</v>
      </c>
      <c r="Q3619" s="0" t="s">
        <v>102</v>
      </c>
      <c r="R3619" s="0" t="s">
        <v>144</v>
      </c>
      <c r="S3619" s="0" t="s">
        <v>21</v>
      </c>
      <c r="T3619" s="0" t="s">
        <v>104</v>
      </c>
      <c r="W3619" s="0" t="s">
        <v>105</v>
      </c>
    </row>
    <row r="3620" customFormat="false" ht="15" hidden="false" customHeight="false" outlineLevel="0" collapsed="false">
      <c r="A3620" s="0" t="s">
        <v>21</v>
      </c>
      <c r="B3620" s="0" t="s">
        <v>11508</v>
      </c>
      <c r="C3620" s="0" t="s">
        <v>97</v>
      </c>
      <c r="D3620" s="0" t="s">
        <v>11509</v>
      </c>
      <c r="E3620" s="0" t="s">
        <v>11510</v>
      </c>
      <c r="M3620" s="0" t="s">
        <v>136</v>
      </c>
      <c r="N3620" s="0" t="s">
        <v>124</v>
      </c>
      <c r="P3620" s="0" t="s">
        <v>102</v>
      </c>
      <c r="Q3620" s="0" t="s">
        <v>102</v>
      </c>
      <c r="R3620" s="0" t="s">
        <v>144</v>
      </c>
      <c r="S3620" s="0" t="s">
        <v>21</v>
      </c>
      <c r="T3620" s="0" t="s">
        <v>104</v>
      </c>
      <c r="W3620" s="0" t="s">
        <v>105</v>
      </c>
    </row>
    <row r="3621" customFormat="false" ht="15" hidden="false" customHeight="false" outlineLevel="0" collapsed="false">
      <c r="A3621" s="0" t="s">
        <v>21</v>
      </c>
      <c r="B3621" s="0" t="s">
        <v>11511</v>
      </c>
      <c r="C3621" s="0" t="s">
        <v>97</v>
      </c>
      <c r="D3621" s="0" t="s">
        <v>11512</v>
      </c>
      <c r="E3621" s="0" t="s">
        <v>11513</v>
      </c>
      <c r="M3621" s="0" t="s">
        <v>136</v>
      </c>
      <c r="N3621" s="0" t="s">
        <v>124</v>
      </c>
      <c r="P3621" s="0" t="s">
        <v>102</v>
      </c>
      <c r="Q3621" s="0" t="s">
        <v>102</v>
      </c>
      <c r="R3621" s="0" t="s">
        <v>144</v>
      </c>
      <c r="S3621" s="0" t="s">
        <v>21</v>
      </c>
      <c r="T3621" s="0" t="s">
        <v>104</v>
      </c>
      <c r="W3621" s="0" t="s">
        <v>105</v>
      </c>
    </row>
    <row r="3622" customFormat="false" ht="15" hidden="false" customHeight="false" outlineLevel="0" collapsed="false">
      <c r="A3622" s="0" t="s">
        <v>21</v>
      </c>
      <c r="B3622" s="0" t="s">
        <v>11514</v>
      </c>
      <c r="C3622" s="0" t="s">
        <v>97</v>
      </c>
      <c r="D3622" s="0" t="s">
        <v>11512</v>
      </c>
      <c r="E3622" s="0" t="s">
        <v>11513</v>
      </c>
      <c r="M3622" s="0" t="s">
        <v>136</v>
      </c>
      <c r="N3622" s="0" t="s">
        <v>124</v>
      </c>
      <c r="P3622" s="0" t="s">
        <v>102</v>
      </c>
      <c r="Q3622" s="0" t="s">
        <v>102</v>
      </c>
      <c r="R3622" s="0" t="s">
        <v>144</v>
      </c>
      <c r="S3622" s="0" t="s">
        <v>21</v>
      </c>
      <c r="T3622" s="0" t="s">
        <v>104</v>
      </c>
      <c r="W3622" s="0" t="s">
        <v>105</v>
      </c>
    </row>
    <row r="3623" customFormat="false" ht="15" hidden="false" customHeight="false" outlineLevel="0" collapsed="false">
      <c r="A3623" s="0" t="s">
        <v>21</v>
      </c>
      <c r="B3623" s="0" t="s">
        <v>11515</v>
      </c>
      <c r="C3623" s="0" t="s">
        <v>97</v>
      </c>
      <c r="D3623" s="0" t="s">
        <v>11516</v>
      </c>
      <c r="E3623" s="0" t="s">
        <v>11517</v>
      </c>
      <c r="M3623" s="0" t="s">
        <v>136</v>
      </c>
      <c r="N3623" s="0" t="s">
        <v>124</v>
      </c>
      <c r="P3623" s="0" t="s">
        <v>102</v>
      </c>
      <c r="Q3623" s="0" t="s">
        <v>102</v>
      </c>
      <c r="R3623" s="0" t="s">
        <v>144</v>
      </c>
      <c r="S3623" s="0" t="s">
        <v>21</v>
      </c>
      <c r="T3623" s="0" t="s">
        <v>104</v>
      </c>
      <c r="W3623" s="0" t="s">
        <v>105</v>
      </c>
    </row>
    <row r="3624" customFormat="false" ht="15" hidden="false" customHeight="false" outlineLevel="0" collapsed="false">
      <c r="A3624" s="0" t="s">
        <v>21</v>
      </c>
      <c r="B3624" s="0" t="s">
        <v>11518</v>
      </c>
      <c r="C3624" s="0" t="s">
        <v>97</v>
      </c>
      <c r="D3624" s="0" t="s">
        <v>11519</v>
      </c>
      <c r="E3624" s="0" t="s">
        <v>11520</v>
      </c>
      <c r="M3624" s="0" t="s">
        <v>136</v>
      </c>
      <c r="N3624" s="0" t="s">
        <v>124</v>
      </c>
      <c r="P3624" s="0" t="s">
        <v>102</v>
      </c>
      <c r="Q3624" s="0" t="s">
        <v>102</v>
      </c>
      <c r="R3624" s="0" t="s">
        <v>144</v>
      </c>
      <c r="S3624" s="0" t="s">
        <v>21</v>
      </c>
      <c r="T3624" s="0" t="s">
        <v>104</v>
      </c>
      <c r="W3624" s="0" t="s">
        <v>105</v>
      </c>
    </row>
    <row r="3625" customFormat="false" ht="15" hidden="false" customHeight="false" outlineLevel="0" collapsed="false">
      <c r="A3625" s="0" t="s">
        <v>21</v>
      </c>
      <c r="B3625" s="0" t="s">
        <v>11521</v>
      </c>
      <c r="C3625" s="0" t="s">
        <v>97</v>
      </c>
      <c r="D3625" s="0" t="s">
        <v>11522</v>
      </c>
      <c r="E3625" s="0" t="s">
        <v>11523</v>
      </c>
      <c r="M3625" s="0" t="s">
        <v>136</v>
      </c>
      <c r="N3625" s="0" t="s">
        <v>124</v>
      </c>
      <c r="P3625" s="0" t="s">
        <v>102</v>
      </c>
      <c r="Q3625" s="0" t="s">
        <v>102</v>
      </c>
      <c r="R3625" s="0" t="s">
        <v>144</v>
      </c>
      <c r="S3625" s="0" t="s">
        <v>21</v>
      </c>
      <c r="T3625" s="0" t="s">
        <v>104</v>
      </c>
      <c r="W3625" s="0" t="s">
        <v>105</v>
      </c>
    </row>
    <row r="3626" customFormat="false" ht="15" hidden="false" customHeight="false" outlineLevel="0" collapsed="false">
      <c r="A3626" s="0" t="s">
        <v>21</v>
      </c>
      <c r="B3626" s="0" t="s">
        <v>11524</v>
      </c>
      <c r="C3626" s="0" t="s">
        <v>97</v>
      </c>
      <c r="D3626" s="0" t="s">
        <v>11525</v>
      </c>
      <c r="E3626" s="0" t="s">
        <v>11526</v>
      </c>
      <c r="M3626" s="0" t="s">
        <v>136</v>
      </c>
      <c r="N3626" s="0" t="s">
        <v>124</v>
      </c>
      <c r="P3626" s="0" t="s">
        <v>102</v>
      </c>
      <c r="Q3626" s="0" t="s">
        <v>102</v>
      </c>
      <c r="R3626" s="0" t="s">
        <v>144</v>
      </c>
      <c r="S3626" s="0" t="s">
        <v>21</v>
      </c>
      <c r="T3626" s="0" t="s">
        <v>104</v>
      </c>
      <c r="W3626" s="0" t="s">
        <v>105</v>
      </c>
    </row>
    <row r="3627" customFormat="false" ht="15" hidden="false" customHeight="false" outlineLevel="0" collapsed="false">
      <c r="A3627" s="0" t="s">
        <v>21</v>
      </c>
      <c r="B3627" s="0" t="s">
        <v>11527</v>
      </c>
      <c r="C3627" s="0" t="s">
        <v>97</v>
      </c>
      <c r="D3627" s="0" t="s">
        <v>11528</v>
      </c>
      <c r="E3627" s="0" t="s">
        <v>11529</v>
      </c>
      <c r="M3627" s="0" t="s">
        <v>136</v>
      </c>
      <c r="N3627" s="0" t="s">
        <v>124</v>
      </c>
      <c r="P3627" s="0" t="s">
        <v>102</v>
      </c>
      <c r="Q3627" s="0" t="s">
        <v>102</v>
      </c>
      <c r="R3627" s="0" t="s">
        <v>144</v>
      </c>
      <c r="S3627" s="0" t="s">
        <v>21</v>
      </c>
      <c r="T3627" s="0" t="s">
        <v>104</v>
      </c>
      <c r="W3627" s="0" t="s">
        <v>105</v>
      </c>
    </row>
    <row r="3628" customFormat="false" ht="15" hidden="false" customHeight="false" outlineLevel="0" collapsed="false">
      <c r="A3628" s="0" t="s">
        <v>21</v>
      </c>
      <c r="B3628" s="0" t="s">
        <v>11530</v>
      </c>
      <c r="C3628" s="0" t="s">
        <v>97</v>
      </c>
      <c r="D3628" s="0" t="s">
        <v>11531</v>
      </c>
      <c r="E3628" s="0" t="s">
        <v>11532</v>
      </c>
      <c r="M3628" s="0" t="s">
        <v>136</v>
      </c>
      <c r="N3628" s="0" t="s">
        <v>124</v>
      </c>
      <c r="P3628" s="0" t="s">
        <v>102</v>
      </c>
      <c r="Q3628" s="0" t="s">
        <v>102</v>
      </c>
      <c r="R3628" s="0" t="s">
        <v>144</v>
      </c>
      <c r="S3628" s="0" t="s">
        <v>21</v>
      </c>
      <c r="T3628" s="0" t="s">
        <v>104</v>
      </c>
      <c r="W3628" s="0" t="s">
        <v>105</v>
      </c>
    </row>
    <row r="3629" customFormat="false" ht="15" hidden="false" customHeight="false" outlineLevel="0" collapsed="false">
      <c r="A3629" s="0" t="s">
        <v>21</v>
      </c>
      <c r="B3629" s="0" t="s">
        <v>11533</v>
      </c>
      <c r="C3629" s="0" t="s">
        <v>97</v>
      </c>
      <c r="D3629" s="0" t="s">
        <v>11534</v>
      </c>
      <c r="E3629" s="0" t="s">
        <v>11535</v>
      </c>
      <c r="M3629" s="0" t="s">
        <v>136</v>
      </c>
      <c r="N3629" s="0" t="s">
        <v>124</v>
      </c>
      <c r="P3629" s="0" t="s">
        <v>102</v>
      </c>
      <c r="Q3629" s="0" t="s">
        <v>102</v>
      </c>
      <c r="R3629" s="0" t="s">
        <v>144</v>
      </c>
      <c r="S3629" s="0" t="s">
        <v>21</v>
      </c>
      <c r="T3629" s="0" t="s">
        <v>104</v>
      </c>
      <c r="W3629" s="0" t="s">
        <v>105</v>
      </c>
    </row>
    <row r="3630" customFormat="false" ht="15" hidden="false" customHeight="false" outlineLevel="0" collapsed="false">
      <c r="A3630" s="0" t="s">
        <v>21</v>
      </c>
      <c r="B3630" s="0" t="s">
        <v>11536</v>
      </c>
      <c r="C3630" s="0" t="s">
        <v>97</v>
      </c>
      <c r="D3630" s="0" t="s">
        <v>11537</v>
      </c>
      <c r="E3630" s="0" t="s">
        <v>11538</v>
      </c>
      <c r="M3630" s="0" t="s">
        <v>136</v>
      </c>
      <c r="N3630" s="0" t="s">
        <v>124</v>
      </c>
      <c r="P3630" s="0" t="s">
        <v>102</v>
      </c>
      <c r="Q3630" s="0" t="s">
        <v>102</v>
      </c>
      <c r="R3630" s="0" t="s">
        <v>144</v>
      </c>
      <c r="S3630" s="0" t="s">
        <v>21</v>
      </c>
      <c r="T3630" s="0" t="s">
        <v>104</v>
      </c>
      <c r="W3630" s="0" t="s">
        <v>105</v>
      </c>
    </row>
    <row r="3631" customFormat="false" ht="15" hidden="false" customHeight="false" outlineLevel="0" collapsed="false">
      <c r="A3631" s="0" t="s">
        <v>21</v>
      </c>
      <c r="B3631" s="0" t="s">
        <v>11539</v>
      </c>
      <c r="C3631" s="0" t="s">
        <v>97</v>
      </c>
      <c r="D3631" s="0" t="s">
        <v>11540</v>
      </c>
      <c r="E3631" s="0" t="s">
        <v>11541</v>
      </c>
      <c r="M3631" s="0" t="s">
        <v>136</v>
      </c>
      <c r="N3631" s="0" t="s">
        <v>124</v>
      </c>
      <c r="P3631" s="0" t="s">
        <v>102</v>
      </c>
      <c r="Q3631" s="0" t="s">
        <v>102</v>
      </c>
      <c r="R3631" s="0" t="s">
        <v>144</v>
      </c>
      <c r="S3631" s="0" t="s">
        <v>21</v>
      </c>
      <c r="T3631" s="0" t="s">
        <v>104</v>
      </c>
      <c r="W3631" s="0" t="s">
        <v>105</v>
      </c>
    </row>
    <row r="3632" customFormat="false" ht="15" hidden="false" customHeight="false" outlineLevel="0" collapsed="false">
      <c r="A3632" s="0" t="s">
        <v>21</v>
      </c>
      <c r="B3632" s="0" t="s">
        <v>11542</v>
      </c>
      <c r="C3632" s="0" t="s">
        <v>97</v>
      </c>
      <c r="D3632" s="0" t="s">
        <v>11543</v>
      </c>
      <c r="E3632" s="0" t="s">
        <v>11544</v>
      </c>
      <c r="M3632" s="0" t="s">
        <v>136</v>
      </c>
      <c r="N3632" s="0" t="s">
        <v>124</v>
      </c>
      <c r="P3632" s="0" t="s">
        <v>102</v>
      </c>
      <c r="Q3632" s="0" t="s">
        <v>102</v>
      </c>
      <c r="R3632" s="0" t="s">
        <v>144</v>
      </c>
      <c r="S3632" s="0" t="s">
        <v>21</v>
      </c>
      <c r="T3632" s="0" t="s">
        <v>104</v>
      </c>
      <c r="W3632" s="0" t="s">
        <v>105</v>
      </c>
    </row>
    <row r="3633" customFormat="false" ht="15" hidden="false" customHeight="false" outlineLevel="0" collapsed="false">
      <c r="A3633" s="0" t="s">
        <v>21</v>
      </c>
      <c r="B3633" s="0" t="s">
        <v>11545</v>
      </c>
      <c r="C3633" s="0" t="s">
        <v>97</v>
      </c>
      <c r="D3633" s="0" t="s">
        <v>11546</v>
      </c>
      <c r="E3633" s="0" t="s">
        <v>11546</v>
      </c>
      <c r="M3633" s="0" t="s">
        <v>136</v>
      </c>
      <c r="N3633" s="0" t="s">
        <v>124</v>
      </c>
      <c r="P3633" s="0" t="s">
        <v>102</v>
      </c>
      <c r="Q3633" s="0" t="s">
        <v>102</v>
      </c>
      <c r="R3633" s="0" t="s">
        <v>144</v>
      </c>
      <c r="S3633" s="0" t="s">
        <v>21</v>
      </c>
      <c r="T3633" s="0" t="s">
        <v>104</v>
      </c>
      <c r="W3633" s="0" t="s">
        <v>105</v>
      </c>
    </row>
    <row r="3634" customFormat="false" ht="15" hidden="false" customHeight="false" outlineLevel="0" collapsed="false">
      <c r="A3634" s="0" t="s">
        <v>21</v>
      </c>
      <c r="B3634" s="0" t="s">
        <v>11547</v>
      </c>
      <c r="C3634" s="0" t="s">
        <v>97</v>
      </c>
      <c r="D3634" s="0" t="s">
        <v>11548</v>
      </c>
      <c r="E3634" s="0" t="s">
        <v>11549</v>
      </c>
      <c r="M3634" s="0" t="s">
        <v>136</v>
      </c>
      <c r="N3634" s="0" t="s">
        <v>124</v>
      </c>
      <c r="P3634" s="0" t="s">
        <v>102</v>
      </c>
      <c r="Q3634" s="0" t="s">
        <v>102</v>
      </c>
      <c r="R3634" s="0" t="s">
        <v>144</v>
      </c>
      <c r="S3634" s="0" t="s">
        <v>21</v>
      </c>
      <c r="T3634" s="0" t="s">
        <v>104</v>
      </c>
      <c r="W3634" s="0" t="s">
        <v>105</v>
      </c>
    </row>
    <row r="3635" customFormat="false" ht="15" hidden="false" customHeight="false" outlineLevel="0" collapsed="false">
      <c r="A3635" s="0" t="s">
        <v>21</v>
      </c>
      <c r="B3635" s="0" t="s">
        <v>11550</v>
      </c>
      <c r="C3635" s="0" t="s">
        <v>97</v>
      </c>
      <c r="D3635" s="0" t="s">
        <v>11551</v>
      </c>
      <c r="E3635" s="0" t="s">
        <v>11552</v>
      </c>
      <c r="M3635" s="0" t="s">
        <v>136</v>
      </c>
      <c r="N3635" s="0" t="s">
        <v>124</v>
      </c>
      <c r="P3635" s="0" t="s">
        <v>102</v>
      </c>
      <c r="Q3635" s="0" t="s">
        <v>102</v>
      </c>
      <c r="R3635" s="0" t="s">
        <v>144</v>
      </c>
      <c r="S3635" s="0" t="s">
        <v>21</v>
      </c>
      <c r="T3635" s="0" t="s">
        <v>104</v>
      </c>
      <c r="W3635" s="0" t="s">
        <v>105</v>
      </c>
    </row>
    <row r="3636" customFormat="false" ht="15" hidden="false" customHeight="false" outlineLevel="0" collapsed="false">
      <c r="A3636" s="0" t="s">
        <v>21</v>
      </c>
      <c r="B3636" s="0" t="s">
        <v>11553</v>
      </c>
      <c r="C3636" s="0" t="s">
        <v>97</v>
      </c>
      <c r="D3636" s="0" t="s">
        <v>11554</v>
      </c>
      <c r="E3636" s="0" t="s">
        <v>11555</v>
      </c>
      <c r="M3636" s="0" t="s">
        <v>136</v>
      </c>
      <c r="N3636" s="0" t="s">
        <v>124</v>
      </c>
      <c r="P3636" s="0" t="s">
        <v>102</v>
      </c>
      <c r="Q3636" s="0" t="s">
        <v>102</v>
      </c>
      <c r="R3636" s="0" t="s">
        <v>144</v>
      </c>
      <c r="S3636" s="0" t="s">
        <v>21</v>
      </c>
      <c r="T3636" s="0" t="s">
        <v>104</v>
      </c>
      <c r="W3636" s="0" t="s">
        <v>105</v>
      </c>
    </row>
    <row r="3637" customFormat="false" ht="15" hidden="false" customHeight="false" outlineLevel="0" collapsed="false">
      <c r="A3637" s="0" t="s">
        <v>21</v>
      </c>
      <c r="B3637" s="0" t="s">
        <v>11556</v>
      </c>
      <c r="C3637" s="0" t="s">
        <v>97</v>
      </c>
      <c r="D3637" s="0" t="s">
        <v>11557</v>
      </c>
      <c r="E3637" s="0" t="s">
        <v>11558</v>
      </c>
      <c r="M3637" s="0" t="s">
        <v>136</v>
      </c>
      <c r="N3637" s="0" t="s">
        <v>124</v>
      </c>
      <c r="P3637" s="0" t="s">
        <v>102</v>
      </c>
      <c r="Q3637" s="0" t="s">
        <v>102</v>
      </c>
      <c r="R3637" s="0" t="s">
        <v>144</v>
      </c>
      <c r="S3637" s="0" t="s">
        <v>21</v>
      </c>
      <c r="T3637" s="0" t="s">
        <v>104</v>
      </c>
      <c r="W3637" s="0" t="s">
        <v>105</v>
      </c>
    </row>
    <row r="3638" customFormat="false" ht="15" hidden="false" customHeight="false" outlineLevel="0" collapsed="false">
      <c r="A3638" s="0" t="s">
        <v>21</v>
      </c>
      <c r="B3638" s="0" t="s">
        <v>11559</v>
      </c>
      <c r="C3638" s="0" t="s">
        <v>97</v>
      </c>
      <c r="D3638" s="0" t="s">
        <v>11560</v>
      </c>
      <c r="E3638" s="0" t="s">
        <v>11561</v>
      </c>
      <c r="M3638" s="0" t="s">
        <v>136</v>
      </c>
      <c r="N3638" s="0" t="s">
        <v>124</v>
      </c>
      <c r="P3638" s="0" t="s">
        <v>102</v>
      </c>
      <c r="Q3638" s="0" t="s">
        <v>102</v>
      </c>
      <c r="R3638" s="0" t="s">
        <v>144</v>
      </c>
      <c r="S3638" s="0" t="s">
        <v>21</v>
      </c>
      <c r="T3638" s="0" t="s">
        <v>104</v>
      </c>
      <c r="W3638" s="0" t="s">
        <v>105</v>
      </c>
    </row>
    <row r="3639" customFormat="false" ht="15" hidden="false" customHeight="false" outlineLevel="0" collapsed="false">
      <c r="A3639" s="0" t="s">
        <v>21</v>
      </c>
      <c r="B3639" s="0" t="s">
        <v>11562</v>
      </c>
      <c r="C3639" s="0" t="s">
        <v>97</v>
      </c>
      <c r="D3639" s="0" t="s">
        <v>11563</v>
      </c>
      <c r="E3639" s="0" t="s">
        <v>11564</v>
      </c>
      <c r="M3639" s="0" t="s">
        <v>136</v>
      </c>
      <c r="N3639" s="0" t="s">
        <v>124</v>
      </c>
      <c r="P3639" s="0" t="s">
        <v>102</v>
      </c>
      <c r="Q3639" s="0" t="s">
        <v>102</v>
      </c>
      <c r="R3639" s="0" t="s">
        <v>144</v>
      </c>
      <c r="S3639" s="0" t="s">
        <v>21</v>
      </c>
      <c r="T3639" s="0" t="s">
        <v>104</v>
      </c>
      <c r="W3639" s="0" t="s">
        <v>105</v>
      </c>
    </row>
    <row r="3640" customFormat="false" ht="15" hidden="false" customHeight="false" outlineLevel="0" collapsed="false">
      <c r="A3640" s="0" t="s">
        <v>21</v>
      </c>
      <c r="B3640" s="0" t="s">
        <v>11565</v>
      </c>
      <c r="C3640" s="0" t="s">
        <v>97</v>
      </c>
      <c r="D3640" s="0" t="s">
        <v>8050</v>
      </c>
      <c r="E3640" s="0" t="s">
        <v>8050</v>
      </c>
      <c r="M3640" s="0" t="s">
        <v>100</v>
      </c>
      <c r="N3640" s="0" t="s">
        <v>101</v>
      </c>
      <c r="P3640" s="0" t="s">
        <v>102</v>
      </c>
      <c r="Q3640" s="0" t="s">
        <v>102</v>
      </c>
      <c r="R3640" s="0" t="s">
        <v>113</v>
      </c>
      <c r="S3640" s="0" t="s">
        <v>21</v>
      </c>
      <c r="T3640" s="0" t="s">
        <v>104</v>
      </c>
      <c r="W3640" s="0" t="s">
        <v>105</v>
      </c>
    </row>
    <row r="3641" customFormat="false" ht="15" hidden="false" customHeight="false" outlineLevel="0" collapsed="false">
      <c r="A3641" s="0" t="s">
        <v>21</v>
      </c>
      <c r="B3641" s="0" t="s">
        <v>11566</v>
      </c>
      <c r="C3641" s="0" t="s">
        <v>97</v>
      </c>
      <c r="D3641" s="0" t="s">
        <v>11567</v>
      </c>
      <c r="E3641" s="0" t="s">
        <v>11568</v>
      </c>
      <c r="G3641" s="0" t="s">
        <v>11569</v>
      </c>
      <c r="M3641" s="0" t="s">
        <v>421</v>
      </c>
      <c r="N3641" s="0" t="s">
        <v>101</v>
      </c>
      <c r="P3641" s="0" t="s">
        <v>102</v>
      </c>
      <c r="Q3641" s="0" t="s">
        <v>102</v>
      </c>
      <c r="R3641" s="0" t="s">
        <v>113</v>
      </c>
      <c r="S3641" s="0" t="s">
        <v>21</v>
      </c>
      <c r="T3641" s="0" t="s">
        <v>104</v>
      </c>
      <c r="W3641" s="0" t="s">
        <v>105</v>
      </c>
    </row>
    <row r="3642" customFormat="false" ht="15" hidden="false" customHeight="false" outlineLevel="0" collapsed="false">
      <c r="A3642" s="0" t="s">
        <v>21</v>
      </c>
      <c r="B3642" s="0" t="s">
        <v>11570</v>
      </c>
      <c r="C3642" s="0" t="s">
        <v>97</v>
      </c>
      <c r="D3642" s="0" t="s">
        <v>11571</v>
      </c>
      <c r="E3642" s="0" t="s">
        <v>11572</v>
      </c>
      <c r="M3642" s="0" t="s">
        <v>136</v>
      </c>
      <c r="N3642" s="0" t="s">
        <v>124</v>
      </c>
      <c r="P3642" s="0" t="s">
        <v>102</v>
      </c>
      <c r="Q3642" s="0" t="s">
        <v>102</v>
      </c>
      <c r="R3642" s="0" t="s">
        <v>144</v>
      </c>
      <c r="S3642" s="0" t="s">
        <v>21</v>
      </c>
      <c r="T3642" s="0" t="s">
        <v>104</v>
      </c>
      <c r="W3642" s="0" t="s">
        <v>105</v>
      </c>
    </row>
    <row r="3643" customFormat="false" ht="15" hidden="false" customHeight="false" outlineLevel="0" collapsed="false">
      <c r="A3643" s="0" t="s">
        <v>21</v>
      </c>
      <c r="B3643" s="0" t="s">
        <v>11573</v>
      </c>
      <c r="C3643" s="0" t="s">
        <v>97</v>
      </c>
      <c r="D3643" s="0" t="s">
        <v>11574</v>
      </c>
      <c r="E3643" s="0" t="s">
        <v>11575</v>
      </c>
      <c r="M3643" s="0" t="s">
        <v>136</v>
      </c>
      <c r="N3643" s="0" t="s">
        <v>124</v>
      </c>
      <c r="P3643" s="0" t="s">
        <v>102</v>
      </c>
      <c r="Q3643" s="0" t="s">
        <v>102</v>
      </c>
      <c r="R3643" s="0" t="s">
        <v>144</v>
      </c>
      <c r="S3643" s="0" t="s">
        <v>21</v>
      </c>
      <c r="T3643" s="0" t="s">
        <v>104</v>
      </c>
      <c r="W3643" s="0" t="s">
        <v>105</v>
      </c>
    </row>
    <row r="3644" customFormat="false" ht="15" hidden="false" customHeight="false" outlineLevel="0" collapsed="false">
      <c r="A3644" s="0" t="s">
        <v>21</v>
      </c>
      <c r="B3644" s="0" t="s">
        <v>11576</v>
      </c>
      <c r="C3644" s="0" t="s">
        <v>97</v>
      </c>
      <c r="D3644" s="0" t="s">
        <v>11577</v>
      </c>
      <c r="E3644" s="0" t="s">
        <v>11578</v>
      </c>
      <c r="M3644" s="0" t="s">
        <v>136</v>
      </c>
      <c r="N3644" s="0" t="s">
        <v>124</v>
      </c>
      <c r="P3644" s="0" t="s">
        <v>102</v>
      </c>
      <c r="Q3644" s="0" t="s">
        <v>102</v>
      </c>
      <c r="R3644" s="0" t="s">
        <v>144</v>
      </c>
      <c r="S3644" s="0" t="s">
        <v>21</v>
      </c>
      <c r="T3644" s="0" t="s">
        <v>104</v>
      </c>
      <c r="W3644" s="0" t="s">
        <v>105</v>
      </c>
    </row>
    <row r="3645" customFormat="false" ht="15" hidden="false" customHeight="false" outlineLevel="0" collapsed="false">
      <c r="A3645" s="0" t="s">
        <v>21</v>
      </c>
      <c r="B3645" s="0" t="s">
        <v>11579</v>
      </c>
      <c r="C3645" s="0" t="s">
        <v>97</v>
      </c>
      <c r="D3645" s="0" t="s">
        <v>11580</v>
      </c>
      <c r="E3645" s="0" t="s">
        <v>11581</v>
      </c>
      <c r="M3645" s="0" t="s">
        <v>100</v>
      </c>
      <c r="N3645" s="0" t="s">
        <v>101</v>
      </c>
      <c r="P3645" s="0" t="s">
        <v>102</v>
      </c>
      <c r="Q3645" s="0" t="s">
        <v>102</v>
      </c>
      <c r="R3645" s="0" t="s">
        <v>131</v>
      </c>
      <c r="S3645" s="0" t="s">
        <v>21</v>
      </c>
      <c r="T3645" s="0" t="s">
        <v>104</v>
      </c>
      <c r="W3645" s="0" t="s">
        <v>105</v>
      </c>
    </row>
    <row r="3646" customFormat="false" ht="15" hidden="false" customHeight="false" outlineLevel="0" collapsed="false">
      <c r="A3646" s="0" t="s">
        <v>21</v>
      </c>
      <c r="B3646" s="0" t="s">
        <v>11582</v>
      </c>
      <c r="C3646" s="0" t="s">
        <v>97</v>
      </c>
      <c r="D3646" s="0" t="s">
        <v>11583</v>
      </c>
      <c r="E3646" s="0" t="s">
        <v>11584</v>
      </c>
      <c r="M3646" s="0" t="s">
        <v>100</v>
      </c>
      <c r="N3646" s="0" t="s">
        <v>101</v>
      </c>
      <c r="P3646" s="0" t="s">
        <v>102</v>
      </c>
      <c r="Q3646" s="0" t="s">
        <v>102</v>
      </c>
      <c r="R3646" s="0" t="s">
        <v>131</v>
      </c>
      <c r="S3646" s="0" t="s">
        <v>21</v>
      </c>
      <c r="T3646" s="0" t="s">
        <v>104</v>
      </c>
      <c r="W3646" s="0" t="s">
        <v>105</v>
      </c>
    </row>
    <row r="3647" customFormat="false" ht="15" hidden="false" customHeight="false" outlineLevel="0" collapsed="false">
      <c r="A3647" s="0" t="s">
        <v>21</v>
      </c>
      <c r="B3647" s="0" t="s">
        <v>11585</v>
      </c>
      <c r="C3647" s="0" t="s">
        <v>97</v>
      </c>
      <c r="D3647" s="0" t="s">
        <v>11586</v>
      </c>
      <c r="E3647" s="0" t="s">
        <v>11587</v>
      </c>
      <c r="M3647" s="0" t="s">
        <v>100</v>
      </c>
      <c r="N3647" s="0" t="s">
        <v>101</v>
      </c>
      <c r="P3647" s="0" t="s">
        <v>102</v>
      </c>
      <c r="Q3647" s="0" t="s">
        <v>102</v>
      </c>
      <c r="R3647" s="0" t="s">
        <v>131</v>
      </c>
      <c r="S3647" s="0" t="s">
        <v>21</v>
      </c>
      <c r="T3647" s="0" t="s">
        <v>104</v>
      </c>
      <c r="W3647" s="0" t="s">
        <v>105</v>
      </c>
    </row>
    <row r="3648" customFormat="false" ht="15" hidden="false" customHeight="false" outlineLevel="0" collapsed="false">
      <c r="A3648" s="0" t="s">
        <v>21</v>
      </c>
      <c r="B3648" s="0" t="s">
        <v>11588</v>
      </c>
      <c r="C3648" s="0" t="s">
        <v>97</v>
      </c>
      <c r="D3648" s="0" t="s">
        <v>11589</v>
      </c>
      <c r="E3648" s="0" t="s">
        <v>11590</v>
      </c>
      <c r="M3648" s="0" t="s">
        <v>100</v>
      </c>
      <c r="N3648" s="0" t="s">
        <v>101</v>
      </c>
      <c r="P3648" s="0" t="s">
        <v>102</v>
      </c>
      <c r="Q3648" s="0" t="s">
        <v>102</v>
      </c>
      <c r="R3648" s="0" t="s">
        <v>131</v>
      </c>
      <c r="S3648" s="0" t="s">
        <v>21</v>
      </c>
      <c r="T3648" s="0" t="s">
        <v>104</v>
      </c>
      <c r="W3648" s="0" t="s">
        <v>105</v>
      </c>
    </row>
    <row r="3649" customFormat="false" ht="15" hidden="false" customHeight="false" outlineLevel="0" collapsed="false">
      <c r="A3649" s="0" t="s">
        <v>21</v>
      </c>
      <c r="B3649" s="0" t="s">
        <v>11591</v>
      </c>
      <c r="C3649" s="0" t="s">
        <v>97</v>
      </c>
      <c r="D3649" s="0" t="s">
        <v>11592</v>
      </c>
      <c r="E3649" s="0" t="s">
        <v>11593</v>
      </c>
      <c r="M3649" s="0" t="s">
        <v>100</v>
      </c>
      <c r="N3649" s="0" t="s">
        <v>101</v>
      </c>
      <c r="P3649" s="0" t="s">
        <v>102</v>
      </c>
      <c r="Q3649" s="0" t="s">
        <v>102</v>
      </c>
      <c r="R3649" s="0" t="s">
        <v>131</v>
      </c>
      <c r="S3649" s="0" t="s">
        <v>21</v>
      </c>
      <c r="T3649" s="0" t="s">
        <v>104</v>
      </c>
      <c r="W3649" s="0" t="s">
        <v>105</v>
      </c>
    </row>
    <row r="3650" customFormat="false" ht="15" hidden="false" customHeight="false" outlineLevel="0" collapsed="false">
      <c r="A3650" s="0" t="s">
        <v>21</v>
      </c>
      <c r="B3650" s="0" t="s">
        <v>11594</v>
      </c>
      <c r="C3650" s="0" t="s">
        <v>97</v>
      </c>
      <c r="D3650" s="0" t="s">
        <v>11595</v>
      </c>
      <c r="E3650" s="0" t="s">
        <v>11596</v>
      </c>
      <c r="M3650" s="0" t="s">
        <v>100</v>
      </c>
      <c r="N3650" s="0" t="s">
        <v>101</v>
      </c>
      <c r="P3650" s="0" t="s">
        <v>102</v>
      </c>
      <c r="Q3650" s="0" t="s">
        <v>102</v>
      </c>
      <c r="R3650" s="0" t="s">
        <v>131</v>
      </c>
      <c r="S3650" s="0" t="s">
        <v>21</v>
      </c>
      <c r="T3650" s="0" t="s">
        <v>104</v>
      </c>
      <c r="W3650" s="0" t="s">
        <v>105</v>
      </c>
    </row>
    <row r="3651" customFormat="false" ht="15" hidden="false" customHeight="false" outlineLevel="0" collapsed="false">
      <c r="A3651" s="0" t="s">
        <v>21</v>
      </c>
      <c r="B3651" s="0" t="s">
        <v>11597</v>
      </c>
      <c r="C3651" s="0" t="s">
        <v>97</v>
      </c>
      <c r="D3651" s="0" t="s">
        <v>11598</v>
      </c>
      <c r="E3651" s="0" t="s">
        <v>11599</v>
      </c>
      <c r="M3651" s="0" t="s">
        <v>100</v>
      </c>
      <c r="N3651" s="0" t="s">
        <v>101</v>
      </c>
      <c r="P3651" s="0" t="s">
        <v>102</v>
      </c>
      <c r="Q3651" s="0" t="s">
        <v>102</v>
      </c>
      <c r="R3651" s="0" t="s">
        <v>131</v>
      </c>
      <c r="S3651" s="0" t="s">
        <v>21</v>
      </c>
      <c r="T3651" s="0" t="s">
        <v>104</v>
      </c>
      <c r="W3651" s="0" t="s">
        <v>105</v>
      </c>
    </row>
    <row r="3652" customFormat="false" ht="15" hidden="false" customHeight="false" outlineLevel="0" collapsed="false">
      <c r="A3652" s="0" t="s">
        <v>21</v>
      </c>
      <c r="B3652" s="0" t="s">
        <v>11600</v>
      </c>
      <c r="C3652" s="0" t="s">
        <v>97</v>
      </c>
      <c r="D3652" s="0" t="s">
        <v>11601</v>
      </c>
      <c r="E3652" s="0" t="s">
        <v>11602</v>
      </c>
      <c r="M3652" s="0" t="s">
        <v>656</v>
      </c>
      <c r="N3652" s="0" t="s">
        <v>101</v>
      </c>
      <c r="P3652" s="0" t="s">
        <v>102</v>
      </c>
      <c r="Q3652" s="0" t="s">
        <v>102</v>
      </c>
      <c r="R3652" s="0" t="s">
        <v>131</v>
      </c>
      <c r="S3652" s="0" t="s">
        <v>21</v>
      </c>
      <c r="T3652" s="0" t="s">
        <v>104</v>
      </c>
      <c r="W3652" s="0" t="s">
        <v>105</v>
      </c>
    </row>
    <row r="3653" customFormat="false" ht="15" hidden="false" customHeight="false" outlineLevel="0" collapsed="false">
      <c r="A3653" s="0" t="s">
        <v>21</v>
      </c>
      <c r="B3653" s="0" t="s">
        <v>11603</v>
      </c>
      <c r="C3653" s="0" t="s">
        <v>97</v>
      </c>
      <c r="D3653" s="0" t="s">
        <v>11604</v>
      </c>
      <c r="E3653" s="0" t="s">
        <v>11605</v>
      </c>
      <c r="M3653" s="0" t="s">
        <v>100</v>
      </c>
      <c r="N3653" s="0" t="s">
        <v>101</v>
      </c>
      <c r="P3653" s="0" t="s">
        <v>102</v>
      </c>
      <c r="Q3653" s="0" t="s">
        <v>102</v>
      </c>
      <c r="R3653" s="0" t="s">
        <v>131</v>
      </c>
      <c r="S3653" s="0" t="s">
        <v>21</v>
      </c>
      <c r="T3653" s="0" t="s">
        <v>104</v>
      </c>
      <c r="W3653" s="0" t="s">
        <v>105</v>
      </c>
    </row>
    <row r="3654" customFormat="false" ht="15" hidden="false" customHeight="false" outlineLevel="0" collapsed="false">
      <c r="A3654" s="0" t="s">
        <v>21</v>
      </c>
      <c r="B3654" s="0" t="s">
        <v>11606</v>
      </c>
      <c r="C3654" s="0" t="s">
        <v>97</v>
      </c>
      <c r="D3654" s="0" t="s">
        <v>11607</v>
      </c>
      <c r="E3654" s="0" t="s">
        <v>11608</v>
      </c>
      <c r="M3654" s="0" t="s">
        <v>100</v>
      </c>
      <c r="N3654" s="0" t="s">
        <v>101</v>
      </c>
      <c r="P3654" s="0" t="s">
        <v>102</v>
      </c>
      <c r="Q3654" s="0" t="s">
        <v>102</v>
      </c>
      <c r="R3654" s="0" t="s">
        <v>131</v>
      </c>
      <c r="S3654" s="0" t="s">
        <v>21</v>
      </c>
      <c r="T3654" s="0" t="s">
        <v>104</v>
      </c>
      <c r="W3654" s="0" t="s">
        <v>105</v>
      </c>
    </row>
    <row r="3655" customFormat="false" ht="15" hidden="false" customHeight="false" outlineLevel="0" collapsed="false">
      <c r="A3655" s="0" t="s">
        <v>21</v>
      </c>
      <c r="B3655" s="0" t="s">
        <v>11609</v>
      </c>
      <c r="C3655" s="0" t="s">
        <v>97</v>
      </c>
      <c r="D3655" s="0" t="s">
        <v>11610</v>
      </c>
      <c r="E3655" s="0" t="s">
        <v>11611</v>
      </c>
      <c r="M3655" s="0" t="s">
        <v>100</v>
      </c>
      <c r="N3655" s="0" t="s">
        <v>101</v>
      </c>
      <c r="P3655" s="0" t="s">
        <v>102</v>
      </c>
      <c r="Q3655" s="0" t="s">
        <v>102</v>
      </c>
      <c r="R3655" s="0" t="s">
        <v>131</v>
      </c>
      <c r="S3655" s="0" t="s">
        <v>21</v>
      </c>
      <c r="T3655" s="0" t="s">
        <v>104</v>
      </c>
      <c r="W3655" s="0" t="s">
        <v>105</v>
      </c>
    </row>
    <row r="3656" customFormat="false" ht="15" hidden="false" customHeight="false" outlineLevel="0" collapsed="false">
      <c r="A3656" s="0" t="s">
        <v>21</v>
      </c>
      <c r="B3656" s="0" t="s">
        <v>11612</v>
      </c>
      <c r="C3656" s="0" t="s">
        <v>97</v>
      </c>
      <c r="D3656" s="0" t="s">
        <v>11613</v>
      </c>
      <c r="E3656" s="0" t="s">
        <v>11614</v>
      </c>
      <c r="M3656" s="0" t="s">
        <v>100</v>
      </c>
      <c r="N3656" s="0" t="s">
        <v>101</v>
      </c>
      <c r="P3656" s="0" t="s">
        <v>102</v>
      </c>
      <c r="Q3656" s="0" t="s">
        <v>102</v>
      </c>
      <c r="R3656" s="0" t="s">
        <v>131</v>
      </c>
      <c r="S3656" s="0" t="s">
        <v>21</v>
      </c>
      <c r="T3656" s="0" t="s">
        <v>104</v>
      </c>
      <c r="W3656" s="0" t="s">
        <v>105</v>
      </c>
    </row>
    <row r="3657" customFormat="false" ht="15" hidden="false" customHeight="false" outlineLevel="0" collapsed="false">
      <c r="A3657" s="0" t="s">
        <v>21</v>
      </c>
      <c r="B3657" s="0" t="s">
        <v>11615</v>
      </c>
      <c r="C3657" s="0" t="s">
        <v>97</v>
      </c>
      <c r="D3657" s="0" t="s">
        <v>11616</v>
      </c>
      <c r="E3657" s="0" t="s">
        <v>11617</v>
      </c>
      <c r="M3657" s="0" t="s">
        <v>100</v>
      </c>
      <c r="N3657" s="0" t="s">
        <v>101</v>
      </c>
      <c r="P3657" s="0" t="s">
        <v>102</v>
      </c>
      <c r="Q3657" s="0" t="s">
        <v>102</v>
      </c>
      <c r="R3657" s="0" t="s">
        <v>131</v>
      </c>
      <c r="S3657" s="0" t="s">
        <v>21</v>
      </c>
      <c r="T3657" s="0" t="s">
        <v>104</v>
      </c>
      <c r="W3657" s="0" t="s">
        <v>105</v>
      </c>
    </row>
    <row r="3658" customFormat="false" ht="15" hidden="false" customHeight="false" outlineLevel="0" collapsed="false">
      <c r="A3658" s="0" t="s">
        <v>21</v>
      </c>
      <c r="B3658" s="0" t="s">
        <v>11618</v>
      </c>
      <c r="C3658" s="0" t="s">
        <v>97</v>
      </c>
      <c r="D3658" s="0" t="s">
        <v>11619</v>
      </c>
      <c r="E3658" s="0" t="s">
        <v>11620</v>
      </c>
      <c r="M3658" s="0" t="s">
        <v>100</v>
      </c>
      <c r="N3658" s="0" t="s">
        <v>101</v>
      </c>
      <c r="P3658" s="0" t="s">
        <v>102</v>
      </c>
      <c r="Q3658" s="0" t="s">
        <v>102</v>
      </c>
      <c r="R3658" s="0" t="s">
        <v>131</v>
      </c>
      <c r="S3658" s="0" t="s">
        <v>21</v>
      </c>
      <c r="T3658" s="0" t="s">
        <v>104</v>
      </c>
      <c r="W3658" s="0" t="s">
        <v>105</v>
      </c>
    </row>
    <row r="3659" customFormat="false" ht="15" hidden="false" customHeight="false" outlineLevel="0" collapsed="false">
      <c r="A3659" s="0" t="s">
        <v>21</v>
      </c>
      <c r="B3659" s="0" t="s">
        <v>11621</v>
      </c>
      <c r="C3659" s="0" t="s">
        <v>97</v>
      </c>
      <c r="D3659" s="0" t="s">
        <v>11622</v>
      </c>
      <c r="E3659" s="0" t="s">
        <v>11623</v>
      </c>
      <c r="M3659" s="0" t="s">
        <v>100</v>
      </c>
      <c r="N3659" s="0" t="s">
        <v>101</v>
      </c>
      <c r="P3659" s="0" t="s">
        <v>102</v>
      </c>
      <c r="Q3659" s="0" t="s">
        <v>102</v>
      </c>
      <c r="R3659" s="0" t="s">
        <v>131</v>
      </c>
      <c r="S3659" s="0" t="s">
        <v>21</v>
      </c>
      <c r="T3659" s="0" t="s">
        <v>104</v>
      </c>
      <c r="W3659" s="0" t="s">
        <v>105</v>
      </c>
    </row>
    <row r="3660" customFormat="false" ht="15" hidden="false" customHeight="false" outlineLevel="0" collapsed="false">
      <c r="A3660" s="0" t="s">
        <v>21</v>
      </c>
      <c r="B3660" s="0" t="s">
        <v>11624</v>
      </c>
      <c r="C3660" s="0" t="s">
        <v>97</v>
      </c>
      <c r="D3660" s="0" t="s">
        <v>11625</v>
      </c>
      <c r="E3660" s="0" t="s">
        <v>11626</v>
      </c>
      <c r="M3660" s="0" t="s">
        <v>100</v>
      </c>
      <c r="N3660" s="0" t="s">
        <v>101</v>
      </c>
      <c r="P3660" s="0" t="s">
        <v>102</v>
      </c>
      <c r="Q3660" s="0" t="s">
        <v>102</v>
      </c>
      <c r="R3660" s="0" t="s">
        <v>131</v>
      </c>
      <c r="S3660" s="0" t="s">
        <v>21</v>
      </c>
      <c r="T3660" s="0" t="s">
        <v>104</v>
      </c>
      <c r="W3660" s="0" t="s">
        <v>105</v>
      </c>
    </row>
    <row r="3661" customFormat="false" ht="15" hidden="false" customHeight="false" outlineLevel="0" collapsed="false">
      <c r="A3661" s="0" t="s">
        <v>21</v>
      </c>
      <c r="B3661" s="0" t="s">
        <v>11627</v>
      </c>
      <c r="C3661" s="0" t="s">
        <v>97</v>
      </c>
      <c r="D3661" s="0" t="s">
        <v>8623</v>
      </c>
      <c r="E3661" s="0" t="s">
        <v>11628</v>
      </c>
      <c r="M3661" s="0" t="s">
        <v>136</v>
      </c>
      <c r="N3661" s="0" t="s">
        <v>124</v>
      </c>
      <c r="P3661" s="0" t="s">
        <v>102</v>
      </c>
      <c r="Q3661" s="0" t="s">
        <v>102</v>
      </c>
      <c r="R3661" s="0" t="s">
        <v>144</v>
      </c>
      <c r="S3661" s="0" t="s">
        <v>21</v>
      </c>
      <c r="T3661" s="0" t="s">
        <v>104</v>
      </c>
      <c r="W3661" s="0" t="s">
        <v>105</v>
      </c>
    </row>
    <row r="3662" customFormat="false" ht="15" hidden="false" customHeight="false" outlineLevel="0" collapsed="false">
      <c r="A3662" s="0" t="s">
        <v>21</v>
      </c>
      <c r="B3662" s="0" t="s">
        <v>11629</v>
      </c>
      <c r="C3662" s="0" t="s">
        <v>97</v>
      </c>
      <c r="D3662" s="0" t="s">
        <v>11630</v>
      </c>
      <c r="E3662" s="0" t="s">
        <v>11631</v>
      </c>
      <c r="F3662" s="0" t="s">
        <v>11631</v>
      </c>
      <c r="M3662" s="0" t="s">
        <v>100</v>
      </c>
      <c r="N3662" s="0" t="s">
        <v>101</v>
      </c>
      <c r="P3662" s="0" t="s">
        <v>102</v>
      </c>
      <c r="Q3662" s="0" t="s">
        <v>102</v>
      </c>
      <c r="R3662" s="0" t="s">
        <v>113</v>
      </c>
      <c r="S3662" s="0" t="s">
        <v>21</v>
      </c>
      <c r="T3662" s="0" t="s">
        <v>104</v>
      </c>
      <c r="W3662" s="0" t="s">
        <v>105</v>
      </c>
    </row>
    <row r="3663" customFormat="false" ht="15" hidden="false" customHeight="false" outlineLevel="0" collapsed="false">
      <c r="A3663" s="0" t="s">
        <v>21</v>
      </c>
      <c r="B3663" s="0" t="s">
        <v>11632</v>
      </c>
      <c r="C3663" s="0" t="s">
        <v>97</v>
      </c>
      <c r="D3663" s="0" t="s">
        <v>11633</v>
      </c>
      <c r="E3663" s="0" t="s">
        <v>11634</v>
      </c>
      <c r="M3663" s="0" t="s">
        <v>136</v>
      </c>
      <c r="N3663" s="0" t="s">
        <v>124</v>
      </c>
      <c r="P3663" s="0" t="s">
        <v>102</v>
      </c>
      <c r="Q3663" s="0" t="s">
        <v>102</v>
      </c>
      <c r="R3663" s="0" t="s">
        <v>131</v>
      </c>
      <c r="S3663" s="0" t="s">
        <v>21</v>
      </c>
      <c r="T3663" s="0" t="s">
        <v>104</v>
      </c>
      <c r="W3663" s="0" t="s">
        <v>105</v>
      </c>
    </row>
    <row r="3664" customFormat="false" ht="15" hidden="false" customHeight="false" outlineLevel="0" collapsed="false">
      <c r="A3664" s="0" t="s">
        <v>21</v>
      </c>
      <c r="B3664" s="0" t="s">
        <v>11635</v>
      </c>
      <c r="C3664" s="0" t="s">
        <v>97</v>
      </c>
      <c r="D3664" s="0" t="s">
        <v>1377</v>
      </c>
      <c r="E3664" s="0" t="s">
        <v>11636</v>
      </c>
      <c r="H3664" s="0" t="s">
        <v>6339</v>
      </c>
      <c r="I3664" s="0" t="s">
        <v>6340</v>
      </c>
      <c r="J3664" s="0" t="s">
        <v>100</v>
      </c>
      <c r="K3664" s="0" t="s">
        <v>1246</v>
      </c>
      <c r="L3664" s="0" t="s">
        <v>101</v>
      </c>
      <c r="M3664" s="0" t="s">
        <v>405</v>
      </c>
      <c r="N3664" s="0" t="s">
        <v>101</v>
      </c>
      <c r="P3664" s="0" t="s">
        <v>102</v>
      </c>
      <c r="Q3664" s="0" t="s">
        <v>102</v>
      </c>
      <c r="R3664" s="0" t="s">
        <v>113</v>
      </c>
      <c r="S3664" s="0" t="s">
        <v>21</v>
      </c>
      <c r="T3664" s="0" t="s">
        <v>104</v>
      </c>
      <c r="W3664" s="0" t="s">
        <v>105</v>
      </c>
      <c r="X3664" s="0" t="s">
        <v>11637</v>
      </c>
      <c r="Y3664" s="0" t="s">
        <v>11638</v>
      </c>
    </row>
    <row r="3665" customFormat="false" ht="15" hidden="false" customHeight="false" outlineLevel="0" collapsed="false">
      <c r="A3665" s="0" t="s">
        <v>21</v>
      </c>
      <c r="B3665" s="0" t="s">
        <v>11639</v>
      </c>
      <c r="C3665" s="0" t="s">
        <v>97</v>
      </c>
      <c r="D3665" s="0" t="s">
        <v>11640</v>
      </c>
      <c r="E3665" s="0" t="s">
        <v>11641</v>
      </c>
      <c r="H3665" s="0" t="s">
        <v>654</v>
      </c>
      <c r="I3665" s="0" t="s">
        <v>655</v>
      </c>
      <c r="J3665" s="0" t="s">
        <v>100</v>
      </c>
      <c r="K3665" s="0" t="s">
        <v>168</v>
      </c>
      <c r="L3665" s="0" t="s">
        <v>101</v>
      </c>
      <c r="M3665" s="0" t="s">
        <v>656</v>
      </c>
      <c r="N3665" s="0" t="s">
        <v>101</v>
      </c>
      <c r="P3665" s="0" t="s">
        <v>102</v>
      </c>
      <c r="Q3665" s="0" t="s">
        <v>102</v>
      </c>
      <c r="R3665" s="0" t="s">
        <v>131</v>
      </c>
      <c r="S3665" s="0" t="s">
        <v>21</v>
      </c>
      <c r="T3665" s="0" t="s">
        <v>104</v>
      </c>
      <c r="W3665" s="0" t="s">
        <v>105</v>
      </c>
      <c r="X3665" s="0" t="s">
        <v>658</v>
      </c>
      <c r="Y3665" s="0" t="s">
        <v>659</v>
      </c>
    </row>
    <row r="3666" customFormat="false" ht="15" hidden="false" customHeight="false" outlineLevel="0" collapsed="false">
      <c r="A3666" s="0" t="s">
        <v>21</v>
      </c>
      <c r="B3666" s="0" t="s">
        <v>11642</v>
      </c>
      <c r="C3666" s="0" t="s">
        <v>97</v>
      </c>
      <c r="D3666" s="0" t="s">
        <v>11643</v>
      </c>
      <c r="E3666" s="0" t="s">
        <v>11644</v>
      </c>
      <c r="H3666" s="0" t="s">
        <v>654</v>
      </c>
      <c r="I3666" s="0" t="s">
        <v>655</v>
      </c>
      <c r="J3666" s="0" t="s">
        <v>100</v>
      </c>
      <c r="K3666" s="0" t="s">
        <v>168</v>
      </c>
      <c r="L3666" s="0" t="s">
        <v>101</v>
      </c>
      <c r="M3666" s="0" t="s">
        <v>656</v>
      </c>
      <c r="N3666" s="0" t="s">
        <v>101</v>
      </c>
      <c r="P3666" s="0" t="s">
        <v>102</v>
      </c>
      <c r="Q3666" s="0" t="s">
        <v>102</v>
      </c>
      <c r="R3666" s="0" t="s">
        <v>131</v>
      </c>
      <c r="S3666" s="0" t="s">
        <v>21</v>
      </c>
      <c r="T3666" s="0" t="s">
        <v>104</v>
      </c>
      <c r="W3666" s="0" t="s">
        <v>105</v>
      </c>
      <c r="X3666" s="0" t="s">
        <v>658</v>
      </c>
      <c r="Y3666" s="0" t="s">
        <v>659</v>
      </c>
    </row>
    <row r="3667" customFormat="false" ht="15" hidden="false" customHeight="false" outlineLevel="0" collapsed="false">
      <c r="A3667" s="0" t="s">
        <v>21</v>
      </c>
      <c r="B3667" s="0" t="s">
        <v>11645</v>
      </c>
      <c r="C3667" s="0" t="s">
        <v>97</v>
      </c>
      <c r="D3667" s="0" t="s">
        <v>11646</v>
      </c>
      <c r="E3667" s="0" t="s">
        <v>11647</v>
      </c>
      <c r="H3667" s="0" t="s">
        <v>654</v>
      </c>
      <c r="I3667" s="0" t="s">
        <v>655</v>
      </c>
      <c r="J3667" s="0" t="s">
        <v>100</v>
      </c>
      <c r="K3667" s="0" t="s">
        <v>168</v>
      </c>
      <c r="L3667" s="0" t="s">
        <v>101</v>
      </c>
      <c r="M3667" s="0" t="s">
        <v>656</v>
      </c>
      <c r="N3667" s="0" t="s">
        <v>101</v>
      </c>
      <c r="P3667" s="0" t="s">
        <v>102</v>
      </c>
      <c r="Q3667" s="0" t="s">
        <v>102</v>
      </c>
      <c r="R3667" s="0" t="s">
        <v>131</v>
      </c>
      <c r="S3667" s="0" t="s">
        <v>21</v>
      </c>
      <c r="T3667" s="0" t="s">
        <v>104</v>
      </c>
      <c r="W3667" s="0" t="s">
        <v>105</v>
      </c>
      <c r="X3667" s="0" t="s">
        <v>658</v>
      </c>
      <c r="Y3667" s="0" t="s">
        <v>659</v>
      </c>
    </row>
    <row r="3668" customFormat="false" ht="15" hidden="false" customHeight="false" outlineLevel="0" collapsed="false">
      <c r="A3668" s="0" t="s">
        <v>21</v>
      </c>
      <c r="B3668" s="0" t="s">
        <v>11648</v>
      </c>
      <c r="C3668" s="0" t="s">
        <v>97</v>
      </c>
      <c r="D3668" s="0" t="s">
        <v>11649</v>
      </c>
      <c r="E3668" s="0" t="s">
        <v>11650</v>
      </c>
      <c r="H3668" s="0" t="s">
        <v>654</v>
      </c>
      <c r="I3668" s="0" t="s">
        <v>655</v>
      </c>
      <c r="J3668" s="0" t="s">
        <v>100</v>
      </c>
      <c r="K3668" s="0" t="s">
        <v>168</v>
      </c>
      <c r="L3668" s="0" t="s">
        <v>101</v>
      </c>
      <c r="M3668" s="0" t="s">
        <v>656</v>
      </c>
      <c r="N3668" s="0" t="s">
        <v>101</v>
      </c>
      <c r="P3668" s="0" t="s">
        <v>102</v>
      </c>
      <c r="Q3668" s="0" t="s">
        <v>102</v>
      </c>
      <c r="R3668" s="0" t="s">
        <v>131</v>
      </c>
      <c r="S3668" s="0" t="s">
        <v>21</v>
      </c>
      <c r="T3668" s="0" t="s">
        <v>104</v>
      </c>
      <c r="W3668" s="0" t="s">
        <v>105</v>
      </c>
      <c r="X3668" s="0" t="s">
        <v>658</v>
      </c>
      <c r="Y3668" s="0" t="s">
        <v>659</v>
      </c>
    </row>
    <row r="3669" customFormat="false" ht="15" hidden="false" customHeight="false" outlineLevel="0" collapsed="false">
      <c r="A3669" s="0" t="s">
        <v>21</v>
      </c>
      <c r="B3669" s="0" t="s">
        <v>11651</v>
      </c>
      <c r="C3669" s="0" t="s">
        <v>97</v>
      </c>
      <c r="D3669" s="0" t="s">
        <v>11652</v>
      </c>
      <c r="E3669" s="0" t="s">
        <v>11653</v>
      </c>
      <c r="M3669" s="0" t="s">
        <v>100</v>
      </c>
      <c r="N3669" s="0" t="s">
        <v>101</v>
      </c>
      <c r="P3669" s="0" t="s">
        <v>102</v>
      </c>
      <c r="Q3669" s="0" t="s">
        <v>102</v>
      </c>
      <c r="R3669" s="0" t="s">
        <v>131</v>
      </c>
      <c r="S3669" s="0" t="s">
        <v>21</v>
      </c>
      <c r="T3669" s="0" t="s">
        <v>104</v>
      </c>
      <c r="W3669" s="0" t="s">
        <v>105</v>
      </c>
    </row>
    <row r="3670" customFormat="false" ht="15" hidden="false" customHeight="false" outlineLevel="0" collapsed="false">
      <c r="A3670" s="0" t="s">
        <v>21</v>
      </c>
      <c r="B3670" s="0" t="s">
        <v>11654</v>
      </c>
      <c r="C3670" s="0" t="s">
        <v>97</v>
      </c>
      <c r="D3670" s="0" t="s">
        <v>11652</v>
      </c>
      <c r="E3670" s="0" t="s">
        <v>11653</v>
      </c>
      <c r="H3670" s="0" t="s">
        <v>654</v>
      </c>
      <c r="I3670" s="0" t="s">
        <v>655</v>
      </c>
      <c r="J3670" s="0" t="s">
        <v>100</v>
      </c>
      <c r="K3670" s="0" t="s">
        <v>168</v>
      </c>
      <c r="L3670" s="0" t="s">
        <v>101</v>
      </c>
      <c r="M3670" s="0" t="s">
        <v>656</v>
      </c>
      <c r="N3670" s="0" t="s">
        <v>101</v>
      </c>
      <c r="P3670" s="0" t="s">
        <v>102</v>
      </c>
      <c r="Q3670" s="0" t="s">
        <v>102</v>
      </c>
      <c r="R3670" s="0" t="s">
        <v>131</v>
      </c>
      <c r="S3670" s="0" t="s">
        <v>21</v>
      </c>
      <c r="T3670" s="0" t="s">
        <v>104</v>
      </c>
      <c r="W3670" s="0" t="s">
        <v>105</v>
      </c>
      <c r="X3670" s="0" t="s">
        <v>658</v>
      </c>
      <c r="Y3670" s="0" t="s">
        <v>659</v>
      </c>
    </row>
    <row r="3671" customFormat="false" ht="15" hidden="false" customHeight="false" outlineLevel="0" collapsed="false">
      <c r="A3671" s="0" t="s">
        <v>21</v>
      </c>
      <c r="B3671" s="0" t="s">
        <v>11655</v>
      </c>
      <c r="C3671" s="0" t="s">
        <v>97</v>
      </c>
      <c r="D3671" s="0" t="s">
        <v>11652</v>
      </c>
      <c r="E3671" s="0" t="s">
        <v>11652</v>
      </c>
      <c r="M3671" s="0" t="s">
        <v>442</v>
      </c>
      <c r="N3671" s="0" t="s">
        <v>101</v>
      </c>
      <c r="P3671" s="0" t="s">
        <v>102</v>
      </c>
      <c r="Q3671" s="0" t="s">
        <v>102</v>
      </c>
      <c r="R3671" s="0" t="s">
        <v>131</v>
      </c>
      <c r="S3671" s="0" t="s">
        <v>21</v>
      </c>
      <c r="T3671" s="0" t="s">
        <v>104</v>
      </c>
      <c r="W3671" s="0" t="s">
        <v>105</v>
      </c>
    </row>
    <row r="3672" customFormat="false" ht="15" hidden="false" customHeight="false" outlineLevel="0" collapsed="false">
      <c r="A3672" s="0" t="s">
        <v>21</v>
      </c>
      <c r="B3672" s="0" t="s">
        <v>11656</v>
      </c>
      <c r="C3672" s="0" t="s">
        <v>97</v>
      </c>
      <c r="D3672" s="0" t="s">
        <v>11657</v>
      </c>
      <c r="E3672" s="0" t="s">
        <v>11658</v>
      </c>
      <c r="G3672" s="0" t="s">
        <v>11659</v>
      </c>
      <c r="M3672" s="0" t="s">
        <v>442</v>
      </c>
      <c r="N3672" s="0" t="s">
        <v>101</v>
      </c>
      <c r="P3672" s="0" t="s">
        <v>102</v>
      </c>
      <c r="Q3672" s="0" t="s">
        <v>102</v>
      </c>
      <c r="R3672" s="0" t="s">
        <v>113</v>
      </c>
      <c r="S3672" s="0" t="s">
        <v>21</v>
      </c>
      <c r="T3672" s="0" t="s">
        <v>104</v>
      </c>
      <c r="W3672" s="0" t="s">
        <v>105</v>
      </c>
    </row>
    <row r="3673" customFormat="false" ht="15" hidden="false" customHeight="false" outlineLevel="0" collapsed="false">
      <c r="A3673" s="0" t="s">
        <v>21</v>
      </c>
      <c r="B3673" s="0" t="s">
        <v>11660</v>
      </c>
      <c r="C3673" s="0" t="s">
        <v>97</v>
      </c>
      <c r="D3673" s="0" t="s">
        <v>11661</v>
      </c>
      <c r="E3673" s="0" t="s">
        <v>11662</v>
      </c>
      <c r="H3673" s="0" t="s">
        <v>654</v>
      </c>
      <c r="I3673" s="0" t="s">
        <v>655</v>
      </c>
      <c r="J3673" s="0" t="s">
        <v>100</v>
      </c>
      <c r="K3673" s="0" t="s">
        <v>168</v>
      </c>
      <c r="L3673" s="0" t="s">
        <v>101</v>
      </c>
      <c r="M3673" s="0" t="s">
        <v>656</v>
      </c>
      <c r="N3673" s="0" t="s">
        <v>101</v>
      </c>
      <c r="P3673" s="0" t="s">
        <v>102</v>
      </c>
      <c r="Q3673" s="0" t="s">
        <v>102</v>
      </c>
      <c r="R3673" s="0" t="s">
        <v>131</v>
      </c>
      <c r="S3673" s="0" t="s">
        <v>21</v>
      </c>
      <c r="T3673" s="0" t="s">
        <v>104</v>
      </c>
      <c r="W3673" s="0" t="s">
        <v>105</v>
      </c>
      <c r="X3673" s="0" t="s">
        <v>658</v>
      </c>
      <c r="Y3673" s="0" t="s">
        <v>659</v>
      </c>
    </row>
    <row r="3674" customFormat="false" ht="15" hidden="false" customHeight="false" outlineLevel="0" collapsed="false">
      <c r="A3674" s="0" t="s">
        <v>21</v>
      </c>
      <c r="B3674" s="0" t="s">
        <v>11663</v>
      </c>
      <c r="C3674" s="0" t="s">
        <v>97</v>
      </c>
      <c r="D3674" s="0" t="s">
        <v>11664</v>
      </c>
      <c r="E3674" s="0" t="s">
        <v>11665</v>
      </c>
      <c r="H3674" s="0" t="s">
        <v>654</v>
      </c>
      <c r="I3674" s="0" t="s">
        <v>655</v>
      </c>
      <c r="J3674" s="0" t="s">
        <v>100</v>
      </c>
      <c r="K3674" s="0" t="s">
        <v>168</v>
      </c>
      <c r="L3674" s="0" t="s">
        <v>101</v>
      </c>
      <c r="M3674" s="0" t="s">
        <v>656</v>
      </c>
      <c r="N3674" s="0" t="s">
        <v>101</v>
      </c>
      <c r="P3674" s="0" t="s">
        <v>102</v>
      </c>
      <c r="Q3674" s="0" t="s">
        <v>102</v>
      </c>
      <c r="R3674" s="0" t="s">
        <v>131</v>
      </c>
      <c r="S3674" s="0" t="s">
        <v>21</v>
      </c>
      <c r="T3674" s="0" t="s">
        <v>104</v>
      </c>
      <c r="W3674" s="0" t="s">
        <v>105</v>
      </c>
      <c r="X3674" s="0" t="s">
        <v>658</v>
      </c>
      <c r="Y3674" s="0" t="s">
        <v>659</v>
      </c>
    </row>
    <row r="3675" customFormat="false" ht="15" hidden="false" customHeight="false" outlineLevel="0" collapsed="false">
      <c r="A3675" s="0" t="s">
        <v>21</v>
      </c>
      <c r="B3675" s="0" t="s">
        <v>11666</v>
      </c>
      <c r="C3675" s="0" t="s">
        <v>97</v>
      </c>
      <c r="D3675" s="0" t="s">
        <v>11667</v>
      </c>
      <c r="E3675" s="0" t="s">
        <v>11668</v>
      </c>
      <c r="M3675" s="0" t="s">
        <v>656</v>
      </c>
      <c r="N3675" s="0" t="s">
        <v>101</v>
      </c>
      <c r="P3675" s="0" t="s">
        <v>102</v>
      </c>
      <c r="Q3675" s="0" t="s">
        <v>102</v>
      </c>
      <c r="R3675" s="0" t="s">
        <v>131</v>
      </c>
      <c r="S3675" s="0" t="s">
        <v>21</v>
      </c>
      <c r="T3675" s="0" t="s">
        <v>104</v>
      </c>
      <c r="W3675" s="0" t="s">
        <v>105</v>
      </c>
    </row>
    <row r="3676" customFormat="false" ht="15" hidden="false" customHeight="false" outlineLevel="0" collapsed="false">
      <c r="A3676" s="0" t="s">
        <v>21</v>
      </c>
      <c r="B3676" s="0" t="s">
        <v>11669</v>
      </c>
      <c r="C3676" s="0" t="s">
        <v>97</v>
      </c>
      <c r="D3676" s="0" t="s">
        <v>11670</v>
      </c>
      <c r="E3676" s="0" t="s">
        <v>11671</v>
      </c>
      <c r="G3676" s="0" t="s">
        <v>11672</v>
      </c>
      <c r="M3676" s="0" t="s">
        <v>367</v>
      </c>
      <c r="N3676" s="0" t="s">
        <v>101</v>
      </c>
      <c r="P3676" s="0" t="s">
        <v>102</v>
      </c>
      <c r="Q3676" s="0" t="s">
        <v>102</v>
      </c>
      <c r="R3676" s="0" t="s">
        <v>113</v>
      </c>
      <c r="S3676" s="0" t="s">
        <v>21</v>
      </c>
      <c r="T3676" s="0" t="s">
        <v>104</v>
      </c>
      <c r="W3676" s="0" t="s">
        <v>105</v>
      </c>
    </row>
    <row r="3677" customFormat="false" ht="15" hidden="false" customHeight="false" outlineLevel="0" collapsed="false">
      <c r="A3677" s="0" t="s">
        <v>21</v>
      </c>
      <c r="B3677" s="0" t="s">
        <v>11673</v>
      </c>
      <c r="C3677" s="0" t="s">
        <v>97</v>
      </c>
      <c r="D3677" s="0" t="s">
        <v>11674</v>
      </c>
      <c r="E3677" s="0" t="s">
        <v>11675</v>
      </c>
      <c r="H3677" s="0" t="s">
        <v>654</v>
      </c>
      <c r="I3677" s="0" t="s">
        <v>655</v>
      </c>
      <c r="J3677" s="0" t="s">
        <v>100</v>
      </c>
      <c r="K3677" s="0" t="s">
        <v>168</v>
      </c>
      <c r="L3677" s="0" t="s">
        <v>101</v>
      </c>
      <c r="M3677" s="0" t="s">
        <v>656</v>
      </c>
      <c r="N3677" s="0" t="s">
        <v>101</v>
      </c>
      <c r="P3677" s="0" t="s">
        <v>102</v>
      </c>
      <c r="Q3677" s="0" t="s">
        <v>102</v>
      </c>
      <c r="R3677" s="0" t="s">
        <v>131</v>
      </c>
      <c r="S3677" s="0" t="s">
        <v>21</v>
      </c>
      <c r="T3677" s="0" t="s">
        <v>104</v>
      </c>
      <c r="W3677" s="0" t="s">
        <v>105</v>
      </c>
      <c r="X3677" s="0" t="s">
        <v>658</v>
      </c>
      <c r="Y3677" s="0" t="s">
        <v>659</v>
      </c>
    </row>
    <row r="3678" customFormat="false" ht="15" hidden="false" customHeight="false" outlineLevel="0" collapsed="false">
      <c r="A3678" s="0" t="s">
        <v>21</v>
      </c>
      <c r="B3678" s="0" t="s">
        <v>11676</v>
      </c>
      <c r="C3678" s="0" t="s">
        <v>97</v>
      </c>
      <c r="D3678" s="0" t="s">
        <v>11677</v>
      </c>
      <c r="E3678" s="0" t="s">
        <v>11678</v>
      </c>
      <c r="M3678" s="0" t="s">
        <v>656</v>
      </c>
      <c r="N3678" s="0" t="s">
        <v>101</v>
      </c>
      <c r="P3678" s="0" t="s">
        <v>102</v>
      </c>
      <c r="Q3678" s="0" t="s">
        <v>102</v>
      </c>
      <c r="R3678" s="0" t="s">
        <v>113</v>
      </c>
      <c r="S3678" s="0" t="s">
        <v>21</v>
      </c>
      <c r="T3678" s="0" t="s">
        <v>104</v>
      </c>
      <c r="W3678" s="0" t="s">
        <v>105</v>
      </c>
    </row>
    <row r="3679" customFormat="false" ht="15" hidden="false" customHeight="false" outlineLevel="0" collapsed="false">
      <c r="A3679" s="0" t="s">
        <v>21</v>
      </c>
      <c r="B3679" s="0" t="s">
        <v>11679</v>
      </c>
      <c r="C3679" s="0" t="s">
        <v>97</v>
      </c>
      <c r="D3679" s="0" t="s">
        <v>11680</v>
      </c>
      <c r="E3679" s="0" t="s">
        <v>11681</v>
      </c>
      <c r="G3679" s="0" t="s">
        <v>11682</v>
      </c>
      <c r="M3679" s="0" t="s">
        <v>442</v>
      </c>
      <c r="N3679" s="0" t="s">
        <v>101</v>
      </c>
      <c r="P3679" s="0" t="s">
        <v>102</v>
      </c>
      <c r="Q3679" s="0" t="s">
        <v>102</v>
      </c>
      <c r="R3679" s="0" t="s">
        <v>113</v>
      </c>
      <c r="S3679" s="0" t="s">
        <v>21</v>
      </c>
      <c r="T3679" s="0" t="s">
        <v>104</v>
      </c>
      <c r="W3679" s="0" t="s">
        <v>105</v>
      </c>
    </row>
    <row r="3680" customFormat="false" ht="15" hidden="false" customHeight="false" outlineLevel="0" collapsed="false">
      <c r="A3680" s="0" t="s">
        <v>21</v>
      </c>
      <c r="B3680" s="0" t="s">
        <v>11683</v>
      </c>
      <c r="C3680" s="0" t="s">
        <v>97</v>
      </c>
      <c r="D3680" s="0" t="s">
        <v>11684</v>
      </c>
      <c r="E3680" s="0" t="s">
        <v>11685</v>
      </c>
      <c r="H3680" s="0" t="s">
        <v>654</v>
      </c>
      <c r="I3680" s="0" t="s">
        <v>655</v>
      </c>
      <c r="J3680" s="0" t="s">
        <v>100</v>
      </c>
      <c r="K3680" s="0" t="s">
        <v>168</v>
      </c>
      <c r="L3680" s="0" t="s">
        <v>101</v>
      </c>
      <c r="M3680" s="0" t="s">
        <v>656</v>
      </c>
      <c r="N3680" s="0" t="s">
        <v>101</v>
      </c>
      <c r="P3680" s="0" t="s">
        <v>102</v>
      </c>
      <c r="Q3680" s="0" t="s">
        <v>102</v>
      </c>
      <c r="R3680" s="0" t="s">
        <v>131</v>
      </c>
      <c r="S3680" s="0" t="s">
        <v>21</v>
      </c>
      <c r="T3680" s="0" t="s">
        <v>104</v>
      </c>
      <c r="W3680" s="0" t="s">
        <v>105</v>
      </c>
      <c r="X3680" s="0" t="s">
        <v>658</v>
      </c>
      <c r="Y3680" s="0" t="s">
        <v>659</v>
      </c>
    </row>
    <row r="3681" customFormat="false" ht="55.2" hidden="false" customHeight="false" outlineLevel="0" collapsed="false">
      <c r="A3681" s="0" t="s">
        <v>21</v>
      </c>
      <c r="B3681" s="0" t="s">
        <v>11686</v>
      </c>
      <c r="C3681" s="0" t="s">
        <v>97</v>
      </c>
      <c r="D3681" s="0" t="s">
        <v>11687</v>
      </c>
      <c r="E3681" s="0" t="s">
        <v>11688</v>
      </c>
      <c r="G3681" s="9" t="s">
        <v>11689</v>
      </c>
      <c r="M3681" s="0" t="s">
        <v>100</v>
      </c>
      <c r="N3681" s="0" t="s">
        <v>101</v>
      </c>
      <c r="P3681" s="0" t="s">
        <v>102</v>
      </c>
      <c r="Q3681" s="0" t="s">
        <v>102</v>
      </c>
      <c r="R3681" s="0" t="s">
        <v>113</v>
      </c>
      <c r="S3681" s="0" t="s">
        <v>21</v>
      </c>
      <c r="T3681" s="0" t="s">
        <v>104</v>
      </c>
      <c r="W3681" s="0" t="s">
        <v>105</v>
      </c>
    </row>
    <row r="3682" customFormat="false" ht="15" hidden="false" customHeight="false" outlineLevel="0" collapsed="false">
      <c r="A3682" s="0" t="s">
        <v>21</v>
      </c>
      <c r="B3682" s="0" t="s">
        <v>11690</v>
      </c>
      <c r="C3682" s="0" t="s">
        <v>97</v>
      </c>
      <c r="D3682" s="0" t="s">
        <v>11691</v>
      </c>
      <c r="E3682" s="0" t="s">
        <v>11692</v>
      </c>
      <c r="H3682" s="0" t="s">
        <v>654</v>
      </c>
      <c r="I3682" s="0" t="s">
        <v>655</v>
      </c>
      <c r="J3682" s="0" t="s">
        <v>100</v>
      </c>
      <c r="K3682" s="0" t="s">
        <v>168</v>
      </c>
      <c r="L3682" s="0" t="s">
        <v>101</v>
      </c>
      <c r="M3682" s="0" t="s">
        <v>656</v>
      </c>
      <c r="N3682" s="0" t="s">
        <v>101</v>
      </c>
      <c r="P3682" s="0" t="s">
        <v>102</v>
      </c>
      <c r="Q3682" s="0" t="s">
        <v>102</v>
      </c>
      <c r="R3682" s="0" t="s">
        <v>131</v>
      </c>
      <c r="S3682" s="0" t="s">
        <v>21</v>
      </c>
      <c r="T3682" s="0" t="s">
        <v>104</v>
      </c>
      <c r="W3682" s="0" t="s">
        <v>105</v>
      </c>
      <c r="X3682" s="0" t="s">
        <v>658</v>
      </c>
      <c r="Y3682" s="0" t="s">
        <v>659</v>
      </c>
    </row>
    <row r="3683" customFormat="false" ht="15" hidden="false" customHeight="false" outlineLevel="0" collapsed="false">
      <c r="A3683" s="0" t="s">
        <v>21</v>
      </c>
      <c r="B3683" s="0" t="s">
        <v>11693</v>
      </c>
      <c r="C3683" s="0" t="s">
        <v>97</v>
      </c>
      <c r="D3683" s="0" t="s">
        <v>11694</v>
      </c>
      <c r="E3683" s="0" t="s">
        <v>11695</v>
      </c>
      <c r="H3683" s="0" t="s">
        <v>654</v>
      </c>
      <c r="I3683" s="0" t="s">
        <v>655</v>
      </c>
      <c r="J3683" s="0" t="s">
        <v>100</v>
      </c>
      <c r="K3683" s="0" t="s">
        <v>168</v>
      </c>
      <c r="L3683" s="0" t="s">
        <v>101</v>
      </c>
      <c r="M3683" s="0" t="s">
        <v>656</v>
      </c>
      <c r="N3683" s="0" t="s">
        <v>101</v>
      </c>
      <c r="P3683" s="0" t="s">
        <v>102</v>
      </c>
      <c r="Q3683" s="0" t="s">
        <v>102</v>
      </c>
      <c r="R3683" s="0" t="s">
        <v>131</v>
      </c>
      <c r="S3683" s="0" t="s">
        <v>21</v>
      </c>
      <c r="T3683" s="0" t="s">
        <v>104</v>
      </c>
      <c r="W3683" s="0" t="s">
        <v>105</v>
      </c>
      <c r="X3683" s="0" t="s">
        <v>658</v>
      </c>
      <c r="Y3683" s="0" t="s">
        <v>659</v>
      </c>
    </row>
    <row r="3684" customFormat="false" ht="15" hidden="false" customHeight="false" outlineLevel="0" collapsed="false">
      <c r="A3684" s="0" t="s">
        <v>21</v>
      </c>
      <c r="B3684" s="0" t="s">
        <v>11696</v>
      </c>
      <c r="C3684" s="0" t="s">
        <v>4845</v>
      </c>
      <c r="D3684" s="0" t="s">
        <v>11697</v>
      </c>
      <c r="E3684" s="0" t="s">
        <v>11698</v>
      </c>
      <c r="G3684" s="0" t="s">
        <v>11699</v>
      </c>
      <c r="M3684" s="0" t="s">
        <v>1402</v>
      </c>
      <c r="N3684" s="0" t="s">
        <v>101</v>
      </c>
      <c r="P3684" s="0" t="s">
        <v>102</v>
      </c>
      <c r="Q3684" s="0" t="s">
        <v>102</v>
      </c>
      <c r="R3684" s="0" t="s">
        <v>113</v>
      </c>
      <c r="S3684" s="0" t="s">
        <v>21</v>
      </c>
      <c r="T3684" s="0" t="s">
        <v>104</v>
      </c>
      <c r="W3684" s="0" t="s">
        <v>105</v>
      </c>
    </row>
    <row r="3685" customFormat="false" ht="15" hidden="false" customHeight="false" outlineLevel="0" collapsed="false">
      <c r="A3685" s="0" t="s">
        <v>21</v>
      </c>
      <c r="B3685" s="0" t="s">
        <v>11700</v>
      </c>
      <c r="C3685" s="0" t="s">
        <v>97</v>
      </c>
      <c r="D3685" s="0" t="s">
        <v>11701</v>
      </c>
      <c r="E3685" s="0" t="s">
        <v>11702</v>
      </c>
      <c r="H3685" s="0" t="s">
        <v>654</v>
      </c>
      <c r="I3685" s="0" t="s">
        <v>655</v>
      </c>
      <c r="J3685" s="0" t="s">
        <v>100</v>
      </c>
      <c r="K3685" s="0" t="s">
        <v>168</v>
      </c>
      <c r="L3685" s="0" t="s">
        <v>101</v>
      </c>
      <c r="M3685" s="0" t="s">
        <v>656</v>
      </c>
      <c r="N3685" s="0" t="s">
        <v>101</v>
      </c>
      <c r="P3685" s="0" t="s">
        <v>102</v>
      </c>
      <c r="Q3685" s="0" t="s">
        <v>102</v>
      </c>
      <c r="R3685" s="0" t="s">
        <v>131</v>
      </c>
      <c r="S3685" s="0" t="s">
        <v>21</v>
      </c>
      <c r="T3685" s="0" t="s">
        <v>104</v>
      </c>
      <c r="W3685" s="0" t="s">
        <v>105</v>
      </c>
      <c r="X3685" s="0" t="s">
        <v>658</v>
      </c>
      <c r="Y3685" s="0" t="s">
        <v>659</v>
      </c>
    </row>
    <row r="3686" customFormat="false" ht="15" hidden="false" customHeight="false" outlineLevel="0" collapsed="false">
      <c r="A3686" s="0" t="s">
        <v>21</v>
      </c>
      <c r="B3686" s="0" t="s">
        <v>11703</v>
      </c>
      <c r="C3686" s="0" t="s">
        <v>97</v>
      </c>
      <c r="D3686" s="0" t="s">
        <v>11704</v>
      </c>
      <c r="E3686" s="0" t="s">
        <v>11705</v>
      </c>
      <c r="H3686" s="0" t="s">
        <v>654</v>
      </c>
      <c r="I3686" s="0" t="s">
        <v>655</v>
      </c>
      <c r="J3686" s="0" t="s">
        <v>100</v>
      </c>
      <c r="K3686" s="0" t="s">
        <v>168</v>
      </c>
      <c r="L3686" s="0" t="s">
        <v>101</v>
      </c>
      <c r="M3686" s="0" t="s">
        <v>656</v>
      </c>
      <c r="N3686" s="0" t="s">
        <v>101</v>
      </c>
      <c r="P3686" s="0" t="s">
        <v>102</v>
      </c>
      <c r="Q3686" s="0" t="s">
        <v>102</v>
      </c>
      <c r="R3686" s="0" t="s">
        <v>131</v>
      </c>
      <c r="S3686" s="0" t="s">
        <v>21</v>
      </c>
      <c r="T3686" s="0" t="s">
        <v>104</v>
      </c>
      <c r="W3686" s="0" t="s">
        <v>105</v>
      </c>
      <c r="X3686" s="0" t="s">
        <v>658</v>
      </c>
      <c r="Y3686" s="0" t="s">
        <v>659</v>
      </c>
    </row>
    <row r="3687" customFormat="false" ht="15" hidden="false" customHeight="false" outlineLevel="0" collapsed="false">
      <c r="A3687" s="0" t="s">
        <v>21</v>
      </c>
      <c r="B3687" s="0" t="s">
        <v>11706</v>
      </c>
      <c r="C3687" s="0" t="s">
        <v>97</v>
      </c>
      <c r="D3687" s="0" t="s">
        <v>11707</v>
      </c>
      <c r="E3687" s="0" t="s">
        <v>11708</v>
      </c>
      <c r="H3687" s="0" t="s">
        <v>11709</v>
      </c>
      <c r="I3687" s="0" t="s">
        <v>398</v>
      </c>
      <c r="J3687" s="0" t="s">
        <v>398</v>
      </c>
      <c r="K3687" s="0" t="s">
        <v>687</v>
      </c>
      <c r="L3687" s="0" t="s">
        <v>101</v>
      </c>
      <c r="M3687" s="0" t="s">
        <v>398</v>
      </c>
      <c r="N3687" s="0" t="s">
        <v>101</v>
      </c>
      <c r="P3687" s="0" t="s">
        <v>102</v>
      </c>
      <c r="Q3687" s="0" t="s">
        <v>102</v>
      </c>
      <c r="R3687" s="0" t="s">
        <v>131</v>
      </c>
      <c r="S3687" s="0" t="s">
        <v>21</v>
      </c>
      <c r="T3687" s="0" t="s">
        <v>104</v>
      </c>
      <c r="W3687" s="0" t="s">
        <v>105</v>
      </c>
      <c r="X3687" s="0" t="s">
        <v>11710</v>
      </c>
      <c r="Y3687" s="0" t="s">
        <v>11711</v>
      </c>
    </row>
    <row r="3688" customFormat="false" ht="15" hidden="false" customHeight="false" outlineLevel="0" collapsed="false">
      <c r="A3688" s="0" t="s">
        <v>21</v>
      </c>
      <c r="B3688" s="0" t="s">
        <v>11712</v>
      </c>
      <c r="C3688" s="0" t="s">
        <v>97</v>
      </c>
      <c r="D3688" s="0" t="s">
        <v>11713</v>
      </c>
      <c r="E3688" s="0" t="s">
        <v>11714</v>
      </c>
      <c r="H3688" s="0" t="s">
        <v>654</v>
      </c>
      <c r="I3688" s="0" t="s">
        <v>655</v>
      </c>
      <c r="J3688" s="0" t="s">
        <v>100</v>
      </c>
      <c r="K3688" s="0" t="s">
        <v>168</v>
      </c>
      <c r="L3688" s="0" t="s">
        <v>101</v>
      </c>
      <c r="M3688" s="0" t="s">
        <v>656</v>
      </c>
      <c r="N3688" s="0" t="s">
        <v>101</v>
      </c>
      <c r="P3688" s="0" t="s">
        <v>102</v>
      </c>
      <c r="Q3688" s="0" t="s">
        <v>102</v>
      </c>
      <c r="R3688" s="0" t="s">
        <v>131</v>
      </c>
      <c r="S3688" s="0" t="s">
        <v>21</v>
      </c>
      <c r="T3688" s="0" t="s">
        <v>104</v>
      </c>
      <c r="W3688" s="0" t="s">
        <v>105</v>
      </c>
      <c r="X3688" s="0" t="s">
        <v>658</v>
      </c>
      <c r="Y3688" s="0" t="s">
        <v>659</v>
      </c>
    </row>
    <row r="3689" customFormat="false" ht="15" hidden="false" customHeight="false" outlineLevel="0" collapsed="false">
      <c r="A3689" s="0" t="s">
        <v>21</v>
      </c>
      <c r="B3689" s="0" t="s">
        <v>11715</v>
      </c>
      <c r="C3689" s="0" t="s">
        <v>97</v>
      </c>
      <c r="D3689" s="0" t="s">
        <v>11716</v>
      </c>
      <c r="E3689" s="0" t="s">
        <v>11717</v>
      </c>
      <c r="H3689" s="0" t="s">
        <v>654</v>
      </c>
      <c r="I3689" s="0" t="s">
        <v>655</v>
      </c>
      <c r="J3689" s="0" t="s">
        <v>100</v>
      </c>
      <c r="K3689" s="0" t="s">
        <v>168</v>
      </c>
      <c r="L3689" s="0" t="s">
        <v>101</v>
      </c>
      <c r="M3689" s="0" t="s">
        <v>656</v>
      </c>
      <c r="N3689" s="0" t="s">
        <v>101</v>
      </c>
      <c r="P3689" s="0" t="s">
        <v>102</v>
      </c>
      <c r="Q3689" s="0" t="s">
        <v>102</v>
      </c>
      <c r="R3689" s="0" t="s">
        <v>131</v>
      </c>
      <c r="S3689" s="0" t="s">
        <v>21</v>
      </c>
      <c r="T3689" s="0" t="s">
        <v>104</v>
      </c>
      <c r="W3689" s="0" t="s">
        <v>105</v>
      </c>
      <c r="X3689" s="0" t="s">
        <v>658</v>
      </c>
      <c r="Y3689" s="0" t="s">
        <v>659</v>
      </c>
    </row>
    <row r="3690" customFormat="false" ht="15" hidden="false" customHeight="false" outlineLevel="0" collapsed="false">
      <c r="A3690" s="0" t="s">
        <v>21</v>
      </c>
      <c r="B3690" s="0" t="s">
        <v>11718</v>
      </c>
      <c r="C3690" s="0" t="s">
        <v>97</v>
      </c>
      <c r="D3690" s="0" t="s">
        <v>11719</v>
      </c>
      <c r="E3690" s="0" t="s">
        <v>11720</v>
      </c>
      <c r="H3690" s="0" t="s">
        <v>654</v>
      </c>
      <c r="I3690" s="0" t="s">
        <v>655</v>
      </c>
      <c r="J3690" s="0" t="s">
        <v>100</v>
      </c>
      <c r="K3690" s="0" t="s">
        <v>168</v>
      </c>
      <c r="L3690" s="0" t="s">
        <v>101</v>
      </c>
      <c r="M3690" s="0" t="s">
        <v>656</v>
      </c>
      <c r="N3690" s="0" t="s">
        <v>101</v>
      </c>
      <c r="P3690" s="0" t="s">
        <v>102</v>
      </c>
      <c r="Q3690" s="0" t="s">
        <v>102</v>
      </c>
      <c r="R3690" s="0" t="s">
        <v>131</v>
      </c>
      <c r="S3690" s="0" t="s">
        <v>21</v>
      </c>
      <c r="T3690" s="0" t="s">
        <v>104</v>
      </c>
      <c r="W3690" s="0" t="s">
        <v>105</v>
      </c>
      <c r="X3690" s="0" t="s">
        <v>658</v>
      </c>
      <c r="Y3690" s="0" t="s">
        <v>659</v>
      </c>
    </row>
    <row r="3691" customFormat="false" ht="15" hidden="false" customHeight="false" outlineLevel="0" collapsed="false">
      <c r="A3691" s="0" t="s">
        <v>21</v>
      </c>
      <c r="B3691" s="0" t="s">
        <v>11721</v>
      </c>
      <c r="C3691" s="0" t="s">
        <v>97</v>
      </c>
      <c r="D3691" s="0" t="s">
        <v>11722</v>
      </c>
      <c r="E3691" s="0" t="s">
        <v>11723</v>
      </c>
      <c r="H3691" s="0" t="s">
        <v>654</v>
      </c>
      <c r="I3691" s="0" t="s">
        <v>655</v>
      </c>
      <c r="J3691" s="0" t="s">
        <v>100</v>
      </c>
      <c r="K3691" s="0" t="s">
        <v>168</v>
      </c>
      <c r="L3691" s="0" t="s">
        <v>101</v>
      </c>
      <c r="M3691" s="0" t="s">
        <v>656</v>
      </c>
      <c r="N3691" s="0" t="s">
        <v>101</v>
      </c>
      <c r="P3691" s="0" t="s">
        <v>102</v>
      </c>
      <c r="Q3691" s="0" t="s">
        <v>102</v>
      </c>
      <c r="R3691" s="0" t="s">
        <v>113</v>
      </c>
      <c r="S3691" s="0" t="s">
        <v>21</v>
      </c>
      <c r="T3691" s="0" t="s">
        <v>104</v>
      </c>
      <c r="W3691" s="0" t="s">
        <v>105</v>
      </c>
      <c r="X3691" s="0" t="s">
        <v>658</v>
      </c>
      <c r="Y3691" s="0" t="s">
        <v>659</v>
      </c>
    </row>
    <row r="3692" customFormat="false" ht="15" hidden="false" customHeight="false" outlineLevel="0" collapsed="false">
      <c r="A3692" s="0" t="s">
        <v>21</v>
      </c>
      <c r="B3692" s="0" t="s">
        <v>11724</v>
      </c>
      <c r="C3692" s="0" t="s">
        <v>97</v>
      </c>
      <c r="D3692" s="0" t="s">
        <v>11725</v>
      </c>
      <c r="E3692" s="0" t="s">
        <v>11726</v>
      </c>
      <c r="M3692" s="0" t="s">
        <v>442</v>
      </c>
      <c r="N3692" s="0" t="s">
        <v>101</v>
      </c>
      <c r="P3692" s="0" t="s">
        <v>102</v>
      </c>
      <c r="Q3692" s="0" t="s">
        <v>102</v>
      </c>
      <c r="R3692" s="0" t="s">
        <v>113</v>
      </c>
      <c r="S3692" s="0" t="s">
        <v>21</v>
      </c>
      <c r="T3692" s="0" t="s">
        <v>104</v>
      </c>
      <c r="W3692" s="0" t="s">
        <v>105</v>
      </c>
    </row>
    <row r="3693" customFormat="false" ht="15" hidden="false" customHeight="false" outlineLevel="0" collapsed="false">
      <c r="A3693" s="0" t="s">
        <v>21</v>
      </c>
      <c r="B3693" s="0" t="s">
        <v>11727</v>
      </c>
      <c r="C3693" s="0" t="s">
        <v>97</v>
      </c>
      <c r="D3693" s="0" t="s">
        <v>11728</v>
      </c>
      <c r="E3693" s="0" t="s">
        <v>11729</v>
      </c>
      <c r="H3693" s="0" t="s">
        <v>654</v>
      </c>
      <c r="I3693" s="0" t="s">
        <v>655</v>
      </c>
      <c r="J3693" s="0" t="s">
        <v>100</v>
      </c>
      <c r="K3693" s="0" t="s">
        <v>168</v>
      </c>
      <c r="L3693" s="0" t="s">
        <v>101</v>
      </c>
      <c r="M3693" s="0" t="s">
        <v>656</v>
      </c>
      <c r="N3693" s="0" t="s">
        <v>101</v>
      </c>
      <c r="P3693" s="0" t="s">
        <v>102</v>
      </c>
      <c r="Q3693" s="0" t="s">
        <v>102</v>
      </c>
      <c r="R3693" s="0" t="s">
        <v>113</v>
      </c>
      <c r="S3693" s="0" t="s">
        <v>21</v>
      </c>
      <c r="T3693" s="0" t="s">
        <v>104</v>
      </c>
      <c r="W3693" s="0" t="s">
        <v>105</v>
      </c>
      <c r="X3693" s="0" t="s">
        <v>658</v>
      </c>
      <c r="Y3693" s="0" t="s">
        <v>659</v>
      </c>
    </row>
    <row r="3694" customFormat="false" ht="15" hidden="false" customHeight="false" outlineLevel="0" collapsed="false">
      <c r="A3694" s="0" t="s">
        <v>21</v>
      </c>
      <c r="B3694" s="0" t="s">
        <v>11730</v>
      </c>
      <c r="C3694" s="0" t="s">
        <v>97</v>
      </c>
      <c r="D3694" s="0" t="s">
        <v>11731</v>
      </c>
      <c r="E3694" s="0" t="s">
        <v>11732</v>
      </c>
      <c r="M3694" s="0" t="s">
        <v>100</v>
      </c>
      <c r="N3694" s="0" t="s">
        <v>101</v>
      </c>
      <c r="P3694" s="0" t="s">
        <v>102</v>
      </c>
      <c r="Q3694" s="0" t="s">
        <v>102</v>
      </c>
      <c r="R3694" s="0" t="s">
        <v>113</v>
      </c>
      <c r="S3694" s="0" t="s">
        <v>21</v>
      </c>
      <c r="T3694" s="0" t="s">
        <v>104</v>
      </c>
      <c r="W3694" s="0" t="s">
        <v>105</v>
      </c>
    </row>
    <row r="3695" customFormat="false" ht="15" hidden="false" customHeight="false" outlineLevel="0" collapsed="false">
      <c r="A3695" s="0" t="s">
        <v>21</v>
      </c>
      <c r="B3695" s="0" t="s">
        <v>11733</v>
      </c>
      <c r="C3695" s="0" t="s">
        <v>97</v>
      </c>
      <c r="D3695" s="0" t="s">
        <v>11734</v>
      </c>
      <c r="E3695" s="0" t="s">
        <v>11735</v>
      </c>
      <c r="H3695" s="0" t="s">
        <v>654</v>
      </c>
      <c r="I3695" s="0" t="s">
        <v>655</v>
      </c>
      <c r="J3695" s="0" t="s">
        <v>100</v>
      </c>
      <c r="K3695" s="0" t="s">
        <v>168</v>
      </c>
      <c r="L3695" s="0" t="s">
        <v>101</v>
      </c>
      <c r="M3695" s="0" t="s">
        <v>656</v>
      </c>
      <c r="N3695" s="0" t="s">
        <v>101</v>
      </c>
      <c r="P3695" s="0" t="s">
        <v>102</v>
      </c>
      <c r="Q3695" s="0" t="s">
        <v>102</v>
      </c>
      <c r="R3695" s="0" t="s">
        <v>113</v>
      </c>
      <c r="S3695" s="0" t="s">
        <v>21</v>
      </c>
      <c r="T3695" s="0" t="s">
        <v>104</v>
      </c>
      <c r="W3695" s="0" t="s">
        <v>105</v>
      </c>
      <c r="X3695" s="0" t="s">
        <v>658</v>
      </c>
      <c r="Y3695" s="0" t="s">
        <v>659</v>
      </c>
    </row>
    <row r="3696" customFormat="false" ht="15" hidden="false" customHeight="false" outlineLevel="0" collapsed="false">
      <c r="A3696" s="0" t="s">
        <v>21</v>
      </c>
      <c r="B3696" s="0" t="s">
        <v>11736</v>
      </c>
      <c r="C3696" s="0" t="s">
        <v>97</v>
      </c>
      <c r="D3696" s="0" t="s">
        <v>11737</v>
      </c>
      <c r="E3696" s="0" t="s">
        <v>11738</v>
      </c>
      <c r="H3696" s="0" t="s">
        <v>654</v>
      </c>
      <c r="I3696" s="0" t="s">
        <v>655</v>
      </c>
      <c r="J3696" s="0" t="s">
        <v>100</v>
      </c>
      <c r="K3696" s="0" t="s">
        <v>168</v>
      </c>
      <c r="L3696" s="0" t="s">
        <v>101</v>
      </c>
      <c r="M3696" s="0" t="s">
        <v>656</v>
      </c>
      <c r="N3696" s="0" t="s">
        <v>101</v>
      </c>
      <c r="P3696" s="0" t="s">
        <v>102</v>
      </c>
      <c r="Q3696" s="0" t="s">
        <v>102</v>
      </c>
      <c r="R3696" s="0" t="s">
        <v>113</v>
      </c>
      <c r="S3696" s="0" t="s">
        <v>21</v>
      </c>
      <c r="T3696" s="0" t="s">
        <v>104</v>
      </c>
      <c r="W3696" s="0" t="s">
        <v>105</v>
      </c>
      <c r="X3696" s="0" t="s">
        <v>658</v>
      </c>
      <c r="Y3696" s="0" t="s">
        <v>659</v>
      </c>
    </row>
    <row r="3697" customFormat="false" ht="15" hidden="false" customHeight="false" outlineLevel="0" collapsed="false">
      <c r="A3697" s="0" t="s">
        <v>21</v>
      </c>
      <c r="B3697" s="0" t="s">
        <v>11739</v>
      </c>
      <c r="C3697" s="0" t="s">
        <v>97</v>
      </c>
      <c r="D3697" s="0" t="s">
        <v>11740</v>
      </c>
      <c r="E3697" s="0" t="s">
        <v>11741</v>
      </c>
      <c r="H3697" s="0" t="s">
        <v>654</v>
      </c>
      <c r="I3697" s="0" t="s">
        <v>655</v>
      </c>
      <c r="J3697" s="0" t="s">
        <v>100</v>
      </c>
      <c r="K3697" s="0" t="s">
        <v>168</v>
      </c>
      <c r="L3697" s="0" t="s">
        <v>101</v>
      </c>
      <c r="M3697" s="0" t="s">
        <v>656</v>
      </c>
      <c r="N3697" s="0" t="s">
        <v>101</v>
      </c>
      <c r="P3697" s="0" t="s">
        <v>102</v>
      </c>
      <c r="Q3697" s="0" t="s">
        <v>102</v>
      </c>
      <c r="R3697" s="0" t="s">
        <v>113</v>
      </c>
      <c r="S3697" s="0" t="s">
        <v>21</v>
      </c>
      <c r="T3697" s="0" t="s">
        <v>104</v>
      </c>
      <c r="W3697" s="0" t="s">
        <v>105</v>
      </c>
      <c r="X3697" s="0" t="s">
        <v>658</v>
      </c>
      <c r="Y3697" s="0" t="s">
        <v>659</v>
      </c>
    </row>
    <row r="3698" customFormat="false" ht="15" hidden="false" customHeight="false" outlineLevel="0" collapsed="false">
      <c r="A3698" s="0" t="s">
        <v>21</v>
      </c>
      <c r="B3698" s="0" t="s">
        <v>11742</v>
      </c>
      <c r="C3698" s="0" t="s">
        <v>97</v>
      </c>
      <c r="D3698" s="0" t="s">
        <v>11743</v>
      </c>
      <c r="E3698" s="0" t="s">
        <v>11744</v>
      </c>
      <c r="H3698" s="0" t="s">
        <v>654</v>
      </c>
      <c r="I3698" s="0" t="s">
        <v>655</v>
      </c>
      <c r="J3698" s="0" t="s">
        <v>100</v>
      </c>
      <c r="K3698" s="0" t="s">
        <v>168</v>
      </c>
      <c r="L3698" s="0" t="s">
        <v>101</v>
      </c>
      <c r="M3698" s="0" t="s">
        <v>656</v>
      </c>
      <c r="N3698" s="0" t="s">
        <v>101</v>
      </c>
      <c r="P3698" s="0" t="s">
        <v>102</v>
      </c>
      <c r="Q3698" s="0" t="s">
        <v>102</v>
      </c>
      <c r="R3698" s="0" t="s">
        <v>113</v>
      </c>
      <c r="S3698" s="0" t="s">
        <v>21</v>
      </c>
      <c r="T3698" s="0" t="s">
        <v>104</v>
      </c>
      <c r="W3698" s="0" t="s">
        <v>105</v>
      </c>
      <c r="X3698" s="0" t="s">
        <v>658</v>
      </c>
      <c r="Y3698" s="0" t="s">
        <v>659</v>
      </c>
    </row>
    <row r="3699" customFormat="false" ht="15" hidden="false" customHeight="false" outlineLevel="0" collapsed="false">
      <c r="A3699" s="0" t="s">
        <v>21</v>
      </c>
      <c r="B3699" s="0" t="s">
        <v>11745</v>
      </c>
      <c r="C3699" s="0" t="s">
        <v>97</v>
      </c>
      <c r="D3699" s="0" t="s">
        <v>11746</v>
      </c>
      <c r="E3699" s="0" t="s">
        <v>11747</v>
      </c>
      <c r="H3699" s="0" t="s">
        <v>654</v>
      </c>
      <c r="I3699" s="0" t="s">
        <v>655</v>
      </c>
      <c r="J3699" s="0" t="s">
        <v>100</v>
      </c>
      <c r="K3699" s="0" t="s">
        <v>168</v>
      </c>
      <c r="L3699" s="0" t="s">
        <v>101</v>
      </c>
      <c r="M3699" s="0" t="s">
        <v>656</v>
      </c>
      <c r="N3699" s="0" t="s">
        <v>101</v>
      </c>
      <c r="P3699" s="0" t="s">
        <v>102</v>
      </c>
      <c r="Q3699" s="0" t="s">
        <v>102</v>
      </c>
      <c r="R3699" s="0" t="s">
        <v>113</v>
      </c>
      <c r="S3699" s="0" t="s">
        <v>21</v>
      </c>
      <c r="T3699" s="0" t="s">
        <v>104</v>
      </c>
      <c r="W3699" s="0" t="s">
        <v>105</v>
      </c>
      <c r="X3699" s="0" t="s">
        <v>658</v>
      </c>
      <c r="Y3699" s="0" t="s">
        <v>659</v>
      </c>
    </row>
    <row r="3700" customFormat="false" ht="15" hidden="false" customHeight="false" outlineLevel="0" collapsed="false">
      <c r="A3700" s="0" t="s">
        <v>21</v>
      </c>
      <c r="B3700" s="0" t="s">
        <v>11748</v>
      </c>
      <c r="C3700" s="0" t="s">
        <v>97</v>
      </c>
      <c r="D3700" s="0" t="s">
        <v>11749</v>
      </c>
      <c r="E3700" s="0" t="s">
        <v>11750</v>
      </c>
      <c r="M3700" s="0" t="s">
        <v>656</v>
      </c>
      <c r="N3700" s="0" t="s">
        <v>101</v>
      </c>
      <c r="P3700" s="0" t="s">
        <v>102</v>
      </c>
      <c r="Q3700" s="0" t="s">
        <v>102</v>
      </c>
      <c r="R3700" s="0" t="s">
        <v>113</v>
      </c>
      <c r="S3700" s="0" t="s">
        <v>21</v>
      </c>
      <c r="T3700" s="0" t="s">
        <v>104</v>
      </c>
      <c r="W3700" s="0" t="s">
        <v>105</v>
      </c>
    </row>
    <row r="3701" customFormat="false" ht="15" hidden="false" customHeight="false" outlineLevel="0" collapsed="false">
      <c r="A3701" s="0" t="s">
        <v>21</v>
      </c>
      <c r="B3701" s="0" t="s">
        <v>11751</v>
      </c>
      <c r="C3701" s="0" t="s">
        <v>97</v>
      </c>
      <c r="D3701" s="0" t="s">
        <v>11752</v>
      </c>
      <c r="E3701" s="0" t="s">
        <v>11753</v>
      </c>
      <c r="H3701" s="0" t="s">
        <v>654</v>
      </c>
      <c r="I3701" s="0" t="s">
        <v>655</v>
      </c>
      <c r="J3701" s="0" t="s">
        <v>100</v>
      </c>
      <c r="K3701" s="0" t="s">
        <v>168</v>
      </c>
      <c r="L3701" s="0" t="s">
        <v>101</v>
      </c>
      <c r="M3701" s="0" t="s">
        <v>656</v>
      </c>
      <c r="N3701" s="0" t="s">
        <v>101</v>
      </c>
      <c r="P3701" s="0" t="s">
        <v>102</v>
      </c>
      <c r="Q3701" s="0" t="s">
        <v>102</v>
      </c>
      <c r="R3701" s="0" t="s">
        <v>113</v>
      </c>
      <c r="S3701" s="0" t="s">
        <v>21</v>
      </c>
      <c r="T3701" s="0" t="s">
        <v>104</v>
      </c>
      <c r="W3701" s="0" t="s">
        <v>105</v>
      </c>
      <c r="X3701" s="0" t="s">
        <v>658</v>
      </c>
      <c r="Y3701" s="0" t="s">
        <v>659</v>
      </c>
    </row>
    <row r="3702" customFormat="false" ht="15" hidden="false" customHeight="false" outlineLevel="0" collapsed="false">
      <c r="A3702" s="0" t="s">
        <v>21</v>
      </c>
      <c r="B3702" s="0" t="s">
        <v>11754</v>
      </c>
      <c r="C3702" s="0" t="s">
        <v>97</v>
      </c>
      <c r="D3702" s="0" t="s">
        <v>11755</v>
      </c>
      <c r="E3702" s="0" t="s">
        <v>11756</v>
      </c>
      <c r="H3702" s="0" t="s">
        <v>654</v>
      </c>
      <c r="I3702" s="0" t="s">
        <v>655</v>
      </c>
      <c r="J3702" s="0" t="s">
        <v>100</v>
      </c>
      <c r="K3702" s="0" t="s">
        <v>168</v>
      </c>
      <c r="L3702" s="0" t="s">
        <v>101</v>
      </c>
      <c r="M3702" s="0" t="s">
        <v>656</v>
      </c>
      <c r="N3702" s="0" t="s">
        <v>101</v>
      </c>
      <c r="P3702" s="0" t="s">
        <v>102</v>
      </c>
      <c r="Q3702" s="0" t="s">
        <v>102</v>
      </c>
      <c r="R3702" s="0" t="s">
        <v>113</v>
      </c>
      <c r="S3702" s="0" t="s">
        <v>21</v>
      </c>
      <c r="T3702" s="0" t="s">
        <v>104</v>
      </c>
      <c r="W3702" s="0" t="s">
        <v>105</v>
      </c>
      <c r="X3702" s="0" t="s">
        <v>658</v>
      </c>
      <c r="Y3702" s="0" t="s">
        <v>659</v>
      </c>
    </row>
    <row r="3703" customFormat="false" ht="15" hidden="false" customHeight="false" outlineLevel="0" collapsed="false">
      <c r="A3703" s="0" t="s">
        <v>21</v>
      </c>
      <c r="B3703" s="0" t="s">
        <v>11757</v>
      </c>
      <c r="C3703" s="0" t="s">
        <v>97</v>
      </c>
      <c r="D3703" s="0" t="s">
        <v>11758</v>
      </c>
      <c r="E3703" s="0" t="s">
        <v>11759</v>
      </c>
      <c r="H3703" s="0" t="s">
        <v>654</v>
      </c>
      <c r="I3703" s="0" t="s">
        <v>655</v>
      </c>
      <c r="J3703" s="0" t="s">
        <v>100</v>
      </c>
      <c r="K3703" s="0" t="s">
        <v>168</v>
      </c>
      <c r="L3703" s="0" t="s">
        <v>101</v>
      </c>
      <c r="M3703" s="0" t="s">
        <v>656</v>
      </c>
      <c r="N3703" s="0" t="s">
        <v>101</v>
      </c>
      <c r="P3703" s="0" t="s">
        <v>102</v>
      </c>
      <c r="Q3703" s="0" t="s">
        <v>102</v>
      </c>
      <c r="R3703" s="0" t="s">
        <v>113</v>
      </c>
      <c r="S3703" s="0" t="s">
        <v>21</v>
      </c>
      <c r="T3703" s="0" t="s">
        <v>104</v>
      </c>
      <c r="W3703" s="0" t="s">
        <v>105</v>
      </c>
      <c r="X3703" s="0" t="s">
        <v>658</v>
      </c>
      <c r="Y3703" s="0" t="s">
        <v>659</v>
      </c>
    </row>
    <row r="3704" customFormat="false" ht="15" hidden="false" customHeight="false" outlineLevel="0" collapsed="false">
      <c r="A3704" s="0" t="s">
        <v>21</v>
      </c>
      <c r="B3704" s="0" t="s">
        <v>11760</v>
      </c>
      <c r="C3704" s="0" t="s">
        <v>97</v>
      </c>
      <c r="D3704" s="0" t="s">
        <v>11761</v>
      </c>
      <c r="E3704" s="0" t="s">
        <v>11762</v>
      </c>
      <c r="H3704" s="0" t="s">
        <v>654</v>
      </c>
      <c r="I3704" s="0" t="s">
        <v>655</v>
      </c>
      <c r="J3704" s="0" t="s">
        <v>100</v>
      </c>
      <c r="K3704" s="0" t="s">
        <v>168</v>
      </c>
      <c r="L3704" s="0" t="s">
        <v>101</v>
      </c>
      <c r="M3704" s="0" t="s">
        <v>656</v>
      </c>
      <c r="N3704" s="0" t="s">
        <v>101</v>
      </c>
      <c r="P3704" s="0" t="s">
        <v>102</v>
      </c>
      <c r="Q3704" s="0" t="s">
        <v>102</v>
      </c>
      <c r="R3704" s="0" t="s">
        <v>113</v>
      </c>
      <c r="S3704" s="0" t="s">
        <v>21</v>
      </c>
      <c r="T3704" s="0" t="s">
        <v>104</v>
      </c>
      <c r="W3704" s="0" t="s">
        <v>105</v>
      </c>
      <c r="X3704" s="0" t="s">
        <v>658</v>
      </c>
      <c r="Y3704" s="0" t="s">
        <v>659</v>
      </c>
    </row>
    <row r="3705" customFormat="false" ht="15" hidden="false" customHeight="false" outlineLevel="0" collapsed="false">
      <c r="A3705" s="0" t="s">
        <v>21</v>
      </c>
      <c r="B3705" s="0" t="s">
        <v>11763</v>
      </c>
      <c r="C3705" s="0" t="s">
        <v>97</v>
      </c>
      <c r="D3705" s="0" t="s">
        <v>11764</v>
      </c>
      <c r="E3705" s="0" t="s">
        <v>11765</v>
      </c>
      <c r="H3705" s="0" t="s">
        <v>654</v>
      </c>
      <c r="I3705" s="0" t="s">
        <v>655</v>
      </c>
      <c r="J3705" s="0" t="s">
        <v>100</v>
      </c>
      <c r="K3705" s="0" t="s">
        <v>168</v>
      </c>
      <c r="L3705" s="0" t="s">
        <v>101</v>
      </c>
      <c r="M3705" s="0" t="s">
        <v>656</v>
      </c>
      <c r="N3705" s="0" t="s">
        <v>101</v>
      </c>
      <c r="P3705" s="0" t="s">
        <v>102</v>
      </c>
      <c r="Q3705" s="0" t="s">
        <v>102</v>
      </c>
      <c r="R3705" s="0" t="s">
        <v>113</v>
      </c>
      <c r="S3705" s="0" t="s">
        <v>21</v>
      </c>
      <c r="T3705" s="0" t="s">
        <v>104</v>
      </c>
      <c r="W3705" s="0" t="s">
        <v>105</v>
      </c>
      <c r="X3705" s="0" t="s">
        <v>658</v>
      </c>
      <c r="Y3705" s="0" t="s">
        <v>659</v>
      </c>
    </row>
    <row r="3706" customFormat="false" ht="15" hidden="false" customHeight="false" outlineLevel="0" collapsed="false">
      <c r="A3706" s="0" t="s">
        <v>21</v>
      </c>
      <c r="B3706" s="0" t="s">
        <v>11766</v>
      </c>
      <c r="C3706" s="0" t="s">
        <v>97</v>
      </c>
      <c r="D3706" s="0" t="s">
        <v>11767</v>
      </c>
      <c r="E3706" s="0" t="s">
        <v>11768</v>
      </c>
      <c r="M3706" s="0" t="s">
        <v>656</v>
      </c>
      <c r="N3706" s="0" t="s">
        <v>101</v>
      </c>
      <c r="P3706" s="0" t="s">
        <v>102</v>
      </c>
      <c r="Q3706" s="0" t="s">
        <v>102</v>
      </c>
      <c r="R3706" s="0" t="s">
        <v>113</v>
      </c>
      <c r="S3706" s="0" t="s">
        <v>21</v>
      </c>
      <c r="T3706" s="0" t="s">
        <v>104</v>
      </c>
      <c r="W3706" s="0" t="s">
        <v>105</v>
      </c>
    </row>
    <row r="3707" customFormat="false" ht="15" hidden="false" customHeight="false" outlineLevel="0" collapsed="false">
      <c r="A3707" s="0" t="s">
        <v>21</v>
      </c>
      <c r="B3707" s="0" t="s">
        <v>11769</v>
      </c>
      <c r="C3707" s="0" t="s">
        <v>97</v>
      </c>
      <c r="D3707" s="0" t="s">
        <v>11770</v>
      </c>
      <c r="E3707" s="0" t="s">
        <v>11771</v>
      </c>
      <c r="H3707" s="0" t="s">
        <v>654</v>
      </c>
      <c r="I3707" s="0" t="s">
        <v>655</v>
      </c>
      <c r="J3707" s="0" t="s">
        <v>100</v>
      </c>
      <c r="K3707" s="0" t="s">
        <v>168</v>
      </c>
      <c r="L3707" s="0" t="s">
        <v>101</v>
      </c>
      <c r="M3707" s="0" t="s">
        <v>656</v>
      </c>
      <c r="N3707" s="0" t="s">
        <v>101</v>
      </c>
      <c r="P3707" s="0" t="s">
        <v>102</v>
      </c>
      <c r="Q3707" s="0" t="s">
        <v>102</v>
      </c>
      <c r="R3707" s="0" t="s">
        <v>113</v>
      </c>
      <c r="S3707" s="0" t="s">
        <v>21</v>
      </c>
      <c r="T3707" s="0" t="s">
        <v>104</v>
      </c>
      <c r="W3707" s="0" t="s">
        <v>105</v>
      </c>
      <c r="X3707" s="0" t="s">
        <v>658</v>
      </c>
      <c r="Y3707" s="0" t="s">
        <v>659</v>
      </c>
    </row>
    <row r="3708" customFormat="false" ht="15" hidden="false" customHeight="false" outlineLevel="0" collapsed="false">
      <c r="A3708" s="0" t="s">
        <v>21</v>
      </c>
      <c r="B3708" s="0" t="s">
        <v>11772</v>
      </c>
      <c r="C3708" s="0" t="s">
        <v>97</v>
      </c>
      <c r="D3708" s="0" t="s">
        <v>11773</v>
      </c>
      <c r="E3708" s="0" t="s">
        <v>11774</v>
      </c>
      <c r="H3708" s="0" t="s">
        <v>11775</v>
      </c>
      <c r="I3708" s="0" t="s">
        <v>11776</v>
      </c>
      <c r="J3708" s="0" t="s">
        <v>1245</v>
      </c>
      <c r="K3708" s="0" t="s">
        <v>1059</v>
      </c>
      <c r="L3708" s="0" t="s">
        <v>101</v>
      </c>
      <c r="M3708" s="0" t="s">
        <v>1245</v>
      </c>
      <c r="N3708" s="0" t="s">
        <v>101</v>
      </c>
      <c r="P3708" s="0" t="s">
        <v>102</v>
      </c>
      <c r="Q3708" s="0" t="s">
        <v>102</v>
      </c>
      <c r="R3708" s="0" t="s">
        <v>113</v>
      </c>
      <c r="S3708" s="0" t="s">
        <v>21</v>
      </c>
      <c r="T3708" s="0" t="s">
        <v>104</v>
      </c>
      <c r="W3708" s="0" t="s">
        <v>105</v>
      </c>
      <c r="X3708" s="0" t="s">
        <v>11777</v>
      </c>
      <c r="Y3708" s="0" t="s">
        <v>11778</v>
      </c>
    </row>
    <row r="3709" customFormat="false" ht="15" hidden="false" customHeight="false" outlineLevel="0" collapsed="false">
      <c r="A3709" s="0" t="s">
        <v>21</v>
      </c>
      <c r="B3709" s="0" t="s">
        <v>11779</v>
      </c>
      <c r="C3709" s="0" t="s">
        <v>97</v>
      </c>
      <c r="D3709" s="0" t="s">
        <v>11780</v>
      </c>
      <c r="E3709" s="0" t="s">
        <v>11781</v>
      </c>
      <c r="H3709" s="0" t="s">
        <v>654</v>
      </c>
      <c r="I3709" s="0" t="s">
        <v>655</v>
      </c>
      <c r="J3709" s="0" t="s">
        <v>100</v>
      </c>
      <c r="K3709" s="0" t="s">
        <v>168</v>
      </c>
      <c r="L3709" s="0" t="s">
        <v>101</v>
      </c>
      <c r="M3709" s="0" t="s">
        <v>656</v>
      </c>
      <c r="N3709" s="0" t="s">
        <v>101</v>
      </c>
      <c r="P3709" s="0" t="s">
        <v>102</v>
      </c>
      <c r="Q3709" s="0" t="s">
        <v>102</v>
      </c>
      <c r="R3709" s="0" t="s">
        <v>113</v>
      </c>
      <c r="S3709" s="0" t="s">
        <v>21</v>
      </c>
      <c r="T3709" s="0" t="s">
        <v>104</v>
      </c>
      <c r="W3709" s="0" t="s">
        <v>105</v>
      </c>
      <c r="X3709" s="0" t="s">
        <v>658</v>
      </c>
      <c r="Y3709" s="0" t="s">
        <v>659</v>
      </c>
    </row>
    <row r="3710" customFormat="false" ht="15" hidden="false" customHeight="false" outlineLevel="0" collapsed="false">
      <c r="A3710" s="0" t="s">
        <v>21</v>
      </c>
      <c r="B3710" s="0" t="s">
        <v>11782</v>
      </c>
      <c r="C3710" s="0" t="s">
        <v>97</v>
      </c>
      <c r="D3710" s="0" t="s">
        <v>11783</v>
      </c>
      <c r="E3710" s="0" t="s">
        <v>11784</v>
      </c>
      <c r="G3710" s="0" t="s">
        <v>11785</v>
      </c>
      <c r="H3710" s="0" t="s">
        <v>654</v>
      </c>
      <c r="I3710" s="0" t="s">
        <v>655</v>
      </c>
      <c r="J3710" s="0" t="s">
        <v>100</v>
      </c>
      <c r="K3710" s="0" t="s">
        <v>168</v>
      </c>
      <c r="L3710" s="0" t="s">
        <v>101</v>
      </c>
      <c r="M3710" s="0" t="s">
        <v>656</v>
      </c>
      <c r="N3710" s="0" t="s">
        <v>101</v>
      </c>
      <c r="P3710" s="0" t="s">
        <v>102</v>
      </c>
      <c r="Q3710" s="0" t="s">
        <v>102</v>
      </c>
      <c r="R3710" s="0" t="s">
        <v>113</v>
      </c>
      <c r="S3710" s="0" t="s">
        <v>21</v>
      </c>
      <c r="T3710" s="0" t="s">
        <v>104</v>
      </c>
      <c r="W3710" s="0" t="s">
        <v>105</v>
      </c>
      <c r="X3710" s="0" t="s">
        <v>658</v>
      </c>
      <c r="Y3710" s="0" t="s">
        <v>659</v>
      </c>
    </row>
    <row r="3711" customFormat="false" ht="15" hidden="false" customHeight="false" outlineLevel="0" collapsed="false">
      <c r="A3711" s="0" t="s">
        <v>21</v>
      </c>
      <c r="B3711" s="0" t="s">
        <v>11786</v>
      </c>
      <c r="C3711" s="0" t="s">
        <v>97</v>
      </c>
      <c r="D3711" s="0" t="s">
        <v>11787</v>
      </c>
      <c r="E3711" s="0" t="s">
        <v>11788</v>
      </c>
      <c r="H3711" s="0" t="s">
        <v>654</v>
      </c>
      <c r="I3711" s="0" t="s">
        <v>655</v>
      </c>
      <c r="J3711" s="0" t="s">
        <v>100</v>
      </c>
      <c r="K3711" s="0" t="s">
        <v>168</v>
      </c>
      <c r="L3711" s="0" t="s">
        <v>101</v>
      </c>
      <c r="M3711" s="0" t="s">
        <v>656</v>
      </c>
      <c r="N3711" s="0" t="s">
        <v>101</v>
      </c>
      <c r="P3711" s="0" t="s">
        <v>102</v>
      </c>
      <c r="Q3711" s="0" t="s">
        <v>102</v>
      </c>
      <c r="R3711" s="0" t="s">
        <v>113</v>
      </c>
      <c r="S3711" s="0" t="s">
        <v>21</v>
      </c>
      <c r="T3711" s="0" t="s">
        <v>104</v>
      </c>
      <c r="W3711" s="0" t="s">
        <v>105</v>
      </c>
      <c r="X3711" s="0" t="s">
        <v>658</v>
      </c>
      <c r="Y3711" s="0" t="s">
        <v>659</v>
      </c>
    </row>
    <row r="3712" customFormat="false" ht="15" hidden="false" customHeight="false" outlineLevel="0" collapsed="false">
      <c r="A3712" s="0" t="s">
        <v>21</v>
      </c>
      <c r="B3712" s="0" t="s">
        <v>11789</v>
      </c>
      <c r="C3712" s="0" t="s">
        <v>97</v>
      </c>
      <c r="D3712" s="0" t="s">
        <v>11790</v>
      </c>
      <c r="E3712" s="0" t="s">
        <v>11791</v>
      </c>
      <c r="M3712" s="0" t="s">
        <v>656</v>
      </c>
      <c r="N3712" s="0" t="s">
        <v>101</v>
      </c>
      <c r="P3712" s="0" t="s">
        <v>102</v>
      </c>
      <c r="Q3712" s="0" t="s">
        <v>102</v>
      </c>
      <c r="R3712" s="0" t="s">
        <v>113</v>
      </c>
      <c r="S3712" s="0" t="s">
        <v>21</v>
      </c>
      <c r="T3712" s="0" t="s">
        <v>104</v>
      </c>
      <c r="W3712" s="0" t="s">
        <v>105</v>
      </c>
    </row>
    <row r="3713" customFormat="false" ht="15" hidden="false" customHeight="false" outlineLevel="0" collapsed="false">
      <c r="A3713" s="0" t="s">
        <v>21</v>
      </c>
      <c r="B3713" s="0" t="s">
        <v>11792</v>
      </c>
      <c r="C3713" s="0" t="s">
        <v>97</v>
      </c>
      <c r="D3713" s="0" t="s">
        <v>11793</v>
      </c>
      <c r="E3713" s="0" t="s">
        <v>11794</v>
      </c>
      <c r="H3713" s="0" t="s">
        <v>654</v>
      </c>
      <c r="I3713" s="0" t="s">
        <v>655</v>
      </c>
      <c r="J3713" s="0" t="s">
        <v>100</v>
      </c>
      <c r="K3713" s="0" t="s">
        <v>168</v>
      </c>
      <c r="L3713" s="0" t="s">
        <v>101</v>
      </c>
      <c r="M3713" s="0" t="s">
        <v>656</v>
      </c>
      <c r="N3713" s="0" t="s">
        <v>101</v>
      </c>
      <c r="P3713" s="0" t="s">
        <v>102</v>
      </c>
      <c r="Q3713" s="0" t="s">
        <v>102</v>
      </c>
      <c r="R3713" s="0" t="s">
        <v>113</v>
      </c>
      <c r="S3713" s="0" t="s">
        <v>21</v>
      </c>
      <c r="T3713" s="0" t="s">
        <v>104</v>
      </c>
      <c r="W3713" s="0" t="s">
        <v>105</v>
      </c>
      <c r="X3713" s="0" t="s">
        <v>658</v>
      </c>
      <c r="Y3713" s="0" t="s">
        <v>659</v>
      </c>
    </row>
    <row r="3714" customFormat="false" ht="15" hidden="false" customHeight="false" outlineLevel="0" collapsed="false">
      <c r="A3714" s="0" t="s">
        <v>21</v>
      </c>
      <c r="B3714" s="0" t="s">
        <v>11795</v>
      </c>
      <c r="C3714" s="0" t="s">
        <v>97</v>
      </c>
      <c r="D3714" s="0" t="s">
        <v>11796</v>
      </c>
      <c r="E3714" s="0" t="s">
        <v>11797</v>
      </c>
      <c r="H3714" s="0" t="s">
        <v>654</v>
      </c>
      <c r="I3714" s="0" t="s">
        <v>655</v>
      </c>
      <c r="J3714" s="0" t="s">
        <v>100</v>
      </c>
      <c r="K3714" s="0" t="s">
        <v>168</v>
      </c>
      <c r="L3714" s="0" t="s">
        <v>101</v>
      </c>
      <c r="M3714" s="0" t="s">
        <v>656</v>
      </c>
      <c r="N3714" s="0" t="s">
        <v>101</v>
      </c>
      <c r="P3714" s="0" t="s">
        <v>102</v>
      </c>
      <c r="Q3714" s="0" t="s">
        <v>102</v>
      </c>
      <c r="R3714" s="0" t="s">
        <v>113</v>
      </c>
      <c r="S3714" s="0" t="s">
        <v>21</v>
      </c>
      <c r="T3714" s="0" t="s">
        <v>104</v>
      </c>
      <c r="W3714" s="0" t="s">
        <v>105</v>
      </c>
      <c r="X3714" s="0" t="s">
        <v>658</v>
      </c>
      <c r="Y3714" s="0" t="s">
        <v>659</v>
      </c>
    </row>
    <row r="3715" customFormat="false" ht="15" hidden="false" customHeight="false" outlineLevel="0" collapsed="false">
      <c r="A3715" s="0" t="s">
        <v>21</v>
      </c>
      <c r="B3715" s="0" t="s">
        <v>11798</v>
      </c>
      <c r="C3715" s="0" t="s">
        <v>97</v>
      </c>
      <c r="D3715" s="0" t="s">
        <v>11799</v>
      </c>
      <c r="E3715" s="0" t="s">
        <v>11800</v>
      </c>
      <c r="M3715" s="0" t="s">
        <v>656</v>
      </c>
      <c r="N3715" s="0" t="s">
        <v>101</v>
      </c>
      <c r="P3715" s="0" t="s">
        <v>102</v>
      </c>
      <c r="Q3715" s="0" t="s">
        <v>102</v>
      </c>
      <c r="R3715" s="0" t="s">
        <v>113</v>
      </c>
      <c r="S3715" s="0" t="s">
        <v>21</v>
      </c>
      <c r="T3715" s="0" t="s">
        <v>104</v>
      </c>
      <c r="W3715" s="0" t="s">
        <v>105</v>
      </c>
    </row>
    <row r="3716" customFormat="false" ht="15" hidden="false" customHeight="false" outlineLevel="0" collapsed="false">
      <c r="A3716" s="0" t="s">
        <v>21</v>
      </c>
      <c r="B3716" s="0" t="s">
        <v>11801</v>
      </c>
      <c r="C3716" s="0" t="s">
        <v>97</v>
      </c>
      <c r="D3716" s="0" t="s">
        <v>11802</v>
      </c>
      <c r="E3716" s="0" t="s">
        <v>11803</v>
      </c>
      <c r="H3716" s="0" t="s">
        <v>654</v>
      </c>
      <c r="I3716" s="0" t="s">
        <v>655</v>
      </c>
      <c r="J3716" s="0" t="s">
        <v>100</v>
      </c>
      <c r="K3716" s="0" t="s">
        <v>168</v>
      </c>
      <c r="L3716" s="0" t="s">
        <v>101</v>
      </c>
      <c r="M3716" s="0" t="s">
        <v>656</v>
      </c>
      <c r="N3716" s="0" t="s">
        <v>101</v>
      </c>
      <c r="P3716" s="0" t="s">
        <v>102</v>
      </c>
      <c r="Q3716" s="0" t="s">
        <v>102</v>
      </c>
      <c r="R3716" s="0" t="s">
        <v>113</v>
      </c>
      <c r="S3716" s="0" t="s">
        <v>21</v>
      </c>
      <c r="T3716" s="0" t="s">
        <v>104</v>
      </c>
      <c r="W3716" s="0" t="s">
        <v>105</v>
      </c>
      <c r="X3716" s="0" t="s">
        <v>658</v>
      </c>
      <c r="Y3716" s="0" t="s">
        <v>659</v>
      </c>
    </row>
    <row r="3717" customFormat="false" ht="15" hidden="false" customHeight="false" outlineLevel="0" collapsed="false">
      <c r="A3717" s="0" t="s">
        <v>21</v>
      </c>
      <c r="B3717" s="0" t="s">
        <v>11804</v>
      </c>
      <c r="C3717" s="0" t="s">
        <v>97</v>
      </c>
      <c r="D3717" s="0" t="s">
        <v>11805</v>
      </c>
      <c r="E3717" s="0" t="s">
        <v>11806</v>
      </c>
      <c r="H3717" s="0" t="s">
        <v>654</v>
      </c>
      <c r="I3717" s="0" t="s">
        <v>655</v>
      </c>
      <c r="J3717" s="0" t="s">
        <v>100</v>
      </c>
      <c r="K3717" s="0" t="s">
        <v>168</v>
      </c>
      <c r="L3717" s="0" t="s">
        <v>101</v>
      </c>
      <c r="M3717" s="0" t="s">
        <v>656</v>
      </c>
      <c r="N3717" s="0" t="s">
        <v>101</v>
      </c>
      <c r="P3717" s="0" t="s">
        <v>102</v>
      </c>
      <c r="Q3717" s="0" t="s">
        <v>102</v>
      </c>
      <c r="R3717" s="0" t="s">
        <v>113</v>
      </c>
      <c r="S3717" s="0" t="s">
        <v>21</v>
      </c>
      <c r="T3717" s="0" t="s">
        <v>104</v>
      </c>
      <c r="W3717" s="0" t="s">
        <v>105</v>
      </c>
      <c r="X3717" s="0" t="s">
        <v>658</v>
      </c>
      <c r="Y3717" s="0" t="s">
        <v>659</v>
      </c>
    </row>
    <row r="3718" customFormat="false" ht="15" hidden="false" customHeight="false" outlineLevel="0" collapsed="false">
      <c r="A3718" s="0" t="s">
        <v>21</v>
      </c>
      <c r="B3718" s="0" t="s">
        <v>11807</v>
      </c>
      <c r="C3718" s="0" t="s">
        <v>97</v>
      </c>
      <c r="D3718" s="0" t="s">
        <v>11808</v>
      </c>
      <c r="E3718" s="0" t="s">
        <v>11809</v>
      </c>
      <c r="F3718" s="0" t="s">
        <v>11809</v>
      </c>
      <c r="M3718" s="0" t="s">
        <v>167</v>
      </c>
      <c r="N3718" s="0" t="s">
        <v>101</v>
      </c>
      <c r="P3718" s="0" t="s">
        <v>102</v>
      </c>
      <c r="Q3718" s="0" t="s">
        <v>102</v>
      </c>
      <c r="R3718" s="0" t="s">
        <v>113</v>
      </c>
      <c r="S3718" s="0" t="s">
        <v>21</v>
      </c>
      <c r="T3718" s="0" t="s">
        <v>104</v>
      </c>
      <c r="W3718" s="0" t="s">
        <v>105</v>
      </c>
    </row>
    <row r="3719" customFormat="false" ht="15" hidden="false" customHeight="false" outlineLevel="0" collapsed="false">
      <c r="A3719" s="0" t="s">
        <v>21</v>
      </c>
      <c r="B3719" s="0" t="s">
        <v>11810</v>
      </c>
      <c r="C3719" s="0" t="s">
        <v>97</v>
      </c>
      <c r="D3719" s="0" t="s">
        <v>11811</v>
      </c>
      <c r="E3719" s="0" t="s">
        <v>11812</v>
      </c>
      <c r="M3719" s="0" t="s">
        <v>656</v>
      </c>
      <c r="N3719" s="0" t="s">
        <v>101</v>
      </c>
      <c r="P3719" s="0" t="s">
        <v>102</v>
      </c>
      <c r="Q3719" s="0" t="s">
        <v>102</v>
      </c>
      <c r="R3719" s="0" t="s">
        <v>113</v>
      </c>
      <c r="S3719" s="0" t="s">
        <v>21</v>
      </c>
      <c r="T3719" s="0" t="s">
        <v>104</v>
      </c>
      <c r="W3719" s="0" t="s">
        <v>105</v>
      </c>
    </row>
    <row r="3720" customFormat="false" ht="15" hidden="false" customHeight="false" outlineLevel="0" collapsed="false">
      <c r="A3720" s="0" t="s">
        <v>21</v>
      </c>
      <c r="B3720" s="0" t="s">
        <v>11813</v>
      </c>
      <c r="C3720" s="0" t="s">
        <v>97</v>
      </c>
      <c r="D3720" s="0" t="s">
        <v>11814</v>
      </c>
      <c r="E3720" s="0" t="s">
        <v>11815</v>
      </c>
      <c r="H3720" s="0" t="s">
        <v>654</v>
      </c>
      <c r="I3720" s="0" t="s">
        <v>655</v>
      </c>
      <c r="J3720" s="0" t="s">
        <v>100</v>
      </c>
      <c r="K3720" s="0" t="s">
        <v>168</v>
      </c>
      <c r="L3720" s="0" t="s">
        <v>101</v>
      </c>
      <c r="M3720" s="0" t="s">
        <v>656</v>
      </c>
      <c r="N3720" s="0" t="s">
        <v>101</v>
      </c>
      <c r="P3720" s="0" t="s">
        <v>102</v>
      </c>
      <c r="Q3720" s="0" t="s">
        <v>102</v>
      </c>
      <c r="R3720" s="0" t="s">
        <v>113</v>
      </c>
      <c r="S3720" s="0" t="s">
        <v>21</v>
      </c>
      <c r="T3720" s="0" t="s">
        <v>104</v>
      </c>
      <c r="W3720" s="0" t="s">
        <v>105</v>
      </c>
      <c r="X3720" s="0" t="s">
        <v>658</v>
      </c>
      <c r="Y3720" s="0" t="s">
        <v>659</v>
      </c>
    </row>
    <row r="3721" customFormat="false" ht="15" hidden="false" customHeight="false" outlineLevel="0" collapsed="false">
      <c r="A3721" s="0" t="s">
        <v>21</v>
      </c>
      <c r="B3721" s="0" t="s">
        <v>11816</v>
      </c>
      <c r="C3721" s="0" t="s">
        <v>97</v>
      </c>
      <c r="D3721" s="0" t="s">
        <v>11817</v>
      </c>
      <c r="E3721" s="0" t="s">
        <v>11818</v>
      </c>
      <c r="H3721" s="0" t="s">
        <v>654</v>
      </c>
      <c r="I3721" s="0" t="s">
        <v>655</v>
      </c>
      <c r="J3721" s="0" t="s">
        <v>100</v>
      </c>
      <c r="K3721" s="0" t="s">
        <v>168</v>
      </c>
      <c r="L3721" s="0" t="s">
        <v>101</v>
      </c>
      <c r="M3721" s="0" t="s">
        <v>656</v>
      </c>
      <c r="N3721" s="0" t="s">
        <v>101</v>
      </c>
      <c r="P3721" s="0" t="s">
        <v>102</v>
      </c>
      <c r="Q3721" s="0" t="s">
        <v>102</v>
      </c>
      <c r="R3721" s="0" t="s">
        <v>113</v>
      </c>
      <c r="S3721" s="0" t="s">
        <v>21</v>
      </c>
      <c r="T3721" s="0" t="s">
        <v>104</v>
      </c>
      <c r="W3721" s="0" t="s">
        <v>105</v>
      </c>
      <c r="X3721" s="0" t="s">
        <v>658</v>
      </c>
      <c r="Y3721" s="0" t="s">
        <v>659</v>
      </c>
    </row>
    <row r="3722" customFormat="false" ht="15" hidden="false" customHeight="false" outlineLevel="0" collapsed="false">
      <c r="A3722" s="0" t="s">
        <v>21</v>
      </c>
      <c r="B3722" s="0" t="s">
        <v>11819</v>
      </c>
      <c r="C3722" s="0" t="s">
        <v>97</v>
      </c>
      <c r="D3722" s="0" t="s">
        <v>11820</v>
      </c>
      <c r="E3722" s="0" t="s">
        <v>11821</v>
      </c>
      <c r="M3722" s="0" t="s">
        <v>656</v>
      </c>
      <c r="N3722" s="0" t="s">
        <v>101</v>
      </c>
      <c r="P3722" s="0" t="s">
        <v>102</v>
      </c>
      <c r="Q3722" s="0" t="s">
        <v>102</v>
      </c>
      <c r="R3722" s="0" t="s">
        <v>113</v>
      </c>
      <c r="S3722" s="0" t="s">
        <v>21</v>
      </c>
      <c r="T3722" s="0" t="s">
        <v>104</v>
      </c>
      <c r="W3722" s="0" t="s">
        <v>105</v>
      </c>
    </row>
    <row r="3723" customFormat="false" ht="15" hidden="false" customHeight="false" outlineLevel="0" collapsed="false">
      <c r="A3723" s="0" t="s">
        <v>21</v>
      </c>
      <c r="B3723" s="0" t="s">
        <v>11822</v>
      </c>
      <c r="C3723" s="0" t="s">
        <v>97</v>
      </c>
      <c r="D3723" s="0" t="s">
        <v>11823</v>
      </c>
      <c r="E3723" s="0" t="s">
        <v>11824</v>
      </c>
      <c r="M3723" s="0" t="s">
        <v>656</v>
      </c>
      <c r="N3723" s="0" t="s">
        <v>101</v>
      </c>
      <c r="P3723" s="0" t="s">
        <v>102</v>
      </c>
      <c r="Q3723" s="0" t="s">
        <v>102</v>
      </c>
      <c r="R3723" s="0" t="s">
        <v>113</v>
      </c>
      <c r="S3723" s="0" t="s">
        <v>21</v>
      </c>
      <c r="T3723" s="0" t="s">
        <v>104</v>
      </c>
      <c r="W3723" s="0" t="s">
        <v>105</v>
      </c>
    </row>
    <row r="3724" customFormat="false" ht="15" hidden="false" customHeight="false" outlineLevel="0" collapsed="false">
      <c r="A3724" s="0" t="s">
        <v>21</v>
      </c>
      <c r="B3724" s="0" t="s">
        <v>11825</v>
      </c>
      <c r="C3724" s="0" t="s">
        <v>97</v>
      </c>
      <c r="D3724" s="0" t="s">
        <v>11826</v>
      </c>
      <c r="E3724" s="0" t="s">
        <v>11827</v>
      </c>
      <c r="H3724" s="0" t="s">
        <v>654</v>
      </c>
      <c r="I3724" s="0" t="s">
        <v>655</v>
      </c>
      <c r="J3724" s="0" t="s">
        <v>100</v>
      </c>
      <c r="K3724" s="0" t="s">
        <v>168</v>
      </c>
      <c r="L3724" s="0" t="s">
        <v>101</v>
      </c>
      <c r="M3724" s="0" t="s">
        <v>656</v>
      </c>
      <c r="N3724" s="0" t="s">
        <v>101</v>
      </c>
      <c r="P3724" s="0" t="s">
        <v>102</v>
      </c>
      <c r="Q3724" s="0" t="s">
        <v>102</v>
      </c>
      <c r="R3724" s="0" t="s">
        <v>113</v>
      </c>
      <c r="S3724" s="0" t="s">
        <v>21</v>
      </c>
      <c r="T3724" s="0" t="s">
        <v>104</v>
      </c>
      <c r="W3724" s="0" t="s">
        <v>105</v>
      </c>
      <c r="X3724" s="0" t="s">
        <v>658</v>
      </c>
      <c r="Y3724" s="0" t="s">
        <v>659</v>
      </c>
    </row>
    <row r="3725" customFormat="false" ht="15" hidden="false" customHeight="false" outlineLevel="0" collapsed="false">
      <c r="A3725" s="0" t="s">
        <v>21</v>
      </c>
      <c r="B3725" s="0" t="s">
        <v>11828</v>
      </c>
      <c r="C3725" s="0" t="s">
        <v>97</v>
      </c>
      <c r="D3725" s="0" t="s">
        <v>11829</v>
      </c>
      <c r="E3725" s="0" t="s">
        <v>11830</v>
      </c>
      <c r="M3725" s="0" t="s">
        <v>656</v>
      </c>
      <c r="N3725" s="0" t="s">
        <v>101</v>
      </c>
      <c r="P3725" s="0" t="s">
        <v>102</v>
      </c>
      <c r="Q3725" s="0" t="s">
        <v>102</v>
      </c>
      <c r="R3725" s="0" t="s">
        <v>113</v>
      </c>
      <c r="S3725" s="0" t="s">
        <v>21</v>
      </c>
      <c r="T3725" s="0" t="s">
        <v>104</v>
      </c>
      <c r="W3725" s="0" t="s">
        <v>105</v>
      </c>
    </row>
    <row r="3726" customFormat="false" ht="15" hidden="false" customHeight="false" outlineLevel="0" collapsed="false">
      <c r="A3726" s="0" t="s">
        <v>21</v>
      </c>
      <c r="B3726" s="0" t="s">
        <v>11831</v>
      </c>
      <c r="C3726" s="0" t="s">
        <v>97</v>
      </c>
      <c r="D3726" s="0" t="s">
        <v>11832</v>
      </c>
      <c r="E3726" s="0" t="s">
        <v>11833</v>
      </c>
      <c r="G3726" s="0" t="s">
        <v>11834</v>
      </c>
      <c r="M3726" s="0" t="s">
        <v>100</v>
      </c>
      <c r="N3726" s="0" t="s">
        <v>101</v>
      </c>
      <c r="P3726" s="0" t="s">
        <v>102</v>
      </c>
      <c r="Q3726" s="0" t="s">
        <v>102</v>
      </c>
      <c r="R3726" s="0" t="s">
        <v>113</v>
      </c>
      <c r="S3726" s="0" t="s">
        <v>21</v>
      </c>
      <c r="T3726" s="0" t="s">
        <v>104</v>
      </c>
      <c r="W3726" s="0" t="s">
        <v>105</v>
      </c>
    </row>
    <row r="3727" customFormat="false" ht="15" hidden="false" customHeight="false" outlineLevel="0" collapsed="false">
      <c r="A3727" s="0" t="s">
        <v>21</v>
      </c>
      <c r="B3727" s="0" t="s">
        <v>11835</v>
      </c>
      <c r="C3727" s="0" t="s">
        <v>97</v>
      </c>
      <c r="D3727" s="0" t="s">
        <v>11836</v>
      </c>
      <c r="E3727" s="0" t="s">
        <v>11837</v>
      </c>
      <c r="H3727" s="0" t="s">
        <v>654</v>
      </c>
      <c r="I3727" s="0" t="s">
        <v>655</v>
      </c>
      <c r="J3727" s="0" t="s">
        <v>100</v>
      </c>
      <c r="K3727" s="0" t="s">
        <v>168</v>
      </c>
      <c r="L3727" s="0" t="s">
        <v>101</v>
      </c>
      <c r="M3727" s="0" t="s">
        <v>656</v>
      </c>
      <c r="N3727" s="0" t="s">
        <v>101</v>
      </c>
      <c r="P3727" s="0" t="s">
        <v>102</v>
      </c>
      <c r="Q3727" s="0" t="s">
        <v>102</v>
      </c>
      <c r="R3727" s="0" t="s">
        <v>113</v>
      </c>
      <c r="S3727" s="0" t="s">
        <v>21</v>
      </c>
      <c r="T3727" s="0" t="s">
        <v>104</v>
      </c>
      <c r="W3727" s="0" t="s">
        <v>105</v>
      </c>
      <c r="X3727" s="0" t="s">
        <v>658</v>
      </c>
      <c r="Y3727" s="0" t="s">
        <v>659</v>
      </c>
    </row>
    <row r="3728" customFormat="false" ht="15" hidden="false" customHeight="false" outlineLevel="0" collapsed="false">
      <c r="A3728" s="0" t="s">
        <v>21</v>
      </c>
      <c r="B3728" s="0" t="s">
        <v>11838</v>
      </c>
      <c r="C3728" s="0" t="s">
        <v>97</v>
      </c>
      <c r="D3728" s="0" t="s">
        <v>11839</v>
      </c>
      <c r="E3728" s="0" t="s">
        <v>11840</v>
      </c>
      <c r="H3728" s="0" t="s">
        <v>654</v>
      </c>
      <c r="I3728" s="0" t="s">
        <v>655</v>
      </c>
      <c r="J3728" s="0" t="s">
        <v>100</v>
      </c>
      <c r="K3728" s="0" t="s">
        <v>168</v>
      </c>
      <c r="L3728" s="0" t="s">
        <v>101</v>
      </c>
      <c r="M3728" s="0" t="s">
        <v>656</v>
      </c>
      <c r="N3728" s="0" t="s">
        <v>101</v>
      </c>
      <c r="P3728" s="0" t="s">
        <v>102</v>
      </c>
      <c r="Q3728" s="0" t="s">
        <v>102</v>
      </c>
      <c r="R3728" s="0" t="s">
        <v>113</v>
      </c>
      <c r="S3728" s="0" t="s">
        <v>21</v>
      </c>
      <c r="T3728" s="0" t="s">
        <v>104</v>
      </c>
      <c r="W3728" s="0" t="s">
        <v>105</v>
      </c>
      <c r="X3728" s="0" t="s">
        <v>658</v>
      </c>
      <c r="Y3728" s="0" t="s">
        <v>659</v>
      </c>
    </row>
    <row r="3729" customFormat="false" ht="15" hidden="false" customHeight="false" outlineLevel="0" collapsed="false">
      <c r="A3729" s="0" t="s">
        <v>21</v>
      </c>
      <c r="B3729" s="0" t="s">
        <v>11841</v>
      </c>
      <c r="C3729" s="0" t="s">
        <v>97</v>
      </c>
      <c r="D3729" s="0" t="s">
        <v>11842</v>
      </c>
      <c r="E3729" s="0" t="s">
        <v>11843</v>
      </c>
      <c r="M3729" s="0" t="s">
        <v>100</v>
      </c>
      <c r="N3729" s="0" t="s">
        <v>101</v>
      </c>
      <c r="P3729" s="0" t="s">
        <v>102</v>
      </c>
      <c r="Q3729" s="0" t="s">
        <v>102</v>
      </c>
      <c r="R3729" s="0" t="s">
        <v>113</v>
      </c>
      <c r="S3729" s="0" t="s">
        <v>21</v>
      </c>
      <c r="T3729" s="0" t="s">
        <v>104</v>
      </c>
      <c r="W3729" s="0" t="s">
        <v>105</v>
      </c>
    </row>
    <row r="3730" customFormat="false" ht="15" hidden="false" customHeight="false" outlineLevel="0" collapsed="false">
      <c r="A3730" s="0" t="s">
        <v>21</v>
      </c>
      <c r="B3730" s="0" t="s">
        <v>11844</v>
      </c>
      <c r="C3730" s="0" t="s">
        <v>97</v>
      </c>
      <c r="D3730" s="0" t="s">
        <v>11845</v>
      </c>
      <c r="E3730" s="0" t="s">
        <v>11846</v>
      </c>
      <c r="H3730" s="0" t="s">
        <v>654</v>
      </c>
      <c r="I3730" s="0" t="s">
        <v>655</v>
      </c>
      <c r="J3730" s="0" t="s">
        <v>100</v>
      </c>
      <c r="K3730" s="0" t="s">
        <v>168</v>
      </c>
      <c r="L3730" s="0" t="s">
        <v>101</v>
      </c>
      <c r="M3730" s="0" t="s">
        <v>656</v>
      </c>
      <c r="N3730" s="0" t="s">
        <v>101</v>
      </c>
      <c r="P3730" s="0" t="s">
        <v>102</v>
      </c>
      <c r="Q3730" s="0" t="s">
        <v>102</v>
      </c>
      <c r="R3730" s="0" t="s">
        <v>113</v>
      </c>
      <c r="S3730" s="0" t="s">
        <v>21</v>
      </c>
      <c r="T3730" s="0" t="s">
        <v>104</v>
      </c>
      <c r="W3730" s="0" t="s">
        <v>105</v>
      </c>
      <c r="X3730" s="0" t="s">
        <v>658</v>
      </c>
      <c r="Y3730" s="0" t="s">
        <v>659</v>
      </c>
    </row>
    <row r="3731" customFormat="false" ht="15" hidden="false" customHeight="false" outlineLevel="0" collapsed="false">
      <c r="A3731" s="0" t="s">
        <v>21</v>
      </c>
      <c r="B3731" s="0" t="s">
        <v>11847</v>
      </c>
      <c r="C3731" s="0" t="s">
        <v>97</v>
      </c>
      <c r="D3731" s="0" t="s">
        <v>11848</v>
      </c>
      <c r="E3731" s="0" t="s">
        <v>11849</v>
      </c>
      <c r="H3731" s="0" t="s">
        <v>654</v>
      </c>
      <c r="I3731" s="0" t="s">
        <v>655</v>
      </c>
      <c r="J3731" s="0" t="s">
        <v>100</v>
      </c>
      <c r="K3731" s="0" t="s">
        <v>168</v>
      </c>
      <c r="L3731" s="0" t="s">
        <v>101</v>
      </c>
      <c r="M3731" s="0" t="s">
        <v>656</v>
      </c>
      <c r="N3731" s="0" t="s">
        <v>101</v>
      </c>
      <c r="P3731" s="0" t="s">
        <v>102</v>
      </c>
      <c r="Q3731" s="0" t="s">
        <v>102</v>
      </c>
      <c r="R3731" s="0" t="s">
        <v>113</v>
      </c>
      <c r="S3731" s="0" t="s">
        <v>21</v>
      </c>
      <c r="T3731" s="0" t="s">
        <v>104</v>
      </c>
      <c r="W3731" s="0" t="s">
        <v>105</v>
      </c>
      <c r="X3731" s="0" t="s">
        <v>658</v>
      </c>
      <c r="Y3731" s="0" t="s">
        <v>659</v>
      </c>
    </row>
    <row r="3732" customFormat="false" ht="15" hidden="false" customHeight="false" outlineLevel="0" collapsed="false">
      <c r="A3732" s="0" t="s">
        <v>21</v>
      </c>
      <c r="B3732" s="0" t="s">
        <v>11850</v>
      </c>
      <c r="C3732" s="0" t="s">
        <v>97</v>
      </c>
      <c r="D3732" s="0" t="s">
        <v>11851</v>
      </c>
      <c r="E3732" s="0" t="s">
        <v>11852</v>
      </c>
      <c r="H3732" s="0" t="s">
        <v>654</v>
      </c>
      <c r="I3732" s="0" t="s">
        <v>655</v>
      </c>
      <c r="J3732" s="0" t="s">
        <v>100</v>
      </c>
      <c r="K3732" s="0" t="s">
        <v>168</v>
      </c>
      <c r="L3732" s="0" t="s">
        <v>101</v>
      </c>
      <c r="M3732" s="0" t="s">
        <v>656</v>
      </c>
      <c r="N3732" s="0" t="s">
        <v>101</v>
      </c>
      <c r="P3732" s="0" t="s">
        <v>102</v>
      </c>
      <c r="Q3732" s="0" t="s">
        <v>102</v>
      </c>
      <c r="R3732" s="0" t="s">
        <v>113</v>
      </c>
      <c r="S3732" s="0" t="s">
        <v>21</v>
      </c>
      <c r="T3732" s="0" t="s">
        <v>104</v>
      </c>
      <c r="W3732" s="0" t="s">
        <v>105</v>
      </c>
      <c r="X3732" s="0" t="s">
        <v>658</v>
      </c>
      <c r="Y3732" s="0" t="s">
        <v>659</v>
      </c>
    </row>
    <row r="3733" customFormat="false" ht="15" hidden="false" customHeight="false" outlineLevel="0" collapsed="false">
      <c r="A3733" s="0" t="s">
        <v>21</v>
      </c>
      <c r="B3733" s="0" t="s">
        <v>11853</v>
      </c>
      <c r="C3733" s="0" t="s">
        <v>97</v>
      </c>
      <c r="D3733" s="0" t="s">
        <v>11854</v>
      </c>
      <c r="E3733" s="0" t="s">
        <v>11855</v>
      </c>
      <c r="H3733" s="0" t="s">
        <v>654</v>
      </c>
      <c r="I3733" s="0" t="s">
        <v>655</v>
      </c>
      <c r="J3733" s="0" t="s">
        <v>100</v>
      </c>
      <c r="K3733" s="0" t="s">
        <v>168</v>
      </c>
      <c r="L3733" s="0" t="s">
        <v>101</v>
      </c>
      <c r="M3733" s="0" t="s">
        <v>656</v>
      </c>
      <c r="N3733" s="0" t="s">
        <v>101</v>
      </c>
      <c r="P3733" s="0" t="s">
        <v>102</v>
      </c>
      <c r="Q3733" s="0" t="s">
        <v>102</v>
      </c>
      <c r="R3733" s="0" t="s">
        <v>113</v>
      </c>
      <c r="S3733" s="0" t="s">
        <v>21</v>
      </c>
      <c r="T3733" s="0" t="s">
        <v>104</v>
      </c>
      <c r="W3733" s="0" t="s">
        <v>105</v>
      </c>
      <c r="X3733" s="0" t="s">
        <v>658</v>
      </c>
      <c r="Y3733" s="0" t="s">
        <v>659</v>
      </c>
    </row>
    <row r="3734" customFormat="false" ht="15" hidden="false" customHeight="false" outlineLevel="0" collapsed="false">
      <c r="A3734" s="0" t="s">
        <v>21</v>
      </c>
      <c r="B3734" s="0" t="s">
        <v>11856</v>
      </c>
      <c r="C3734" s="0" t="s">
        <v>97</v>
      </c>
      <c r="D3734" s="0" t="s">
        <v>11857</v>
      </c>
      <c r="E3734" s="0" t="s">
        <v>11858</v>
      </c>
      <c r="H3734" s="0" t="s">
        <v>654</v>
      </c>
      <c r="I3734" s="0" t="s">
        <v>655</v>
      </c>
      <c r="J3734" s="0" t="s">
        <v>100</v>
      </c>
      <c r="K3734" s="0" t="s">
        <v>168</v>
      </c>
      <c r="L3734" s="0" t="s">
        <v>101</v>
      </c>
      <c r="M3734" s="0" t="s">
        <v>656</v>
      </c>
      <c r="N3734" s="0" t="s">
        <v>101</v>
      </c>
      <c r="P3734" s="0" t="s">
        <v>102</v>
      </c>
      <c r="Q3734" s="0" t="s">
        <v>102</v>
      </c>
      <c r="R3734" s="0" t="s">
        <v>113</v>
      </c>
      <c r="S3734" s="0" t="s">
        <v>21</v>
      </c>
      <c r="T3734" s="0" t="s">
        <v>104</v>
      </c>
      <c r="W3734" s="0" t="s">
        <v>105</v>
      </c>
      <c r="X3734" s="0" t="s">
        <v>658</v>
      </c>
      <c r="Y3734" s="0" t="s">
        <v>659</v>
      </c>
    </row>
    <row r="3735" customFormat="false" ht="15" hidden="false" customHeight="false" outlineLevel="0" collapsed="false">
      <c r="A3735" s="0" t="s">
        <v>21</v>
      </c>
      <c r="B3735" s="0" t="s">
        <v>11859</v>
      </c>
      <c r="C3735" s="0" t="s">
        <v>97</v>
      </c>
      <c r="D3735" s="0" t="s">
        <v>11860</v>
      </c>
      <c r="E3735" s="0" t="s">
        <v>11861</v>
      </c>
      <c r="G3735" s="0" t="s">
        <v>11862</v>
      </c>
      <c r="M3735" s="0" t="s">
        <v>366</v>
      </c>
      <c r="N3735" s="0" t="s">
        <v>101</v>
      </c>
      <c r="P3735" s="0" t="s">
        <v>102</v>
      </c>
      <c r="Q3735" s="0" t="s">
        <v>102</v>
      </c>
      <c r="R3735" s="0" t="s">
        <v>113</v>
      </c>
      <c r="S3735" s="0" t="s">
        <v>21</v>
      </c>
      <c r="T3735" s="0" t="s">
        <v>104</v>
      </c>
      <c r="W3735" s="0" t="s">
        <v>105</v>
      </c>
    </row>
    <row r="3736" customFormat="false" ht="15" hidden="false" customHeight="false" outlineLevel="0" collapsed="false">
      <c r="A3736" s="0" t="s">
        <v>21</v>
      </c>
      <c r="B3736" s="0" t="s">
        <v>11863</v>
      </c>
      <c r="C3736" s="0" t="s">
        <v>97</v>
      </c>
      <c r="D3736" s="0" t="s">
        <v>11864</v>
      </c>
      <c r="E3736" s="0" t="s">
        <v>11865</v>
      </c>
      <c r="H3736" s="0" t="s">
        <v>654</v>
      </c>
      <c r="I3736" s="0" t="s">
        <v>655</v>
      </c>
      <c r="J3736" s="0" t="s">
        <v>100</v>
      </c>
      <c r="K3736" s="0" t="s">
        <v>168</v>
      </c>
      <c r="L3736" s="0" t="s">
        <v>101</v>
      </c>
      <c r="M3736" s="0" t="s">
        <v>656</v>
      </c>
      <c r="N3736" s="0" t="s">
        <v>101</v>
      </c>
      <c r="P3736" s="0" t="s">
        <v>102</v>
      </c>
      <c r="Q3736" s="0" t="s">
        <v>102</v>
      </c>
      <c r="R3736" s="0" t="s">
        <v>113</v>
      </c>
      <c r="S3736" s="0" t="s">
        <v>21</v>
      </c>
      <c r="T3736" s="0" t="s">
        <v>104</v>
      </c>
      <c r="W3736" s="0" t="s">
        <v>105</v>
      </c>
      <c r="X3736" s="0" t="s">
        <v>658</v>
      </c>
      <c r="Y3736" s="0" t="s">
        <v>659</v>
      </c>
    </row>
    <row r="3737" customFormat="false" ht="15" hidden="false" customHeight="false" outlineLevel="0" collapsed="false">
      <c r="A3737" s="0" t="s">
        <v>21</v>
      </c>
      <c r="B3737" s="0" t="s">
        <v>11866</v>
      </c>
      <c r="C3737" s="0" t="s">
        <v>97</v>
      </c>
      <c r="D3737" s="0" t="s">
        <v>11867</v>
      </c>
      <c r="E3737" s="0" t="s">
        <v>11868</v>
      </c>
      <c r="H3737" s="0" t="s">
        <v>654</v>
      </c>
      <c r="I3737" s="0" t="s">
        <v>655</v>
      </c>
      <c r="J3737" s="0" t="s">
        <v>100</v>
      </c>
      <c r="K3737" s="0" t="s">
        <v>168</v>
      </c>
      <c r="L3737" s="0" t="s">
        <v>101</v>
      </c>
      <c r="M3737" s="0" t="s">
        <v>656</v>
      </c>
      <c r="N3737" s="0" t="s">
        <v>101</v>
      </c>
      <c r="P3737" s="0" t="s">
        <v>102</v>
      </c>
      <c r="Q3737" s="0" t="s">
        <v>102</v>
      </c>
      <c r="R3737" s="0" t="s">
        <v>113</v>
      </c>
      <c r="S3737" s="0" t="s">
        <v>21</v>
      </c>
      <c r="T3737" s="0" t="s">
        <v>104</v>
      </c>
      <c r="W3737" s="0" t="s">
        <v>105</v>
      </c>
      <c r="X3737" s="0" t="s">
        <v>658</v>
      </c>
      <c r="Y3737" s="0" t="s">
        <v>659</v>
      </c>
    </row>
    <row r="3738" customFormat="false" ht="15" hidden="false" customHeight="false" outlineLevel="0" collapsed="false">
      <c r="A3738" s="0" t="s">
        <v>21</v>
      </c>
      <c r="B3738" s="0" t="s">
        <v>11869</v>
      </c>
      <c r="C3738" s="0" t="s">
        <v>97</v>
      </c>
      <c r="D3738" s="0" t="s">
        <v>11870</v>
      </c>
      <c r="E3738" s="0" t="s">
        <v>11871</v>
      </c>
      <c r="H3738" s="0" t="s">
        <v>654</v>
      </c>
      <c r="I3738" s="0" t="s">
        <v>655</v>
      </c>
      <c r="J3738" s="0" t="s">
        <v>100</v>
      </c>
      <c r="K3738" s="0" t="s">
        <v>168</v>
      </c>
      <c r="L3738" s="0" t="s">
        <v>101</v>
      </c>
      <c r="M3738" s="0" t="s">
        <v>656</v>
      </c>
      <c r="N3738" s="0" t="s">
        <v>101</v>
      </c>
      <c r="P3738" s="0" t="s">
        <v>102</v>
      </c>
      <c r="Q3738" s="0" t="s">
        <v>102</v>
      </c>
      <c r="R3738" s="0" t="s">
        <v>113</v>
      </c>
      <c r="S3738" s="0" t="s">
        <v>21</v>
      </c>
      <c r="T3738" s="0" t="s">
        <v>104</v>
      </c>
      <c r="W3738" s="0" t="s">
        <v>105</v>
      </c>
      <c r="X3738" s="0" t="s">
        <v>658</v>
      </c>
      <c r="Y3738" s="0" t="s">
        <v>659</v>
      </c>
    </row>
    <row r="3739" customFormat="false" ht="15" hidden="false" customHeight="false" outlineLevel="0" collapsed="false">
      <c r="A3739" s="0" t="s">
        <v>21</v>
      </c>
      <c r="B3739" s="0" t="s">
        <v>11872</v>
      </c>
      <c r="C3739" s="0" t="s">
        <v>97</v>
      </c>
      <c r="D3739" s="0" t="s">
        <v>11873</v>
      </c>
      <c r="E3739" s="0" t="s">
        <v>11874</v>
      </c>
      <c r="H3739" s="0" t="s">
        <v>654</v>
      </c>
      <c r="I3739" s="0" t="s">
        <v>655</v>
      </c>
      <c r="J3739" s="0" t="s">
        <v>100</v>
      </c>
      <c r="K3739" s="0" t="s">
        <v>168</v>
      </c>
      <c r="L3739" s="0" t="s">
        <v>101</v>
      </c>
      <c r="M3739" s="0" t="s">
        <v>656</v>
      </c>
      <c r="N3739" s="0" t="s">
        <v>101</v>
      </c>
      <c r="P3739" s="0" t="s">
        <v>102</v>
      </c>
      <c r="Q3739" s="0" t="s">
        <v>102</v>
      </c>
      <c r="R3739" s="0" t="s">
        <v>113</v>
      </c>
      <c r="S3739" s="0" t="s">
        <v>21</v>
      </c>
      <c r="T3739" s="0" t="s">
        <v>104</v>
      </c>
      <c r="W3739" s="0" t="s">
        <v>105</v>
      </c>
      <c r="X3739" s="0" t="s">
        <v>658</v>
      </c>
      <c r="Y3739" s="0" t="s">
        <v>659</v>
      </c>
    </row>
    <row r="3740" customFormat="false" ht="15" hidden="false" customHeight="false" outlineLevel="0" collapsed="false">
      <c r="A3740" s="0" t="s">
        <v>21</v>
      </c>
      <c r="B3740" s="0" t="s">
        <v>11875</v>
      </c>
      <c r="C3740" s="0" t="s">
        <v>97</v>
      </c>
      <c r="D3740" s="0" t="s">
        <v>11876</v>
      </c>
      <c r="E3740" s="0" t="s">
        <v>11877</v>
      </c>
      <c r="H3740" s="0" t="s">
        <v>654</v>
      </c>
      <c r="I3740" s="0" t="s">
        <v>655</v>
      </c>
      <c r="J3740" s="0" t="s">
        <v>100</v>
      </c>
      <c r="K3740" s="0" t="s">
        <v>168</v>
      </c>
      <c r="L3740" s="0" t="s">
        <v>101</v>
      </c>
      <c r="M3740" s="0" t="s">
        <v>656</v>
      </c>
      <c r="N3740" s="0" t="s">
        <v>101</v>
      </c>
      <c r="P3740" s="0" t="s">
        <v>102</v>
      </c>
      <c r="Q3740" s="0" t="s">
        <v>102</v>
      </c>
      <c r="R3740" s="0" t="s">
        <v>113</v>
      </c>
      <c r="S3740" s="0" t="s">
        <v>21</v>
      </c>
      <c r="T3740" s="0" t="s">
        <v>104</v>
      </c>
      <c r="W3740" s="0" t="s">
        <v>105</v>
      </c>
      <c r="X3740" s="0" t="s">
        <v>658</v>
      </c>
      <c r="Y3740" s="0" t="s">
        <v>659</v>
      </c>
    </row>
    <row r="3741" customFormat="false" ht="15" hidden="false" customHeight="false" outlineLevel="0" collapsed="false">
      <c r="A3741" s="0" t="s">
        <v>21</v>
      </c>
      <c r="B3741" s="0" t="s">
        <v>11878</v>
      </c>
      <c r="C3741" s="0" t="s">
        <v>97</v>
      </c>
      <c r="D3741" s="0" t="s">
        <v>11879</v>
      </c>
      <c r="E3741" s="0" t="s">
        <v>11880</v>
      </c>
      <c r="M3741" s="0" t="s">
        <v>656</v>
      </c>
      <c r="N3741" s="0" t="s">
        <v>101</v>
      </c>
      <c r="P3741" s="0" t="s">
        <v>102</v>
      </c>
      <c r="Q3741" s="0" t="s">
        <v>102</v>
      </c>
      <c r="R3741" s="0" t="s">
        <v>113</v>
      </c>
      <c r="S3741" s="0" t="s">
        <v>21</v>
      </c>
      <c r="T3741" s="0" t="s">
        <v>104</v>
      </c>
      <c r="W3741" s="0" t="s">
        <v>105</v>
      </c>
    </row>
    <row r="3742" customFormat="false" ht="15" hidden="false" customHeight="false" outlineLevel="0" collapsed="false">
      <c r="A3742" s="0" t="s">
        <v>21</v>
      </c>
      <c r="B3742" s="0" t="s">
        <v>11881</v>
      </c>
      <c r="C3742" s="0" t="s">
        <v>97</v>
      </c>
      <c r="D3742" s="0" t="s">
        <v>11882</v>
      </c>
      <c r="E3742" s="0" t="s">
        <v>11883</v>
      </c>
      <c r="H3742" s="0" t="s">
        <v>654</v>
      </c>
      <c r="I3742" s="0" t="s">
        <v>655</v>
      </c>
      <c r="J3742" s="0" t="s">
        <v>100</v>
      </c>
      <c r="K3742" s="0" t="s">
        <v>168</v>
      </c>
      <c r="L3742" s="0" t="s">
        <v>101</v>
      </c>
      <c r="M3742" s="0" t="s">
        <v>656</v>
      </c>
      <c r="N3742" s="0" t="s">
        <v>101</v>
      </c>
      <c r="P3742" s="0" t="s">
        <v>102</v>
      </c>
      <c r="Q3742" s="0" t="s">
        <v>102</v>
      </c>
      <c r="R3742" s="0" t="s">
        <v>113</v>
      </c>
      <c r="S3742" s="0" t="s">
        <v>21</v>
      </c>
      <c r="T3742" s="0" t="s">
        <v>104</v>
      </c>
      <c r="W3742" s="0" t="s">
        <v>105</v>
      </c>
      <c r="X3742" s="0" t="s">
        <v>658</v>
      </c>
      <c r="Y3742" s="0" t="s">
        <v>659</v>
      </c>
    </row>
    <row r="3743" customFormat="false" ht="15" hidden="false" customHeight="false" outlineLevel="0" collapsed="false">
      <c r="A3743" s="0" t="s">
        <v>21</v>
      </c>
      <c r="B3743" s="0" t="s">
        <v>11884</v>
      </c>
      <c r="C3743" s="0" t="s">
        <v>97</v>
      </c>
      <c r="D3743" s="0" t="s">
        <v>11885</v>
      </c>
      <c r="E3743" s="0" t="s">
        <v>11886</v>
      </c>
      <c r="H3743" s="0" t="s">
        <v>654</v>
      </c>
      <c r="I3743" s="0" t="s">
        <v>655</v>
      </c>
      <c r="J3743" s="0" t="s">
        <v>100</v>
      </c>
      <c r="K3743" s="0" t="s">
        <v>168</v>
      </c>
      <c r="L3743" s="0" t="s">
        <v>101</v>
      </c>
      <c r="M3743" s="0" t="s">
        <v>656</v>
      </c>
      <c r="N3743" s="0" t="s">
        <v>101</v>
      </c>
      <c r="P3743" s="0" t="s">
        <v>102</v>
      </c>
      <c r="Q3743" s="0" t="s">
        <v>102</v>
      </c>
      <c r="R3743" s="0" t="s">
        <v>113</v>
      </c>
      <c r="S3743" s="0" t="s">
        <v>21</v>
      </c>
      <c r="T3743" s="0" t="s">
        <v>104</v>
      </c>
      <c r="W3743" s="0" t="s">
        <v>105</v>
      </c>
      <c r="X3743" s="0" t="s">
        <v>658</v>
      </c>
      <c r="Y3743" s="0" t="s">
        <v>659</v>
      </c>
    </row>
    <row r="3744" customFormat="false" ht="15" hidden="false" customHeight="false" outlineLevel="0" collapsed="false">
      <c r="A3744" s="0" t="s">
        <v>21</v>
      </c>
      <c r="B3744" s="0" t="s">
        <v>11887</v>
      </c>
      <c r="C3744" s="0" t="s">
        <v>97</v>
      </c>
      <c r="D3744" s="0" t="s">
        <v>11888</v>
      </c>
      <c r="E3744" s="0" t="s">
        <v>11889</v>
      </c>
      <c r="H3744" s="0" t="s">
        <v>654</v>
      </c>
      <c r="I3744" s="0" t="s">
        <v>655</v>
      </c>
      <c r="J3744" s="0" t="s">
        <v>100</v>
      </c>
      <c r="K3744" s="0" t="s">
        <v>168</v>
      </c>
      <c r="L3744" s="0" t="s">
        <v>101</v>
      </c>
      <c r="M3744" s="0" t="s">
        <v>656</v>
      </c>
      <c r="N3744" s="0" t="s">
        <v>101</v>
      </c>
      <c r="P3744" s="0" t="s">
        <v>102</v>
      </c>
      <c r="Q3744" s="0" t="s">
        <v>102</v>
      </c>
      <c r="R3744" s="0" t="s">
        <v>113</v>
      </c>
      <c r="S3744" s="0" t="s">
        <v>21</v>
      </c>
      <c r="T3744" s="0" t="s">
        <v>104</v>
      </c>
      <c r="W3744" s="0" t="s">
        <v>105</v>
      </c>
      <c r="X3744" s="0" t="s">
        <v>658</v>
      </c>
      <c r="Y3744" s="0" t="s">
        <v>659</v>
      </c>
    </row>
    <row r="3745" customFormat="false" ht="15" hidden="false" customHeight="false" outlineLevel="0" collapsed="false">
      <c r="A3745" s="0" t="s">
        <v>21</v>
      </c>
      <c r="B3745" s="0" t="s">
        <v>11890</v>
      </c>
      <c r="C3745" s="0" t="s">
        <v>97</v>
      </c>
      <c r="D3745" s="0" t="s">
        <v>11891</v>
      </c>
      <c r="E3745" s="0" t="s">
        <v>11892</v>
      </c>
      <c r="H3745" s="0" t="s">
        <v>654</v>
      </c>
      <c r="I3745" s="0" t="s">
        <v>655</v>
      </c>
      <c r="J3745" s="0" t="s">
        <v>100</v>
      </c>
      <c r="K3745" s="0" t="s">
        <v>168</v>
      </c>
      <c r="L3745" s="0" t="s">
        <v>101</v>
      </c>
      <c r="M3745" s="0" t="s">
        <v>656</v>
      </c>
      <c r="N3745" s="0" t="s">
        <v>101</v>
      </c>
      <c r="P3745" s="0" t="s">
        <v>102</v>
      </c>
      <c r="Q3745" s="0" t="s">
        <v>102</v>
      </c>
      <c r="R3745" s="0" t="s">
        <v>113</v>
      </c>
      <c r="S3745" s="0" t="s">
        <v>21</v>
      </c>
      <c r="T3745" s="0" t="s">
        <v>104</v>
      </c>
      <c r="W3745" s="0" t="s">
        <v>105</v>
      </c>
      <c r="X3745" s="0" t="s">
        <v>658</v>
      </c>
      <c r="Y3745" s="0" t="s">
        <v>659</v>
      </c>
    </row>
    <row r="3746" customFormat="false" ht="15" hidden="false" customHeight="false" outlineLevel="0" collapsed="false">
      <c r="A3746" s="0" t="s">
        <v>21</v>
      </c>
      <c r="B3746" s="0" t="s">
        <v>11893</v>
      </c>
      <c r="C3746" s="0" t="s">
        <v>97</v>
      </c>
      <c r="D3746" s="0" t="s">
        <v>11894</v>
      </c>
      <c r="E3746" s="0" t="s">
        <v>11895</v>
      </c>
      <c r="M3746" s="0" t="s">
        <v>3749</v>
      </c>
      <c r="N3746" s="0" t="s">
        <v>101</v>
      </c>
      <c r="P3746" s="0" t="s">
        <v>102</v>
      </c>
      <c r="Q3746" s="0" t="s">
        <v>102</v>
      </c>
      <c r="R3746" s="0" t="s">
        <v>113</v>
      </c>
      <c r="S3746" s="0" t="s">
        <v>21</v>
      </c>
      <c r="T3746" s="0" t="s">
        <v>104</v>
      </c>
      <c r="W3746" s="0" t="s">
        <v>105</v>
      </c>
    </row>
    <row r="3747" customFormat="false" ht="15" hidden="false" customHeight="false" outlineLevel="0" collapsed="false">
      <c r="A3747" s="0" t="s">
        <v>21</v>
      </c>
      <c r="B3747" s="0" t="s">
        <v>11896</v>
      </c>
      <c r="C3747" s="0" t="s">
        <v>97</v>
      </c>
      <c r="D3747" s="0" t="s">
        <v>11897</v>
      </c>
      <c r="E3747" s="0" t="s">
        <v>11898</v>
      </c>
      <c r="H3747" s="0" t="s">
        <v>654</v>
      </c>
      <c r="I3747" s="0" t="s">
        <v>655</v>
      </c>
      <c r="J3747" s="0" t="s">
        <v>100</v>
      </c>
      <c r="K3747" s="0" t="s">
        <v>168</v>
      </c>
      <c r="L3747" s="0" t="s">
        <v>101</v>
      </c>
      <c r="M3747" s="0" t="s">
        <v>656</v>
      </c>
      <c r="N3747" s="0" t="s">
        <v>101</v>
      </c>
      <c r="P3747" s="0" t="s">
        <v>102</v>
      </c>
      <c r="Q3747" s="0" t="s">
        <v>102</v>
      </c>
      <c r="R3747" s="0" t="s">
        <v>113</v>
      </c>
      <c r="S3747" s="0" t="s">
        <v>21</v>
      </c>
      <c r="T3747" s="0" t="s">
        <v>104</v>
      </c>
      <c r="W3747" s="0" t="s">
        <v>105</v>
      </c>
      <c r="X3747" s="0" t="s">
        <v>658</v>
      </c>
      <c r="Y3747" s="0" t="s">
        <v>659</v>
      </c>
    </row>
    <row r="3748" customFormat="false" ht="15" hidden="false" customHeight="false" outlineLevel="0" collapsed="false">
      <c r="A3748" s="0" t="s">
        <v>21</v>
      </c>
      <c r="B3748" s="0" t="s">
        <v>11899</v>
      </c>
      <c r="C3748" s="0" t="s">
        <v>97</v>
      </c>
      <c r="D3748" s="0" t="s">
        <v>11900</v>
      </c>
      <c r="E3748" s="0" t="s">
        <v>11901</v>
      </c>
      <c r="M3748" s="0" t="s">
        <v>656</v>
      </c>
      <c r="N3748" s="0" t="s">
        <v>101</v>
      </c>
      <c r="P3748" s="0" t="s">
        <v>102</v>
      </c>
      <c r="Q3748" s="0" t="s">
        <v>102</v>
      </c>
      <c r="R3748" s="0" t="s">
        <v>113</v>
      </c>
      <c r="S3748" s="0" t="s">
        <v>21</v>
      </c>
      <c r="T3748" s="0" t="s">
        <v>104</v>
      </c>
      <c r="W3748" s="0" t="s">
        <v>105</v>
      </c>
    </row>
    <row r="3749" customFormat="false" ht="15" hidden="false" customHeight="false" outlineLevel="0" collapsed="false">
      <c r="A3749" s="0" t="s">
        <v>21</v>
      </c>
      <c r="B3749" s="0" t="s">
        <v>11902</v>
      </c>
      <c r="C3749" s="0" t="s">
        <v>97</v>
      </c>
      <c r="D3749" s="0" t="s">
        <v>11903</v>
      </c>
      <c r="E3749" s="0" t="s">
        <v>11904</v>
      </c>
      <c r="M3749" s="0" t="s">
        <v>656</v>
      </c>
      <c r="N3749" s="0" t="s">
        <v>101</v>
      </c>
      <c r="P3749" s="0" t="s">
        <v>102</v>
      </c>
      <c r="Q3749" s="0" t="s">
        <v>102</v>
      </c>
      <c r="R3749" s="0" t="s">
        <v>113</v>
      </c>
      <c r="S3749" s="0" t="s">
        <v>21</v>
      </c>
      <c r="T3749" s="0" t="s">
        <v>104</v>
      </c>
      <c r="W3749" s="0" t="s">
        <v>105</v>
      </c>
    </row>
    <row r="3750" customFormat="false" ht="15" hidden="false" customHeight="false" outlineLevel="0" collapsed="false">
      <c r="A3750" s="0" t="s">
        <v>21</v>
      </c>
      <c r="B3750" s="0" t="s">
        <v>11905</v>
      </c>
      <c r="C3750" s="0" t="s">
        <v>97</v>
      </c>
      <c r="D3750" s="0" t="s">
        <v>11906</v>
      </c>
      <c r="E3750" s="0" t="s">
        <v>11907</v>
      </c>
      <c r="H3750" s="0" t="s">
        <v>654</v>
      </c>
      <c r="I3750" s="0" t="s">
        <v>655</v>
      </c>
      <c r="J3750" s="0" t="s">
        <v>100</v>
      </c>
      <c r="K3750" s="0" t="s">
        <v>168</v>
      </c>
      <c r="L3750" s="0" t="s">
        <v>101</v>
      </c>
      <c r="M3750" s="0" t="s">
        <v>656</v>
      </c>
      <c r="N3750" s="0" t="s">
        <v>101</v>
      </c>
      <c r="P3750" s="0" t="s">
        <v>102</v>
      </c>
      <c r="Q3750" s="0" t="s">
        <v>102</v>
      </c>
      <c r="R3750" s="0" t="s">
        <v>113</v>
      </c>
      <c r="S3750" s="0" t="s">
        <v>21</v>
      </c>
      <c r="T3750" s="0" t="s">
        <v>104</v>
      </c>
      <c r="W3750" s="0" t="s">
        <v>105</v>
      </c>
      <c r="X3750" s="0" t="s">
        <v>658</v>
      </c>
      <c r="Y3750" s="0" t="s">
        <v>659</v>
      </c>
    </row>
    <row r="3751" customFormat="false" ht="15" hidden="false" customHeight="false" outlineLevel="0" collapsed="false">
      <c r="A3751" s="0" t="s">
        <v>21</v>
      </c>
      <c r="B3751" s="0" t="s">
        <v>11908</v>
      </c>
      <c r="C3751" s="0" t="s">
        <v>97</v>
      </c>
      <c r="D3751" s="0" t="s">
        <v>11909</v>
      </c>
      <c r="E3751" s="0" t="s">
        <v>11910</v>
      </c>
      <c r="H3751" s="0" t="s">
        <v>654</v>
      </c>
      <c r="I3751" s="0" t="s">
        <v>655</v>
      </c>
      <c r="J3751" s="0" t="s">
        <v>100</v>
      </c>
      <c r="K3751" s="0" t="s">
        <v>168</v>
      </c>
      <c r="L3751" s="0" t="s">
        <v>101</v>
      </c>
      <c r="M3751" s="0" t="s">
        <v>656</v>
      </c>
      <c r="N3751" s="0" t="s">
        <v>101</v>
      </c>
      <c r="P3751" s="0" t="s">
        <v>102</v>
      </c>
      <c r="Q3751" s="0" t="s">
        <v>102</v>
      </c>
      <c r="R3751" s="0" t="s">
        <v>113</v>
      </c>
      <c r="S3751" s="0" t="s">
        <v>21</v>
      </c>
      <c r="T3751" s="0" t="s">
        <v>104</v>
      </c>
      <c r="W3751" s="0" t="s">
        <v>105</v>
      </c>
      <c r="X3751" s="0" t="s">
        <v>658</v>
      </c>
      <c r="Y3751" s="0" t="s">
        <v>659</v>
      </c>
    </row>
    <row r="3752" customFormat="false" ht="15" hidden="false" customHeight="false" outlineLevel="0" collapsed="false">
      <c r="A3752" s="0" t="s">
        <v>21</v>
      </c>
      <c r="B3752" s="0" t="s">
        <v>11911</v>
      </c>
      <c r="C3752" s="0" t="s">
        <v>97</v>
      </c>
      <c r="D3752" s="0" t="s">
        <v>11912</v>
      </c>
      <c r="E3752" s="0" t="s">
        <v>11913</v>
      </c>
      <c r="H3752" s="0" t="s">
        <v>654</v>
      </c>
      <c r="I3752" s="0" t="s">
        <v>655</v>
      </c>
      <c r="J3752" s="0" t="s">
        <v>100</v>
      </c>
      <c r="K3752" s="0" t="s">
        <v>168</v>
      </c>
      <c r="L3752" s="0" t="s">
        <v>101</v>
      </c>
      <c r="M3752" s="0" t="s">
        <v>656</v>
      </c>
      <c r="N3752" s="0" t="s">
        <v>101</v>
      </c>
      <c r="P3752" s="0" t="s">
        <v>102</v>
      </c>
      <c r="Q3752" s="0" t="s">
        <v>102</v>
      </c>
      <c r="R3752" s="0" t="s">
        <v>113</v>
      </c>
      <c r="S3752" s="0" t="s">
        <v>21</v>
      </c>
      <c r="T3752" s="0" t="s">
        <v>104</v>
      </c>
      <c r="W3752" s="0" t="s">
        <v>105</v>
      </c>
      <c r="X3752" s="0" t="s">
        <v>658</v>
      </c>
      <c r="Y3752" s="0" t="s">
        <v>659</v>
      </c>
    </row>
    <row r="3753" customFormat="false" ht="15" hidden="false" customHeight="false" outlineLevel="0" collapsed="false">
      <c r="A3753" s="0" t="s">
        <v>21</v>
      </c>
      <c r="B3753" s="0" t="s">
        <v>11914</v>
      </c>
      <c r="C3753" s="0" t="s">
        <v>97</v>
      </c>
      <c r="D3753" s="0" t="s">
        <v>1424</v>
      </c>
      <c r="E3753" s="0" t="s">
        <v>11915</v>
      </c>
      <c r="H3753" s="0" t="s">
        <v>654</v>
      </c>
      <c r="I3753" s="0" t="s">
        <v>655</v>
      </c>
      <c r="J3753" s="0" t="s">
        <v>100</v>
      </c>
      <c r="K3753" s="0" t="s">
        <v>168</v>
      </c>
      <c r="L3753" s="0" t="s">
        <v>101</v>
      </c>
      <c r="M3753" s="0" t="s">
        <v>656</v>
      </c>
      <c r="N3753" s="0" t="s">
        <v>101</v>
      </c>
      <c r="P3753" s="0" t="s">
        <v>102</v>
      </c>
      <c r="Q3753" s="0" t="s">
        <v>102</v>
      </c>
      <c r="R3753" s="0" t="s">
        <v>113</v>
      </c>
      <c r="S3753" s="0" t="s">
        <v>21</v>
      </c>
      <c r="T3753" s="0" t="s">
        <v>104</v>
      </c>
      <c r="W3753" s="0" t="s">
        <v>105</v>
      </c>
      <c r="X3753" s="0" t="s">
        <v>658</v>
      </c>
      <c r="Y3753" s="0" t="s">
        <v>659</v>
      </c>
    </row>
    <row r="3754" customFormat="false" ht="15" hidden="false" customHeight="false" outlineLevel="0" collapsed="false">
      <c r="A3754" s="0" t="s">
        <v>21</v>
      </c>
      <c r="B3754" s="0" t="s">
        <v>11916</v>
      </c>
      <c r="C3754" s="0" t="s">
        <v>97</v>
      </c>
      <c r="D3754" s="0" t="s">
        <v>11917</v>
      </c>
      <c r="E3754" s="0" t="s">
        <v>11918</v>
      </c>
      <c r="H3754" s="0" t="s">
        <v>654</v>
      </c>
      <c r="I3754" s="0" t="s">
        <v>655</v>
      </c>
      <c r="J3754" s="0" t="s">
        <v>100</v>
      </c>
      <c r="K3754" s="0" t="s">
        <v>168</v>
      </c>
      <c r="L3754" s="0" t="s">
        <v>101</v>
      </c>
      <c r="M3754" s="0" t="s">
        <v>656</v>
      </c>
      <c r="N3754" s="0" t="s">
        <v>101</v>
      </c>
      <c r="P3754" s="0" t="s">
        <v>102</v>
      </c>
      <c r="Q3754" s="0" t="s">
        <v>102</v>
      </c>
      <c r="R3754" s="0" t="s">
        <v>113</v>
      </c>
      <c r="S3754" s="0" t="s">
        <v>21</v>
      </c>
      <c r="T3754" s="0" t="s">
        <v>104</v>
      </c>
      <c r="W3754" s="0" t="s">
        <v>105</v>
      </c>
      <c r="X3754" s="0" t="s">
        <v>658</v>
      </c>
      <c r="Y3754" s="0" t="s">
        <v>659</v>
      </c>
    </row>
    <row r="3755" customFormat="false" ht="15" hidden="false" customHeight="false" outlineLevel="0" collapsed="false">
      <c r="A3755" s="0" t="s">
        <v>21</v>
      </c>
      <c r="B3755" s="0" t="s">
        <v>11919</v>
      </c>
      <c r="C3755" s="0" t="s">
        <v>97</v>
      </c>
      <c r="D3755" s="0" t="s">
        <v>11920</v>
      </c>
      <c r="E3755" s="0" t="s">
        <v>11921</v>
      </c>
      <c r="H3755" s="0" t="s">
        <v>654</v>
      </c>
      <c r="I3755" s="0" t="s">
        <v>655</v>
      </c>
      <c r="J3755" s="0" t="s">
        <v>100</v>
      </c>
      <c r="K3755" s="0" t="s">
        <v>168</v>
      </c>
      <c r="L3755" s="0" t="s">
        <v>101</v>
      </c>
      <c r="M3755" s="0" t="s">
        <v>656</v>
      </c>
      <c r="N3755" s="0" t="s">
        <v>101</v>
      </c>
      <c r="P3755" s="0" t="s">
        <v>102</v>
      </c>
      <c r="Q3755" s="0" t="s">
        <v>102</v>
      </c>
      <c r="R3755" s="0" t="s">
        <v>113</v>
      </c>
      <c r="S3755" s="0" t="s">
        <v>21</v>
      </c>
      <c r="T3755" s="0" t="s">
        <v>104</v>
      </c>
      <c r="W3755" s="0" t="s">
        <v>105</v>
      </c>
      <c r="X3755" s="0" t="s">
        <v>658</v>
      </c>
      <c r="Y3755" s="0" t="s">
        <v>659</v>
      </c>
    </row>
    <row r="3756" customFormat="false" ht="15" hidden="false" customHeight="false" outlineLevel="0" collapsed="false">
      <c r="A3756" s="0" t="s">
        <v>21</v>
      </c>
      <c r="B3756" s="0" t="s">
        <v>11922</v>
      </c>
      <c r="C3756" s="0" t="s">
        <v>97</v>
      </c>
      <c r="D3756" s="0" t="s">
        <v>11923</v>
      </c>
      <c r="E3756" s="0" t="s">
        <v>11924</v>
      </c>
      <c r="M3756" s="0" t="s">
        <v>656</v>
      </c>
      <c r="N3756" s="0" t="s">
        <v>101</v>
      </c>
      <c r="P3756" s="0" t="s">
        <v>102</v>
      </c>
      <c r="Q3756" s="0" t="s">
        <v>102</v>
      </c>
      <c r="R3756" s="0" t="s">
        <v>113</v>
      </c>
      <c r="S3756" s="0" t="s">
        <v>21</v>
      </c>
      <c r="T3756" s="0" t="s">
        <v>104</v>
      </c>
      <c r="W3756" s="0" t="s">
        <v>105</v>
      </c>
    </row>
    <row r="3757" customFormat="false" ht="15" hidden="false" customHeight="false" outlineLevel="0" collapsed="false">
      <c r="A3757" s="0" t="s">
        <v>21</v>
      </c>
      <c r="B3757" s="0" t="s">
        <v>11925</v>
      </c>
      <c r="C3757" s="0" t="s">
        <v>97</v>
      </c>
      <c r="D3757" s="0" t="s">
        <v>11926</v>
      </c>
      <c r="E3757" s="0" t="s">
        <v>11927</v>
      </c>
      <c r="H3757" s="0" t="s">
        <v>654</v>
      </c>
      <c r="I3757" s="0" t="s">
        <v>655</v>
      </c>
      <c r="J3757" s="0" t="s">
        <v>100</v>
      </c>
      <c r="K3757" s="0" t="s">
        <v>168</v>
      </c>
      <c r="L3757" s="0" t="s">
        <v>101</v>
      </c>
      <c r="M3757" s="0" t="s">
        <v>656</v>
      </c>
      <c r="N3757" s="0" t="s">
        <v>101</v>
      </c>
      <c r="P3757" s="0" t="s">
        <v>102</v>
      </c>
      <c r="Q3757" s="0" t="s">
        <v>102</v>
      </c>
      <c r="R3757" s="0" t="s">
        <v>113</v>
      </c>
      <c r="S3757" s="0" t="s">
        <v>21</v>
      </c>
      <c r="T3757" s="0" t="s">
        <v>104</v>
      </c>
      <c r="W3757" s="0" t="s">
        <v>105</v>
      </c>
      <c r="X3757" s="0" t="s">
        <v>658</v>
      </c>
      <c r="Y3757" s="0" t="s">
        <v>659</v>
      </c>
    </row>
    <row r="3758" customFormat="false" ht="15" hidden="false" customHeight="false" outlineLevel="0" collapsed="false">
      <c r="A3758" s="0" t="s">
        <v>21</v>
      </c>
      <c r="B3758" s="0" t="s">
        <v>11928</v>
      </c>
      <c r="C3758" s="0" t="s">
        <v>97</v>
      </c>
      <c r="D3758" s="0" t="s">
        <v>11929</v>
      </c>
      <c r="E3758" s="0" t="s">
        <v>11930</v>
      </c>
      <c r="H3758" s="0" t="s">
        <v>654</v>
      </c>
      <c r="I3758" s="0" t="s">
        <v>655</v>
      </c>
      <c r="J3758" s="0" t="s">
        <v>100</v>
      </c>
      <c r="K3758" s="0" t="s">
        <v>168</v>
      </c>
      <c r="L3758" s="0" t="s">
        <v>101</v>
      </c>
      <c r="M3758" s="0" t="s">
        <v>656</v>
      </c>
      <c r="N3758" s="0" t="s">
        <v>101</v>
      </c>
      <c r="P3758" s="0" t="s">
        <v>102</v>
      </c>
      <c r="Q3758" s="0" t="s">
        <v>102</v>
      </c>
      <c r="R3758" s="0" t="s">
        <v>113</v>
      </c>
      <c r="S3758" s="0" t="s">
        <v>21</v>
      </c>
      <c r="T3758" s="0" t="s">
        <v>104</v>
      </c>
      <c r="W3758" s="0" t="s">
        <v>105</v>
      </c>
      <c r="X3758" s="0" t="s">
        <v>658</v>
      </c>
      <c r="Y3758" s="0" t="s">
        <v>659</v>
      </c>
    </row>
    <row r="3759" customFormat="false" ht="15" hidden="false" customHeight="false" outlineLevel="0" collapsed="false">
      <c r="A3759" s="0" t="s">
        <v>21</v>
      </c>
      <c r="B3759" s="0" t="s">
        <v>11931</v>
      </c>
      <c r="C3759" s="0" t="s">
        <v>97</v>
      </c>
      <c r="D3759" s="0" t="s">
        <v>5959</v>
      </c>
      <c r="E3759" s="0" t="s">
        <v>5960</v>
      </c>
      <c r="H3759" s="0" t="s">
        <v>654</v>
      </c>
      <c r="I3759" s="0" t="s">
        <v>655</v>
      </c>
      <c r="J3759" s="0" t="s">
        <v>100</v>
      </c>
      <c r="K3759" s="0" t="s">
        <v>168</v>
      </c>
      <c r="L3759" s="0" t="s">
        <v>101</v>
      </c>
      <c r="M3759" s="0" t="s">
        <v>656</v>
      </c>
      <c r="N3759" s="0" t="s">
        <v>101</v>
      </c>
      <c r="P3759" s="0" t="s">
        <v>102</v>
      </c>
      <c r="Q3759" s="0" t="s">
        <v>102</v>
      </c>
      <c r="R3759" s="0" t="s">
        <v>113</v>
      </c>
      <c r="S3759" s="0" t="s">
        <v>21</v>
      </c>
      <c r="T3759" s="0" t="s">
        <v>104</v>
      </c>
      <c r="W3759" s="0" t="s">
        <v>105</v>
      </c>
      <c r="X3759" s="0" t="s">
        <v>658</v>
      </c>
      <c r="Y3759" s="0" t="s">
        <v>659</v>
      </c>
    </row>
    <row r="3760" customFormat="false" ht="15" hidden="false" customHeight="false" outlineLevel="0" collapsed="false">
      <c r="A3760" s="0" t="s">
        <v>21</v>
      </c>
      <c r="B3760" s="0" t="s">
        <v>11932</v>
      </c>
      <c r="C3760" s="0" t="s">
        <v>97</v>
      </c>
      <c r="D3760" s="0" t="s">
        <v>11933</v>
      </c>
      <c r="E3760" s="0" t="s">
        <v>11934</v>
      </c>
      <c r="H3760" s="0" t="s">
        <v>654</v>
      </c>
      <c r="I3760" s="0" t="s">
        <v>655</v>
      </c>
      <c r="J3760" s="0" t="s">
        <v>100</v>
      </c>
      <c r="K3760" s="0" t="s">
        <v>168</v>
      </c>
      <c r="L3760" s="0" t="s">
        <v>101</v>
      </c>
      <c r="M3760" s="0" t="s">
        <v>656</v>
      </c>
      <c r="N3760" s="0" t="s">
        <v>101</v>
      </c>
      <c r="P3760" s="0" t="s">
        <v>102</v>
      </c>
      <c r="Q3760" s="0" t="s">
        <v>102</v>
      </c>
      <c r="R3760" s="0" t="s">
        <v>113</v>
      </c>
      <c r="S3760" s="0" t="s">
        <v>21</v>
      </c>
      <c r="T3760" s="0" t="s">
        <v>104</v>
      </c>
      <c r="W3760" s="0" t="s">
        <v>105</v>
      </c>
      <c r="X3760" s="0" t="s">
        <v>658</v>
      </c>
      <c r="Y3760" s="0" t="s">
        <v>659</v>
      </c>
    </row>
    <row r="3761" customFormat="false" ht="15" hidden="false" customHeight="false" outlineLevel="0" collapsed="false">
      <c r="A3761" s="0" t="s">
        <v>21</v>
      </c>
      <c r="B3761" s="0" t="s">
        <v>11935</v>
      </c>
      <c r="C3761" s="0" t="s">
        <v>97</v>
      </c>
      <c r="D3761" s="0" t="s">
        <v>11920</v>
      </c>
      <c r="E3761" s="0" t="s">
        <v>11921</v>
      </c>
      <c r="M3761" s="0" t="s">
        <v>100</v>
      </c>
      <c r="N3761" s="0" t="s">
        <v>101</v>
      </c>
      <c r="P3761" s="0" t="s">
        <v>102</v>
      </c>
      <c r="Q3761" s="0" t="s">
        <v>102</v>
      </c>
      <c r="R3761" s="0" t="s">
        <v>113</v>
      </c>
      <c r="S3761" s="0" t="s">
        <v>21</v>
      </c>
      <c r="T3761" s="0" t="s">
        <v>104</v>
      </c>
      <c r="W3761" s="0" t="s">
        <v>105</v>
      </c>
    </row>
    <row r="3762" customFormat="false" ht="15" hidden="false" customHeight="false" outlineLevel="0" collapsed="false">
      <c r="A3762" s="0" t="s">
        <v>21</v>
      </c>
      <c r="B3762" s="0" t="s">
        <v>11936</v>
      </c>
      <c r="C3762" s="0" t="s">
        <v>97</v>
      </c>
      <c r="D3762" s="0" t="s">
        <v>11937</v>
      </c>
      <c r="E3762" s="0" t="s">
        <v>11938</v>
      </c>
      <c r="H3762" s="0" t="s">
        <v>654</v>
      </c>
      <c r="I3762" s="0" t="s">
        <v>655</v>
      </c>
      <c r="J3762" s="0" t="s">
        <v>100</v>
      </c>
      <c r="K3762" s="0" t="s">
        <v>168</v>
      </c>
      <c r="L3762" s="0" t="s">
        <v>101</v>
      </c>
      <c r="M3762" s="0" t="s">
        <v>656</v>
      </c>
      <c r="N3762" s="0" t="s">
        <v>101</v>
      </c>
      <c r="P3762" s="0" t="s">
        <v>102</v>
      </c>
      <c r="Q3762" s="0" t="s">
        <v>102</v>
      </c>
      <c r="R3762" s="0" t="s">
        <v>113</v>
      </c>
      <c r="S3762" s="0" t="s">
        <v>21</v>
      </c>
      <c r="T3762" s="0" t="s">
        <v>104</v>
      </c>
      <c r="W3762" s="0" t="s">
        <v>105</v>
      </c>
      <c r="X3762" s="0" t="s">
        <v>658</v>
      </c>
      <c r="Y3762" s="0" t="s">
        <v>659</v>
      </c>
    </row>
    <row r="3763" customFormat="false" ht="15" hidden="false" customHeight="false" outlineLevel="0" collapsed="false">
      <c r="A3763" s="0" t="s">
        <v>21</v>
      </c>
      <c r="B3763" s="0" t="s">
        <v>11939</v>
      </c>
      <c r="C3763" s="0" t="s">
        <v>97</v>
      </c>
      <c r="D3763" s="0" t="s">
        <v>11940</v>
      </c>
      <c r="E3763" s="0" t="s">
        <v>11941</v>
      </c>
      <c r="M3763" s="0" t="s">
        <v>656</v>
      </c>
      <c r="N3763" s="0" t="s">
        <v>101</v>
      </c>
      <c r="P3763" s="0" t="s">
        <v>102</v>
      </c>
      <c r="Q3763" s="0" t="s">
        <v>102</v>
      </c>
      <c r="R3763" s="0" t="s">
        <v>113</v>
      </c>
      <c r="S3763" s="0" t="s">
        <v>21</v>
      </c>
      <c r="T3763" s="0" t="s">
        <v>104</v>
      </c>
      <c r="W3763" s="0" t="s">
        <v>105</v>
      </c>
    </row>
    <row r="3764" customFormat="false" ht="15" hidden="false" customHeight="false" outlineLevel="0" collapsed="false">
      <c r="A3764" s="0" t="s">
        <v>21</v>
      </c>
      <c r="B3764" s="0" t="s">
        <v>11942</v>
      </c>
      <c r="C3764" s="0" t="s">
        <v>97</v>
      </c>
      <c r="D3764" s="0" t="s">
        <v>11943</v>
      </c>
      <c r="E3764" s="0" t="s">
        <v>11944</v>
      </c>
      <c r="M3764" s="0" t="s">
        <v>1539</v>
      </c>
      <c r="N3764" s="0" t="s">
        <v>101</v>
      </c>
      <c r="P3764" s="0" t="s">
        <v>102</v>
      </c>
      <c r="Q3764" s="0" t="s">
        <v>102</v>
      </c>
      <c r="R3764" s="0" t="s">
        <v>113</v>
      </c>
      <c r="S3764" s="0" t="s">
        <v>21</v>
      </c>
      <c r="T3764" s="0" t="s">
        <v>104</v>
      </c>
      <c r="W3764" s="0" t="s">
        <v>105</v>
      </c>
    </row>
    <row r="3765" customFormat="false" ht="15" hidden="false" customHeight="false" outlineLevel="0" collapsed="false">
      <c r="A3765" s="0" t="s">
        <v>21</v>
      </c>
      <c r="B3765" s="0" t="s">
        <v>11945</v>
      </c>
      <c r="C3765" s="0" t="s">
        <v>97</v>
      </c>
      <c r="D3765" s="0" t="s">
        <v>11946</v>
      </c>
      <c r="E3765" s="0" t="s">
        <v>11947</v>
      </c>
      <c r="H3765" s="0" t="s">
        <v>654</v>
      </c>
      <c r="I3765" s="0" t="s">
        <v>655</v>
      </c>
      <c r="J3765" s="0" t="s">
        <v>100</v>
      </c>
      <c r="K3765" s="0" t="s">
        <v>168</v>
      </c>
      <c r="L3765" s="0" t="s">
        <v>101</v>
      </c>
      <c r="M3765" s="0" t="s">
        <v>656</v>
      </c>
      <c r="N3765" s="0" t="s">
        <v>101</v>
      </c>
      <c r="P3765" s="0" t="s">
        <v>102</v>
      </c>
      <c r="Q3765" s="0" t="s">
        <v>102</v>
      </c>
      <c r="R3765" s="0" t="s">
        <v>113</v>
      </c>
      <c r="S3765" s="0" t="s">
        <v>21</v>
      </c>
      <c r="T3765" s="0" t="s">
        <v>104</v>
      </c>
      <c r="W3765" s="0" t="s">
        <v>105</v>
      </c>
      <c r="X3765" s="0" t="s">
        <v>658</v>
      </c>
      <c r="Y3765" s="0" t="s">
        <v>659</v>
      </c>
    </row>
    <row r="3766" customFormat="false" ht="15" hidden="false" customHeight="false" outlineLevel="0" collapsed="false">
      <c r="A3766" s="0" t="s">
        <v>21</v>
      </c>
      <c r="B3766" s="0" t="s">
        <v>11948</v>
      </c>
      <c r="C3766" s="0" t="s">
        <v>97</v>
      </c>
      <c r="D3766" s="0" t="s">
        <v>11949</v>
      </c>
      <c r="E3766" s="0" t="s">
        <v>11950</v>
      </c>
      <c r="H3766" s="0" t="s">
        <v>654</v>
      </c>
      <c r="I3766" s="0" t="s">
        <v>655</v>
      </c>
      <c r="J3766" s="0" t="s">
        <v>100</v>
      </c>
      <c r="K3766" s="0" t="s">
        <v>168</v>
      </c>
      <c r="L3766" s="0" t="s">
        <v>101</v>
      </c>
      <c r="M3766" s="0" t="s">
        <v>656</v>
      </c>
      <c r="N3766" s="0" t="s">
        <v>101</v>
      </c>
      <c r="P3766" s="0" t="s">
        <v>102</v>
      </c>
      <c r="Q3766" s="0" t="s">
        <v>102</v>
      </c>
      <c r="R3766" s="0" t="s">
        <v>113</v>
      </c>
      <c r="S3766" s="0" t="s">
        <v>21</v>
      </c>
      <c r="T3766" s="0" t="s">
        <v>104</v>
      </c>
      <c r="W3766" s="0" t="s">
        <v>105</v>
      </c>
      <c r="X3766" s="0" t="s">
        <v>658</v>
      </c>
      <c r="Y3766" s="0" t="s">
        <v>659</v>
      </c>
    </row>
    <row r="3767" customFormat="false" ht="15" hidden="false" customHeight="false" outlineLevel="0" collapsed="false">
      <c r="A3767" s="0" t="s">
        <v>21</v>
      </c>
      <c r="B3767" s="0" t="s">
        <v>11951</v>
      </c>
      <c r="C3767" s="0" t="s">
        <v>97</v>
      </c>
      <c r="D3767" s="0" t="s">
        <v>11952</v>
      </c>
      <c r="E3767" s="0" t="s">
        <v>11953</v>
      </c>
      <c r="H3767" s="0" t="s">
        <v>654</v>
      </c>
      <c r="I3767" s="0" t="s">
        <v>655</v>
      </c>
      <c r="J3767" s="0" t="s">
        <v>100</v>
      </c>
      <c r="K3767" s="0" t="s">
        <v>168</v>
      </c>
      <c r="L3767" s="0" t="s">
        <v>101</v>
      </c>
      <c r="M3767" s="0" t="s">
        <v>656</v>
      </c>
      <c r="N3767" s="0" t="s">
        <v>101</v>
      </c>
      <c r="P3767" s="0" t="s">
        <v>102</v>
      </c>
      <c r="Q3767" s="0" t="s">
        <v>102</v>
      </c>
      <c r="R3767" s="0" t="s">
        <v>113</v>
      </c>
      <c r="S3767" s="0" t="s">
        <v>21</v>
      </c>
      <c r="T3767" s="0" t="s">
        <v>104</v>
      </c>
      <c r="W3767" s="0" t="s">
        <v>105</v>
      </c>
      <c r="X3767" s="0" t="s">
        <v>658</v>
      </c>
      <c r="Y3767" s="0" t="s">
        <v>659</v>
      </c>
    </row>
    <row r="3768" customFormat="false" ht="15" hidden="false" customHeight="false" outlineLevel="0" collapsed="false">
      <c r="A3768" s="0" t="s">
        <v>21</v>
      </c>
      <c r="B3768" s="0" t="s">
        <v>11954</v>
      </c>
      <c r="C3768" s="0" t="s">
        <v>97</v>
      </c>
      <c r="D3768" s="0" t="s">
        <v>11955</v>
      </c>
      <c r="E3768" s="0" t="s">
        <v>11956</v>
      </c>
      <c r="H3768" s="0" t="s">
        <v>654</v>
      </c>
      <c r="I3768" s="0" t="s">
        <v>655</v>
      </c>
      <c r="J3768" s="0" t="s">
        <v>100</v>
      </c>
      <c r="K3768" s="0" t="s">
        <v>168</v>
      </c>
      <c r="L3768" s="0" t="s">
        <v>101</v>
      </c>
      <c r="M3768" s="0" t="s">
        <v>656</v>
      </c>
      <c r="N3768" s="0" t="s">
        <v>101</v>
      </c>
      <c r="P3768" s="0" t="s">
        <v>102</v>
      </c>
      <c r="Q3768" s="0" t="s">
        <v>102</v>
      </c>
      <c r="R3768" s="0" t="s">
        <v>113</v>
      </c>
      <c r="S3768" s="0" t="s">
        <v>21</v>
      </c>
      <c r="T3768" s="0" t="s">
        <v>104</v>
      </c>
      <c r="W3768" s="0" t="s">
        <v>105</v>
      </c>
      <c r="X3768" s="0" t="s">
        <v>658</v>
      </c>
      <c r="Y3768" s="0" t="s">
        <v>659</v>
      </c>
    </row>
    <row r="3769" customFormat="false" ht="15" hidden="false" customHeight="false" outlineLevel="0" collapsed="false">
      <c r="A3769" s="0" t="s">
        <v>21</v>
      </c>
      <c r="B3769" s="0" t="s">
        <v>11957</v>
      </c>
      <c r="C3769" s="0" t="s">
        <v>97</v>
      </c>
      <c r="D3769" s="0" t="s">
        <v>11958</v>
      </c>
      <c r="E3769" s="0" t="s">
        <v>11959</v>
      </c>
      <c r="H3769" s="0" t="s">
        <v>654</v>
      </c>
      <c r="I3769" s="0" t="s">
        <v>655</v>
      </c>
      <c r="J3769" s="0" t="s">
        <v>100</v>
      </c>
      <c r="K3769" s="0" t="s">
        <v>168</v>
      </c>
      <c r="L3769" s="0" t="s">
        <v>101</v>
      </c>
      <c r="M3769" s="0" t="s">
        <v>656</v>
      </c>
      <c r="N3769" s="0" t="s">
        <v>101</v>
      </c>
      <c r="P3769" s="0" t="s">
        <v>102</v>
      </c>
      <c r="Q3769" s="0" t="s">
        <v>102</v>
      </c>
      <c r="R3769" s="0" t="s">
        <v>113</v>
      </c>
      <c r="S3769" s="0" t="s">
        <v>21</v>
      </c>
      <c r="T3769" s="0" t="s">
        <v>104</v>
      </c>
      <c r="W3769" s="0" t="s">
        <v>105</v>
      </c>
      <c r="X3769" s="0" t="s">
        <v>658</v>
      </c>
      <c r="Y3769" s="0" t="s">
        <v>659</v>
      </c>
    </row>
    <row r="3770" customFormat="false" ht="15" hidden="false" customHeight="false" outlineLevel="0" collapsed="false">
      <c r="A3770" s="0" t="s">
        <v>21</v>
      </c>
      <c r="B3770" s="0" t="s">
        <v>11960</v>
      </c>
      <c r="C3770" s="0" t="s">
        <v>97</v>
      </c>
      <c r="D3770" s="0" t="s">
        <v>11961</v>
      </c>
      <c r="E3770" s="0" t="s">
        <v>11962</v>
      </c>
      <c r="H3770" s="0" t="s">
        <v>654</v>
      </c>
      <c r="I3770" s="0" t="s">
        <v>655</v>
      </c>
      <c r="J3770" s="0" t="s">
        <v>100</v>
      </c>
      <c r="K3770" s="0" t="s">
        <v>168</v>
      </c>
      <c r="L3770" s="0" t="s">
        <v>101</v>
      </c>
      <c r="M3770" s="0" t="s">
        <v>656</v>
      </c>
      <c r="N3770" s="0" t="s">
        <v>101</v>
      </c>
      <c r="P3770" s="0" t="s">
        <v>102</v>
      </c>
      <c r="Q3770" s="0" t="s">
        <v>102</v>
      </c>
      <c r="R3770" s="0" t="s">
        <v>113</v>
      </c>
      <c r="S3770" s="0" t="s">
        <v>21</v>
      </c>
      <c r="T3770" s="0" t="s">
        <v>104</v>
      </c>
      <c r="W3770" s="0" t="s">
        <v>105</v>
      </c>
      <c r="X3770" s="0" t="s">
        <v>658</v>
      </c>
      <c r="Y3770" s="0" t="s">
        <v>659</v>
      </c>
    </row>
    <row r="3771" customFormat="false" ht="15" hidden="false" customHeight="false" outlineLevel="0" collapsed="false">
      <c r="A3771" s="0" t="s">
        <v>21</v>
      </c>
      <c r="B3771" s="0" t="s">
        <v>11963</v>
      </c>
      <c r="C3771" s="0" t="s">
        <v>97</v>
      </c>
      <c r="D3771" s="0" t="s">
        <v>11964</v>
      </c>
      <c r="E3771" s="0" t="s">
        <v>11965</v>
      </c>
      <c r="H3771" s="0" t="s">
        <v>654</v>
      </c>
      <c r="I3771" s="0" t="s">
        <v>655</v>
      </c>
      <c r="J3771" s="0" t="s">
        <v>100</v>
      </c>
      <c r="K3771" s="0" t="s">
        <v>168</v>
      </c>
      <c r="L3771" s="0" t="s">
        <v>101</v>
      </c>
      <c r="M3771" s="0" t="s">
        <v>656</v>
      </c>
      <c r="N3771" s="0" t="s">
        <v>101</v>
      </c>
      <c r="P3771" s="0" t="s">
        <v>102</v>
      </c>
      <c r="Q3771" s="0" t="s">
        <v>102</v>
      </c>
      <c r="R3771" s="0" t="s">
        <v>113</v>
      </c>
      <c r="S3771" s="0" t="s">
        <v>21</v>
      </c>
      <c r="T3771" s="0" t="s">
        <v>104</v>
      </c>
      <c r="W3771" s="0" t="s">
        <v>105</v>
      </c>
      <c r="X3771" s="0" t="s">
        <v>658</v>
      </c>
      <c r="Y3771" s="0" t="s">
        <v>659</v>
      </c>
    </row>
    <row r="3772" customFormat="false" ht="15" hidden="false" customHeight="false" outlineLevel="0" collapsed="false">
      <c r="A3772" s="0" t="s">
        <v>21</v>
      </c>
      <c r="B3772" s="0" t="s">
        <v>11966</v>
      </c>
      <c r="C3772" s="0" t="s">
        <v>97</v>
      </c>
      <c r="D3772" s="0" t="s">
        <v>11967</v>
      </c>
      <c r="E3772" s="0" t="s">
        <v>11968</v>
      </c>
      <c r="H3772" s="0" t="s">
        <v>654</v>
      </c>
      <c r="I3772" s="0" t="s">
        <v>655</v>
      </c>
      <c r="J3772" s="0" t="s">
        <v>100</v>
      </c>
      <c r="K3772" s="0" t="s">
        <v>168</v>
      </c>
      <c r="L3772" s="0" t="s">
        <v>101</v>
      </c>
      <c r="M3772" s="0" t="s">
        <v>656</v>
      </c>
      <c r="N3772" s="0" t="s">
        <v>101</v>
      </c>
      <c r="P3772" s="0" t="s">
        <v>102</v>
      </c>
      <c r="Q3772" s="0" t="s">
        <v>102</v>
      </c>
      <c r="R3772" s="0" t="s">
        <v>113</v>
      </c>
      <c r="S3772" s="0" t="s">
        <v>21</v>
      </c>
      <c r="T3772" s="0" t="s">
        <v>104</v>
      </c>
      <c r="W3772" s="0" t="s">
        <v>105</v>
      </c>
      <c r="X3772" s="0" t="s">
        <v>658</v>
      </c>
      <c r="Y3772" s="0" t="s">
        <v>659</v>
      </c>
    </row>
    <row r="3773" customFormat="false" ht="15" hidden="false" customHeight="false" outlineLevel="0" collapsed="false">
      <c r="A3773" s="0" t="s">
        <v>21</v>
      </c>
      <c r="B3773" s="0" t="s">
        <v>11969</v>
      </c>
      <c r="C3773" s="0" t="s">
        <v>97</v>
      </c>
      <c r="D3773" s="0" t="s">
        <v>11970</v>
      </c>
      <c r="E3773" s="0" t="s">
        <v>11971</v>
      </c>
      <c r="M3773" s="0" t="s">
        <v>656</v>
      </c>
      <c r="N3773" s="0" t="s">
        <v>101</v>
      </c>
      <c r="P3773" s="0" t="s">
        <v>102</v>
      </c>
      <c r="Q3773" s="0" t="s">
        <v>102</v>
      </c>
      <c r="R3773" s="0" t="s">
        <v>113</v>
      </c>
      <c r="S3773" s="0" t="s">
        <v>21</v>
      </c>
      <c r="T3773" s="0" t="s">
        <v>104</v>
      </c>
      <c r="W3773" s="0" t="s">
        <v>105</v>
      </c>
    </row>
    <row r="3774" customFormat="false" ht="15" hidden="false" customHeight="false" outlineLevel="0" collapsed="false">
      <c r="A3774" s="0" t="s">
        <v>21</v>
      </c>
      <c r="B3774" s="0" t="s">
        <v>11972</v>
      </c>
      <c r="C3774" s="0" t="s">
        <v>97</v>
      </c>
      <c r="D3774" s="0" t="s">
        <v>11973</v>
      </c>
      <c r="E3774" s="0" t="s">
        <v>11974</v>
      </c>
      <c r="H3774" s="0" t="s">
        <v>654</v>
      </c>
      <c r="I3774" s="0" t="s">
        <v>655</v>
      </c>
      <c r="J3774" s="0" t="s">
        <v>100</v>
      </c>
      <c r="K3774" s="0" t="s">
        <v>168</v>
      </c>
      <c r="L3774" s="0" t="s">
        <v>101</v>
      </c>
      <c r="M3774" s="0" t="s">
        <v>656</v>
      </c>
      <c r="N3774" s="0" t="s">
        <v>101</v>
      </c>
      <c r="P3774" s="0" t="s">
        <v>102</v>
      </c>
      <c r="Q3774" s="0" t="s">
        <v>102</v>
      </c>
      <c r="R3774" s="0" t="s">
        <v>113</v>
      </c>
      <c r="S3774" s="0" t="s">
        <v>21</v>
      </c>
      <c r="T3774" s="0" t="s">
        <v>104</v>
      </c>
      <c r="W3774" s="0" t="s">
        <v>105</v>
      </c>
      <c r="X3774" s="0" t="s">
        <v>658</v>
      </c>
      <c r="Y3774" s="0" t="s">
        <v>659</v>
      </c>
    </row>
    <row r="3775" customFormat="false" ht="15" hidden="false" customHeight="false" outlineLevel="0" collapsed="false">
      <c r="A3775" s="0" t="s">
        <v>21</v>
      </c>
      <c r="B3775" s="0" t="s">
        <v>11975</v>
      </c>
      <c r="C3775" s="0" t="s">
        <v>97</v>
      </c>
      <c r="D3775" s="0" t="s">
        <v>11976</v>
      </c>
      <c r="E3775" s="0" t="s">
        <v>11977</v>
      </c>
      <c r="M3775" s="0" t="s">
        <v>421</v>
      </c>
      <c r="N3775" s="0" t="s">
        <v>101</v>
      </c>
      <c r="P3775" s="0" t="s">
        <v>102</v>
      </c>
      <c r="Q3775" s="0" t="s">
        <v>102</v>
      </c>
      <c r="R3775" s="0" t="s">
        <v>113</v>
      </c>
      <c r="S3775" s="0" t="s">
        <v>21</v>
      </c>
      <c r="T3775" s="0" t="s">
        <v>104</v>
      </c>
      <c r="W3775" s="0" t="s">
        <v>105</v>
      </c>
    </row>
    <row r="3776" customFormat="false" ht="15" hidden="false" customHeight="false" outlineLevel="0" collapsed="false">
      <c r="A3776" s="0" t="s">
        <v>21</v>
      </c>
      <c r="B3776" s="0" t="s">
        <v>11978</v>
      </c>
      <c r="C3776" s="0" t="s">
        <v>97</v>
      </c>
      <c r="D3776" s="0" t="s">
        <v>11979</v>
      </c>
      <c r="E3776" s="0" t="s">
        <v>11980</v>
      </c>
      <c r="H3776" s="0" t="s">
        <v>654</v>
      </c>
      <c r="I3776" s="0" t="s">
        <v>655</v>
      </c>
      <c r="J3776" s="0" t="s">
        <v>100</v>
      </c>
      <c r="K3776" s="0" t="s">
        <v>168</v>
      </c>
      <c r="L3776" s="0" t="s">
        <v>101</v>
      </c>
      <c r="M3776" s="0" t="s">
        <v>656</v>
      </c>
      <c r="N3776" s="0" t="s">
        <v>101</v>
      </c>
      <c r="P3776" s="0" t="s">
        <v>102</v>
      </c>
      <c r="Q3776" s="0" t="s">
        <v>102</v>
      </c>
      <c r="R3776" s="0" t="s">
        <v>113</v>
      </c>
      <c r="S3776" s="0" t="s">
        <v>21</v>
      </c>
      <c r="T3776" s="0" t="s">
        <v>104</v>
      </c>
      <c r="W3776" s="0" t="s">
        <v>105</v>
      </c>
      <c r="X3776" s="0" t="s">
        <v>658</v>
      </c>
      <c r="Y3776" s="0" t="s">
        <v>659</v>
      </c>
    </row>
    <row r="3777" customFormat="false" ht="15" hidden="false" customHeight="false" outlineLevel="0" collapsed="false">
      <c r="A3777" s="0" t="s">
        <v>21</v>
      </c>
      <c r="B3777" s="0" t="s">
        <v>11981</v>
      </c>
      <c r="C3777" s="0" t="s">
        <v>97</v>
      </c>
      <c r="D3777" s="0" t="s">
        <v>11982</v>
      </c>
      <c r="E3777" s="0" t="s">
        <v>11983</v>
      </c>
      <c r="H3777" s="0" t="s">
        <v>654</v>
      </c>
      <c r="I3777" s="0" t="s">
        <v>655</v>
      </c>
      <c r="J3777" s="0" t="s">
        <v>100</v>
      </c>
      <c r="K3777" s="0" t="s">
        <v>168</v>
      </c>
      <c r="L3777" s="0" t="s">
        <v>101</v>
      </c>
      <c r="M3777" s="0" t="s">
        <v>656</v>
      </c>
      <c r="N3777" s="0" t="s">
        <v>101</v>
      </c>
      <c r="P3777" s="0" t="s">
        <v>102</v>
      </c>
      <c r="Q3777" s="0" t="s">
        <v>102</v>
      </c>
      <c r="R3777" s="0" t="s">
        <v>113</v>
      </c>
      <c r="S3777" s="0" t="s">
        <v>21</v>
      </c>
      <c r="T3777" s="0" t="s">
        <v>104</v>
      </c>
      <c r="W3777" s="0" t="s">
        <v>105</v>
      </c>
      <c r="X3777" s="0" t="s">
        <v>658</v>
      </c>
      <c r="Y3777" s="0" t="s">
        <v>659</v>
      </c>
    </row>
    <row r="3778" customFormat="false" ht="15" hidden="false" customHeight="false" outlineLevel="0" collapsed="false">
      <c r="A3778" s="0" t="s">
        <v>21</v>
      </c>
      <c r="B3778" s="0" t="s">
        <v>11984</v>
      </c>
      <c r="C3778" s="0" t="s">
        <v>97</v>
      </c>
      <c r="D3778" s="0" t="s">
        <v>11985</v>
      </c>
      <c r="E3778" s="0" t="s">
        <v>11986</v>
      </c>
      <c r="H3778" s="0" t="s">
        <v>654</v>
      </c>
      <c r="I3778" s="0" t="s">
        <v>655</v>
      </c>
      <c r="J3778" s="0" t="s">
        <v>100</v>
      </c>
      <c r="K3778" s="0" t="s">
        <v>168</v>
      </c>
      <c r="L3778" s="0" t="s">
        <v>101</v>
      </c>
      <c r="M3778" s="0" t="s">
        <v>656</v>
      </c>
      <c r="N3778" s="0" t="s">
        <v>101</v>
      </c>
      <c r="P3778" s="0" t="s">
        <v>102</v>
      </c>
      <c r="Q3778" s="0" t="s">
        <v>102</v>
      </c>
      <c r="R3778" s="0" t="s">
        <v>113</v>
      </c>
      <c r="S3778" s="0" t="s">
        <v>21</v>
      </c>
      <c r="T3778" s="0" t="s">
        <v>104</v>
      </c>
      <c r="W3778" s="0" t="s">
        <v>105</v>
      </c>
      <c r="X3778" s="0" t="s">
        <v>658</v>
      </c>
      <c r="Y3778" s="0" t="s">
        <v>659</v>
      </c>
    </row>
    <row r="3779" customFormat="false" ht="15" hidden="false" customHeight="false" outlineLevel="0" collapsed="false">
      <c r="A3779" s="0" t="s">
        <v>21</v>
      </c>
      <c r="B3779" s="0" t="s">
        <v>11987</v>
      </c>
      <c r="C3779" s="0" t="s">
        <v>97</v>
      </c>
      <c r="D3779" s="0" t="s">
        <v>11988</v>
      </c>
      <c r="E3779" s="0" t="s">
        <v>11989</v>
      </c>
      <c r="M3779" s="0" t="s">
        <v>366</v>
      </c>
      <c r="N3779" s="0" t="s">
        <v>101</v>
      </c>
      <c r="P3779" s="0" t="s">
        <v>102</v>
      </c>
      <c r="Q3779" s="0" t="s">
        <v>102</v>
      </c>
      <c r="R3779" s="0" t="s">
        <v>113</v>
      </c>
      <c r="S3779" s="0" t="s">
        <v>21</v>
      </c>
      <c r="T3779" s="0" t="s">
        <v>104</v>
      </c>
      <c r="W3779" s="0" t="s">
        <v>105</v>
      </c>
    </row>
    <row r="3780" customFormat="false" ht="15" hidden="false" customHeight="false" outlineLevel="0" collapsed="false">
      <c r="A3780" s="0" t="s">
        <v>21</v>
      </c>
      <c r="B3780" s="0" t="s">
        <v>11990</v>
      </c>
      <c r="C3780" s="0" t="s">
        <v>97</v>
      </c>
      <c r="D3780" s="0" t="s">
        <v>11991</v>
      </c>
      <c r="E3780" s="0" t="s">
        <v>11992</v>
      </c>
      <c r="H3780" s="0" t="s">
        <v>654</v>
      </c>
      <c r="I3780" s="0" t="s">
        <v>655</v>
      </c>
      <c r="J3780" s="0" t="s">
        <v>100</v>
      </c>
      <c r="K3780" s="0" t="s">
        <v>168</v>
      </c>
      <c r="L3780" s="0" t="s">
        <v>101</v>
      </c>
      <c r="M3780" s="0" t="s">
        <v>656</v>
      </c>
      <c r="N3780" s="0" t="s">
        <v>101</v>
      </c>
      <c r="P3780" s="0" t="s">
        <v>102</v>
      </c>
      <c r="Q3780" s="0" t="s">
        <v>102</v>
      </c>
      <c r="R3780" s="0" t="s">
        <v>113</v>
      </c>
      <c r="S3780" s="0" t="s">
        <v>21</v>
      </c>
      <c r="T3780" s="0" t="s">
        <v>104</v>
      </c>
      <c r="W3780" s="0" t="s">
        <v>105</v>
      </c>
      <c r="X3780" s="0" t="s">
        <v>658</v>
      </c>
      <c r="Y3780" s="0" t="s">
        <v>659</v>
      </c>
    </row>
    <row r="3781" customFormat="false" ht="15" hidden="false" customHeight="false" outlineLevel="0" collapsed="false">
      <c r="A3781" s="0" t="s">
        <v>21</v>
      </c>
      <c r="B3781" s="0" t="s">
        <v>11993</v>
      </c>
      <c r="C3781" s="0" t="s">
        <v>97</v>
      </c>
      <c r="D3781" s="0" t="s">
        <v>11994</v>
      </c>
      <c r="E3781" s="0" t="s">
        <v>11995</v>
      </c>
      <c r="H3781" s="0" t="s">
        <v>654</v>
      </c>
      <c r="I3781" s="0" t="s">
        <v>655</v>
      </c>
      <c r="J3781" s="0" t="s">
        <v>100</v>
      </c>
      <c r="K3781" s="0" t="s">
        <v>168</v>
      </c>
      <c r="L3781" s="0" t="s">
        <v>101</v>
      </c>
      <c r="M3781" s="0" t="s">
        <v>656</v>
      </c>
      <c r="N3781" s="0" t="s">
        <v>101</v>
      </c>
      <c r="P3781" s="0" t="s">
        <v>102</v>
      </c>
      <c r="Q3781" s="0" t="s">
        <v>102</v>
      </c>
      <c r="R3781" s="0" t="s">
        <v>113</v>
      </c>
      <c r="S3781" s="0" t="s">
        <v>21</v>
      </c>
      <c r="T3781" s="0" t="s">
        <v>104</v>
      </c>
      <c r="W3781" s="0" t="s">
        <v>105</v>
      </c>
      <c r="X3781" s="0" t="s">
        <v>658</v>
      </c>
      <c r="Y3781" s="0" t="s">
        <v>659</v>
      </c>
    </row>
    <row r="3782" customFormat="false" ht="15" hidden="false" customHeight="false" outlineLevel="0" collapsed="false">
      <c r="A3782" s="0" t="s">
        <v>21</v>
      </c>
      <c r="B3782" s="0" t="s">
        <v>11996</v>
      </c>
      <c r="C3782" s="0" t="s">
        <v>97</v>
      </c>
      <c r="D3782" s="0" t="s">
        <v>11997</v>
      </c>
      <c r="E3782" s="0" t="s">
        <v>11998</v>
      </c>
      <c r="H3782" s="0" t="s">
        <v>654</v>
      </c>
      <c r="I3782" s="0" t="s">
        <v>655</v>
      </c>
      <c r="J3782" s="0" t="s">
        <v>100</v>
      </c>
      <c r="K3782" s="0" t="s">
        <v>168</v>
      </c>
      <c r="L3782" s="0" t="s">
        <v>101</v>
      </c>
      <c r="M3782" s="0" t="s">
        <v>656</v>
      </c>
      <c r="N3782" s="0" t="s">
        <v>101</v>
      </c>
      <c r="P3782" s="0" t="s">
        <v>102</v>
      </c>
      <c r="Q3782" s="0" t="s">
        <v>102</v>
      </c>
      <c r="R3782" s="0" t="s">
        <v>113</v>
      </c>
      <c r="S3782" s="0" t="s">
        <v>21</v>
      </c>
      <c r="T3782" s="0" t="s">
        <v>104</v>
      </c>
      <c r="W3782" s="0" t="s">
        <v>105</v>
      </c>
      <c r="X3782" s="0" t="s">
        <v>658</v>
      </c>
      <c r="Y3782" s="0" t="s">
        <v>659</v>
      </c>
    </row>
    <row r="3783" customFormat="false" ht="15" hidden="false" customHeight="false" outlineLevel="0" collapsed="false">
      <c r="A3783" s="0" t="s">
        <v>21</v>
      </c>
      <c r="B3783" s="0" t="s">
        <v>11999</v>
      </c>
      <c r="C3783" s="0" t="s">
        <v>97</v>
      </c>
      <c r="D3783" s="0" t="s">
        <v>12000</v>
      </c>
      <c r="E3783" s="0" t="s">
        <v>12001</v>
      </c>
      <c r="H3783" s="0" t="s">
        <v>654</v>
      </c>
      <c r="I3783" s="0" t="s">
        <v>655</v>
      </c>
      <c r="J3783" s="0" t="s">
        <v>100</v>
      </c>
      <c r="K3783" s="0" t="s">
        <v>168</v>
      </c>
      <c r="L3783" s="0" t="s">
        <v>101</v>
      </c>
      <c r="M3783" s="0" t="s">
        <v>656</v>
      </c>
      <c r="N3783" s="0" t="s">
        <v>101</v>
      </c>
      <c r="P3783" s="0" t="s">
        <v>102</v>
      </c>
      <c r="Q3783" s="0" t="s">
        <v>102</v>
      </c>
      <c r="R3783" s="0" t="s">
        <v>113</v>
      </c>
      <c r="S3783" s="0" t="s">
        <v>21</v>
      </c>
      <c r="T3783" s="0" t="s">
        <v>104</v>
      </c>
      <c r="W3783" s="0" t="s">
        <v>105</v>
      </c>
      <c r="X3783" s="0" t="s">
        <v>658</v>
      </c>
      <c r="Y3783" s="0" t="s">
        <v>659</v>
      </c>
    </row>
    <row r="3784" customFormat="false" ht="15" hidden="false" customHeight="false" outlineLevel="0" collapsed="false">
      <c r="A3784" s="0" t="s">
        <v>21</v>
      </c>
      <c r="B3784" s="0" t="s">
        <v>12002</v>
      </c>
      <c r="C3784" s="0" t="s">
        <v>97</v>
      </c>
      <c r="D3784" s="0" t="s">
        <v>12003</v>
      </c>
      <c r="E3784" s="0" t="s">
        <v>12004</v>
      </c>
      <c r="H3784" s="0" t="s">
        <v>654</v>
      </c>
      <c r="I3784" s="0" t="s">
        <v>655</v>
      </c>
      <c r="J3784" s="0" t="s">
        <v>100</v>
      </c>
      <c r="K3784" s="0" t="s">
        <v>168</v>
      </c>
      <c r="L3784" s="0" t="s">
        <v>101</v>
      </c>
      <c r="M3784" s="0" t="s">
        <v>656</v>
      </c>
      <c r="N3784" s="0" t="s">
        <v>101</v>
      </c>
      <c r="P3784" s="0" t="s">
        <v>102</v>
      </c>
      <c r="Q3784" s="0" t="s">
        <v>102</v>
      </c>
      <c r="R3784" s="0" t="s">
        <v>113</v>
      </c>
      <c r="S3784" s="0" t="s">
        <v>21</v>
      </c>
      <c r="T3784" s="0" t="s">
        <v>104</v>
      </c>
      <c r="W3784" s="0" t="s">
        <v>105</v>
      </c>
      <c r="X3784" s="0" t="s">
        <v>658</v>
      </c>
      <c r="Y3784" s="0" t="s">
        <v>659</v>
      </c>
    </row>
    <row r="3785" customFormat="false" ht="15" hidden="false" customHeight="false" outlineLevel="0" collapsed="false">
      <c r="A3785" s="0" t="s">
        <v>21</v>
      </c>
      <c r="B3785" s="0" t="s">
        <v>12005</v>
      </c>
      <c r="C3785" s="0" t="s">
        <v>97</v>
      </c>
      <c r="D3785" s="0" t="s">
        <v>12006</v>
      </c>
      <c r="E3785" s="0" t="s">
        <v>12007</v>
      </c>
      <c r="H3785" s="0" t="s">
        <v>654</v>
      </c>
      <c r="I3785" s="0" t="s">
        <v>655</v>
      </c>
      <c r="J3785" s="0" t="s">
        <v>100</v>
      </c>
      <c r="K3785" s="0" t="s">
        <v>168</v>
      </c>
      <c r="L3785" s="0" t="s">
        <v>101</v>
      </c>
      <c r="M3785" s="0" t="s">
        <v>656</v>
      </c>
      <c r="N3785" s="0" t="s">
        <v>101</v>
      </c>
      <c r="P3785" s="0" t="s">
        <v>102</v>
      </c>
      <c r="Q3785" s="0" t="s">
        <v>102</v>
      </c>
      <c r="R3785" s="0" t="s">
        <v>113</v>
      </c>
      <c r="S3785" s="0" t="s">
        <v>21</v>
      </c>
      <c r="T3785" s="0" t="s">
        <v>104</v>
      </c>
      <c r="W3785" s="0" t="s">
        <v>105</v>
      </c>
      <c r="X3785" s="0" t="s">
        <v>658</v>
      </c>
      <c r="Y3785" s="0" t="s">
        <v>659</v>
      </c>
    </row>
    <row r="3786" customFormat="false" ht="15" hidden="false" customHeight="false" outlineLevel="0" collapsed="false">
      <c r="A3786" s="0" t="s">
        <v>21</v>
      </c>
      <c r="B3786" s="0" t="s">
        <v>12008</v>
      </c>
      <c r="C3786" s="0" t="s">
        <v>97</v>
      </c>
      <c r="D3786" s="0" t="s">
        <v>12009</v>
      </c>
      <c r="E3786" s="0" t="s">
        <v>12010</v>
      </c>
      <c r="M3786" s="0" t="s">
        <v>656</v>
      </c>
      <c r="N3786" s="0" t="s">
        <v>101</v>
      </c>
      <c r="P3786" s="0" t="s">
        <v>102</v>
      </c>
      <c r="Q3786" s="0" t="s">
        <v>102</v>
      </c>
      <c r="R3786" s="0" t="s">
        <v>113</v>
      </c>
      <c r="S3786" s="0" t="s">
        <v>21</v>
      </c>
      <c r="T3786" s="0" t="s">
        <v>104</v>
      </c>
      <c r="W3786" s="0" t="s">
        <v>105</v>
      </c>
    </row>
    <row r="3787" customFormat="false" ht="15" hidden="false" customHeight="false" outlineLevel="0" collapsed="false">
      <c r="A3787" s="0" t="s">
        <v>21</v>
      </c>
      <c r="B3787" s="0" t="s">
        <v>12011</v>
      </c>
      <c r="C3787" s="0" t="s">
        <v>97</v>
      </c>
      <c r="D3787" s="0" t="s">
        <v>12012</v>
      </c>
      <c r="E3787" s="0" t="s">
        <v>12013</v>
      </c>
      <c r="H3787" s="0" t="s">
        <v>654</v>
      </c>
      <c r="I3787" s="0" t="s">
        <v>655</v>
      </c>
      <c r="J3787" s="0" t="s">
        <v>100</v>
      </c>
      <c r="K3787" s="0" t="s">
        <v>168</v>
      </c>
      <c r="L3787" s="0" t="s">
        <v>101</v>
      </c>
      <c r="M3787" s="0" t="s">
        <v>656</v>
      </c>
      <c r="N3787" s="0" t="s">
        <v>101</v>
      </c>
      <c r="P3787" s="0" t="s">
        <v>102</v>
      </c>
      <c r="Q3787" s="0" t="s">
        <v>102</v>
      </c>
      <c r="R3787" s="0" t="s">
        <v>113</v>
      </c>
      <c r="S3787" s="0" t="s">
        <v>21</v>
      </c>
      <c r="T3787" s="0" t="s">
        <v>104</v>
      </c>
      <c r="W3787" s="0" t="s">
        <v>105</v>
      </c>
      <c r="X3787" s="0" t="s">
        <v>658</v>
      </c>
      <c r="Y3787" s="0" t="s">
        <v>659</v>
      </c>
    </row>
    <row r="3788" customFormat="false" ht="15" hidden="false" customHeight="false" outlineLevel="0" collapsed="false">
      <c r="A3788" s="0" t="s">
        <v>21</v>
      </c>
      <c r="B3788" s="0" t="s">
        <v>12014</v>
      </c>
      <c r="C3788" s="0" t="s">
        <v>97</v>
      </c>
      <c r="D3788" s="0" t="s">
        <v>12015</v>
      </c>
      <c r="E3788" s="0" t="s">
        <v>12016</v>
      </c>
      <c r="M3788" s="0" t="s">
        <v>656</v>
      </c>
      <c r="N3788" s="0" t="s">
        <v>101</v>
      </c>
      <c r="P3788" s="0" t="s">
        <v>102</v>
      </c>
      <c r="Q3788" s="0" t="s">
        <v>102</v>
      </c>
      <c r="R3788" s="0" t="s">
        <v>113</v>
      </c>
      <c r="S3788" s="0" t="s">
        <v>21</v>
      </c>
      <c r="T3788" s="0" t="s">
        <v>104</v>
      </c>
      <c r="W3788" s="0" t="s">
        <v>105</v>
      </c>
    </row>
    <row r="3789" customFormat="false" ht="15" hidden="false" customHeight="false" outlineLevel="0" collapsed="false">
      <c r="A3789" s="0" t="s">
        <v>21</v>
      </c>
      <c r="B3789" s="0" t="s">
        <v>12017</v>
      </c>
      <c r="C3789" s="0" t="s">
        <v>97</v>
      </c>
      <c r="D3789" s="0" t="s">
        <v>12018</v>
      </c>
      <c r="E3789" s="0" t="s">
        <v>12019</v>
      </c>
      <c r="H3789" s="0" t="s">
        <v>654</v>
      </c>
      <c r="I3789" s="0" t="s">
        <v>655</v>
      </c>
      <c r="J3789" s="0" t="s">
        <v>100</v>
      </c>
      <c r="K3789" s="0" t="s">
        <v>168</v>
      </c>
      <c r="L3789" s="0" t="s">
        <v>101</v>
      </c>
      <c r="M3789" s="0" t="s">
        <v>656</v>
      </c>
      <c r="N3789" s="0" t="s">
        <v>101</v>
      </c>
      <c r="P3789" s="0" t="s">
        <v>102</v>
      </c>
      <c r="Q3789" s="0" t="s">
        <v>102</v>
      </c>
      <c r="R3789" s="0" t="s">
        <v>113</v>
      </c>
      <c r="S3789" s="0" t="s">
        <v>21</v>
      </c>
      <c r="T3789" s="0" t="s">
        <v>104</v>
      </c>
      <c r="W3789" s="0" t="s">
        <v>105</v>
      </c>
      <c r="X3789" s="0" t="s">
        <v>658</v>
      </c>
      <c r="Y3789" s="0" t="s">
        <v>659</v>
      </c>
    </row>
    <row r="3790" customFormat="false" ht="15" hidden="false" customHeight="false" outlineLevel="0" collapsed="false">
      <c r="A3790" s="0" t="s">
        <v>21</v>
      </c>
      <c r="B3790" s="0" t="s">
        <v>12020</v>
      </c>
      <c r="C3790" s="0" t="s">
        <v>97</v>
      </c>
      <c r="D3790" s="0" t="s">
        <v>12021</v>
      </c>
      <c r="E3790" s="0" t="s">
        <v>12022</v>
      </c>
      <c r="H3790" s="0" t="s">
        <v>654</v>
      </c>
      <c r="I3790" s="0" t="s">
        <v>655</v>
      </c>
      <c r="J3790" s="0" t="s">
        <v>100</v>
      </c>
      <c r="K3790" s="0" t="s">
        <v>168</v>
      </c>
      <c r="L3790" s="0" t="s">
        <v>101</v>
      </c>
      <c r="M3790" s="0" t="s">
        <v>656</v>
      </c>
      <c r="N3790" s="0" t="s">
        <v>101</v>
      </c>
      <c r="P3790" s="0" t="s">
        <v>102</v>
      </c>
      <c r="Q3790" s="0" t="s">
        <v>102</v>
      </c>
      <c r="R3790" s="0" t="s">
        <v>113</v>
      </c>
      <c r="S3790" s="0" t="s">
        <v>21</v>
      </c>
      <c r="T3790" s="0" t="s">
        <v>104</v>
      </c>
      <c r="W3790" s="0" t="s">
        <v>105</v>
      </c>
      <c r="X3790" s="0" t="s">
        <v>658</v>
      </c>
      <c r="Y3790" s="0" t="s">
        <v>659</v>
      </c>
    </row>
    <row r="3791" customFormat="false" ht="15" hidden="false" customHeight="false" outlineLevel="0" collapsed="false">
      <c r="A3791" s="0" t="s">
        <v>21</v>
      </c>
      <c r="B3791" s="0" t="s">
        <v>12023</v>
      </c>
      <c r="C3791" s="0" t="s">
        <v>97</v>
      </c>
      <c r="D3791" s="0" t="s">
        <v>4973</v>
      </c>
      <c r="E3791" s="0" t="s">
        <v>12024</v>
      </c>
      <c r="H3791" s="0" t="s">
        <v>654</v>
      </c>
      <c r="I3791" s="0" t="s">
        <v>655</v>
      </c>
      <c r="J3791" s="0" t="s">
        <v>100</v>
      </c>
      <c r="K3791" s="0" t="s">
        <v>168</v>
      </c>
      <c r="L3791" s="0" t="s">
        <v>101</v>
      </c>
      <c r="M3791" s="0" t="s">
        <v>656</v>
      </c>
      <c r="N3791" s="0" t="s">
        <v>101</v>
      </c>
      <c r="P3791" s="0" t="s">
        <v>102</v>
      </c>
      <c r="Q3791" s="0" t="s">
        <v>102</v>
      </c>
      <c r="R3791" s="0" t="s">
        <v>113</v>
      </c>
      <c r="S3791" s="0" t="s">
        <v>21</v>
      </c>
      <c r="T3791" s="0" t="s">
        <v>104</v>
      </c>
      <c r="W3791" s="0" t="s">
        <v>105</v>
      </c>
      <c r="X3791" s="0" t="s">
        <v>658</v>
      </c>
      <c r="Y3791" s="0" t="s">
        <v>659</v>
      </c>
    </row>
    <row r="3792" customFormat="false" ht="15" hidden="false" customHeight="false" outlineLevel="0" collapsed="false">
      <c r="A3792" s="0" t="s">
        <v>21</v>
      </c>
      <c r="B3792" s="0" t="s">
        <v>12025</v>
      </c>
      <c r="C3792" s="0" t="s">
        <v>97</v>
      </c>
      <c r="D3792" s="0" t="s">
        <v>12026</v>
      </c>
      <c r="E3792" s="0" t="s">
        <v>12027</v>
      </c>
      <c r="H3792" s="0" t="s">
        <v>654</v>
      </c>
      <c r="I3792" s="0" t="s">
        <v>655</v>
      </c>
      <c r="J3792" s="0" t="s">
        <v>100</v>
      </c>
      <c r="K3792" s="0" t="s">
        <v>168</v>
      </c>
      <c r="L3792" s="0" t="s">
        <v>101</v>
      </c>
      <c r="M3792" s="0" t="s">
        <v>656</v>
      </c>
      <c r="N3792" s="0" t="s">
        <v>101</v>
      </c>
      <c r="P3792" s="0" t="s">
        <v>102</v>
      </c>
      <c r="Q3792" s="0" t="s">
        <v>102</v>
      </c>
      <c r="R3792" s="0" t="s">
        <v>113</v>
      </c>
      <c r="S3792" s="0" t="s">
        <v>21</v>
      </c>
      <c r="T3792" s="0" t="s">
        <v>104</v>
      </c>
      <c r="W3792" s="0" t="s">
        <v>105</v>
      </c>
      <c r="X3792" s="0" t="s">
        <v>658</v>
      </c>
      <c r="Y3792" s="0" t="s">
        <v>659</v>
      </c>
    </row>
    <row r="3793" customFormat="false" ht="15" hidden="false" customHeight="false" outlineLevel="0" collapsed="false">
      <c r="A3793" s="0" t="s">
        <v>21</v>
      </c>
      <c r="B3793" s="0" t="s">
        <v>12028</v>
      </c>
      <c r="C3793" s="0" t="s">
        <v>97</v>
      </c>
      <c r="D3793" s="0" t="s">
        <v>12029</v>
      </c>
      <c r="E3793" s="0" t="s">
        <v>12030</v>
      </c>
      <c r="G3793" s="0" t="s">
        <v>12031</v>
      </c>
      <c r="M3793" s="0" t="s">
        <v>511</v>
      </c>
      <c r="N3793" s="0" t="s">
        <v>101</v>
      </c>
      <c r="P3793" s="0" t="s">
        <v>102</v>
      </c>
      <c r="Q3793" s="0" t="s">
        <v>102</v>
      </c>
      <c r="R3793" s="0" t="s">
        <v>113</v>
      </c>
      <c r="S3793" s="0" t="s">
        <v>21</v>
      </c>
      <c r="T3793" s="0" t="s">
        <v>104</v>
      </c>
      <c r="W3793" s="0" t="s">
        <v>105</v>
      </c>
    </row>
    <row r="3794" customFormat="false" ht="15" hidden="false" customHeight="false" outlineLevel="0" collapsed="false">
      <c r="A3794" s="0" t="s">
        <v>21</v>
      </c>
      <c r="B3794" s="0" t="s">
        <v>12032</v>
      </c>
      <c r="C3794" s="0" t="s">
        <v>97</v>
      </c>
      <c r="D3794" s="0" t="s">
        <v>12033</v>
      </c>
      <c r="E3794" s="0" t="s">
        <v>12034</v>
      </c>
      <c r="H3794" s="0" t="s">
        <v>654</v>
      </c>
      <c r="I3794" s="0" t="s">
        <v>655</v>
      </c>
      <c r="J3794" s="0" t="s">
        <v>100</v>
      </c>
      <c r="K3794" s="0" t="s">
        <v>168</v>
      </c>
      <c r="L3794" s="0" t="s">
        <v>101</v>
      </c>
      <c r="M3794" s="0" t="s">
        <v>656</v>
      </c>
      <c r="N3794" s="0" t="s">
        <v>101</v>
      </c>
      <c r="P3794" s="0" t="s">
        <v>102</v>
      </c>
      <c r="Q3794" s="0" t="s">
        <v>102</v>
      </c>
      <c r="R3794" s="0" t="s">
        <v>113</v>
      </c>
      <c r="S3794" s="0" t="s">
        <v>21</v>
      </c>
      <c r="T3794" s="0" t="s">
        <v>104</v>
      </c>
      <c r="W3794" s="0" t="s">
        <v>105</v>
      </c>
      <c r="X3794" s="0" t="s">
        <v>658</v>
      </c>
      <c r="Y3794" s="0" t="s">
        <v>659</v>
      </c>
    </row>
    <row r="3795" customFormat="false" ht="15" hidden="false" customHeight="false" outlineLevel="0" collapsed="false">
      <c r="A3795" s="0" t="s">
        <v>21</v>
      </c>
      <c r="B3795" s="0" t="s">
        <v>12035</v>
      </c>
      <c r="C3795" s="0" t="s">
        <v>97</v>
      </c>
      <c r="D3795" s="0" t="s">
        <v>12036</v>
      </c>
      <c r="E3795" s="0" t="s">
        <v>12037</v>
      </c>
      <c r="H3795" s="0" t="s">
        <v>654</v>
      </c>
      <c r="I3795" s="0" t="s">
        <v>655</v>
      </c>
      <c r="J3795" s="0" t="s">
        <v>100</v>
      </c>
      <c r="K3795" s="0" t="s">
        <v>168</v>
      </c>
      <c r="L3795" s="0" t="s">
        <v>101</v>
      </c>
      <c r="M3795" s="0" t="s">
        <v>656</v>
      </c>
      <c r="N3795" s="0" t="s">
        <v>101</v>
      </c>
      <c r="P3795" s="0" t="s">
        <v>102</v>
      </c>
      <c r="Q3795" s="0" t="s">
        <v>102</v>
      </c>
      <c r="R3795" s="0" t="s">
        <v>113</v>
      </c>
      <c r="S3795" s="0" t="s">
        <v>21</v>
      </c>
      <c r="T3795" s="0" t="s">
        <v>104</v>
      </c>
      <c r="W3795" s="0" t="s">
        <v>105</v>
      </c>
      <c r="X3795" s="0" t="s">
        <v>658</v>
      </c>
      <c r="Y3795" s="0" t="s">
        <v>659</v>
      </c>
    </row>
    <row r="3796" customFormat="false" ht="15" hidden="false" customHeight="false" outlineLevel="0" collapsed="false">
      <c r="A3796" s="0" t="s">
        <v>21</v>
      </c>
      <c r="B3796" s="0" t="s">
        <v>12038</v>
      </c>
      <c r="C3796" s="0" t="s">
        <v>97</v>
      </c>
      <c r="D3796" s="0" t="s">
        <v>12039</v>
      </c>
      <c r="E3796" s="0" t="s">
        <v>12040</v>
      </c>
      <c r="M3796" s="0" t="s">
        <v>1245</v>
      </c>
      <c r="N3796" s="0" t="s">
        <v>101</v>
      </c>
      <c r="P3796" s="0" t="s">
        <v>102</v>
      </c>
      <c r="Q3796" s="0" t="s">
        <v>102</v>
      </c>
      <c r="R3796" s="0" t="s">
        <v>113</v>
      </c>
      <c r="S3796" s="0" t="s">
        <v>21</v>
      </c>
      <c r="T3796" s="0" t="s">
        <v>104</v>
      </c>
      <c r="W3796" s="0" t="s">
        <v>105</v>
      </c>
    </row>
    <row r="3797" customFormat="false" ht="15" hidden="false" customHeight="false" outlineLevel="0" collapsed="false">
      <c r="A3797" s="0" t="s">
        <v>21</v>
      </c>
      <c r="B3797" s="0" t="s">
        <v>12041</v>
      </c>
      <c r="C3797" s="0" t="s">
        <v>97</v>
      </c>
      <c r="D3797" s="0" t="s">
        <v>12042</v>
      </c>
      <c r="E3797" s="0" t="s">
        <v>12043</v>
      </c>
      <c r="H3797" s="0" t="s">
        <v>654</v>
      </c>
      <c r="I3797" s="0" t="s">
        <v>655</v>
      </c>
      <c r="J3797" s="0" t="s">
        <v>100</v>
      </c>
      <c r="K3797" s="0" t="s">
        <v>168</v>
      </c>
      <c r="L3797" s="0" t="s">
        <v>101</v>
      </c>
      <c r="M3797" s="0" t="s">
        <v>656</v>
      </c>
      <c r="N3797" s="0" t="s">
        <v>101</v>
      </c>
      <c r="P3797" s="0" t="s">
        <v>102</v>
      </c>
      <c r="Q3797" s="0" t="s">
        <v>102</v>
      </c>
      <c r="R3797" s="0" t="s">
        <v>113</v>
      </c>
      <c r="S3797" s="0" t="s">
        <v>21</v>
      </c>
      <c r="T3797" s="0" t="s">
        <v>104</v>
      </c>
      <c r="W3797" s="0" t="s">
        <v>105</v>
      </c>
      <c r="X3797" s="0" t="s">
        <v>658</v>
      </c>
      <c r="Y3797" s="0" t="s">
        <v>659</v>
      </c>
    </row>
    <row r="3798" customFormat="false" ht="15" hidden="false" customHeight="false" outlineLevel="0" collapsed="false">
      <c r="A3798" s="0" t="s">
        <v>21</v>
      </c>
      <c r="B3798" s="0" t="s">
        <v>12044</v>
      </c>
      <c r="C3798" s="0" t="s">
        <v>97</v>
      </c>
      <c r="D3798" s="0" t="s">
        <v>12045</v>
      </c>
      <c r="E3798" s="0" t="s">
        <v>12046</v>
      </c>
      <c r="M3798" s="0" t="s">
        <v>656</v>
      </c>
      <c r="N3798" s="0" t="s">
        <v>101</v>
      </c>
      <c r="P3798" s="0" t="s">
        <v>102</v>
      </c>
      <c r="Q3798" s="0" t="s">
        <v>102</v>
      </c>
      <c r="R3798" s="0" t="s">
        <v>113</v>
      </c>
      <c r="S3798" s="0" t="s">
        <v>21</v>
      </c>
      <c r="T3798" s="0" t="s">
        <v>104</v>
      </c>
      <c r="W3798" s="0" t="s">
        <v>105</v>
      </c>
    </row>
    <row r="3799" customFormat="false" ht="15" hidden="false" customHeight="false" outlineLevel="0" collapsed="false">
      <c r="A3799" s="0" t="s">
        <v>21</v>
      </c>
      <c r="B3799" s="0" t="s">
        <v>12047</v>
      </c>
      <c r="C3799" s="0" t="s">
        <v>97</v>
      </c>
      <c r="D3799" s="0" t="s">
        <v>12048</v>
      </c>
      <c r="E3799" s="0" t="s">
        <v>12049</v>
      </c>
      <c r="H3799" s="0" t="s">
        <v>654</v>
      </c>
      <c r="I3799" s="0" t="s">
        <v>655</v>
      </c>
      <c r="J3799" s="0" t="s">
        <v>100</v>
      </c>
      <c r="K3799" s="0" t="s">
        <v>168</v>
      </c>
      <c r="L3799" s="0" t="s">
        <v>101</v>
      </c>
      <c r="M3799" s="0" t="s">
        <v>656</v>
      </c>
      <c r="N3799" s="0" t="s">
        <v>101</v>
      </c>
      <c r="P3799" s="0" t="s">
        <v>102</v>
      </c>
      <c r="Q3799" s="0" t="s">
        <v>102</v>
      </c>
      <c r="R3799" s="0" t="s">
        <v>113</v>
      </c>
      <c r="S3799" s="0" t="s">
        <v>21</v>
      </c>
      <c r="T3799" s="0" t="s">
        <v>104</v>
      </c>
      <c r="W3799" s="0" t="s">
        <v>105</v>
      </c>
      <c r="X3799" s="0" t="s">
        <v>658</v>
      </c>
      <c r="Y3799" s="0" t="s">
        <v>659</v>
      </c>
    </row>
    <row r="3800" customFormat="false" ht="15" hidden="false" customHeight="false" outlineLevel="0" collapsed="false">
      <c r="A3800" s="0" t="s">
        <v>21</v>
      </c>
      <c r="B3800" s="0" t="s">
        <v>12050</v>
      </c>
      <c r="C3800" s="0" t="s">
        <v>97</v>
      </c>
      <c r="D3800" s="0" t="s">
        <v>12051</v>
      </c>
      <c r="E3800" s="0" t="s">
        <v>12052</v>
      </c>
      <c r="H3800" s="0" t="s">
        <v>654</v>
      </c>
      <c r="I3800" s="0" t="s">
        <v>655</v>
      </c>
      <c r="J3800" s="0" t="s">
        <v>100</v>
      </c>
      <c r="K3800" s="0" t="s">
        <v>168</v>
      </c>
      <c r="L3800" s="0" t="s">
        <v>101</v>
      </c>
      <c r="M3800" s="0" t="s">
        <v>656</v>
      </c>
      <c r="N3800" s="0" t="s">
        <v>101</v>
      </c>
      <c r="P3800" s="0" t="s">
        <v>102</v>
      </c>
      <c r="Q3800" s="0" t="s">
        <v>102</v>
      </c>
      <c r="R3800" s="0" t="s">
        <v>113</v>
      </c>
      <c r="S3800" s="0" t="s">
        <v>21</v>
      </c>
      <c r="T3800" s="0" t="s">
        <v>104</v>
      </c>
      <c r="W3800" s="0" t="s">
        <v>105</v>
      </c>
      <c r="X3800" s="0" t="s">
        <v>658</v>
      </c>
      <c r="Y3800" s="0" t="s">
        <v>659</v>
      </c>
    </row>
    <row r="3801" customFormat="false" ht="15" hidden="false" customHeight="false" outlineLevel="0" collapsed="false">
      <c r="A3801" s="0" t="s">
        <v>21</v>
      </c>
      <c r="B3801" s="0" t="s">
        <v>12053</v>
      </c>
      <c r="C3801" s="0" t="s">
        <v>97</v>
      </c>
      <c r="D3801" s="0" t="s">
        <v>12054</v>
      </c>
      <c r="E3801" s="0" t="s">
        <v>12055</v>
      </c>
      <c r="M3801" s="0" t="s">
        <v>656</v>
      </c>
      <c r="N3801" s="0" t="s">
        <v>101</v>
      </c>
      <c r="P3801" s="0" t="s">
        <v>102</v>
      </c>
      <c r="Q3801" s="0" t="s">
        <v>102</v>
      </c>
      <c r="R3801" s="0" t="s">
        <v>113</v>
      </c>
      <c r="S3801" s="0" t="s">
        <v>21</v>
      </c>
      <c r="T3801" s="0" t="s">
        <v>104</v>
      </c>
      <c r="W3801" s="0" t="s">
        <v>105</v>
      </c>
    </row>
    <row r="3802" customFormat="false" ht="15" hidden="false" customHeight="false" outlineLevel="0" collapsed="false">
      <c r="A3802" s="0" t="s">
        <v>21</v>
      </c>
      <c r="B3802" s="0" t="s">
        <v>12056</v>
      </c>
      <c r="C3802" s="0" t="s">
        <v>97</v>
      </c>
      <c r="D3802" s="0" t="s">
        <v>12057</v>
      </c>
      <c r="E3802" s="0" t="s">
        <v>12058</v>
      </c>
      <c r="M3802" s="0" t="s">
        <v>656</v>
      </c>
      <c r="N3802" s="0" t="s">
        <v>101</v>
      </c>
      <c r="P3802" s="0" t="s">
        <v>102</v>
      </c>
      <c r="Q3802" s="0" t="s">
        <v>102</v>
      </c>
      <c r="R3802" s="0" t="s">
        <v>113</v>
      </c>
      <c r="S3802" s="0" t="s">
        <v>21</v>
      </c>
      <c r="T3802" s="0" t="s">
        <v>104</v>
      </c>
      <c r="W3802" s="0" t="s">
        <v>105</v>
      </c>
    </row>
    <row r="3803" customFormat="false" ht="15" hidden="false" customHeight="false" outlineLevel="0" collapsed="false">
      <c r="A3803" s="0" t="s">
        <v>21</v>
      </c>
      <c r="B3803" s="0" t="s">
        <v>12059</v>
      </c>
      <c r="C3803" s="0" t="s">
        <v>97</v>
      </c>
      <c r="D3803" s="0" t="s">
        <v>12060</v>
      </c>
      <c r="E3803" s="0" t="s">
        <v>12061</v>
      </c>
      <c r="M3803" s="0" t="s">
        <v>656</v>
      </c>
      <c r="N3803" s="0" t="s">
        <v>101</v>
      </c>
      <c r="P3803" s="0" t="s">
        <v>102</v>
      </c>
      <c r="Q3803" s="0" t="s">
        <v>102</v>
      </c>
      <c r="R3803" s="0" t="s">
        <v>113</v>
      </c>
      <c r="S3803" s="0" t="s">
        <v>21</v>
      </c>
      <c r="T3803" s="0" t="s">
        <v>104</v>
      </c>
      <c r="W3803" s="0" t="s">
        <v>105</v>
      </c>
    </row>
    <row r="3804" customFormat="false" ht="15" hidden="false" customHeight="false" outlineLevel="0" collapsed="false">
      <c r="A3804" s="0" t="s">
        <v>21</v>
      </c>
      <c r="B3804" s="0" t="s">
        <v>12062</v>
      </c>
      <c r="C3804" s="0" t="s">
        <v>97</v>
      </c>
      <c r="D3804" s="0" t="s">
        <v>12063</v>
      </c>
      <c r="E3804" s="0" t="s">
        <v>12064</v>
      </c>
      <c r="H3804" s="0" t="s">
        <v>654</v>
      </c>
      <c r="I3804" s="0" t="s">
        <v>655</v>
      </c>
      <c r="J3804" s="0" t="s">
        <v>100</v>
      </c>
      <c r="K3804" s="0" t="s">
        <v>168</v>
      </c>
      <c r="L3804" s="0" t="s">
        <v>101</v>
      </c>
      <c r="M3804" s="0" t="s">
        <v>656</v>
      </c>
      <c r="N3804" s="0" t="s">
        <v>101</v>
      </c>
      <c r="P3804" s="0" t="s">
        <v>102</v>
      </c>
      <c r="Q3804" s="0" t="s">
        <v>102</v>
      </c>
      <c r="R3804" s="0" t="s">
        <v>113</v>
      </c>
      <c r="S3804" s="0" t="s">
        <v>21</v>
      </c>
      <c r="T3804" s="0" t="s">
        <v>104</v>
      </c>
      <c r="W3804" s="0" t="s">
        <v>105</v>
      </c>
      <c r="X3804" s="0" t="s">
        <v>658</v>
      </c>
      <c r="Y3804" s="0" t="s">
        <v>659</v>
      </c>
    </row>
    <row r="3805" customFormat="false" ht="15" hidden="false" customHeight="false" outlineLevel="0" collapsed="false">
      <c r="A3805" s="0" t="s">
        <v>21</v>
      </c>
      <c r="B3805" s="0" t="s">
        <v>12065</v>
      </c>
      <c r="C3805" s="0" t="s">
        <v>97</v>
      </c>
      <c r="D3805" s="0" t="s">
        <v>12066</v>
      </c>
      <c r="E3805" s="0" t="s">
        <v>12067</v>
      </c>
      <c r="M3805" s="0" t="s">
        <v>136</v>
      </c>
      <c r="N3805" s="0" t="s">
        <v>124</v>
      </c>
      <c r="P3805" s="0" t="s">
        <v>102</v>
      </c>
      <c r="Q3805" s="0" t="s">
        <v>102</v>
      </c>
      <c r="R3805" s="0" t="s">
        <v>113</v>
      </c>
      <c r="S3805" s="0" t="s">
        <v>21</v>
      </c>
      <c r="T3805" s="0" t="s">
        <v>104</v>
      </c>
      <c r="W3805" s="0" t="s">
        <v>105</v>
      </c>
    </row>
    <row r="3806" customFormat="false" ht="15" hidden="false" customHeight="false" outlineLevel="0" collapsed="false">
      <c r="A3806" s="0" t="s">
        <v>21</v>
      </c>
      <c r="B3806" s="0" t="s">
        <v>12068</v>
      </c>
      <c r="C3806" s="0" t="s">
        <v>97</v>
      </c>
      <c r="D3806" s="0" t="s">
        <v>12069</v>
      </c>
      <c r="E3806" s="0" t="s">
        <v>12070</v>
      </c>
      <c r="M3806" s="0" t="s">
        <v>136</v>
      </c>
      <c r="N3806" s="0" t="s">
        <v>124</v>
      </c>
      <c r="P3806" s="0" t="s">
        <v>102</v>
      </c>
      <c r="Q3806" s="0" t="s">
        <v>102</v>
      </c>
      <c r="R3806" s="0" t="s">
        <v>144</v>
      </c>
      <c r="S3806" s="0" t="s">
        <v>21</v>
      </c>
      <c r="T3806" s="0" t="s">
        <v>104</v>
      </c>
      <c r="W3806" s="0" t="s">
        <v>105</v>
      </c>
    </row>
    <row r="3807" customFormat="false" ht="15" hidden="false" customHeight="false" outlineLevel="0" collapsed="false">
      <c r="A3807" s="0" t="s">
        <v>21</v>
      </c>
      <c r="B3807" s="0" t="s">
        <v>12071</v>
      </c>
      <c r="C3807" s="0" t="s">
        <v>7362</v>
      </c>
      <c r="D3807" s="0" t="s">
        <v>12072</v>
      </c>
      <c r="E3807" s="0" t="s">
        <v>12073</v>
      </c>
      <c r="G3807" s="0" t="s">
        <v>12074</v>
      </c>
      <c r="H3807" s="0" t="s">
        <v>12075</v>
      </c>
      <c r="I3807" s="0" t="s">
        <v>9689</v>
      </c>
      <c r="J3807" s="0" t="s">
        <v>1307</v>
      </c>
      <c r="K3807" s="0" t="s">
        <v>410</v>
      </c>
      <c r="M3807" s="0" t="s">
        <v>1307</v>
      </c>
      <c r="N3807" s="0" t="s">
        <v>101</v>
      </c>
      <c r="P3807" s="0" t="s">
        <v>102</v>
      </c>
      <c r="Q3807" s="0" t="s">
        <v>102</v>
      </c>
      <c r="R3807" s="0" t="s">
        <v>137</v>
      </c>
      <c r="S3807" s="0" t="s">
        <v>21</v>
      </c>
      <c r="T3807" s="0" t="s">
        <v>104</v>
      </c>
      <c r="W3807" s="0" t="s">
        <v>105</v>
      </c>
    </row>
    <row r="3808" customFormat="false" ht="15" hidden="false" customHeight="false" outlineLevel="0" collapsed="false">
      <c r="A3808" s="0" t="s">
        <v>21</v>
      </c>
      <c r="B3808" s="0" t="s">
        <v>12076</v>
      </c>
      <c r="C3808" s="0" t="s">
        <v>97</v>
      </c>
      <c r="D3808" s="0" t="s">
        <v>12077</v>
      </c>
      <c r="E3808" s="0" t="s">
        <v>12078</v>
      </c>
      <c r="M3808" s="0" t="s">
        <v>136</v>
      </c>
      <c r="N3808" s="0" t="s">
        <v>124</v>
      </c>
      <c r="P3808" s="0" t="s">
        <v>102</v>
      </c>
      <c r="Q3808" s="0" t="s">
        <v>102</v>
      </c>
      <c r="R3808" s="0" t="s">
        <v>131</v>
      </c>
      <c r="S3808" s="0" t="s">
        <v>21</v>
      </c>
      <c r="T3808" s="0" t="s">
        <v>104</v>
      </c>
      <c r="W3808" s="0" t="s">
        <v>105</v>
      </c>
    </row>
    <row r="3809" customFormat="false" ht="15" hidden="false" customHeight="false" outlineLevel="0" collapsed="false">
      <c r="A3809" s="0" t="s">
        <v>21</v>
      </c>
      <c r="B3809" s="0" t="s">
        <v>12079</v>
      </c>
      <c r="C3809" s="0" t="s">
        <v>97</v>
      </c>
      <c r="D3809" s="0" t="s">
        <v>12080</v>
      </c>
      <c r="E3809" s="0" t="s">
        <v>12081</v>
      </c>
      <c r="M3809" s="0" t="s">
        <v>136</v>
      </c>
      <c r="N3809" s="0" t="s">
        <v>124</v>
      </c>
      <c r="P3809" s="0" t="s">
        <v>102</v>
      </c>
      <c r="Q3809" s="0" t="s">
        <v>102</v>
      </c>
      <c r="R3809" s="0" t="s">
        <v>131</v>
      </c>
      <c r="S3809" s="0" t="s">
        <v>21</v>
      </c>
      <c r="T3809" s="0" t="s">
        <v>104</v>
      </c>
      <c r="W3809" s="0" t="s">
        <v>105</v>
      </c>
    </row>
    <row r="3810" customFormat="false" ht="15" hidden="false" customHeight="false" outlineLevel="0" collapsed="false">
      <c r="A3810" s="0" t="s">
        <v>21</v>
      </c>
      <c r="B3810" s="0" t="s">
        <v>12082</v>
      </c>
      <c r="C3810" s="0" t="s">
        <v>97</v>
      </c>
      <c r="D3810" s="0" t="s">
        <v>5185</v>
      </c>
      <c r="E3810" s="0" t="s">
        <v>5185</v>
      </c>
      <c r="M3810" s="0" t="s">
        <v>442</v>
      </c>
      <c r="N3810" s="0" t="s">
        <v>101</v>
      </c>
      <c r="P3810" s="0" t="s">
        <v>102</v>
      </c>
      <c r="Q3810" s="0" t="s">
        <v>102</v>
      </c>
      <c r="R3810" s="0" t="s">
        <v>131</v>
      </c>
      <c r="S3810" s="0" t="s">
        <v>21</v>
      </c>
      <c r="T3810" s="0" t="s">
        <v>104</v>
      </c>
      <c r="W3810" s="0" t="s">
        <v>105</v>
      </c>
    </row>
    <row r="3811" customFormat="false" ht="15" hidden="false" customHeight="false" outlineLevel="0" collapsed="false">
      <c r="A3811" s="0" t="s">
        <v>21</v>
      </c>
      <c r="B3811" s="0" t="s">
        <v>12083</v>
      </c>
      <c r="C3811" s="0" t="s">
        <v>97</v>
      </c>
      <c r="D3811" s="0" t="s">
        <v>12084</v>
      </c>
      <c r="E3811" s="0" t="s">
        <v>12084</v>
      </c>
      <c r="M3811" s="0" t="s">
        <v>442</v>
      </c>
      <c r="N3811" s="0" t="s">
        <v>101</v>
      </c>
      <c r="P3811" s="0" t="s">
        <v>102</v>
      </c>
      <c r="Q3811" s="0" t="s">
        <v>102</v>
      </c>
      <c r="R3811" s="0" t="s">
        <v>131</v>
      </c>
      <c r="S3811" s="0" t="s">
        <v>21</v>
      </c>
      <c r="T3811" s="0" t="s">
        <v>104</v>
      </c>
      <c r="W3811" s="0" t="s">
        <v>105</v>
      </c>
    </row>
    <row r="3812" customFormat="false" ht="15" hidden="false" customHeight="false" outlineLevel="0" collapsed="false">
      <c r="A3812" s="0" t="s">
        <v>21</v>
      </c>
      <c r="B3812" s="0" t="s">
        <v>12085</v>
      </c>
      <c r="C3812" s="0" t="s">
        <v>97</v>
      </c>
      <c r="D3812" s="0" t="s">
        <v>12086</v>
      </c>
      <c r="E3812" s="0" t="s">
        <v>12087</v>
      </c>
      <c r="M3812" s="0" t="s">
        <v>136</v>
      </c>
      <c r="N3812" s="0" t="s">
        <v>124</v>
      </c>
      <c r="P3812" s="0" t="s">
        <v>102</v>
      </c>
      <c r="Q3812" s="0" t="s">
        <v>102</v>
      </c>
      <c r="R3812" s="0" t="s">
        <v>131</v>
      </c>
      <c r="S3812" s="0" t="s">
        <v>21</v>
      </c>
      <c r="T3812" s="0" t="s">
        <v>104</v>
      </c>
      <c r="W3812" s="0" t="s">
        <v>105</v>
      </c>
    </row>
    <row r="3813" customFormat="false" ht="15" hidden="false" customHeight="false" outlineLevel="0" collapsed="false">
      <c r="A3813" s="0" t="s">
        <v>21</v>
      </c>
      <c r="B3813" s="0" t="s">
        <v>12088</v>
      </c>
      <c r="C3813" s="0" t="s">
        <v>97</v>
      </c>
      <c r="D3813" s="0" t="s">
        <v>8601</v>
      </c>
      <c r="E3813" s="0" t="s">
        <v>12089</v>
      </c>
      <c r="M3813" s="0" t="s">
        <v>136</v>
      </c>
      <c r="N3813" s="0" t="s">
        <v>124</v>
      </c>
      <c r="P3813" s="0" t="s">
        <v>102</v>
      </c>
      <c r="Q3813" s="0" t="s">
        <v>102</v>
      </c>
      <c r="R3813" s="0" t="s">
        <v>131</v>
      </c>
      <c r="S3813" s="0" t="s">
        <v>21</v>
      </c>
      <c r="T3813" s="0" t="s">
        <v>104</v>
      </c>
      <c r="W3813" s="0" t="s">
        <v>105</v>
      </c>
    </row>
    <row r="3814" customFormat="false" ht="15" hidden="false" customHeight="false" outlineLevel="0" collapsed="false">
      <c r="A3814" s="0" t="s">
        <v>21</v>
      </c>
      <c r="B3814" s="0" t="s">
        <v>12090</v>
      </c>
      <c r="C3814" s="0" t="s">
        <v>97</v>
      </c>
      <c r="D3814" s="0" t="s">
        <v>12091</v>
      </c>
      <c r="E3814" s="0" t="s">
        <v>12092</v>
      </c>
      <c r="M3814" s="0" t="s">
        <v>136</v>
      </c>
      <c r="N3814" s="0" t="s">
        <v>124</v>
      </c>
      <c r="P3814" s="0" t="s">
        <v>102</v>
      </c>
      <c r="Q3814" s="0" t="s">
        <v>102</v>
      </c>
      <c r="R3814" s="0" t="s">
        <v>131</v>
      </c>
      <c r="S3814" s="0" t="s">
        <v>21</v>
      </c>
      <c r="T3814" s="0" t="s">
        <v>104</v>
      </c>
      <c r="W3814" s="0" t="s">
        <v>105</v>
      </c>
    </row>
    <row r="3815" customFormat="false" ht="15" hidden="false" customHeight="false" outlineLevel="0" collapsed="false">
      <c r="A3815" s="0" t="s">
        <v>21</v>
      </c>
      <c r="B3815" s="0" t="s">
        <v>12093</v>
      </c>
      <c r="C3815" s="0" t="s">
        <v>97</v>
      </c>
      <c r="D3815" s="0" t="s">
        <v>12094</v>
      </c>
      <c r="E3815" s="0" t="s">
        <v>12094</v>
      </c>
      <c r="M3815" s="0" t="s">
        <v>442</v>
      </c>
      <c r="N3815" s="0" t="s">
        <v>101</v>
      </c>
      <c r="P3815" s="0" t="s">
        <v>102</v>
      </c>
      <c r="Q3815" s="0" t="s">
        <v>102</v>
      </c>
      <c r="R3815" s="0" t="s">
        <v>131</v>
      </c>
      <c r="S3815" s="0" t="s">
        <v>21</v>
      </c>
      <c r="T3815" s="0" t="s">
        <v>104</v>
      </c>
      <c r="W3815" s="0" t="s">
        <v>105</v>
      </c>
    </row>
    <row r="3816" customFormat="false" ht="15" hidden="false" customHeight="false" outlineLevel="0" collapsed="false">
      <c r="A3816" s="0" t="s">
        <v>21</v>
      </c>
      <c r="B3816" s="0" t="s">
        <v>12095</v>
      </c>
      <c r="C3816" s="0" t="s">
        <v>97</v>
      </c>
      <c r="D3816" s="0" t="s">
        <v>12096</v>
      </c>
      <c r="E3816" s="0" t="s">
        <v>12096</v>
      </c>
      <c r="M3816" s="0" t="s">
        <v>442</v>
      </c>
      <c r="N3816" s="0" t="s">
        <v>101</v>
      </c>
      <c r="P3816" s="0" t="s">
        <v>102</v>
      </c>
      <c r="Q3816" s="0" t="s">
        <v>102</v>
      </c>
      <c r="R3816" s="0" t="s">
        <v>131</v>
      </c>
      <c r="S3816" s="0" t="s">
        <v>21</v>
      </c>
      <c r="T3816" s="0" t="s">
        <v>104</v>
      </c>
      <c r="W3816" s="0" t="s">
        <v>105</v>
      </c>
    </row>
    <row r="3817" customFormat="false" ht="15" hidden="false" customHeight="false" outlineLevel="0" collapsed="false">
      <c r="A3817" s="0" t="s">
        <v>21</v>
      </c>
      <c r="B3817" s="0" t="s">
        <v>12097</v>
      </c>
      <c r="C3817" s="0" t="s">
        <v>97</v>
      </c>
      <c r="D3817" s="0" t="s">
        <v>1581</v>
      </c>
      <c r="E3817" s="0" t="s">
        <v>1581</v>
      </c>
      <c r="M3817" s="0" t="s">
        <v>442</v>
      </c>
      <c r="N3817" s="0" t="s">
        <v>101</v>
      </c>
      <c r="P3817" s="0" t="s">
        <v>102</v>
      </c>
      <c r="Q3817" s="0" t="s">
        <v>102</v>
      </c>
      <c r="R3817" s="0" t="s">
        <v>131</v>
      </c>
      <c r="S3817" s="0" t="s">
        <v>21</v>
      </c>
      <c r="T3817" s="0" t="s">
        <v>104</v>
      </c>
      <c r="W3817" s="0" t="s">
        <v>105</v>
      </c>
    </row>
    <row r="3818" customFormat="false" ht="15" hidden="false" customHeight="false" outlineLevel="0" collapsed="false">
      <c r="A3818" s="0" t="s">
        <v>21</v>
      </c>
      <c r="B3818" s="0" t="s">
        <v>12098</v>
      </c>
      <c r="C3818" s="0" t="s">
        <v>97</v>
      </c>
      <c r="D3818" s="0" t="s">
        <v>12099</v>
      </c>
      <c r="E3818" s="0" t="s">
        <v>12099</v>
      </c>
      <c r="M3818" s="0" t="s">
        <v>442</v>
      </c>
      <c r="N3818" s="0" t="s">
        <v>101</v>
      </c>
      <c r="P3818" s="0" t="s">
        <v>102</v>
      </c>
      <c r="Q3818" s="0" t="s">
        <v>102</v>
      </c>
      <c r="R3818" s="0" t="s">
        <v>131</v>
      </c>
      <c r="S3818" s="0" t="s">
        <v>21</v>
      </c>
      <c r="T3818" s="0" t="s">
        <v>104</v>
      </c>
      <c r="W3818" s="0" t="s">
        <v>105</v>
      </c>
    </row>
    <row r="3819" customFormat="false" ht="15" hidden="false" customHeight="false" outlineLevel="0" collapsed="false">
      <c r="A3819" s="0" t="s">
        <v>21</v>
      </c>
      <c r="B3819" s="0" t="s">
        <v>12100</v>
      </c>
      <c r="C3819" s="0" t="s">
        <v>97</v>
      </c>
      <c r="D3819" s="0" t="s">
        <v>9861</v>
      </c>
      <c r="E3819" s="0" t="s">
        <v>9861</v>
      </c>
      <c r="M3819" s="0" t="s">
        <v>442</v>
      </c>
      <c r="N3819" s="0" t="s">
        <v>101</v>
      </c>
      <c r="P3819" s="0" t="s">
        <v>102</v>
      </c>
      <c r="Q3819" s="0" t="s">
        <v>102</v>
      </c>
      <c r="R3819" s="0" t="s">
        <v>131</v>
      </c>
      <c r="S3819" s="0" t="s">
        <v>21</v>
      </c>
      <c r="T3819" s="0" t="s">
        <v>104</v>
      </c>
      <c r="W3819" s="0" t="s">
        <v>105</v>
      </c>
    </row>
    <row r="3820" customFormat="false" ht="15" hidden="false" customHeight="false" outlineLevel="0" collapsed="false">
      <c r="A3820" s="0" t="s">
        <v>21</v>
      </c>
      <c r="B3820" s="0" t="s">
        <v>12101</v>
      </c>
      <c r="C3820" s="0" t="s">
        <v>97</v>
      </c>
      <c r="D3820" s="0" t="s">
        <v>12102</v>
      </c>
      <c r="E3820" s="0" t="s">
        <v>12102</v>
      </c>
      <c r="M3820" s="0" t="s">
        <v>442</v>
      </c>
      <c r="N3820" s="0" t="s">
        <v>101</v>
      </c>
      <c r="P3820" s="0" t="s">
        <v>102</v>
      </c>
      <c r="Q3820" s="0" t="s">
        <v>102</v>
      </c>
      <c r="R3820" s="0" t="s">
        <v>131</v>
      </c>
      <c r="S3820" s="0" t="s">
        <v>21</v>
      </c>
      <c r="T3820" s="0" t="s">
        <v>104</v>
      </c>
      <c r="W3820" s="0" t="s">
        <v>105</v>
      </c>
    </row>
    <row r="3821" customFormat="false" ht="15" hidden="false" customHeight="false" outlineLevel="0" collapsed="false">
      <c r="A3821" s="0" t="s">
        <v>21</v>
      </c>
      <c r="B3821" s="0" t="s">
        <v>12103</v>
      </c>
      <c r="C3821" s="0" t="s">
        <v>97</v>
      </c>
      <c r="D3821" s="0" t="s">
        <v>5203</v>
      </c>
      <c r="E3821" s="0" t="s">
        <v>5203</v>
      </c>
      <c r="M3821" s="0" t="s">
        <v>442</v>
      </c>
      <c r="N3821" s="0" t="s">
        <v>101</v>
      </c>
      <c r="P3821" s="0" t="s">
        <v>102</v>
      </c>
      <c r="Q3821" s="0" t="s">
        <v>102</v>
      </c>
      <c r="R3821" s="0" t="s">
        <v>131</v>
      </c>
      <c r="S3821" s="0" t="s">
        <v>21</v>
      </c>
      <c r="T3821" s="0" t="s">
        <v>104</v>
      </c>
      <c r="W3821" s="0" t="s">
        <v>105</v>
      </c>
    </row>
    <row r="3822" customFormat="false" ht="15" hidden="false" customHeight="false" outlineLevel="0" collapsed="false">
      <c r="A3822" s="0" t="s">
        <v>21</v>
      </c>
      <c r="B3822" s="0" t="s">
        <v>12104</v>
      </c>
      <c r="C3822" s="0" t="s">
        <v>97</v>
      </c>
      <c r="D3822" s="0" t="s">
        <v>12105</v>
      </c>
      <c r="E3822" s="0" t="s">
        <v>12105</v>
      </c>
      <c r="F3822" s="0" t="s">
        <v>12105</v>
      </c>
      <c r="M3822" s="0" t="s">
        <v>136</v>
      </c>
      <c r="N3822" s="0" t="s">
        <v>124</v>
      </c>
      <c r="P3822" s="0" t="s">
        <v>102</v>
      </c>
      <c r="Q3822" s="0" t="s">
        <v>102</v>
      </c>
      <c r="R3822" s="0" t="s">
        <v>131</v>
      </c>
      <c r="S3822" s="0" t="s">
        <v>21</v>
      </c>
      <c r="T3822" s="0" t="s">
        <v>104</v>
      </c>
      <c r="W3822" s="0" t="s">
        <v>105</v>
      </c>
    </row>
    <row r="3823" customFormat="false" ht="15" hidden="false" customHeight="false" outlineLevel="0" collapsed="false">
      <c r="A3823" s="0" t="s">
        <v>21</v>
      </c>
      <c r="B3823" s="0" t="s">
        <v>12106</v>
      </c>
      <c r="C3823" s="0" t="s">
        <v>97</v>
      </c>
      <c r="D3823" s="0" t="s">
        <v>11248</v>
      </c>
      <c r="E3823" s="0" t="s">
        <v>11248</v>
      </c>
      <c r="M3823" s="0" t="s">
        <v>442</v>
      </c>
      <c r="N3823" s="0" t="s">
        <v>101</v>
      </c>
      <c r="P3823" s="0" t="s">
        <v>102</v>
      </c>
      <c r="Q3823" s="0" t="s">
        <v>102</v>
      </c>
      <c r="R3823" s="0" t="s">
        <v>131</v>
      </c>
      <c r="S3823" s="0" t="s">
        <v>21</v>
      </c>
      <c r="T3823" s="0" t="s">
        <v>104</v>
      </c>
      <c r="W3823" s="0" t="s">
        <v>105</v>
      </c>
    </row>
    <row r="3824" customFormat="false" ht="15" hidden="false" customHeight="false" outlineLevel="0" collapsed="false">
      <c r="A3824" s="0" t="s">
        <v>21</v>
      </c>
      <c r="B3824" s="0" t="s">
        <v>12107</v>
      </c>
      <c r="C3824" s="0" t="s">
        <v>97</v>
      </c>
      <c r="D3824" s="0" t="s">
        <v>12108</v>
      </c>
      <c r="E3824" s="0" t="s">
        <v>12108</v>
      </c>
      <c r="M3824" s="0" t="s">
        <v>442</v>
      </c>
      <c r="N3824" s="0" t="s">
        <v>101</v>
      </c>
      <c r="P3824" s="0" t="s">
        <v>102</v>
      </c>
      <c r="Q3824" s="0" t="s">
        <v>102</v>
      </c>
      <c r="R3824" s="0" t="s">
        <v>131</v>
      </c>
      <c r="S3824" s="0" t="s">
        <v>21</v>
      </c>
      <c r="T3824" s="0" t="s">
        <v>104</v>
      </c>
      <c r="W3824" s="0" t="s">
        <v>105</v>
      </c>
    </row>
    <row r="3825" customFormat="false" ht="15" hidden="false" customHeight="false" outlineLevel="0" collapsed="false">
      <c r="A3825" s="0" t="s">
        <v>21</v>
      </c>
      <c r="B3825" s="0" t="s">
        <v>12109</v>
      </c>
      <c r="C3825" s="0" t="s">
        <v>97</v>
      </c>
      <c r="D3825" s="0" t="s">
        <v>12110</v>
      </c>
      <c r="E3825" s="0" t="s">
        <v>12110</v>
      </c>
      <c r="M3825" s="0" t="s">
        <v>442</v>
      </c>
      <c r="N3825" s="0" t="s">
        <v>101</v>
      </c>
      <c r="P3825" s="0" t="s">
        <v>102</v>
      </c>
      <c r="Q3825" s="0" t="s">
        <v>102</v>
      </c>
      <c r="R3825" s="0" t="s">
        <v>131</v>
      </c>
      <c r="S3825" s="0" t="s">
        <v>21</v>
      </c>
      <c r="T3825" s="0" t="s">
        <v>104</v>
      </c>
      <c r="W3825" s="0" t="s">
        <v>105</v>
      </c>
    </row>
    <row r="3826" customFormat="false" ht="15" hidden="false" customHeight="false" outlineLevel="0" collapsed="false">
      <c r="A3826" s="0" t="s">
        <v>21</v>
      </c>
      <c r="B3826" s="0" t="s">
        <v>12111</v>
      </c>
      <c r="C3826" s="0" t="s">
        <v>97</v>
      </c>
      <c r="D3826" s="0" t="s">
        <v>12112</v>
      </c>
      <c r="E3826" s="0" t="s">
        <v>12112</v>
      </c>
      <c r="M3826" s="0" t="s">
        <v>442</v>
      </c>
      <c r="N3826" s="0" t="s">
        <v>101</v>
      </c>
      <c r="P3826" s="0" t="s">
        <v>102</v>
      </c>
      <c r="Q3826" s="0" t="s">
        <v>102</v>
      </c>
      <c r="R3826" s="0" t="s">
        <v>131</v>
      </c>
      <c r="S3826" s="0" t="s">
        <v>21</v>
      </c>
      <c r="T3826" s="0" t="s">
        <v>104</v>
      </c>
      <c r="W3826" s="0" t="s">
        <v>105</v>
      </c>
    </row>
    <row r="3827" customFormat="false" ht="15" hidden="false" customHeight="false" outlineLevel="0" collapsed="false">
      <c r="A3827" s="0" t="s">
        <v>21</v>
      </c>
      <c r="B3827" s="0" t="s">
        <v>12113</v>
      </c>
      <c r="C3827" s="0" t="s">
        <v>97</v>
      </c>
      <c r="D3827" s="0" t="s">
        <v>12114</v>
      </c>
      <c r="E3827" s="0" t="s">
        <v>12115</v>
      </c>
      <c r="M3827" s="0" t="s">
        <v>136</v>
      </c>
      <c r="N3827" s="0" t="s">
        <v>124</v>
      </c>
      <c r="P3827" s="0" t="s">
        <v>102</v>
      </c>
      <c r="Q3827" s="0" t="s">
        <v>102</v>
      </c>
      <c r="R3827" s="0" t="s">
        <v>131</v>
      </c>
      <c r="S3827" s="0" t="s">
        <v>21</v>
      </c>
      <c r="T3827" s="0" t="s">
        <v>104</v>
      </c>
      <c r="W3827" s="0" t="s">
        <v>105</v>
      </c>
    </row>
    <row r="3828" customFormat="false" ht="15" hidden="false" customHeight="false" outlineLevel="0" collapsed="false">
      <c r="A3828" s="0" t="s">
        <v>21</v>
      </c>
      <c r="B3828" s="0" t="s">
        <v>12116</v>
      </c>
      <c r="C3828" s="0" t="s">
        <v>97</v>
      </c>
      <c r="D3828" s="0" t="s">
        <v>12117</v>
      </c>
      <c r="E3828" s="0" t="s">
        <v>12117</v>
      </c>
      <c r="M3828" s="0" t="s">
        <v>442</v>
      </c>
      <c r="N3828" s="0" t="s">
        <v>101</v>
      </c>
      <c r="P3828" s="0" t="s">
        <v>102</v>
      </c>
      <c r="Q3828" s="0" t="s">
        <v>102</v>
      </c>
      <c r="R3828" s="0" t="s">
        <v>131</v>
      </c>
      <c r="S3828" s="0" t="s">
        <v>21</v>
      </c>
      <c r="T3828" s="0" t="s">
        <v>104</v>
      </c>
      <c r="W3828" s="0" t="s">
        <v>105</v>
      </c>
    </row>
    <row r="3829" customFormat="false" ht="15" hidden="false" customHeight="false" outlineLevel="0" collapsed="false">
      <c r="A3829" s="0" t="s">
        <v>21</v>
      </c>
      <c r="B3829" s="0" t="s">
        <v>12118</v>
      </c>
      <c r="C3829" s="0" t="s">
        <v>97</v>
      </c>
      <c r="D3829" s="0" t="s">
        <v>12119</v>
      </c>
      <c r="E3829" s="0" t="s">
        <v>12120</v>
      </c>
      <c r="M3829" s="0" t="s">
        <v>136</v>
      </c>
      <c r="N3829" s="0" t="s">
        <v>124</v>
      </c>
      <c r="P3829" s="0" t="s">
        <v>102</v>
      </c>
      <c r="Q3829" s="0" t="s">
        <v>102</v>
      </c>
      <c r="R3829" s="0" t="s">
        <v>131</v>
      </c>
      <c r="S3829" s="0" t="s">
        <v>21</v>
      </c>
      <c r="T3829" s="0" t="s">
        <v>104</v>
      </c>
      <c r="W3829" s="0" t="s">
        <v>105</v>
      </c>
    </row>
    <row r="3830" customFormat="false" ht="41.75" hidden="false" customHeight="false" outlineLevel="0" collapsed="false">
      <c r="A3830" s="0" t="s">
        <v>21</v>
      </c>
      <c r="B3830" s="0" t="s">
        <v>12121</v>
      </c>
      <c r="C3830" s="0" t="s">
        <v>110</v>
      </c>
      <c r="D3830" s="0" t="s">
        <v>12122</v>
      </c>
      <c r="E3830" s="0" t="s">
        <v>12123</v>
      </c>
      <c r="G3830" s="9" t="s">
        <v>12124</v>
      </c>
      <c r="H3830" s="0" t="s">
        <v>12125</v>
      </c>
      <c r="I3830" s="0" t="s">
        <v>1384</v>
      </c>
      <c r="J3830" s="0" t="s">
        <v>1187</v>
      </c>
      <c r="K3830" s="0" t="s">
        <v>1373</v>
      </c>
      <c r="M3830" s="0" t="s">
        <v>1384</v>
      </c>
      <c r="N3830" s="0" t="s">
        <v>101</v>
      </c>
      <c r="P3830" s="0" t="s">
        <v>102</v>
      </c>
      <c r="Q3830" s="0" t="s">
        <v>102</v>
      </c>
      <c r="R3830" s="0" t="s">
        <v>131</v>
      </c>
      <c r="S3830" s="0" t="s">
        <v>21</v>
      </c>
      <c r="T3830" s="0" t="s">
        <v>104</v>
      </c>
      <c r="W3830" s="0" t="s">
        <v>105</v>
      </c>
    </row>
    <row r="3831" customFormat="false" ht="15" hidden="false" customHeight="false" outlineLevel="0" collapsed="false">
      <c r="A3831" s="0" t="s">
        <v>21</v>
      </c>
      <c r="B3831" s="0" t="s">
        <v>12126</v>
      </c>
      <c r="C3831" s="0" t="s">
        <v>97</v>
      </c>
      <c r="D3831" s="0" t="s">
        <v>1381</v>
      </c>
      <c r="E3831" s="0" t="s">
        <v>12127</v>
      </c>
      <c r="H3831" s="0" t="s">
        <v>1383</v>
      </c>
      <c r="I3831" s="0" t="s">
        <v>1384</v>
      </c>
      <c r="J3831" s="0" t="s">
        <v>1384</v>
      </c>
      <c r="K3831" s="0" t="s">
        <v>1373</v>
      </c>
      <c r="L3831" s="0" t="s">
        <v>101</v>
      </c>
      <c r="M3831" s="0" t="s">
        <v>1384</v>
      </c>
      <c r="N3831" s="0" t="s">
        <v>101</v>
      </c>
      <c r="P3831" s="0" t="s">
        <v>102</v>
      </c>
      <c r="Q3831" s="0" t="s">
        <v>102</v>
      </c>
      <c r="R3831" s="0" t="s">
        <v>113</v>
      </c>
      <c r="S3831" s="0" t="s">
        <v>21</v>
      </c>
      <c r="T3831" s="0" t="s">
        <v>104</v>
      </c>
      <c r="W3831" s="0" t="s">
        <v>105</v>
      </c>
      <c r="X3831" s="0" t="s">
        <v>12128</v>
      </c>
      <c r="Y3831" s="0" t="s">
        <v>12129</v>
      </c>
    </row>
    <row r="3832" customFormat="false" ht="15" hidden="false" customHeight="false" outlineLevel="0" collapsed="false">
      <c r="A3832" s="0" t="s">
        <v>21</v>
      </c>
      <c r="B3832" s="0" t="s">
        <v>12130</v>
      </c>
      <c r="C3832" s="0" t="s">
        <v>97</v>
      </c>
      <c r="D3832" s="0" t="s">
        <v>12131</v>
      </c>
      <c r="E3832" s="0" t="s">
        <v>12132</v>
      </c>
      <c r="F3832" s="0" t="s">
        <v>12133</v>
      </c>
      <c r="M3832" s="0" t="s">
        <v>656</v>
      </c>
      <c r="N3832" s="0" t="s">
        <v>101</v>
      </c>
      <c r="P3832" s="0" t="s">
        <v>102</v>
      </c>
      <c r="Q3832" s="0" t="s">
        <v>102</v>
      </c>
      <c r="R3832" s="0" t="s">
        <v>113</v>
      </c>
      <c r="S3832" s="0" t="s">
        <v>21</v>
      </c>
      <c r="T3832" s="0" t="s">
        <v>104</v>
      </c>
      <c r="W3832" s="0" t="s">
        <v>105</v>
      </c>
    </row>
    <row r="3833" customFormat="false" ht="15" hidden="false" customHeight="false" outlineLevel="0" collapsed="false">
      <c r="A3833" s="0" t="s">
        <v>21</v>
      </c>
      <c r="B3833" s="0" t="s">
        <v>12134</v>
      </c>
      <c r="C3833" s="0" t="s">
        <v>97</v>
      </c>
      <c r="D3833" s="0" t="s">
        <v>12135</v>
      </c>
      <c r="E3833" s="0" t="s">
        <v>12136</v>
      </c>
      <c r="M3833" s="0" t="s">
        <v>656</v>
      </c>
      <c r="N3833" s="0" t="s">
        <v>101</v>
      </c>
      <c r="P3833" s="0" t="s">
        <v>102</v>
      </c>
      <c r="Q3833" s="0" t="s">
        <v>102</v>
      </c>
      <c r="R3833" s="0" t="s">
        <v>113</v>
      </c>
      <c r="S3833" s="0" t="s">
        <v>21</v>
      </c>
      <c r="T3833" s="0" t="s">
        <v>104</v>
      </c>
      <c r="W3833" s="0" t="s">
        <v>105</v>
      </c>
    </row>
    <row r="3834" customFormat="false" ht="15" hidden="false" customHeight="false" outlineLevel="0" collapsed="false">
      <c r="A3834" s="0" t="s">
        <v>21</v>
      </c>
      <c r="B3834" s="0" t="s">
        <v>12137</v>
      </c>
      <c r="C3834" s="0" t="s">
        <v>97</v>
      </c>
      <c r="D3834" s="0" t="s">
        <v>12138</v>
      </c>
      <c r="E3834" s="0" t="s">
        <v>12138</v>
      </c>
      <c r="M3834" s="0" t="s">
        <v>136</v>
      </c>
      <c r="N3834" s="0" t="s">
        <v>124</v>
      </c>
      <c r="P3834" s="0" t="s">
        <v>102</v>
      </c>
      <c r="Q3834" s="0" t="s">
        <v>102</v>
      </c>
      <c r="R3834" s="0" t="s">
        <v>131</v>
      </c>
      <c r="S3834" s="0" t="s">
        <v>21</v>
      </c>
      <c r="T3834" s="0" t="s">
        <v>104</v>
      </c>
      <c r="W3834" s="0" t="s">
        <v>105</v>
      </c>
    </row>
    <row r="3835" customFormat="false" ht="15" hidden="false" customHeight="false" outlineLevel="0" collapsed="false">
      <c r="A3835" s="0" t="s">
        <v>21</v>
      </c>
      <c r="B3835" s="0" t="s">
        <v>12139</v>
      </c>
      <c r="C3835" s="0" t="s">
        <v>97</v>
      </c>
      <c r="D3835" s="0" t="s">
        <v>12140</v>
      </c>
      <c r="E3835" s="0" t="s">
        <v>12140</v>
      </c>
      <c r="M3835" s="0" t="s">
        <v>136</v>
      </c>
      <c r="N3835" s="0" t="s">
        <v>124</v>
      </c>
      <c r="P3835" s="0" t="s">
        <v>102</v>
      </c>
      <c r="Q3835" s="0" t="s">
        <v>102</v>
      </c>
      <c r="R3835" s="0" t="s">
        <v>131</v>
      </c>
      <c r="S3835" s="0" t="s">
        <v>21</v>
      </c>
      <c r="T3835" s="0" t="s">
        <v>104</v>
      </c>
      <c r="W3835" s="0" t="s">
        <v>105</v>
      </c>
    </row>
    <row r="3836" customFormat="false" ht="15" hidden="false" customHeight="false" outlineLevel="0" collapsed="false">
      <c r="A3836" s="0" t="s">
        <v>21</v>
      </c>
      <c r="B3836" s="0" t="s">
        <v>12141</v>
      </c>
      <c r="C3836" s="0" t="s">
        <v>110</v>
      </c>
      <c r="D3836" s="0" t="s">
        <v>12142</v>
      </c>
      <c r="E3836" s="0" t="s">
        <v>10021</v>
      </c>
      <c r="G3836" s="0" t="s">
        <v>12143</v>
      </c>
      <c r="H3836" s="0" t="s">
        <v>12144</v>
      </c>
      <c r="I3836" s="0" t="s">
        <v>1934</v>
      </c>
      <c r="J3836" s="0" t="s">
        <v>214</v>
      </c>
      <c r="K3836" s="0" t="s">
        <v>12145</v>
      </c>
      <c r="L3836" s="0" t="s">
        <v>124</v>
      </c>
      <c r="M3836" s="0" t="s">
        <v>143</v>
      </c>
      <c r="N3836" s="0" t="s">
        <v>124</v>
      </c>
      <c r="P3836" s="0" t="s">
        <v>102</v>
      </c>
      <c r="Q3836" s="0" t="s">
        <v>102</v>
      </c>
      <c r="R3836" s="0" t="s">
        <v>131</v>
      </c>
      <c r="S3836" s="0" t="s">
        <v>21</v>
      </c>
      <c r="T3836" s="0" t="s">
        <v>104</v>
      </c>
      <c r="W3836" s="0" t="s">
        <v>105</v>
      </c>
      <c r="X3836" s="0" t="s">
        <v>12146</v>
      </c>
      <c r="Y3836" s="0" t="s">
        <v>12147</v>
      </c>
      <c r="Z3836" s="0" t="s">
        <v>134</v>
      </c>
    </row>
    <row r="3837" customFormat="false" ht="15" hidden="false" customHeight="false" outlineLevel="0" collapsed="false">
      <c r="A3837" s="0" t="s">
        <v>21</v>
      </c>
      <c r="B3837" s="0" t="s">
        <v>12148</v>
      </c>
      <c r="C3837" s="0" t="s">
        <v>97</v>
      </c>
      <c r="D3837" s="0" t="s">
        <v>12149</v>
      </c>
      <c r="E3837" s="0" t="s">
        <v>12150</v>
      </c>
      <c r="M3837" s="0" t="s">
        <v>136</v>
      </c>
      <c r="N3837" s="0" t="s">
        <v>124</v>
      </c>
      <c r="P3837" s="0" t="s">
        <v>102</v>
      </c>
      <c r="Q3837" s="0" t="s">
        <v>102</v>
      </c>
      <c r="R3837" s="0" t="s">
        <v>131</v>
      </c>
      <c r="S3837" s="0" t="s">
        <v>21</v>
      </c>
      <c r="T3837" s="0" t="s">
        <v>104</v>
      </c>
      <c r="W3837" s="0" t="s">
        <v>105</v>
      </c>
    </row>
    <row r="3838" customFormat="false" ht="15" hidden="false" customHeight="false" outlineLevel="0" collapsed="false">
      <c r="A3838" s="0" t="s">
        <v>21</v>
      </c>
      <c r="B3838" s="0" t="s">
        <v>12151</v>
      </c>
      <c r="C3838" s="0" t="s">
        <v>97</v>
      </c>
      <c r="D3838" s="0" t="s">
        <v>5365</v>
      </c>
      <c r="E3838" s="0" t="s">
        <v>12152</v>
      </c>
      <c r="M3838" s="0" t="s">
        <v>136</v>
      </c>
      <c r="N3838" s="0" t="s">
        <v>124</v>
      </c>
      <c r="P3838" s="0" t="s">
        <v>102</v>
      </c>
      <c r="Q3838" s="0" t="s">
        <v>102</v>
      </c>
      <c r="R3838" s="0" t="s">
        <v>131</v>
      </c>
      <c r="S3838" s="0" t="s">
        <v>21</v>
      </c>
      <c r="T3838" s="0" t="s">
        <v>104</v>
      </c>
      <c r="W3838" s="0" t="s">
        <v>105</v>
      </c>
    </row>
    <row r="3839" customFormat="false" ht="15" hidden="false" customHeight="false" outlineLevel="0" collapsed="false">
      <c r="A3839" s="0" t="s">
        <v>21</v>
      </c>
      <c r="B3839" s="0" t="s">
        <v>12153</v>
      </c>
      <c r="C3839" s="0" t="s">
        <v>97</v>
      </c>
      <c r="D3839" s="0" t="s">
        <v>12154</v>
      </c>
      <c r="E3839" s="0" t="s">
        <v>12155</v>
      </c>
      <c r="M3839" s="0" t="s">
        <v>136</v>
      </c>
      <c r="N3839" s="0" t="s">
        <v>124</v>
      </c>
      <c r="P3839" s="0" t="s">
        <v>102</v>
      </c>
      <c r="Q3839" s="0" t="s">
        <v>102</v>
      </c>
      <c r="R3839" s="0" t="s">
        <v>131</v>
      </c>
      <c r="S3839" s="0" t="s">
        <v>21</v>
      </c>
      <c r="T3839" s="0" t="s">
        <v>104</v>
      </c>
      <c r="W3839" s="0" t="s">
        <v>105</v>
      </c>
    </row>
    <row r="3840" customFormat="false" ht="15" hidden="false" customHeight="false" outlineLevel="0" collapsed="false">
      <c r="A3840" s="0" t="s">
        <v>21</v>
      </c>
      <c r="B3840" s="0" t="s">
        <v>12156</v>
      </c>
      <c r="C3840" s="0" t="s">
        <v>97</v>
      </c>
      <c r="D3840" s="0" t="s">
        <v>12157</v>
      </c>
      <c r="E3840" s="0" t="s">
        <v>12158</v>
      </c>
      <c r="M3840" s="0" t="s">
        <v>136</v>
      </c>
      <c r="N3840" s="0" t="s">
        <v>124</v>
      </c>
      <c r="P3840" s="0" t="s">
        <v>102</v>
      </c>
      <c r="Q3840" s="0" t="s">
        <v>102</v>
      </c>
      <c r="R3840" s="0" t="s">
        <v>131</v>
      </c>
      <c r="S3840" s="0" t="s">
        <v>21</v>
      </c>
      <c r="T3840" s="0" t="s">
        <v>104</v>
      </c>
      <c r="W3840" s="0" t="s">
        <v>105</v>
      </c>
    </row>
    <row r="3841" customFormat="false" ht="15" hidden="false" customHeight="false" outlineLevel="0" collapsed="false">
      <c r="A3841" s="0" t="s">
        <v>21</v>
      </c>
      <c r="B3841" s="0" t="s">
        <v>12159</v>
      </c>
      <c r="C3841" s="0" t="s">
        <v>97</v>
      </c>
      <c r="D3841" s="0" t="s">
        <v>12160</v>
      </c>
      <c r="E3841" s="0" t="s">
        <v>12161</v>
      </c>
      <c r="M3841" s="0" t="s">
        <v>136</v>
      </c>
      <c r="N3841" s="0" t="s">
        <v>124</v>
      </c>
      <c r="P3841" s="0" t="s">
        <v>102</v>
      </c>
      <c r="Q3841" s="0" t="s">
        <v>102</v>
      </c>
      <c r="R3841" s="0" t="s">
        <v>131</v>
      </c>
      <c r="S3841" s="0" t="s">
        <v>21</v>
      </c>
      <c r="T3841" s="0" t="s">
        <v>104</v>
      </c>
      <c r="W3841" s="0" t="s">
        <v>105</v>
      </c>
    </row>
    <row r="3842" customFormat="false" ht="15" hidden="false" customHeight="false" outlineLevel="0" collapsed="false">
      <c r="A3842" s="0" t="s">
        <v>21</v>
      </c>
      <c r="B3842" s="0" t="s">
        <v>12162</v>
      </c>
      <c r="C3842" s="0" t="s">
        <v>97</v>
      </c>
      <c r="D3842" s="0" t="s">
        <v>12163</v>
      </c>
      <c r="E3842" s="0" t="s">
        <v>12164</v>
      </c>
      <c r="M3842" s="0" t="s">
        <v>136</v>
      </c>
      <c r="N3842" s="0" t="s">
        <v>124</v>
      </c>
      <c r="P3842" s="0" t="s">
        <v>102</v>
      </c>
      <c r="Q3842" s="0" t="s">
        <v>102</v>
      </c>
      <c r="R3842" s="0" t="s">
        <v>131</v>
      </c>
      <c r="S3842" s="0" t="s">
        <v>21</v>
      </c>
      <c r="T3842" s="0" t="s">
        <v>104</v>
      </c>
      <c r="W3842" s="0" t="s">
        <v>105</v>
      </c>
    </row>
    <row r="3843" customFormat="false" ht="15" hidden="false" customHeight="false" outlineLevel="0" collapsed="false">
      <c r="A3843" s="0" t="s">
        <v>21</v>
      </c>
      <c r="B3843" s="0" t="s">
        <v>12165</v>
      </c>
      <c r="C3843" s="0" t="s">
        <v>97</v>
      </c>
      <c r="D3843" s="0" t="s">
        <v>12166</v>
      </c>
      <c r="E3843" s="0" t="s">
        <v>12167</v>
      </c>
      <c r="M3843" s="0" t="s">
        <v>136</v>
      </c>
      <c r="N3843" s="0" t="s">
        <v>124</v>
      </c>
      <c r="P3843" s="0" t="s">
        <v>102</v>
      </c>
      <c r="Q3843" s="0" t="s">
        <v>102</v>
      </c>
      <c r="R3843" s="0" t="s">
        <v>131</v>
      </c>
      <c r="S3843" s="0" t="s">
        <v>21</v>
      </c>
      <c r="T3843" s="0" t="s">
        <v>104</v>
      </c>
      <c r="W3843" s="0" t="s">
        <v>105</v>
      </c>
    </row>
    <row r="3844" customFormat="false" ht="15" hidden="false" customHeight="false" outlineLevel="0" collapsed="false">
      <c r="A3844" s="0" t="s">
        <v>21</v>
      </c>
      <c r="B3844" s="0" t="s">
        <v>12168</v>
      </c>
      <c r="C3844" s="0" t="s">
        <v>97</v>
      </c>
      <c r="D3844" s="0" t="s">
        <v>12169</v>
      </c>
      <c r="E3844" s="0" t="s">
        <v>12170</v>
      </c>
      <c r="M3844" s="0" t="s">
        <v>656</v>
      </c>
      <c r="N3844" s="0" t="s">
        <v>101</v>
      </c>
      <c r="P3844" s="0" t="s">
        <v>102</v>
      </c>
      <c r="Q3844" s="0" t="s">
        <v>102</v>
      </c>
      <c r="R3844" s="0" t="s">
        <v>113</v>
      </c>
      <c r="S3844" s="0" t="s">
        <v>21</v>
      </c>
      <c r="T3844" s="0" t="s">
        <v>104</v>
      </c>
      <c r="W3844" s="0" t="s">
        <v>105</v>
      </c>
    </row>
    <row r="3845" customFormat="false" ht="15" hidden="false" customHeight="false" outlineLevel="0" collapsed="false">
      <c r="A3845" s="0" t="s">
        <v>21</v>
      </c>
      <c r="B3845" s="0" t="s">
        <v>211</v>
      </c>
      <c r="C3845" s="0" t="s">
        <v>97</v>
      </c>
      <c r="D3845" s="0" t="s">
        <v>12171</v>
      </c>
      <c r="E3845" s="0" t="s">
        <v>12172</v>
      </c>
      <c r="M3845" s="0" t="s">
        <v>136</v>
      </c>
      <c r="N3845" s="0" t="s">
        <v>124</v>
      </c>
      <c r="P3845" s="0" t="s">
        <v>102</v>
      </c>
      <c r="Q3845" s="0" t="s">
        <v>102</v>
      </c>
      <c r="R3845" s="0" t="s">
        <v>131</v>
      </c>
      <c r="S3845" s="0" t="s">
        <v>21</v>
      </c>
      <c r="T3845" s="0" t="s">
        <v>104</v>
      </c>
      <c r="W3845" s="0" t="s">
        <v>105</v>
      </c>
    </row>
    <row r="3846" customFormat="false" ht="15" hidden="false" customHeight="false" outlineLevel="0" collapsed="false">
      <c r="A3846" s="0" t="s">
        <v>21</v>
      </c>
      <c r="B3846" s="0" t="s">
        <v>12173</v>
      </c>
      <c r="C3846" s="0" t="s">
        <v>97</v>
      </c>
      <c r="D3846" s="0" t="s">
        <v>12174</v>
      </c>
      <c r="E3846" s="0" t="s">
        <v>12175</v>
      </c>
      <c r="H3846" s="0" t="s">
        <v>654</v>
      </c>
      <c r="I3846" s="0" t="s">
        <v>655</v>
      </c>
      <c r="J3846" s="0" t="s">
        <v>100</v>
      </c>
      <c r="K3846" s="0" t="s">
        <v>168</v>
      </c>
      <c r="L3846" s="0" t="s">
        <v>101</v>
      </c>
      <c r="M3846" s="0" t="s">
        <v>656</v>
      </c>
      <c r="N3846" s="0" t="s">
        <v>101</v>
      </c>
      <c r="P3846" s="0" t="s">
        <v>102</v>
      </c>
      <c r="Q3846" s="0" t="s">
        <v>102</v>
      </c>
      <c r="R3846" s="0" t="s">
        <v>131</v>
      </c>
      <c r="S3846" s="0" t="s">
        <v>21</v>
      </c>
      <c r="T3846" s="0" t="s">
        <v>104</v>
      </c>
      <c r="W3846" s="0" t="s">
        <v>105</v>
      </c>
      <c r="X3846" s="0" t="s">
        <v>658</v>
      </c>
      <c r="Y3846" s="0" t="s">
        <v>659</v>
      </c>
    </row>
    <row r="3847" customFormat="false" ht="15" hidden="false" customHeight="false" outlineLevel="0" collapsed="false">
      <c r="A3847" s="0" t="s">
        <v>21</v>
      </c>
      <c r="B3847" s="0" t="s">
        <v>12176</v>
      </c>
      <c r="C3847" s="0" t="s">
        <v>97</v>
      </c>
      <c r="D3847" s="0" t="s">
        <v>12174</v>
      </c>
      <c r="E3847" s="0" t="s">
        <v>12177</v>
      </c>
      <c r="H3847" s="0" t="s">
        <v>654</v>
      </c>
      <c r="I3847" s="0" t="s">
        <v>655</v>
      </c>
      <c r="J3847" s="0" t="s">
        <v>100</v>
      </c>
      <c r="K3847" s="0" t="s">
        <v>168</v>
      </c>
      <c r="L3847" s="0" t="s">
        <v>101</v>
      </c>
      <c r="M3847" s="0" t="s">
        <v>656</v>
      </c>
      <c r="N3847" s="0" t="s">
        <v>101</v>
      </c>
      <c r="P3847" s="0" t="s">
        <v>102</v>
      </c>
      <c r="Q3847" s="0" t="s">
        <v>102</v>
      </c>
      <c r="R3847" s="0" t="s">
        <v>131</v>
      </c>
      <c r="S3847" s="0" t="s">
        <v>21</v>
      </c>
      <c r="T3847" s="0" t="s">
        <v>104</v>
      </c>
      <c r="W3847" s="0" t="s">
        <v>105</v>
      </c>
      <c r="X3847" s="0" t="s">
        <v>658</v>
      </c>
      <c r="Y3847" s="0" t="s">
        <v>659</v>
      </c>
    </row>
    <row r="3848" customFormat="false" ht="15" hidden="false" customHeight="false" outlineLevel="0" collapsed="false">
      <c r="A3848" s="0" t="s">
        <v>21</v>
      </c>
      <c r="B3848" s="0" t="s">
        <v>12178</v>
      </c>
      <c r="C3848" s="0" t="s">
        <v>97</v>
      </c>
      <c r="D3848" s="0" t="s">
        <v>12179</v>
      </c>
      <c r="E3848" s="0" t="s">
        <v>12180</v>
      </c>
      <c r="M3848" s="0" t="s">
        <v>656</v>
      </c>
      <c r="N3848" s="0" t="s">
        <v>101</v>
      </c>
      <c r="P3848" s="0" t="s">
        <v>102</v>
      </c>
      <c r="Q3848" s="0" t="s">
        <v>102</v>
      </c>
      <c r="R3848" s="0" t="s">
        <v>113</v>
      </c>
      <c r="S3848" s="0" t="s">
        <v>21</v>
      </c>
      <c r="T3848" s="0" t="s">
        <v>104</v>
      </c>
      <c r="W3848" s="0" t="s">
        <v>105</v>
      </c>
    </row>
    <row r="3849" customFormat="false" ht="15" hidden="false" customHeight="false" outlineLevel="0" collapsed="false">
      <c r="A3849" s="0" t="s">
        <v>21</v>
      </c>
      <c r="B3849" s="0" t="s">
        <v>12181</v>
      </c>
      <c r="C3849" s="0" t="s">
        <v>97</v>
      </c>
      <c r="D3849" s="0" t="s">
        <v>4739</v>
      </c>
      <c r="E3849" s="0" t="s">
        <v>12182</v>
      </c>
      <c r="H3849" s="0" t="s">
        <v>654</v>
      </c>
      <c r="I3849" s="0" t="s">
        <v>655</v>
      </c>
      <c r="J3849" s="0" t="s">
        <v>100</v>
      </c>
      <c r="K3849" s="0" t="s">
        <v>168</v>
      </c>
      <c r="L3849" s="0" t="s">
        <v>101</v>
      </c>
      <c r="M3849" s="0" t="s">
        <v>656</v>
      </c>
      <c r="N3849" s="0" t="s">
        <v>101</v>
      </c>
      <c r="P3849" s="0" t="s">
        <v>102</v>
      </c>
      <c r="Q3849" s="0" t="s">
        <v>102</v>
      </c>
      <c r="R3849" s="0" t="s">
        <v>131</v>
      </c>
      <c r="S3849" s="0" t="s">
        <v>21</v>
      </c>
      <c r="T3849" s="0" t="s">
        <v>104</v>
      </c>
      <c r="W3849" s="0" t="s">
        <v>105</v>
      </c>
      <c r="X3849" s="0" t="s">
        <v>658</v>
      </c>
      <c r="Y3849" s="0" t="s">
        <v>659</v>
      </c>
    </row>
    <row r="3850" customFormat="false" ht="15" hidden="false" customHeight="false" outlineLevel="0" collapsed="false">
      <c r="A3850" s="0" t="s">
        <v>21</v>
      </c>
      <c r="B3850" s="0" t="s">
        <v>12183</v>
      </c>
      <c r="C3850" s="0" t="s">
        <v>97</v>
      </c>
      <c r="D3850" s="0" t="s">
        <v>6824</v>
      </c>
      <c r="E3850" s="0" t="s">
        <v>12184</v>
      </c>
      <c r="H3850" s="0" t="s">
        <v>654</v>
      </c>
      <c r="I3850" s="0" t="s">
        <v>655</v>
      </c>
      <c r="J3850" s="0" t="s">
        <v>100</v>
      </c>
      <c r="K3850" s="0" t="s">
        <v>168</v>
      </c>
      <c r="L3850" s="0" t="s">
        <v>101</v>
      </c>
      <c r="M3850" s="0" t="s">
        <v>656</v>
      </c>
      <c r="N3850" s="0" t="s">
        <v>101</v>
      </c>
      <c r="P3850" s="0" t="s">
        <v>102</v>
      </c>
      <c r="Q3850" s="0" t="s">
        <v>102</v>
      </c>
      <c r="R3850" s="0" t="s">
        <v>131</v>
      </c>
      <c r="S3850" s="0" t="s">
        <v>21</v>
      </c>
      <c r="T3850" s="0" t="s">
        <v>104</v>
      </c>
      <c r="W3850" s="0" t="s">
        <v>105</v>
      </c>
      <c r="X3850" s="0" t="s">
        <v>658</v>
      </c>
      <c r="Y3850" s="0" t="s">
        <v>659</v>
      </c>
    </row>
    <row r="3851" customFormat="false" ht="15" hidden="false" customHeight="false" outlineLevel="0" collapsed="false">
      <c r="A3851" s="0" t="s">
        <v>21</v>
      </c>
      <c r="B3851" s="0" t="s">
        <v>12185</v>
      </c>
      <c r="C3851" s="0" t="s">
        <v>97</v>
      </c>
      <c r="D3851" s="0" t="s">
        <v>12186</v>
      </c>
      <c r="E3851" s="0" t="s">
        <v>12187</v>
      </c>
      <c r="M3851" s="0" t="s">
        <v>136</v>
      </c>
      <c r="N3851" s="0" t="s">
        <v>124</v>
      </c>
      <c r="P3851" s="0" t="s">
        <v>102</v>
      </c>
      <c r="Q3851" s="0" t="s">
        <v>102</v>
      </c>
      <c r="R3851" s="0" t="s">
        <v>131</v>
      </c>
      <c r="S3851" s="0" t="s">
        <v>21</v>
      </c>
      <c r="T3851" s="0" t="s">
        <v>104</v>
      </c>
      <c r="W3851" s="0" t="s">
        <v>105</v>
      </c>
    </row>
    <row r="3852" customFormat="false" ht="15" hidden="false" customHeight="false" outlineLevel="0" collapsed="false">
      <c r="A3852" s="0" t="s">
        <v>21</v>
      </c>
      <c r="B3852" s="0" t="s">
        <v>12188</v>
      </c>
      <c r="C3852" s="0" t="s">
        <v>97</v>
      </c>
      <c r="D3852" s="0" t="s">
        <v>12189</v>
      </c>
      <c r="E3852" s="0" t="s">
        <v>12190</v>
      </c>
      <c r="M3852" s="0" t="s">
        <v>136</v>
      </c>
      <c r="N3852" s="0" t="s">
        <v>124</v>
      </c>
      <c r="P3852" s="0" t="s">
        <v>102</v>
      </c>
      <c r="Q3852" s="0" t="s">
        <v>102</v>
      </c>
      <c r="R3852" s="0" t="s">
        <v>131</v>
      </c>
      <c r="S3852" s="0" t="s">
        <v>21</v>
      </c>
      <c r="T3852" s="0" t="s">
        <v>104</v>
      </c>
      <c r="W3852" s="0" t="s">
        <v>105</v>
      </c>
    </row>
    <row r="3853" customFormat="false" ht="15" hidden="false" customHeight="false" outlineLevel="0" collapsed="false">
      <c r="A3853" s="0" t="s">
        <v>21</v>
      </c>
      <c r="B3853" s="0" t="s">
        <v>12191</v>
      </c>
      <c r="C3853" s="0" t="s">
        <v>97</v>
      </c>
      <c r="D3853" s="0" t="s">
        <v>12192</v>
      </c>
      <c r="E3853" s="0" t="s">
        <v>12193</v>
      </c>
      <c r="M3853" s="0" t="s">
        <v>136</v>
      </c>
      <c r="N3853" s="0" t="s">
        <v>124</v>
      </c>
      <c r="P3853" s="0" t="s">
        <v>102</v>
      </c>
      <c r="Q3853" s="0" t="s">
        <v>102</v>
      </c>
      <c r="R3853" s="0" t="s">
        <v>131</v>
      </c>
      <c r="S3853" s="0" t="s">
        <v>21</v>
      </c>
      <c r="T3853" s="0" t="s">
        <v>104</v>
      </c>
      <c r="W3853" s="0" t="s">
        <v>105</v>
      </c>
    </row>
    <row r="3854" customFormat="false" ht="15" hidden="false" customHeight="false" outlineLevel="0" collapsed="false">
      <c r="A3854" s="0" t="s">
        <v>21</v>
      </c>
      <c r="B3854" s="0" t="s">
        <v>12194</v>
      </c>
      <c r="C3854" s="0" t="s">
        <v>97</v>
      </c>
      <c r="D3854" s="0" t="s">
        <v>12195</v>
      </c>
      <c r="E3854" s="0" t="s">
        <v>12196</v>
      </c>
      <c r="H3854" s="0" t="s">
        <v>654</v>
      </c>
      <c r="I3854" s="0" t="s">
        <v>655</v>
      </c>
      <c r="J3854" s="0" t="s">
        <v>100</v>
      </c>
      <c r="K3854" s="0" t="s">
        <v>168</v>
      </c>
      <c r="L3854" s="0" t="s">
        <v>101</v>
      </c>
      <c r="M3854" s="0" t="s">
        <v>656</v>
      </c>
      <c r="N3854" s="0" t="s">
        <v>101</v>
      </c>
      <c r="P3854" s="0" t="s">
        <v>102</v>
      </c>
      <c r="Q3854" s="0" t="s">
        <v>102</v>
      </c>
      <c r="R3854" s="0" t="s">
        <v>131</v>
      </c>
      <c r="S3854" s="0" t="s">
        <v>21</v>
      </c>
      <c r="T3854" s="0" t="s">
        <v>104</v>
      </c>
      <c r="W3854" s="0" t="s">
        <v>105</v>
      </c>
      <c r="X3854" s="0" t="s">
        <v>658</v>
      </c>
      <c r="Y3854" s="0" t="s">
        <v>659</v>
      </c>
    </row>
    <row r="3855" customFormat="false" ht="15" hidden="false" customHeight="false" outlineLevel="0" collapsed="false">
      <c r="A3855" s="0" t="s">
        <v>21</v>
      </c>
      <c r="B3855" s="0" t="s">
        <v>12197</v>
      </c>
      <c r="C3855" s="0" t="s">
        <v>97</v>
      </c>
      <c r="D3855" s="0" t="s">
        <v>7556</v>
      </c>
      <c r="E3855" s="0" t="s">
        <v>12198</v>
      </c>
      <c r="H3855" s="0" t="s">
        <v>654</v>
      </c>
      <c r="I3855" s="0" t="s">
        <v>655</v>
      </c>
      <c r="J3855" s="0" t="s">
        <v>100</v>
      </c>
      <c r="K3855" s="0" t="s">
        <v>168</v>
      </c>
      <c r="L3855" s="0" t="s">
        <v>101</v>
      </c>
      <c r="M3855" s="0" t="s">
        <v>656</v>
      </c>
      <c r="N3855" s="0" t="s">
        <v>101</v>
      </c>
      <c r="P3855" s="0" t="s">
        <v>102</v>
      </c>
      <c r="Q3855" s="0" t="s">
        <v>102</v>
      </c>
      <c r="R3855" s="0" t="s">
        <v>131</v>
      </c>
      <c r="S3855" s="0" t="s">
        <v>21</v>
      </c>
      <c r="T3855" s="0" t="s">
        <v>104</v>
      </c>
      <c r="W3855" s="0" t="s">
        <v>105</v>
      </c>
      <c r="X3855" s="0" t="s">
        <v>658</v>
      </c>
      <c r="Y3855" s="0" t="s">
        <v>659</v>
      </c>
    </row>
    <row r="3856" customFormat="false" ht="15" hidden="false" customHeight="false" outlineLevel="0" collapsed="false">
      <c r="A3856" s="0" t="s">
        <v>21</v>
      </c>
      <c r="B3856" s="0" t="s">
        <v>12199</v>
      </c>
      <c r="C3856" s="0" t="s">
        <v>97</v>
      </c>
      <c r="D3856" s="0" t="s">
        <v>12200</v>
      </c>
      <c r="E3856" s="0" t="s">
        <v>12200</v>
      </c>
      <c r="M3856" s="0" t="s">
        <v>442</v>
      </c>
      <c r="N3856" s="0" t="s">
        <v>101</v>
      </c>
      <c r="P3856" s="0" t="s">
        <v>102</v>
      </c>
      <c r="Q3856" s="0" t="s">
        <v>102</v>
      </c>
      <c r="R3856" s="0" t="s">
        <v>131</v>
      </c>
      <c r="S3856" s="0" t="s">
        <v>21</v>
      </c>
      <c r="T3856" s="0" t="s">
        <v>104</v>
      </c>
      <c r="W3856" s="0" t="s">
        <v>105</v>
      </c>
    </row>
    <row r="3857" customFormat="false" ht="15" hidden="false" customHeight="false" outlineLevel="0" collapsed="false">
      <c r="A3857" s="0" t="s">
        <v>21</v>
      </c>
      <c r="B3857" s="0" t="s">
        <v>12201</v>
      </c>
      <c r="C3857" s="0" t="s">
        <v>97</v>
      </c>
      <c r="D3857" s="0" t="s">
        <v>12202</v>
      </c>
      <c r="E3857" s="0" t="s">
        <v>12203</v>
      </c>
      <c r="G3857" s="0" t="s">
        <v>12204</v>
      </c>
      <c r="M3857" s="0" t="s">
        <v>100</v>
      </c>
      <c r="N3857" s="0" t="s">
        <v>101</v>
      </c>
      <c r="P3857" s="0" t="s">
        <v>102</v>
      </c>
      <c r="Q3857" s="0" t="s">
        <v>102</v>
      </c>
      <c r="R3857" s="0" t="s">
        <v>113</v>
      </c>
      <c r="S3857" s="0" t="s">
        <v>21</v>
      </c>
      <c r="T3857" s="0" t="s">
        <v>104</v>
      </c>
      <c r="W3857" s="0" t="s">
        <v>105</v>
      </c>
    </row>
    <row r="3858" customFormat="false" ht="15" hidden="false" customHeight="false" outlineLevel="0" collapsed="false">
      <c r="A3858" s="0" t="s">
        <v>21</v>
      </c>
      <c r="B3858" s="0" t="s">
        <v>12205</v>
      </c>
      <c r="C3858" s="0" t="s">
        <v>97</v>
      </c>
      <c r="D3858" s="0" t="s">
        <v>12206</v>
      </c>
      <c r="E3858" s="0" t="s">
        <v>12207</v>
      </c>
      <c r="M3858" s="0" t="s">
        <v>656</v>
      </c>
      <c r="N3858" s="0" t="s">
        <v>101</v>
      </c>
      <c r="P3858" s="0" t="s">
        <v>102</v>
      </c>
      <c r="Q3858" s="0" t="s">
        <v>102</v>
      </c>
      <c r="R3858" s="0" t="s">
        <v>131</v>
      </c>
      <c r="S3858" s="0" t="s">
        <v>21</v>
      </c>
      <c r="T3858" s="0" t="s">
        <v>104</v>
      </c>
      <c r="W3858" s="0" t="s">
        <v>105</v>
      </c>
    </row>
    <row r="3859" customFormat="false" ht="15" hidden="false" customHeight="false" outlineLevel="0" collapsed="false">
      <c r="A3859" s="0" t="s">
        <v>21</v>
      </c>
      <c r="B3859" s="0" t="s">
        <v>12208</v>
      </c>
      <c r="C3859" s="0" t="s">
        <v>97</v>
      </c>
      <c r="D3859" s="0" t="s">
        <v>9221</v>
      </c>
      <c r="E3859" s="0" t="s">
        <v>12209</v>
      </c>
      <c r="H3859" s="0" t="s">
        <v>654</v>
      </c>
      <c r="I3859" s="0" t="s">
        <v>655</v>
      </c>
      <c r="J3859" s="0" t="s">
        <v>100</v>
      </c>
      <c r="K3859" s="0" t="s">
        <v>168</v>
      </c>
      <c r="L3859" s="0" t="s">
        <v>101</v>
      </c>
      <c r="M3859" s="0" t="s">
        <v>656</v>
      </c>
      <c r="N3859" s="0" t="s">
        <v>101</v>
      </c>
      <c r="P3859" s="0" t="s">
        <v>102</v>
      </c>
      <c r="Q3859" s="0" t="s">
        <v>102</v>
      </c>
      <c r="R3859" s="0" t="s">
        <v>131</v>
      </c>
      <c r="S3859" s="0" t="s">
        <v>21</v>
      </c>
      <c r="T3859" s="0" t="s">
        <v>104</v>
      </c>
      <c r="W3859" s="0" t="s">
        <v>105</v>
      </c>
      <c r="X3859" s="0" t="s">
        <v>658</v>
      </c>
      <c r="Y3859" s="0" t="s">
        <v>659</v>
      </c>
    </row>
    <row r="3860" customFormat="false" ht="15" hidden="false" customHeight="false" outlineLevel="0" collapsed="false">
      <c r="A3860" s="0" t="s">
        <v>21</v>
      </c>
      <c r="B3860" s="0" t="s">
        <v>12210</v>
      </c>
      <c r="C3860" s="0" t="s">
        <v>97</v>
      </c>
      <c r="D3860" s="0" t="s">
        <v>12211</v>
      </c>
      <c r="E3860" s="0" t="s">
        <v>12212</v>
      </c>
      <c r="H3860" s="0" t="s">
        <v>654</v>
      </c>
      <c r="I3860" s="0" t="s">
        <v>655</v>
      </c>
      <c r="J3860" s="0" t="s">
        <v>100</v>
      </c>
      <c r="K3860" s="0" t="s">
        <v>168</v>
      </c>
      <c r="L3860" s="0" t="s">
        <v>101</v>
      </c>
      <c r="M3860" s="0" t="s">
        <v>656</v>
      </c>
      <c r="N3860" s="0" t="s">
        <v>101</v>
      </c>
      <c r="P3860" s="0" t="s">
        <v>102</v>
      </c>
      <c r="Q3860" s="0" t="s">
        <v>102</v>
      </c>
      <c r="R3860" s="0" t="s">
        <v>131</v>
      </c>
      <c r="S3860" s="0" t="s">
        <v>21</v>
      </c>
      <c r="T3860" s="0" t="s">
        <v>104</v>
      </c>
      <c r="W3860" s="0" t="s">
        <v>105</v>
      </c>
      <c r="X3860" s="0" t="s">
        <v>658</v>
      </c>
      <c r="Y3860" s="0" t="s">
        <v>659</v>
      </c>
    </row>
    <row r="3861" customFormat="false" ht="15" hidden="false" customHeight="false" outlineLevel="0" collapsed="false">
      <c r="A3861" s="0" t="s">
        <v>21</v>
      </c>
      <c r="B3861" s="0" t="s">
        <v>12213</v>
      </c>
      <c r="C3861" s="0" t="s">
        <v>97</v>
      </c>
      <c r="D3861" s="0" t="s">
        <v>12214</v>
      </c>
      <c r="E3861" s="0" t="s">
        <v>12215</v>
      </c>
      <c r="G3861" s="0" t="s">
        <v>12204</v>
      </c>
      <c r="M3861" s="0" t="s">
        <v>367</v>
      </c>
      <c r="N3861" s="0" t="s">
        <v>101</v>
      </c>
      <c r="P3861" s="0" t="s">
        <v>102</v>
      </c>
      <c r="Q3861" s="0" t="s">
        <v>102</v>
      </c>
      <c r="R3861" s="0" t="s">
        <v>113</v>
      </c>
      <c r="S3861" s="0" t="s">
        <v>21</v>
      </c>
      <c r="T3861" s="0" t="s">
        <v>104</v>
      </c>
      <c r="W3861" s="0" t="s">
        <v>105</v>
      </c>
    </row>
    <row r="3862" customFormat="false" ht="15" hidden="false" customHeight="false" outlineLevel="0" collapsed="false">
      <c r="A3862" s="0" t="s">
        <v>21</v>
      </c>
      <c r="B3862" s="0" t="s">
        <v>12216</v>
      </c>
      <c r="C3862" s="0" t="s">
        <v>97</v>
      </c>
      <c r="D3862" s="0" t="s">
        <v>12217</v>
      </c>
      <c r="E3862" s="0" t="s">
        <v>12218</v>
      </c>
      <c r="M3862" s="0" t="s">
        <v>136</v>
      </c>
      <c r="N3862" s="0" t="s">
        <v>124</v>
      </c>
      <c r="P3862" s="0" t="s">
        <v>102</v>
      </c>
      <c r="Q3862" s="0" t="s">
        <v>102</v>
      </c>
      <c r="R3862" s="0" t="s">
        <v>131</v>
      </c>
      <c r="S3862" s="0" t="s">
        <v>21</v>
      </c>
      <c r="T3862" s="0" t="s">
        <v>104</v>
      </c>
      <c r="W3862" s="0" t="s">
        <v>105</v>
      </c>
    </row>
    <row r="3863" customFormat="false" ht="15" hidden="false" customHeight="false" outlineLevel="0" collapsed="false">
      <c r="A3863" s="0" t="s">
        <v>21</v>
      </c>
      <c r="B3863" s="0" t="s">
        <v>12219</v>
      </c>
      <c r="C3863" s="0" t="s">
        <v>97</v>
      </c>
      <c r="D3863" s="0" t="s">
        <v>12220</v>
      </c>
      <c r="E3863" s="0" t="s">
        <v>12221</v>
      </c>
      <c r="H3863" s="0" t="s">
        <v>654</v>
      </c>
      <c r="I3863" s="0" t="s">
        <v>655</v>
      </c>
      <c r="J3863" s="0" t="s">
        <v>100</v>
      </c>
      <c r="K3863" s="0" t="s">
        <v>168</v>
      </c>
      <c r="L3863" s="0" t="s">
        <v>101</v>
      </c>
      <c r="M3863" s="0" t="s">
        <v>656</v>
      </c>
      <c r="N3863" s="0" t="s">
        <v>101</v>
      </c>
      <c r="P3863" s="0" t="s">
        <v>102</v>
      </c>
      <c r="Q3863" s="0" t="s">
        <v>102</v>
      </c>
      <c r="R3863" s="0" t="s">
        <v>131</v>
      </c>
      <c r="S3863" s="0" t="s">
        <v>21</v>
      </c>
      <c r="T3863" s="0" t="s">
        <v>104</v>
      </c>
      <c r="W3863" s="0" t="s">
        <v>105</v>
      </c>
      <c r="X3863" s="0" t="s">
        <v>658</v>
      </c>
      <c r="Y3863" s="0" t="s">
        <v>659</v>
      </c>
    </row>
    <row r="3864" customFormat="false" ht="15" hidden="false" customHeight="false" outlineLevel="0" collapsed="false">
      <c r="A3864" s="0" t="s">
        <v>21</v>
      </c>
      <c r="B3864" s="0" t="s">
        <v>12222</v>
      </c>
      <c r="C3864" s="0" t="s">
        <v>97</v>
      </c>
      <c r="D3864" s="0" t="s">
        <v>12223</v>
      </c>
      <c r="E3864" s="0" t="s">
        <v>12224</v>
      </c>
      <c r="M3864" s="0" t="s">
        <v>136</v>
      </c>
      <c r="N3864" s="0" t="s">
        <v>124</v>
      </c>
      <c r="P3864" s="0" t="s">
        <v>102</v>
      </c>
      <c r="Q3864" s="0" t="s">
        <v>102</v>
      </c>
      <c r="R3864" s="0" t="s">
        <v>131</v>
      </c>
      <c r="S3864" s="0" t="s">
        <v>21</v>
      </c>
      <c r="T3864" s="0" t="s">
        <v>104</v>
      </c>
      <c r="W3864" s="0" t="s">
        <v>105</v>
      </c>
    </row>
    <row r="3865" customFormat="false" ht="15" hidden="false" customHeight="false" outlineLevel="0" collapsed="false">
      <c r="A3865" s="0" t="s">
        <v>21</v>
      </c>
      <c r="B3865" s="0" t="s">
        <v>12225</v>
      </c>
      <c r="C3865" s="0" t="s">
        <v>97</v>
      </c>
      <c r="D3865" s="0" t="s">
        <v>12226</v>
      </c>
      <c r="E3865" s="0" t="s">
        <v>12227</v>
      </c>
      <c r="M3865" s="0" t="s">
        <v>136</v>
      </c>
      <c r="N3865" s="0" t="s">
        <v>124</v>
      </c>
      <c r="P3865" s="0" t="s">
        <v>102</v>
      </c>
      <c r="Q3865" s="0" t="s">
        <v>102</v>
      </c>
      <c r="R3865" s="0" t="s">
        <v>131</v>
      </c>
      <c r="S3865" s="0" t="s">
        <v>21</v>
      </c>
      <c r="T3865" s="0" t="s">
        <v>104</v>
      </c>
      <c r="W3865" s="0" t="s">
        <v>105</v>
      </c>
    </row>
    <row r="3866" customFormat="false" ht="15" hidden="false" customHeight="false" outlineLevel="0" collapsed="false">
      <c r="A3866" s="0" t="s">
        <v>21</v>
      </c>
      <c r="B3866" s="0" t="s">
        <v>12228</v>
      </c>
      <c r="C3866" s="0" t="s">
        <v>97</v>
      </c>
      <c r="D3866" s="0" t="s">
        <v>12229</v>
      </c>
      <c r="E3866" s="0" t="s">
        <v>12230</v>
      </c>
      <c r="M3866" s="0" t="s">
        <v>100</v>
      </c>
      <c r="N3866" s="0" t="s">
        <v>101</v>
      </c>
      <c r="P3866" s="0" t="s">
        <v>102</v>
      </c>
      <c r="Q3866" s="0" t="s">
        <v>102</v>
      </c>
      <c r="R3866" s="0" t="s">
        <v>113</v>
      </c>
      <c r="S3866" s="0" t="s">
        <v>21</v>
      </c>
      <c r="T3866" s="0" t="s">
        <v>104</v>
      </c>
      <c r="W3866" s="0" t="s">
        <v>105</v>
      </c>
    </row>
    <row r="3867" customFormat="false" ht="41.75" hidden="false" customHeight="false" outlineLevel="0" collapsed="false">
      <c r="A3867" s="0" t="s">
        <v>21</v>
      </c>
      <c r="B3867" s="0" t="s">
        <v>12231</v>
      </c>
      <c r="C3867" s="0" t="s">
        <v>97</v>
      </c>
      <c r="D3867" s="0" t="s">
        <v>12232</v>
      </c>
      <c r="E3867" s="0" t="s">
        <v>12230</v>
      </c>
      <c r="G3867" s="9" t="s">
        <v>12233</v>
      </c>
      <c r="M3867" s="0" t="s">
        <v>100</v>
      </c>
      <c r="N3867" s="0" t="s">
        <v>101</v>
      </c>
      <c r="P3867" s="0" t="s">
        <v>102</v>
      </c>
      <c r="Q3867" s="0" t="s">
        <v>102</v>
      </c>
      <c r="R3867" s="0" t="s">
        <v>113</v>
      </c>
      <c r="S3867" s="0" t="s">
        <v>21</v>
      </c>
      <c r="T3867" s="0" t="s">
        <v>104</v>
      </c>
      <c r="W3867" s="0" t="s">
        <v>105</v>
      </c>
    </row>
    <row r="3868" customFormat="false" ht="15" hidden="false" customHeight="false" outlineLevel="0" collapsed="false">
      <c r="A3868" s="0" t="s">
        <v>21</v>
      </c>
      <c r="B3868" s="0" t="s">
        <v>12234</v>
      </c>
      <c r="C3868" s="0" t="s">
        <v>97</v>
      </c>
      <c r="D3868" s="0" t="s">
        <v>12235</v>
      </c>
      <c r="E3868" s="0" t="s">
        <v>12236</v>
      </c>
      <c r="M3868" s="0" t="s">
        <v>136</v>
      </c>
      <c r="N3868" s="0" t="s">
        <v>124</v>
      </c>
      <c r="P3868" s="0" t="s">
        <v>102</v>
      </c>
      <c r="Q3868" s="0" t="s">
        <v>102</v>
      </c>
      <c r="R3868" s="0" t="s">
        <v>131</v>
      </c>
      <c r="S3868" s="0" t="s">
        <v>21</v>
      </c>
      <c r="T3868" s="0" t="s">
        <v>104</v>
      </c>
      <c r="W3868" s="0" t="s">
        <v>105</v>
      </c>
    </row>
    <row r="3869" customFormat="false" ht="15" hidden="false" customHeight="false" outlineLevel="0" collapsed="false">
      <c r="A3869" s="0" t="s">
        <v>21</v>
      </c>
      <c r="B3869" s="0" t="s">
        <v>12237</v>
      </c>
      <c r="C3869" s="0" t="s">
        <v>97</v>
      </c>
      <c r="D3869" s="0" t="s">
        <v>12238</v>
      </c>
      <c r="E3869" s="0" t="s">
        <v>12239</v>
      </c>
      <c r="G3869" s="0" t="s">
        <v>12204</v>
      </c>
      <c r="M3869" s="0" t="s">
        <v>100</v>
      </c>
      <c r="N3869" s="0" t="s">
        <v>101</v>
      </c>
      <c r="P3869" s="0" t="s">
        <v>102</v>
      </c>
      <c r="Q3869" s="0" t="s">
        <v>102</v>
      </c>
      <c r="R3869" s="0" t="s">
        <v>113</v>
      </c>
      <c r="S3869" s="0" t="s">
        <v>21</v>
      </c>
      <c r="T3869" s="0" t="s">
        <v>104</v>
      </c>
      <c r="W3869" s="0" t="s">
        <v>105</v>
      </c>
    </row>
    <row r="3870" customFormat="false" ht="15" hidden="false" customHeight="false" outlineLevel="0" collapsed="false">
      <c r="A3870" s="0" t="s">
        <v>21</v>
      </c>
      <c r="B3870" s="0" t="s">
        <v>12240</v>
      </c>
      <c r="C3870" s="0" t="s">
        <v>97</v>
      </c>
      <c r="D3870" s="0" t="s">
        <v>12241</v>
      </c>
      <c r="E3870" s="0" t="s">
        <v>12242</v>
      </c>
      <c r="H3870" s="0" t="s">
        <v>654</v>
      </c>
      <c r="I3870" s="0" t="s">
        <v>655</v>
      </c>
      <c r="J3870" s="0" t="s">
        <v>100</v>
      </c>
      <c r="K3870" s="0" t="s">
        <v>168</v>
      </c>
      <c r="L3870" s="0" t="s">
        <v>101</v>
      </c>
      <c r="M3870" s="0" t="s">
        <v>656</v>
      </c>
      <c r="N3870" s="0" t="s">
        <v>101</v>
      </c>
      <c r="P3870" s="0" t="s">
        <v>102</v>
      </c>
      <c r="Q3870" s="0" t="s">
        <v>102</v>
      </c>
      <c r="R3870" s="0" t="s">
        <v>131</v>
      </c>
      <c r="S3870" s="0" t="s">
        <v>21</v>
      </c>
      <c r="T3870" s="0" t="s">
        <v>104</v>
      </c>
      <c r="W3870" s="0" t="s">
        <v>105</v>
      </c>
      <c r="X3870" s="0" t="s">
        <v>658</v>
      </c>
      <c r="Y3870" s="0" t="s">
        <v>659</v>
      </c>
    </row>
    <row r="3871" customFormat="false" ht="15" hidden="false" customHeight="false" outlineLevel="0" collapsed="false">
      <c r="A3871" s="0" t="s">
        <v>21</v>
      </c>
      <c r="B3871" s="0" t="s">
        <v>12243</v>
      </c>
      <c r="C3871" s="0" t="s">
        <v>97</v>
      </c>
      <c r="D3871" s="0" t="s">
        <v>12241</v>
      </c>
      <c r="E3871" s="0" t="s">
        <v>12241</v>
      </c>
      <c r="F3871" s="0" t="s">
        <v>12241</v>
      </c>
      <c r="M3871" s="0" t="s">
        <v>100</v>
      </c>
      <c r="N3871" s="0" t="s">
        <v>101</v>
      </c>
      <c r="P3871" s="0" t="s">
        <v>102</v>
      </c>
      <c r="Q3871" s="0" t="s">
        <v>102</v>
      </c>
      <c r="R3871" s="0" t="s">
        <v>131</v>
      </c>
      <c r="S3871" s="0" t="s">
        <v>21</v>
      </c>
      <c r="T3871" s="0" t="s">
        <v>104</v>
      </c>
      <c r="W3871" s="0" t="s">
        <v>105</v>
      </c>
    </row>
    <row r="3872" customFormat="false" ht="15" hidden="false" customHeight="false" outlineLevel="0" collapsed="false">
      <c r="A3872" s="0" t="s">
        <v>21</v>
      </c>
      <c r="B3872" s="0" t="s">
        <v>12244</v>
      </c>
      <c r="C3872" s="0" t="s">
        <v>97</v>
      </c>
      <c r="D3872" s="0" t="s">
        <v>12245</v>
      </c>
      <c r="E3872" s="0" t="s">
        <v>12246</v>
      </c>
      <c r="M3872" s="0" t="s">
        <v>136</v>
      </c>
      <c r="N3872" s="0" t="s">
        <v>124</v>
      </c>
      <c r="P3872" s="0" t="s">
        <v>102</v>
      </c>
      <c r="Q3872" s="0" t="s">
        <v>102</v>
      </c>
      <c r="R3872" s="0" t="s">
        <v>131</v>
      </c>
      <c r="S3872" s="0" t="s">
        <v>21</v>
      </c>
      <c r="T3872" s="0" t="s">
        <v>104</v>
      </c>
      <c r="W3872" s="0" t="s">
        <v>105</v>
      </c>
    </row>
    <row r="3873" customFormat="false" ht="15" hidden="false" customHeight="false" outlineLevel="0" collapsed="false">
      <c r="A3873" s="0" t="s">
        <v>21</v>
      </c>
      <c r="B3873" s="0" t="s">
        <v>12247</v>
      </c>
      <c r="C3873" s="0" t="s">
        <v>97</v>
      </c>
      <c r="D3873" s="0" t="s">
        <v>12248</v>
      </c>
      <c r="E3873" s="0" t="s">
        <v>12249</v>
      </c>
      <c r="M3873" s="0" t="s">
        <v>100</v>
      </c>
      <c r="N3873" s="0" t="s">
        <v>101</v>
      </c>
      <c r="P3873" s="0" t="s">
        <v>102</v>
      </c>
      <c r="Q3873" s="0" t="s">
        <v>102</v>
      </c>
      <c r="R3873" s="0" t="s">
        <v>113</v>
      </c>
      <c r="S3873" s="0" t="s">
        <v>21</v>
      </c>
      <c r="T3873" s="0" t="s">
        <v>104</v>
      </c>
      <c r="W3873" s="0" t="s">
        <v>105</v>
      </c>
    </row>
    <row r="3874" customFormat="false" ht="15" hidden="false" customHeight="false" outlineLevel="0" collapsed="false">
      <c r="A3874" s="0" t="s">
        <v>21</v>
      </c>
      <c r="B3874" s="0" t="s">
        <v>12250</v>
      </c>
      <c r="C3874" s="0" t="s">
        <v>97</v>
      </c>
      <c r="D3874" s="0" t="s">
        <v>12251</v>
      </c>
      <c r="E3874" s="0" t="s">
        <v>12252</v>
      </c>
      <c r="M3874" s="0" t="s">
        <v>136</v>
      </c>
      <c r="N3874" s="0" t="s">
        <v>124</v>
      </c>
      <c r="P3874" s="0" t="s">
        <v>102</v>
      </c>
      <c r="Q3874" s="0" t="s">
        <v>102</v>
      </c>
      <c r="R3874" s="0" t="s">
        <v>131</v>
      </c>
      <c r="S3874" s="0" t="s">
        <v>21</v>
      </c>
      <c r="T3874" s="0" t="s">
        <v>104</v>
      </c>
      <c r="W3874" s="0" t="s">
        <v>105</v>
      </c>
    </row>
    <row r="3875" customFormat="false" ht="15" hidden="false" customHeight="false" outlineLevel="0" collapsed="false">
      <c r="A3875" s="0" t="s">
        <v>21</v>
      </c>
      <c r="B3875" s="0" t="s">
        <v>12253</v>
      </c>
      <c r="C3875" s="0" t="s">
        <v>97</v>
      </c>
      <c r="D3875" s="0" t="s">
        <v>12254</v>
      </c>
      <c r="E3875" s="0" t="s">
        <v>12255</v>
      </c>
      <c r="M3875" s="0" t="s">
        <v>136</v>
      </c>
      <c r="N3875" s="0" t="s">
        <v>124</v>
      </c>
      <c r="P3875" s="0" t="s">
        <v>102</v>
      </c>
      <c r="Q3875" s="0" t="s">
        <v>102</v>
      </c>
      <c r="R3875" s="0" t="s">
        <v>131</v>
      </c>
      <c r="S3875" s="0" t="s">
        <v>21</v>
      </c>
      <c r="T3875" s="0" t="s">
        <v>104</v>
      </c>
      <c r="W3875" s="0" t="s">
        <v>105</v>
      </c>
    </row>
    <row r="3876" customFormat="false" ht="15" hidden="false" customHeight="false" outlineLevel="0" collapsed="false">
      <c r="A3876" s="0" t="s">
        <v>21</v>
      </c>
      <c r="B3876" s="0" t="s">
        <v>12256</v>
      </c>
      <c r="C3876" s="0" t="s">
        <v>97</v>
      </c>
      <c r="D3876" s="0" t="s">
        <v>12257</v>
      </c>
      <c r="E3876" s="0" t="s">
        <v>12258</v>
      </c>
      <c r="H3876" s="0" t="s">
        <v>654</v>
      </c>
      <c r="I3876" s="0" t="s">
        <v>655</v>
      </c>
      <c r="J3876" s="0" t="s">
        <v>100</v>
      </c>
      <c r="K3876" s="0" t="s">
        <v>168</v>
      </c>
      <c r="L3876" s="0" t="s">
        <v>101</v>
      </c>
      <c r="M3876" s="0" t="s">
        <v>656</v>
      </c>
      <c r="N3876" s="0" t="s">
        <v>101</v>
      </c>
      <c r="P3876" s="0" t="s">
        <v>102</v>
      </c>
      <c r="Q3876" s="0" t="s">
        <v>102</v>
      </c>
      <c r="R3876" s="0" t="s">
        <v>131</v>
      </c>
      <c r="S3876" s="0" t="s">
        <v>21</v>
      </c>
      <c r="T3876" s="0" t="s">
        <v>104</v>
      </c>
      <c r="W3876" s="0" t="s">
        <v>105</v>
      </c>
      <c r="X3876" s="0" t="s">
        <v>658</v>
      </c>
      <c r="Y3876" s="0" t="s">
        <v>659</v>
      </c>
    </row>
    <row r="3877" customFormat="false" ht="15" hidden="false" customHeight="false" outlineLevel="0" collapsed="false">
      <c r="A3877" s="0" t="s">
        <v>21</v>
      </c>
      <c r="B3877" s="0" t="s">
        <v>12259</v>
      </c>
      <c r="C3877" s="0" t="s">
        <v>97</v>
      </c>
      <c r="D3877" s="0" t="s">
        <v>12260</v>
      </c>
      <c r="E3877" s="0" t="s">
        <v>12261</v>
      </c>
      <c r="H3877" s="0" t="s">
        <v>654</v>
      </c>
      <c r="I3877" s="0" t="s">
        <v>655</v>
      </c>
      <c r="J3877" s="0" t="s">
        <v>100</v>
      </c>
      <c r="K3877" s="0" t="s">
        <v>168</v>
      </c>
      <c r="L3877" s="0" t="s">
        <v>101</v>
      </c>
      <c r="M3877" s="0" t="s">
        <v>656</v>
      </c>
      <c r="N3877" s="0" t="s">
        <v>101</v>
      </c>
      <c r="P3877" s="0" t="s">
        <v>102</v>
      </c>
      <c r="Q3877" s="0" t="s">
        <v>102</v>
      </c>
      <c r="R3877" s="0" t="s">
        <v>131</v>
      </c>
      <c r="S3877" s="0" t="s">
        <v>21</v>
      </c>
      <c r="T3877" s="0" t="s">
        <v>104</v>
      </c>
      <c r="W3877" s="0" t="s">
        <v>105</v>
      </c>
      <c r="X3877" s="0" t="s">
        <v>658</v>
      </c>
      <c r="Y3877" s="0" t="s">
        <v>659</v>
      </c>
    </row>
    <row r="3878" customFormat="false" ht="15" hidden="false" customHeight="false" outlineLevel="0" collapsed="false">
      <c r="A3878" s="0" t="s">
        <v>21</v>
      </c>
      <c r="B3878" s="0" t="s">
        <v>12262</v>
      </c>
      <c r="C3878" s="0" t="s">
        <v>97</v>
      </c>
      <c r="D3878" s="0" t="s">
        <v>12263</v>
      </c>
      <c r="E3878" s="0" t="s">
        <v>12264</v>
      </c>
      <c r="H3878" s="0" t="s">
        <v>654</v>
      </c>
      <c r="I3878" s="0" t="s">
        <v>655</v>
      </c>
      <c r="J3878" s="0" t="s">
        <v>100</v>
      </c>
      <c r="K3878" s="0" t="s">
        <v>168</v>
      </c>
      <c r="L3878" s="0" t="s">
        <v>101</v>
      </c>
      <c r="M3878" s="0" t="s">
        <v>656</v>
      </c>
      <c r="N3878" s="0" t="s">
        <v>101</v>
      </c>
      <c r="P3878" s="0" t="s">
        <v>102</v>
      </c>
      <c r="Q3878" s="0" t="s">
        <v>102</v>
      </c>
      <c r="R3878" s="0" t="s">
        <v>131</v>
      </c>
      <c r="S3878" s="0" t="s">
        <v>21</v>
      </c>
      <c r="T3878" s="0" t="s">
        <v>104</v>
      </c>
      <c r="W3878" s="0" t="s">
        <v>105</v>
      </c>
      <c r="X3878" s="0" t="s">
        <v>658</v>
      </c>
      <c r="Y3878" s="0" t="s">
        <v>659</v>
      </c>
    </row>
    <row r="3879" customFormat="false" ht="15" hidden="false" customHeight="false" outlineLevel="0" collapsed="false">
      <c r="A3879" s="0" t="s">
        <v>21</v>
      </c>
      <c r="B3879" s="0" t="s">
        <v>12265</v>
      </c>
      <c r="C3879" s="0" t="s">
        <v>97</v>
      </c>
      <c r="D3879" s="0" t="s">
        <v>11704</v>
      </c>
      <c r="E3879" s="0" t="s">
        <v>12266</v>
      </c>
      <c r="H3879" s="0" t="s">
        <v>654</v>
      </c>
      <c r="I3879" s="0" t="s">
        <v>655</v>
      </c>
      <c r="J3879" s="0" t="s">
        <v>100</v>
      </c>
      <c r="K3879" s="0" t="s">
        <v>168</v>
      </c>
      <c r="L3879" s="0" t="s">
        <v>101</v>
      </c>
      <c r="M3879" s="0" t="s">
        <v>656</v>
      </c>
      <c r="N3879" s="0" t="s">
        <v>101</v>
      </c>
      <c r="P3879" s="0" t="s">
        <v>102</v>
      </c>
      <c r="Q3879" s="0" t="s">
        <v>102</v>
      </c>
      <c r="R3879" s="0" t="s">
        <v>131</v>
      </c>
      <c r="S3879" s="0" t="s">
        <v>21</v>
      </c>
      <c r="T3879" s="0" t="s">
        <v>104</v>
      </c>
      <c r="W3879" s="0" t="s">
        <v>105</v>
      </c>
      <c r="X3879" s="0" t="s">
        <v>658</v>
      </c>
      <c r="Y3879" s="0" t="s">
        <v>659</v>
      </c>
    </row>
    <row r="3880" customFormat="false" ht="15" hidden="false" customHeight="false" outlineLevel="0" collapsed="false">
      <c r="A3880" s="0" t="s">
        <v>21</v>
      </c>
      <c r="B3880" s="0" t="s">
        <v>12267</v>
      </c>
      <c r="C3880" s="0" t="s">
        <v>97</v>
      </c>
      <c r="D3880" s="0" t="s">
        <v>12268</v>
      </c>
      <c r="E3880" s="0" t="s">
        <v>12269</v>
      </c>
      <c r="H3880" s="0" t="s">
        <v>654</v>
      </c>
      <c r="I3880" s="0" t="s">
        <v>655</v>
      </c>
      <c r="J3880" s="0" t="s">
        <v>100</v>
      </c>
      <c r="K3880" s="0" t="s">
        <v>168</v>
      </c>
      <c r="L3880" s="0" t="s">
        <v>101</v>
      </c>
      <c r="M3880" s="0" t="s">
        <v>656</v>
      </c>
      <c r="N3880" s="0" t="s">
        <v>101</v>
      </c>
      <c r="P3880" s="0" t="s">
        <v>102</v>
      </c>
      <c r="Q3880" s="0" t="s">
        <v>102</v>
      </c>
      <c r="R3880" s="0" t="s">
        <v>131</v>
      </c>
      <c r="S3880" s="0" t="s">
        <v>21</v>
      </c>
      <c r="T3880" s="0" t="s">
        <v>104</v>
      </c>
      <c r="W3880" s="0" t="s">
        <v>105</v>
      </c>
      <c r="X3880" s="0" t="s">
        <v>658</v>
      </c>
      <c r="Y3880" s="0" t="s">
        <v>659</v>
      </c>
    </row>
    <row r="3881" customFormat="false" ht="15" hidden="false" customHeight="false" outlineLevel="0" collapsed="false">
      <c r="A3881" s="0" t="s">
        <v>21</v>
      </c>
      <c r="B3881" s="0" t="s">
        <v>12270</v>
      </c>
      <c r="C3881" s="0" t="s">
        <v>97</v>
      </c>
      <c r="D3881" s="0" t="s">
        <v>12271</v>
      </c>
      <c r="E3881" s="0" t="s">
        <v>12272</v>
      </c>
      <c r="M3881" s="0" t="s">
        <v>136</v>
      </c>
      <c r="N3881" s="0" t="s">
        <v>124</v>
      </c>
      <c r="P3881" s="0" t="s">
        <v>102</v>
      </c>
      <c r="Q3881" s="0" t="s">
        <v>102</v>
      </c>
      <c r="R3881" s="0" t="s">
        <v>131</v>
      </c>
      <c r="S3881" s="0" t="s">
        <v>21</v>
      </c>
      <c r="T3881" s="0" t="s">
        <v>104</v>
      </c>
      <c r="W3881" s="0" t="s">
        <v>105</v>
      </c>
    </row>
    <row r="3882" customFormat="false" ht="15" hidden="false" customHeight="false" outlineLevel="0" collapsed="false">
      <c r="A3882" s="0" t="s">
        <v>21</v>
      </c>
      <c r="B3882" s="0" t="s">
        <v>12273</v>
      </c>
      <c r="C3882" s="0" t="s">
        <v>97</v>
      </c>
      <c r="D3882" s="0" t="s">
        <v>12274</v>
      </c>
      <c r="E3882" s="0" t="s">
        <v>12275</v>
      </c>
      <c r="M3882" s="0" t="s">
        <v>136</v>
      </c>
      <c r="N3882" s="0" t="s">
        <v>124</v>
      </c>
      <c r="P3882" s="0" t="s">
        <v>102</v>
      </c>
      <c r="Q3882" s="0" t="s">
        <v>102</v>
      </c>
      <c r="R3882" s="0" t="s">
        <v>131</v>
      </c>
      <c r="S3882" s="0" t="s">
        <v>21</v>
      </c>
      <c r="T3882" s="0" t="s">
        <v>104</v>
      </c>
      <c r="W3882" s="0" t="s">
        <v>105</v>
      </c>
    </row>
    <row r="3883" customFormat="false" ht="15" hidden="false" customHeight="false" outlineLevel="0" collapsed="false">
      <c r="A3883" s="0" t="s">
        <v>21</v>
      </c>
      <c r="B3883" s="0" t="s">
        <v>12276</v>
      </c>
      <c r="C3883" s="0" t="s">
        <v>97</v>
      </c>
      <c r="D3883" s="0" t="s">
        <v>12277</v>
      </c>
      <c r="E3883" s="0" t="s">
        <v>12278</v>
      </c>
      <c r="M3883" s="0" t="s">
        <v>136</v>
      </c>
      <c r="N3883" s="0" t="s">
        <v>124</v>
      </c>
      <c r="P3883" s="0" t="s">
        <v>102</v>
      </c>
      <c r="Q3883" s="0" t="s">
        <v>102</v>
      </c>
      <c r="R3883" s="0" t="s">
        <v>131</v>
      </c>
      <c r="S3883" s="0" t="s">
        <v>21</v>
      </c>
      <c r="T3883" s="0" t="s">
        <v>104</v>
      </c>
      <c r="W3883" s="0" t="s">
        <v>105</v>
      </c>
    </row>
    <row r="3884" customFormat="false" ht="15" hidden="false" customHeight="false" outlineLevel="0" collapsed="false">
      <c r="A3884" s="0" t="s">
        <v>21</v>
      </c>
      <c r="B3884" s="0" t="s">
        <v>12279</v>
      </c>
      <c r="C3884" s="0" t="s">
        <v>97</v>
      </c>
      <c r="D3884" s="0" t="s">
        <v>12280</v>
      </c>
      <c r="E3884" s="0" t="s">
        <v>12281</v>
      </c>
      <c r="M3884" s="0" t="s">
        <v>136</v>
      </c>
      <c r="N3884" s="0" t="s">
        <v>124</v>
      </c>
      <c r="P3884" s="0" t="s">
        <v>102</v>
      </c>
      <c r="Q3884" s="0" t="s">
        <v>102</v>
      </c>
      <c r="R3884" s="0" t="s">
        <v>131</v>
      </c>
      <c r="S3884" s="0" t="s">
        <v>21</v>
      </c>
      <c r="T3884" s="0" t="s">
        <v>104</v>
      </c>
      <c r="W3884" s="0" t="s">
        <v>105</v>
      </c>
    </row>
    <row r="3885" customFormat="false" ht="15" hidden="false" customHeight="false" outlineLevel="0" collapsed="false">
      <c r="A3885" s="0" t="s">
        <v>21</v>
      </c>
      <c r="B3885" s="0" t="s">
        <v>12282</v>
      </c>
      <c r="C3885" s="0" t="s">
        <v>97</v>
      </c>
      <c r="D3885" s="0" t="s">
        <v>12283</v>
      </c>
      <c r="E3885" s="0" t="s">
        <v>12284</v>
      </c>
      <c r="M3885" s="0" t="s">
        <v>136</v>
      </c>
      <c r="N3885" s="0" t="s">
        <v>124</v>
      </c>
      <c r="P3885" s="0" t="s">
        <v>102</v>
      </c>
      <c r="Q3885" s="0" t="s">
        <v>102</v>
      </c>
      <c r="R3885" s="0" t="s">
        <v>131</v>
      </c>
      <c r="S3885" s="0" t="s">
        <v>21</v>
      </c>
      <c r="T3885" s="0" t="s">
        <v>104</v>
      </c>
      <c r="W3885" s="0" t="s">
        <v>105</v>
      </c>
    </row>
    <row r="3886" customFormat="false" ht="15" hidden="false" customHeight="false" outlineLevel="0" collapsed="false">
      <c r="A3886" s="0" t="s">
        <v>21</v>
      </c>
      <c r="B3886" s="0" t="s">
        <v>12285</v>
      </c>
      <c r="C3886" s="0" t="s">
        <v>97</v>
      </c>
      <c r="D3886" s="0" t="s">
        <v>12286</v>
      </c>
      <c r="E3886" s="0" t="s">
        <v>12287</v>
      </c>
      <c r="M3886" s="0" t="s">
        <v>136</v>
      </c>
      <c r="N3886" s="0" t="s">
        <v>124</v>
      </c>
      <c r="P3886" s="0" t="s">
        <v>102</v>
      </c>
      <c r="Q3886" s="0" t="s">
        <v>102</v>
      </c>
      <c r="R3886" s="0" t="s">
        <v>131</v>
      </c>
      <c r="S3886" s="0" t="s">
        <v>21</v>
      </c>
      <c r="T3886" s="0" t="s">
        <v>104</v>
      </c>
      <c r="W3886" s="0" t="s">
        <v>105</v>
      </c>
    </row>
    <row r="3887" customFormat="false" ht="15" hidden="false" customHeight="false" outlineLevel="0" collapsed="false">
      <c r="A3887" s="0" t="s">
        <v>21</v>
      </c>
      <c r="B3887" s="0" t="s">
        <v>12288</v>
      </c>
      <c r="C3887" s="0" t="s">
        <v>97</v>
      </c>
      <c r="D3887" s="0" t="s">
        <v>12289</v>
      </c>
      <c r="E3887" s="0" t="s">
        <v>12290</v>
      </c>
      <c r="M3887" s="0" t="s">
        <v>136</v>
      </c>
      <c r="N3887" s="0" t="s">
        <v>124</v>
      </c>
      <c r="P3887" s="0" t="s">
        <v>102</v>
      </c>
      <c r="Q3887" s="0" t="s">
        <v>102</v>
      </c>
      <c r="R3887" s="0" t="s">
        <v>131</v>
      </c>
      <c r="S3887" s="0" t="s">
        <v>21</v>
      </c>
      <c r="T3887" s="0" t="s">
        <v>104</v>
      </c>
      <c r="W3887" s="0" t="s">
        <v>105</v>
      </c>
    </row>
    <row r="3888" customFormat="false" ht="15" hidden="false" customHeight="false" outlineLevel="0" collapsed="false">
      <c r="A3888" s="0" t="s">
        <v>21</v>
      </c>
      <c r="B3888" s="0" t="s">
        <v>12291</v>
      </c>
      <c r="C3888" s="0" t="s">
        <v>97</v>
      </c>
      <c r="D3888" s="0" t="s">
        <v>12292</v>
      </c>
      <c r="E3888" s="0" t="s">
        <v>12293</v>
      </c>
      <c r="H3888" s="0" t="s">
        <v>654</v>
      </c>
      <c r="I3888" s="0" t="s">
        <v>655</v>
      </c>
      <c r="J3888" s="0" t="s">
        <v>100</v>
      </c>
      <c r="K3888" s="0" t="s">
        <v>168</v>
      </c>
      <c r="L3888" s="0" t="s">
        <v>101</v>
      </c>
      <c r="M3888" s="0" t="s">
        <v>656</v>
      </c>
      <c r="N3888" s="0" t="s">
        <v>101</v>
      </c>
      <c r="P3888" s="0" t="s">
        <v>102</v>
      </c>
      <c r="Q3888" s="0" t="s">
        <v>102</v>
      </c>
      <c r="R3888" s="0" t="s">
        <v>131</v>
      </c>
      <c r="S3888" s="0" t="s">
        <v>21</v>
      </c>
      <c r="T3888" s="0" t="s">
        <v>104</v>
      </c>
      <c r="W3888" s="0" t="s">
        <v>105</v>
      </c>
      <c r="X3888" s="0" t="s">
        <v>658</v>
      </c>
      <c r="Y3888" s="0" t="s">
        <v>659</v>
      </c>
    </row>
    <row r="3889" customFormat="false" ht="15" hidden="false" customHeight="false" outlineLevel="0" collapsed="false">
      <c r="A3889" s="0" t="s">
        <v>21</v>
      </c>
      <c r="B3889" s="0" t="s">
        <v>12294</v>
      </c>
      <c r="C3889" s="0" t="s">
        <v>97</v>
      </c>
      <c r="D3889" s="0" t="s">
        <v>5218</v>
      </c>
      <c r="E3889" s="0" t="s">
        <v>12295</v>
      </c>
      <c r="H3889" s="0" t="s">
        <v>654</v>
      </c>
      <c r="I3889" s="0" t="s">
        <v>655</v>
      </c>
      <c r="J3889" s="0" t="s">
        <v>100</v>
      </c>
      <c r="K3889" s="0" t="s">
        <v>168</v>
      </c>
      <c r="L3889" s="0" t="s">
        <v>101</v>
      </c>
      <c r="M3889" s="0" t="s">
        <v>656</v>
      </c>
      <c r="N3889" s="0" t="s">
        <v>101</v>
      </c>
      <c r="P3889" s="0" t="s">
        <v>102</v>
      </c>
      <c r="Q3889" s="0" t="s">
        <v>102</v>
      </c>
      <c r="R3889" s="0" t="s">
        <v>131</v>
      </c>
      <c r="S3889" s="0" t="s">
        <v>21</v>
      </c>
      <c r="T3889" s="0" t="s">
        <v>104</v>
      </c>
      <c r="W3889" s="0" t="s">
        <v>105</v>
      </c>
      <c r="X3889" s="0" t="s">
        <v>658</v>
      </c>
      <c r="Y3889" s="0" t="s">
        <v>659</v>
      </c>
    </row>
    <row r="3890" customFormat="false" ht="15" hidden="false" customHeight="false" outlineLevel="0" collapsed="false">
      <c r="A3890" s="0" t="s">
        <v>21</v>
      </c>
      <c r="B3890" s="0" t="s">
        <v>12296</v>
      </c>
      <c r="C3890" s="0" t="s">
        <v>97</v>
      </c>
      <c r="D3890" s="0" t="s">
        <v>12297</v>
      </c>
      <c r="E3890" s="0" t="s">
        <v>12298</v>
      </c>
      <c r="H3890" s="0" t="s">
        <v>654</v>
      </c>
      <c r="I3890" s="0" t="s">
        <v>655</v>
      </c>
      <c r="J3890" s="0" t="s">
        <v>100</v>
      </c>
      <c r="K3890" s="0" t="s">
        <v>168</v>
      </c>
      <c r="L3890" s="0" t="s">
        <v>101</v>
      </c>
      <c r="M3890" s="0" t="s">
        <v>656</v>
      </c>
      <c r="N3890" s="0" t="s">
        <v>101</v>
      </c>
      <c r="P3890" s="0" t="s">
        <v>102</v>
      </c>
      <c r="Q3890" s="0" t="s">
        <v>102</v>
      </c>
      <c r="R3890" s="0" t="s">
        <v>131</v>
      </c>
      <c r="S3890" s="0" t="s">
        <v>21</v>
      </c>
      <c r="T3890" s="0" t="s">
        <v>104</v>
      </c>
      <c r="W3890" s="0" t="s">
        <v>105</v>
      </c>
      <c r="X3890" s="0" t="s">
        <v>658</v>
      </c>
      <c r="Y3890" s="0" t="s">
        <v>659</v>
      </c>
    </row>
    <row r="3891" customFormat="false" ht="15" hidden="false" customHeight="false" outlineLevel="0" collapsed="false">
      <c r="A3891" s="0" t="s">
        <v>21</v>
      </c>
      <c r="B3891" s="0" t="s">
        <v>12299</v>
      </c>
      <c r="C3891" s="0" t="s">
        <v>97</v>
      </c>
      <c r="D3891" s="0" t="s">
        <v>12300</v>
      </c>
      <c r="E3891" s="0" t="s">
        <v>12301</v>
      </c>
      <c r="M3891" s="0" t="s">
        <v>136</v>
      </c>
      <c r="N3891" s="0" t="s">
        <v>124</v>
      </c>
      <c r="P3891" s="0" t="s">
        <v>102</v>
      </c>
      <c r="Q3891" s="0" t="s">
        <v>102</v>
      </c>
      <c r="R3891" s="0" t="s">
        <v>131</v>
      </c>
      <c r="S3891" s="0" t="s">
        <v>21</v>
      </c>
      <c r="T3891" s="0" t="s">
        <v>104</v>
      </c>
      <c r="W3891" s="0" t="s">
        <v>105</v>
      </c>
    </row>
    <row r="3892" customFormat="false" ht="15" hidden="false" customHeight="false" outlineLevel="0" collapsed="false">
      <c r="A3892" s="0" t="s">
        <v>21</v>
      </c>
      <c r="B3892" s="0" t="s">
        <v>12302</v>
      </c>
      <c r="C3892" s="0" t="s">
        <v>97</v>
      </c>
      <c r="D3892" s="0" t="s">
        <v>12303</v>
      </c>
      <c r="E3892" s="0" t="s">
        <v>12304</v>
      </c>
      <c r="M3892" s="0" t="s">
        <v>136</v>
      </c>
      <c r="N3892" s="0" t="s">
        <v>124</v>
      </c>
      <c r="P3892" s="0" t="s">
        <v>102</v>
      </c>
      <c r="Q3892" s="0" t="s">
        <v>102</v>
      </c>
      <c r="R3892" s="0" t="s">
        <v>131</v>
      </c>
      <c r="S3892" s="0" t="s">
        <v>21</v>
      </c>
      <c r="T3892" s="0" t="s">
        <v>104</v>
      </c>
      <c r="W3892" s="0" t="s">
        <v>105</v>
      </c>
    </row>
    <row r="3893" customFormat="false" ht="15" hidden="false" customHeight="false" outlineLevel="0" collapsed="false">
      <c r="A3893" s="0" t="s">
        <v>21</v>
      </c>
      <c r="B3893" s="0" t="s">
        <v>12305</v>
      </c>
      <c r="C3893" s="0" t="s">
        <v>97</v>
      </c>
      <c r="D3893" s="0" t="s">
        <v>12306</v>
      </c>
      <c r="E3893" s="0" t="s">
        <v>12307</v>
      </c>
      <c r="H3893" s="0" t="s">
        <v>654</v>
      </c>
      <c r="I3893" s="0" t="s">
        <v>655</v>
      </c>
      <c r="J3893" s="0" t="s">
        <v>100</v>
      </c>
      <c r="K3893" s="0" t="s">
        <v>168</v>
      </c>
      <c r="L3893" s="0" t="s">
        <v>101</v>
      </c>
      <c r="M3893" s="0" t="s">
        <v>656</v>
      </c>
      <c r="N3893" s="0" t="s">
        <v>101</v>
      </c>
      <c r="P3893" s="0" t="s">
        <v>102</v>
      </c>
      <c r="Q3893" s="0" t="s">
        <v>102</v>
      </c>
      <c r="R3893" s="0" t="s">
        <v>113</v>
      </c>
      <c r="S3893" s="0" t="s">
        <v>21</v>
      </c>
      <c r="T3893" s="0" t="s">
        <v>104</v>
      </c>
      <c r="W3893" s="0" t="s">
        <v>105</v>
      </c>
      <c r="X3893" s="0" t="s">
        <v>658</v>
      </c>
      <c r="Y3893" s="0" t="s">
        <v>659</v>
      </c>
    </row>
    <row r="3894" customFormat="false" ht="15" hidden="false" customHeight="false" outlineLevel="0" collapsed="false">
      <c r="A3894" s="0" t="s">
        <v>21</v>
      </c>
      <c r="B3894" s="0" t="s">
        <v>12308</v>
      </c>
      <c r="C3894" s="0" t="s">
        <v>97</v>
      </c>
      <c r="D3894" s="0" t="s">
        <v>12309</v>
      </c>
      <c r="E3894" s="0" t="s">
        <v>12310</v>
      </c>
      <c r="M3894" s="0" t="s">
        <v>442</v>
      </c>
      <c r="N3894" s="0" t="s">
        <v>101</v>
      </c>
      <c r="P3894" s="0" t="s">
        <v>102</v>
      </c>
      <c r="Q3894" s="0" t="s">
        <v>102</v>
      </c>
      <c r="R3894" s="0" t="s">
        <v>113</v>
      </c>
      <c r="S3894" s="0" t="s">
        <v>21</v>
      </c>
      <c r="T3894" s="0" t="s">
        <v>104</v>
      </c>
      <c r="W3894" s="0" t="s">
        <v>105</v>
      </c>
    </row>
    <row r="3895" customFormat="false" ht="15" hidden="false" customHeight="false" outlineLevel="0" collapsed="false">
      <c r="A3895" s="0" t="s">
        <v>21</v>
      </c>
      <c r="B3895" s="0" t="s">
        <v>12311</v>
      </c>
      <c r="C3895" s="0" t="s">
        <v>97</v>
      </c>
      <c r="D3895" s="0" t="s">
        <v>4827</v>
      </c>
      <c r="E3895" s="0" t="s">
        <v>12312</v>
      </c>
      <c r="H3895" s="0" t="s">
        <v>654</v>
      </c>
      <c r="I3895" s="0" t="s">
        <v>655</v>
      </c>
      <c r="J3895" s="0" t="s">
        <v>100</v>
      </c>
      <c r="K3895" s="0" t="s">
        <v>168</v>
      </c>
      <c r="L3895" s="0" t="s">
        <v>101</v>
      </c>
      <c r="M3895" s="0" t="s">
        <v>656</v>
      </c>
      <c r="N3895" s="0" t="s">
        <v>101</v>
      </c>
      <c r="P3895" s="0" t="s">
        <v>102</v>
      </c>
      <c r="Q3895" s="0" t="s">
        <v>102</v>
      </c>
      <c r="R3895" s="0" t="s">
        <v>113</v>
      </c>
      <c r="S3895" s="0" t="s">
        <v>21</v>
      </c>
      <c r="T3895" s="0" t="s">
        <v>104</v>
      </c>
      <c r="W3895" s="0" t="s">
        <v>105</v>
      </c>
      <c r="X3895" s="0" t="s">
        <v>658</v>
      </c>
      <c r="Y3895" s="0" t="s">
        <v>659</v>
      </c>
    </row>
    <row r="3896" customFormat="false" ht="15" hidden="false" customHeight="false" outlineLevel="0" collapsed="false">
      <c r="A3896" s="0" t="s">
        <v>21</v>
      </c>
      <c r="B3896" s="0" t="s">
        <v>12313</v>
      </c>
      <c r="C3896" s="0" t="s">
        <v>211</v>
      </c>
      <c r="D3896" s="0" t="s">
        <v>12314</v>
      </c>
      <c r="E3896" s="0" t="s">
        <v>12315</v>
      </c>
      <c r="F3896" s="0" t="s">
        <v>12315</v>
      </c>
      <c r="G3896" s="0" t="s">
        <v>12316</v>
      </c>
      <c r="M3896" s="0" t="s">
        <v>1539</v>
      </c>
      <c r="N3896" s="0" t="s">
        <v>101</v>
      </c>
      <c r="P3896" s="0" t="s">
        <v>102</v>
      </c>
      <c r="Q3896" s="0" t="s">
        <v>102</v>
      </c>
      <c r="R3896" s="0" t="s">
        <v>113</v>
      </c>
      <c r="S3896" s="0" t="s">
        <v>21</v>
      </c>
      <c r="T3896" s="0" t="s">
        <v>104</v>
      </c>
      <c r="W3896" s="0" t="s">
        <v>105</v>
      </c>
    </row>
    <row r="3897" customFormat="false" ht="15" hidden="false" customHeight="false" outlineLevel="0" collapsed="false">
      <c r="A3897" s="0" t="s">
        <v>21</v>
      </c>
      <c r="B3897" s="0" t="s">
        <v>12317</v>
      </c>
      <c r="C3897" s="0" t="s">
        <v>97</v>
      </c>
      <c r="D3897" s="0" t="s">
        <v>12318</v>
      </c>
      <c r="E3897" s="0" t="s">
        <v>12319</v>
      </c>
      <c r="H3897" s="0" t="s">
        <v>654</v>
      </c>
      <c r="I3897" s="0" t="s">
        <v>655</v>
      </c>
      <c r="J3897" s="0" t="s">
        <v>100</v>
      </c>
      <c r="K3897" s="0" t="s">
        <v>168</v>
      </c>
      <c r="L3897" s="0" t="s">
        <v>101</v>
      </c>
      <c r="M3897" s="0" t="s">
        <v>656</v>
      </c>
      <c r="N3897" s="0" t="s">
        <v>101</v>
      </c>
      <c r="P3897" s="0" t="s">
        <v>102</v>
      </c>
      <c r="Q3897" s="0" t="s">
        <v>102</v>
      </c>
      <c r="R3897" s="0" t="s">
        <v>113</v>
      </c>
      <c r="S3897" s="0" t="s">
        <v>21</v>
      </c>
      <c r="T3897" s="0" t="s">
        <v>104</v>
      </c>
      <c r="W3897" s="0" t="s">
        <v>105</v>
      </c>
      <c r="X3897" s="0" t="s">
        <v>658</v>
      </c>
      <c r="Y3897" s="0" t="s">
        <v>659</v>
      </c>
    </row>
    <row r="3898" customFormat="false" ht="15" hidden="false" customHeight="false" outlineLevel="0" collapsed="false">
      <c r="A3898" s="0" t="s">
        <v>21</v>
      </c>
      <c r="B3898" s="0" t="s">
        <v>12320</v>
      </c>
      <c r="C3898" s="0" t="s">
        <v>97</v>
      </c>
      <c r="D3898" s="0" t="s">
        <v>12321</v>
      </c>
      <c r="E3898" s="0" t="s">
        <v>12322</v>
      </c>
      <c r="H3898" s="0" t="s">
        <v>654</v>
      </c>
      <c r="I3898" s="0" t="s">
        <v>655</v>
      </c>
      <c r="J3898" s="0" t="s">
        <v>100</v>
      </c>
      <c r="K3898" s="0" t="s">
        <v>168</v>
      </c>
      <c r="L3898" s="0" t="s">
        <v>101</v>
      </c>
      <c r="M3898" s="0" t="s">
        <v>656</v>
      </c>
      <c r="N3898" s="0" t="s">
        <v>101</v>
      </c>
      <c r="P3898" s="0" t="s">
        <v>102</v>
      </c>
      <c r="Q3898" s="0" t="s">
        <v>102</v>
      </c>
      <c r="R3898" s="0" t="s">
        <v>113</v>
      </c>
      <c r="S3898" s="0" t="s">
        <v>21</v>
      </c>
      <c r="T3898" s="0" t="s">
        <v>104</v>
      </c>
      <c r="W3898" s="0" t="s">
        <v>105</v>
      </c>
      <c r="X3898" s="0" t="s">
        <v>658</v>
      </c>
      <c r="Y3898" s="0" t="s">
        <v>659</v>
      </c>
    </row>
    <row r="3899" customFormat="false" ht="15" hidden="false" customHeight="false" outlineLevel="0" collapsed="false">
      <c r="A3899" s="0" t="s">
        <v>21</v>
      </c>
      <c r="B3899" s="0" t="s">
        <v>12323</v>
      </c>
      <c r="C3899" s="0" t="s">
        <v>97</v>
      </c>
      <c r="D3899" s="0" t="s">
        <v>12324</v>
      </c>
      <c r="E3899" s="0" t="s">
        <v>12325</v>
      </c>
      <c r="H3899" s="0" t="s">
        <v>654</v>
      </c>
      <c r="I3899" s="0" t="s">
        <v>655</v>
      </c>
      <c r="J3899" s="0" t="s">
        <v>100</v>
      </c>
      <c r="K3899" s="0" t="s">
        <v>168</v>
      </c>
      <c r="L3899" s="0" t="s">
        <v>101</v>
      </c>
      <c r="M3899" s="0" t="s">
        <v>656</v>
      </c>
      <c r="N3899" s="0" t="s">
        <v>101</v>
      </c>
      <c r="P3899" s="0" t="s">
        <v>102</v>
      </c>
      <c r="Q3899" s="0" t="s">
        <v>102</v>
      </c>
      <c r="R3899" s="0" t="s">
        <v>113</v>
      </c>
      <c r="S3899" s="0" t="s">
        <v>21</v>
      </c>
      <c r="T3899" s="0" t="s">
        <v>104</v>
      </c>
      <c r="W3899" s="0" t="s">
        <v>105</v>
      </c>
      <c r="X3899" s="0" t="s">
        <v>658</v>
      </c>
      <c r="Y3899" s="0" t="s">
        <v>659</v>
      </c>
    </row>
    <row r="3900" customFormat="false" ht="15" hidden="false" customHeight="false" outlineLevel="0" collapsed="false">
      <c r="A3900" s="0" t="s">
        <v>21</v>
      </c>
      <c r="B3900" s="0" t="s">
        <v>12326</v>
      </c>
      <c r="C3900" s="0" t="s">
        <v>97</v>
      </c>
      <c r="D3900" s="0" t="s">
        <v>12321</v>
      </c>
      <c r="E3900" s="0" t="s">
        <v>12327</v>
      </c>
      <c r="H3900" s="0" t="s">
        <v>654</v>
      </c>
      <c r="I3900" s="0" t="s">
        <v>655</v>
      </c>
      <c r="J3900" s="0" t="s">
        <v>100</v>
      </c>
      <c r="K3900" s="0" t="s">
        <v>168</v>
      </c>
      <c r="L3900" s="0" t="s">
        <v>101</v>
      </c>
      <c r="M3900" s="0" t="s">
        <v>656</v>
      </c>
      <c r="N3900" s="0" t="s">
        <v>101</v>
      </c>
      <c r="P3900" s="0" t="s">
        <v>102</v>
      </c>
      <c r="Q3900" s="0" t="s">
        <v>102</v>
      </c>
      <c r="R3900" s="0" t="s">
        <v>113</v>
      </c>
      <c r="S3900" s="0" t="s">
        <v>21</v>
      </c>
      <c r="T3900" s="0" t="s">
        <v>104</v>
      </c>
      <c r="W3900" s="0" t="s">
        <v>105</v>
      </c>
      <c r="X3900" s="0" t="s">
        <v>658</v>
      </c>
      <c r="Y3900" s="0" t="s">
        <v>659</v>
      </c>
    </row>
    <row r="3901" customFormat="false" ht="15" hidden="false" customHeight="false" outlineLevel="0" collapsed="false">
      <c r="A3901" s="0" t="s">
        <v>21</v>
      </c>
      <c r="B3901" s="0" t="s">
        <v>12328</v>
      </c>
      <c r="C3901" s="0" t="s">
        <v>97</v>
      </c>
      <c r="D3901" s="0" t="s">
        <v>12329</v>
      </c>
      <c r="E3901" s="0" t="s">
        <v>12330</v>
      </c>
      <c r="H3901" s="0" t="s">
        <v>654</v>
      </c>
      <c r="I3901" s="0" t="s">
        <v>655</v>
      </c>
      <c r="J3901" s="0" t="s">
        <v>100</v>
      </c>
      <c r="K3901" s="0" t="s">
        <v>168</v>
      </c>
      <c r="L3901" s="0" t="s">
        <v>101</v>
      </c>
      <c r="M3901" s="0" t="s">
        <v>656</v>
      </c>
      <c r="N3901" s="0" t="s">
        <v>101</v>
      </c>
      <c r="P3901" s="0" t="s">
        <v>102</v>
      </c>
      <c r="Q3901" s="0" t="s">
        <v>102</v>
      </c>
      <c r="R3901" s="0" t="s">
        <v>113</v>
      </c>
      <c r="S3901" s="0" t="s">
        <v>21</v>
      </c>
      <c r="T3901" s="0" t="s">
        <v>104</v>
      </c>
      <c r="W3901" s="0" t="s">
        <v>105</v>
      </c>
      <c r="X3901" s="0" t="s">
        <v>658</v>
      </c>
      <c r="Y3901" s="0" t="s">
        <v>659</v>
      </c>
    </row>
    <row r="3902" customFormat="false" ht="15" hidden="false" customHeight="false" outlineLevel="0" collapsed="false">
      <c r="A3902" s="0" t="s">
        <v>21</v>
      </c>
      <c r="B3902" s="0" t="s">
        <v>12331</v>
      </c>
      <c r="C3902" s="0" t="s">
        <v>97</v>
      </c>
      <c r="D3902" s="0" t="s">
        <v>12332</v>
      </c>
      <c r="E3902" s="0" t="s">
        <v>12333</v>
      </c>
      <c r="H3902" s="0" t="s">
        <v>654</v>
      </c>
      <c r="I3902" s="0" t="s">
        <v>655</v>
      </c>
      <c r="J3902" s="0" t="s">
        <v>100</v>
      </c>
      <c r="K3902" s="0" t="s">
        <v>168</v>
      </c>
      <c r="L3902" s="0" t="s">
        <v>101</v>
      </c>
      <c r="M3902" s="0" t="s">
        <v>656</v>
      </c>
      <c r="N3902" s="0" t="s">
        <v>101</v>
      </c>
      <c r="P3902" s="0" t="s">
        <v>102</v>
      </c>
      <c r="Q3902" s="0" t="s">
        <v>102</v>
      </c>
      <c r="R3902" s="0" t="s">
        <v>113</v>
      </c>
      <c r="S3902" s="0" t="s">
        <v>21</v>
      </c>
      <c r="T3902" s="0" t="s">
        <v>104</v>
      </c>
      <c r="W3902" s="0" t="s">
        <v>105</v>
      </c>
      <c r="X3902" s="0" t="s">
        <v>658</v>
      </c>
      <c r="Y3902" s="0" t="s">
        <v>659</v>
      </c>
    </row>
    <row r="3903" customFormat="false" ht="15" hidden="false" customHeight="false" outlineLevel="0" collapsed="false">
      <c r="A3903" s="0" t="s">
        <v>21</v>
      </c>
      <c r="B3903" s="0" t="s">
        <v>12334</v>
      </c>
      <c r="C3903" s="0" t="s">
        <v>97</v>
      </c>
      <c r="D3903" s="0" t="s">
        <v>12335</v>
      </c>
      <c r="E3903" s="0" t="s">
        <v>12336</v>
      </c>
      <c r="H3903" s="0" t="s">
        <v>654</v>
      </c>
      <c r="I3903" s="0" t="s">
        <v>655</v>
      </c>
      <c r="J3903" s="0" t="s">
        <v>100</v>
      </c>
      <c r="K3903" s="0" t="s">
        <v>168</v>
      </c>
      <c r="L3903" s="0" t="s">
        <v>101</v>
      </c>
      <c r="M3903" s="0" t="s">
        <v>656</v>
      </c>
      <c r="N3903" s="0" t="s">
        <v>101</v>
      </c>
      <c r="P3903" s="0" t="s">
        <v>102</v>
      </c>
      <c r="Q3903" s="0" t="s">
        <v>102</v>
      </c>
      <c r="R3903" s="0" t="s">
        <v>113</v>
      </c>
      <c r="S3903" s="0" t="s">
        <v>21</v>
      </c>
      <c r="T3903" s="0" t="s">
        <v>104</v>
      </c>
      <c r="W3903" s="0" t="s">
        <v>105</v>
      </c>
      <c r="X3903" s="0" t="s">
        <v>658</v>
      </c>
      <c r="Y3903" s="0" t="s">
        <v>659</v>
      </c>
    </row>
    <row r="3904" customFormat="false" ht="15" hidden="false" customHeight="false" outlineLevel="0" collapsed="false">
      <c r="A3904" s="0" t="s">
        <v>21</v>
      </c>
      <c r="B3904" s="0" t="s">
        <v>12337</v>
      </c>
      <c r="C3904" s="0" t="s">
        <v>97</v>
      </c>
      <c r="D3904" s="0" t="s">
        <v>12338</v>
      </c>
      <c r="E3904" s="0" t="s">
        <v>12339</v>
      </c>
      <c r="H3904" s="0" t="s">
        <v>654</v>
      </c>
      <c r="I3904" s="0" t="s">
        <v>655</v>
      </c>
      <c r="J3904" s="0" t="s">
        <v>100</v>
      </c>
      <c r="K3904" s="0" t="s">
        <v>168</v>
      </c>
      <c r="L3904" s="0" t="s">
        <v>101</v>
      </c>
      <c r="M3904" s="0" t="s">
        <v>656</v>
      </c>
      <c r="N3904" s="0" t="s">
        <v>101</v>
      </c>
      <c r="P3904" s="0" t="s">
        <v>102</v>
      </c>
      <c r="Q3904" s="0" t="s">
        <v>102</v>
      </c>
      <c r="R3904" s="0" t="s">
        <v>113</v>
      </c>
      <c r="S3904" s="0" t="s">
        <v>21</v>
      </c>
      <c r="T3904" s="0" t="s">
        <v>104</v>
      </c>
      <c r="W3904" s="0" t="s">
        <v>105</v>
      </c>
      <c r="X3904" s="0" t="s">
        <v>658</v>
      </c>
      <c r="Y3904" s="0" t="s">
        <v>659</v>
      </c>
    </row>
    <row r="3905" customFormat="false" ht="15" hidden="false" customHeight="false" outlineLevel="0" collapsed="false">
      <c r="A3905" s="0" t="s">
        <v>21</v>
      </c>
      <c r="B3905" s="0" t="s">
        <v>12340</v>
      </c>
      <c r="C3905" s="0" t="s">
        <v>97</v>
      </c>
      <c r="D3905" s="0" t="s">
        <v>12341</v>
      </c>
      <c r="E3905" s="0" t="s">
        <v>12342</v>
      </c>
      <c r="H3905" s="0" t="s">
        <v>654</v>
      </c>
      <c r="I3905" s="0" t="s">
        <v>655</v>
      </c>
      <c r="J3905" s="0" t="s">
        <v>100</v>
      </c>
      <c r="K3905" s="0" t="s">
        <v>168</v>
      </c>
      <c r="L3905" s="0" t="s">
        <v>101</v>
      </c>
      <c r="M3905" s="0" t="s">
        <v>656</v>
      </c>
      <c r="N3905" s="0" t="s">
        <v>101</v>
      </c>
      <c r="P3905" s="0" t="s">
        <v>102</v>
      </c>
      <c r="Q3905" s="0" t="s">
        <v>102</v>
      </c>
      <c r="R3905" s="0" t="s">
        <v>113</v>
      </c>
      <c r="S3905" s="0" t="s">
        <v>21</v>
      </c>
      <c r="T3905" s="0" t="s">
        <v>104</v>
      </c>
      <c r="W3905" s="0" t="s">
        <v>105</v>
      </c>
      <c r="X3905" s="0" t="s">
        <v>658</v>
      </c>
      <c r="Y3905" s="0" t="s">
        <v>659</v>
      </c>
    </row>
    <row r="3906" customFormat="false" ht="15" hidden="false" customHeight="false" outlineLevel="0" collapsed="false">
      <c r="A3906" s="0" t="s">
        <v>21</v>
      </c>
      <c r="B3906" s="0" t="s">
        <v>12343</v>
      </c>
      <c r="C3906" s="0" t="s">
        <v>97</v>
      </c>
      <c r="D3906" s="0" t="s">
        <v>12344</v>
      </c>
      <c r="E3906" s="0" t="s">
        <v>12345</v>
      </c>
      <c r="H3906" s="0" t="s">
        <v>654</v>
      </c>
      <c r="I3906" s="0" t="s">
        <v>655</v>
      </c>
      <c r="J3906" s="0" t="s">
        <v>100</v>
      </c>
      <c r="K3906" s="0" t="s">
        <v>168</v>
      </c>
      <c r="L3906" s="0" t="s">
        <v>101</v>
      </c>
      <c r="M3906" s="0" t="s">
        <v>656</v>
      </c>
      <c r="N3906" s="0" t="s">
        <v>101</v>
      </c>
      <c r="P3906" s="0" t="s">
        <v>102</v>
      </c>
      <c r="Q3906" s="0" t="s">
        <v>102</v>
      </c>
      <c r="R3906" s="0" t="s">
        <v>113</v>
      </c>
      <c r="S3906" s="0" t="s">
        <v>21</v>
      </c>
      <c r="T3906" s="0" t="s">
        <v>104</v>
      </c>
      <c r="W3906" s="0" t="s">
        <v>105</v>
      </c>
      <c r="X3906" s="0" t="s">
        <v>658</v>
      </c>
      <c r="Y3906" s="0" t="s">
        <v>659</v>
      </c>
    </row>
    <row r="3907" customFormat="false" ht="15" hidden="false" customHeight="false" outlineLevel="0" collapsed="false">
      <c r="A3907" s="0" t="s">
        <v>21</v>
      </c>
      <c r="B3907" s="0" t="s">
        <v>12346</v>
      </c>
      <c r="C3907" s="0" t="s">
        <v>97</v>
      </c>
      <c r="D3907" s="0" t="s">
        <v>12347</v>
      </c>
      <c r="E3907" s="0" t="s">
        <v>12348</v>
      </c>
      <c r="H3907" s="0" t="s">
        <v>654</v>
      </c>
      <c r="I3907" s="0" t="s">
        <v>655</v>
      </c>
      <c r="J3907" s="0" t="s">
        <v>100</v>
      </c>
      <c r="K3907" s="0" t="s">
        <v>168</v>
      </c>
      <c r="L3907" s="0" t="s">
        <v>101</v>
      </c>
      <c r="M3907" s="0" t="s">
        <v>656</v>
      </c>
      <c r="N3907" s="0" t="s">
        <v>101</v>
      </c>
      <c r="P3907" s="0" t="s">
        <v>102</v>
      </c>
      <c r="Q3907" s="0" t="s">
        <v>102</v>
      </c>
      <c r="R3907" s="0" t="s">
        <v>113</v>
      </c>
      <c r="S3907" s="0" t="s">
        <v>21</v>
      </c>
      <c r="T3907" s="0" t="s">
        <v>104</v>
      </c>
      <c r="W3907" s="0" t="s">
        <v>105</v>
      </c>
      <c r="X3907" s="0" t="s">
        <v>658</v>
      </c>
      <c r="Y3907" s="0" t="s">
        <v>659</v>
      </c>
    </row>
    <row r="3908" customFormat="false" ht="15" hidden="false" customHeight="false" outlineLevel="0" collapsed="false">
      <c r="A3908" s="0" t="s">
        <v>21</v>
      </c>
      <c r="B3908" s="0" t="s">
        <v>12349</v>
      </c>
      <c r="C3908" s="0" t="s">
        <v>97</v>
      </c>
      <c r="D3908" s="0" t="s">
        <v>12350</v>
      </c>
      <c r="E3908" s="0" t="s">
        <v>12351</v>
      </c>
      <c r="H3908" s="0" t="s">
        <v>654</v>
      </c>
      <c r="I3908" s="0" t="s">
        <v>655</v>
      </c>
      <c r="J3908" s="0" t="s">
        <v>100</v>
      </c>
      <c r="K3908" s="0" t="s">
        <v>168</v>
      </c>
      <c r="L3908" s="0" t="s">
        <v>101</v>
      </c>
      <c r="M3908" s="0" t="s">
        <v>656</v>
      </c>
      <c r="N3908" s="0" t="s">
        <v>101</v>
      </c>
      <c r="P3908" s="0" t="s">
        <v>102</v>
      </c>
      <c r="Q3908" s="0" t="s">
        <v>102</v>
      </c>
      <c r="R3908" s="0" t="s">
        <v>113</v>
      </c>
      <c r="S3908" s="0" t="s">
        <v>21</v>
      </c>
      <c r="T3908" s="0" t="s">
        <v>104</v>
      </c>
      <c r="W3908" s="0" t="s">
        <v>105</v>
      </c>
      <c r="X3908" s="0" t="s">
        <v>658</v>
      </c>
      <c r="Y3908" s="0" t="s">
        <v>659</v>
      </c>
    </row>
    <row r="3909" customFormat="false" ht="15" hidden="false" customHeight="false" outlineLevel="0" collapsed="false">
      <c r="A3909" s="0" t="s">
        <v>21</v>
      </c>
      <c r="B3909" s="0" t="s">
        <v>12352</v>
      </c>
      <c r="C3909" s="0" t="s">
        <v>97</v>
      </c>
      <c r="D3909" s="0" t="s">
        <v>12353</v>
      </c>
      <c r="E3909" s="0" t="s">
        <v>12354</v>
      </c>
      <c r="H3909" s="0" t="s">
        <v>654</v>
      </c>
      <c r="I3909" s="0" t="s">
        <v>655</v>
      </c>
      <c r="J3909" s="0" t="s">
        <v>100</v>
      </c>
      <c r="K3909" s="0" t="s">
        <v>168</v>
      </c>
      <c r="L3909" s="0" t="s">
        <v>101</v>
      </c>
      <c r="M3909" s="0" t="s">
        <v>656</v>
      </c>
      <c r="N3909" s="0" t="s">
        <v>101</v>
      </c>
      <c r="P3909" s="0" t="s">
        <v>102</v>
      </c>
      <c r="Q3909" s="0" t="s">
        <v>102</v>
      </c>
      <c r="R3909" s="0" t="s">
        <v>113</v>
      </c>
      <c r="S3909" s="0" t="s">
        <v>21</v>
      </c>
      <c r="T3909" s="0" t="s">
        <v>104</v>
      </c>
      <c r="W3909" s="0" t="s">
        <v>105</v>
      </c>
      <c r="X3909" s="0" t="s">
        <v>658</v>
      </c>
      <c r="Y3909" s="0" t="s">
        <v>659</v>
      </c>
    </row>
    <row r="3910" customFormat="false" ht="15" hidden="false" customHeight="false" outlineLevel="0" collapsed="false">
      <c r="A3910" s="0" t="s">
        <v>21</v>
      </c>
      <c r="B3910" s="0" t="s">
        <v>12355</v>
      </c>
      <c r="C3910" s="0" t="s">
        <v>97</v>
      </c>
      <c r="D3910" s="0" t="s">
        <v>4875</v>
      </c>
      <c r="E3910" s="0" t="s">
        <v>12356</v>
      </c>
      <c r="F3910" s="0" t="s">
        <v>12357</v>
      </c>
      <c r="H3910" s="0" t="s">
        <v>654</v>
      </c>
      <c r="I3910" s="0" t="s">
        <v>655</v>
      </c>
      <c r="J3910" s="0" t="s">
        <v>100</v>
      </c>
      <c r="K3910" s="0" t="s">
        <v>168</v>
      </c>
      <c r="L3910" s="0" t="s">
        <v>101</v>
      </c>
      <c r="M3910" s="0" t="s">
        <v>656</v>
      </c>
      <c r="N3910" s="0" t="s">
        <v>101</v>
      </c>
      <c r="P3910" s="0" t="s">
        <v>102</v>
      </c>
      <c r="Q3910" s="0" t="s">
        <v>102</v>
      </c>
      <c r="R3910" s="0" t="s">
        <v>113</v>
      </c>
      <c r="S3910" s="0" t="s">
        <v>21</v>
      </c>
      <c r="T3910" s="0" t="s">
        <v>104</v>
      </c>
      <c r="W3910" s="0" t="s">
        <v>105</v>
      </c>
      <c r="X3910" s="0" t="s">
        <v>658</v>
      </c>
      <c r="Y3910" s="0" t="s">
        <v>659</v>
      </c>
    </row>
    <row r="3911" customFormat="false" ht="15" hidden="false" customHeight="false" outlineLevel="0" collapsed="false">
      <c r="A3911" s="0" t="s">
        <v>21</v>
      </c>
      <c r="B3911" s="0" t="s">
        <v>12358</v>
      </c>
      <c r="C3911" s="0" t="s">
        <v>97</v>
      </c>
      <c r="D3911" s="0" t="s">
        <v>12359</v>
      </c>
      <c r="E3911" s="0" t="s">
        <v>12360</v>
      </c>
      <c r="H3911" s="0" t="s">
        <v>654</v>
      </c>
      <c r="I3911" s="0" t="s">
        <v>655</v>
      </c>
      <c r="J3911" s="0" t="s">
        <v>100</v>
      </c>
      <c r="K3911" s="0" t="s">
        <v>168</v>
      </c>
      <c r="L3911" s="0" t="s">
        <v>101</v>
      </c>
      <c r="M3911" s="0" t="s">
        <v>656</v>
      </c>
      <c r="N3911" s="0" t="s">
        <v>101</v>
      </c>
      <c r="P3911" s="0" t="s">
        <v>102</v>
      </c>
      <c r="Q3911" s="0" t="s">
        <v>102</v>
      </c>
      <c r="R3911" s="0" t="s">
        <v>113</v>
      </c>
      <c r="S3911" s="0" t="s">
        <v>21</v>
      </c>
      <c r="T3911" s="0" t="s">
        <v>104</v>
      </c>
      <c r="W3911" s="0" t="s">
        <v>105</v>
      </c>
      <c r="X3911" s="0" t="s">
        <v>658</v>
      </c>
      <c r="Y3911" s="0" t="s">
        <v>659</v>
      </c>
    </row>
    <row r="3912" customFormat="false" ht="15" hidden="false" customHeight="false" outlineLevel="0" collapsed="false">
      <c r="A3912" s="0" t="s">
        <v>21</v>
      </c>
      <c r="B3912" s="0" t="s">
        <v>12361</v>
      </c>
      <c r="C3912" s="0" t="s">
        <v>97</v>
      </c>
      <c r="D3912" s="0" t="s">
        <v>12362</v>
      </c>
      <c r="E3912" s="0" t="s">
        <v>12363</v>
      </c>
      <c r="G3912" s="0" t="s">
        <v>12364</v>
      </c>
      <c r="H3912" s="0" t="s">
        <v>654</v>
      </c>
      <c r="I3912" s="0" t="s">
        <v>655</v>
      </c>
      <c r="J3912" s="0" t="s">
        <v>100</v>
      </c>
      <c r="K3912" s="0" t="s">
        <v>168</v>
      </c>
      <c r="L3912" s="0" t="s">
        <v>101</v>
      </c>
      <c r="M3912" s="0" t="s">
        <v>656</v>
      </c>
      <c r="N3912" s="0" t="s">
        <v>101</v>
      </c>
      <c r="P3912" s="0" t="s">
        <v>102</v>
      </c>
      <c r="Q3912" s="0" t="s">
        <v>102</v>
      </c>
      <c r="R3912" s="0" t="s">
        <v>113</v>
      </c>
      <c r="S3912" s="0" t="s">
        <v>21</v>
      </c>
      <c r="T3912" s="0" t="s">
        <v>104</v>
      </c>
      <c r="W3912" s="0" t="s">
        <v>105</v>
      </c>
      <c r="X3912" s="0" t="s">
        <v>658</v>
      </c>
      <c r="Y3912" s="0" t="s">
        <v>659</v>
      </c>
    </row>
    <row r="3913" customFormat="false" ht="15" hidden="false" customHeight="false" outlineLevel="0" collapsed="false">
      <c r="A3913" s="0" t="s">
        <v>21</v>
      </c>
      <c r="B3913" s="0" t="s">
        <v>12365</v>
      </c>
      <c r="C3913" s="0" t="s">
        <v>97</v>
      </c>
      <c r="D3913" s="0" t="s">
        <v>12366</v>
      </c>
      <c r="E3913" s="0" t="s">
        <v>12367</v>
      </c>
      <c r="H3913" s="0" t="s">
        <v>654</v>
      </c>
      <c r="I3913" s="0" t="s">
        <v>655</v>
      </c>
      <c r="J3913" s="0" t="s">
        <v>100</v>
      </c>
      <c r="K3913" s="0" t="s">
        <v>168</v>
      </c>
      <c r="L3913" s="0" t="s">
        <v>101</v>
      </c>
      <c r="M3913" s="0" t="s">
        <v>656</v>
      </c>
      <c r="N3913" s="0" t="s">
        <v>101</v>
      </c>
      <c r="P3913" s="0" t="s">
        <v>102</v>
      </c>
      <c r="Q3913" s="0" t="s">
        <v>102</v>
      </c>
      <c r="R3913" s="0" t="s">
        <v>113</v>
      </c>
      <c r="S3913" s="0" t="s">
        <v>21</v>
      </c>
      <c r="T3913" s="0" t="s">
        <v>104</v>
      </c>
      <c r="W3913" s="0" t="s">
        <v>105</v>
      </c>
      <c r="X3913" s="0" t="s">
        <v>658</v>
      </c>
      <c r="Y3913" s="0" t="s">
        <v>659</v>
      </c>
    </row>
    <row r="3914" customFormat="false" ht="15" hidden="false" customHeight="false" outlineLevel="0" collapsed="false">
      <c r="A3914" s="0" t="s">
        <v>21</v>
      </c>
      <c r="B3914" s="0" t="s">
        <v>12368</v>
      </c>
      <c r="C3914" s="0" t="s">
        <v>97</v>
      </c>
      <c r="D3914" s="0" t="s">
        <v>12369</v>
      </c>
      <c r="E3914" s="0" t="s">
        <v>12370</v>
      </c>
      <c r="H3914" s="0" t="s">
        <v>654</v>
      </c>
      <c r="I3914" s="0" t="s">
        <v>655</v>
      </c>
      <c r="J3914" s="0" t="s">
        <v>100</v>
      </c>
      <c r="K3914" s="0" t="s">
        <v>168</v>
      </c>
      <c r="L3914" s="0" t="s">
        <v>101</v>
      </c>
      <c r="M3914" s="0" t="s">
        <v>656</v>
      </c>
      <c r="N3914" s="0" t="s">
        <v>101</v>
      </c>
      <c r="P3914" s="0" t="s">
        <v>102</v>
      </c>
      <c r="Q3914" s="0" t="s">
        <v>102</v>
      </c>
      <c r="R3914" s="0" t="s">
        <v>113</v>
      </c>
      <c r="S3914" s="0" t="s">
        <v>21</v>
      </c>
      <c r="T3914" s="0" t="s">
        <v>104</v>
      </c>
      <c r="W3914" s="0" t="s">
        <v>105</v>
      </c>
      <c r="X3914" s="0" t="s">
        <v>658</v>
      </c>
      <c r="Y3914" s="0" t="s">
        <v>659</v>
      </c>
    </row>
    <row r="3915" customFormat="false" ht="15" hidden="false" customHeight="false" outlineLevel="0" collapsed="false">
      <c r="A3915" s="0" t="s">
        <v>21</v>
      </c>
      <c r="B3915" s="0" t="s">
        <v>12371</v>
      </c>
      <c r="C3915" s="0" t="s">
        <v>97</v>
      </c>
      <c r="D3915" s="0" t="s">
        <v>12372</v>
      </c>
      <c r="E3915" s="0" t="s">
        <v>12373</v>
      </c>
      <c r="H3915" s="0" t="s">
        <v>654</v>
      </c>
      <c r="I3915" s="0" t="s">
        <v>655</v>
      </c>
      <c r="J3915" s="0" t="s">
        <v>100</v>
      </c>
      <c r="K3915" s="0" t="s">
        <v>168</v>
      </c>
      <c r="L3915" s="0" t="s">
        <v>101</v>
      </c>
      <c r="M3915" s="0" t="s">
        <v>656</v>
      </c>
      <c r="N3915" s="0" t="s">
        <v>101</v>
      </c>
      <c r="P3915" s="0" t="s">
        <v>102</v>
      </c>
      <c r="Q3915" s="0" t="s">
        <v>102</v>
      </c>
      <c r="R3915" s="0" t="s">
        <v>113</v>
      </c>
      <c r="S3915" s="0" t="s">
        <v>21</v>
      </c>
      <c r="T3915" s="0" t="s">
        <v>104</v>
      </c>
      <c r="W3915" s="0" t="s">
        <v>105</v>
      </c>
      <c r="X3915" s="0" t="s">
        <v>658</v>
      </c>
      <c r="Y3915" s="0" t="s">
        <v>659</v>
      </c>
    </row>
    <row r="3916" customFormat="false" ht="15" hidden="false" customHeight="false" outlineLevel="0" collapsed="false">
      <c r="A3916" s="0" t="s">
        <v>21</v>
      </c>
      <c r="B3916" s="0" t="s">
        <v>12374</v>
      </c>
      <c r="C3916" s="0" t="s">
        <v>97</v>
      </c>
      <c r="D3916" s="0" t="s">
        <v>12375</v>
      </c>
      <c r="E3916" s="0" t="s">
        <v>12376</v>
      </c>
      <c r="H3916" s="0" t="s">
        <v>654</v>
      </c>
      <c r="I3916" s="0" t="s">
        <v>655</v>
      </c>
      <c r="J3916" s="0" t="s">
        <v>100</v>
      </c>
      <c r="K3916" s="0" t="s">
        <v>168</v>
      </c>
      <c r="L3916" s="0" t="s">
        <v>101</v>
      </c>
      <c r="M3916" s="0" t="s">
        <v>656</v>
      </c>
      <c r="N3916" s="0" t="s">
        <v>101</v>
      </c>
      <c r="P3916" s="0" t="s">
        <v>102</v>
      </c>
      <c r="Q3916" s="0" t="s">
        <v>102</v>
      </c>
      <c r="R3916" s="0" t="s">
        <v>113</v>
      </c>
      <c r="S3916" s="0" t="s">
        <v>21</v>
      </c>
      <c r="T3916" s="0" t="s">
        <v>104</v>
      </c>
      <c r="W3916" s="0" t="s">
        <v>105</v>
      </c>
      <c r="X3916" s="0" t="s">
        <v>658</v>
      </c>
      <c r="Y3916" s="0" t="s">
        <v>659</v>
      </c>
    </row>
    <row r="3917" customFormat="false" ht="15" hidden="false" customHeight="false" outlineLevel="0" collapsed="false">
      <c r="A3917" s="0" t="s">
        <v>21</v>
      </c>
      <c r="B3917" s="0" t="s">
        <v>12377</v>
      </c>
      <c r="C3917" s="0" t="s">
        <v>97</v>
      </c>
      <c r="D3917" s="0" t="s">
        <v>4869</v>
      </c>
      <c r="E3917" s="0" t="s">
        <v>12378</v>
      </c>
      <c r="H3917" s="0" t="s">
        <v>654</v>
      </c>
      <c r="I3917" s="0" t="s">
        <v>655</v>
      </c>
      <c r="J3917" s="0" t="s">
        <v>100</v>
      </c>
      <c r="K3917" s="0" t="s">
        <v>168</v>
      </c>
      <c r="L3917" s="0" t="s">
        <v>101</v>
      </c>
      <c r="M3917" s="0" t="s">
        <v>656</v>
      </c>
      <c r="N3917" s="0" t="s">
        <v>101</v>
      </c>
      <c r="P3917" s="0" t="s">
        <v>102</v>
      </c>
      <c r="Q3917" s="0" t="s">
        <v>102</v>
      </c>
      <c r="R3917" s="0" t="s">
        <v>113</v>
      </c>
      <c r="S3917" s="0" t="s">
        <v>21</v>
      </c>
      <c r="T3917" s="0" t="s">
        <v>104</v>
      </c>
      <c r="W3917" s="0" t="s">
        <v>105</v>
      </c>
      <c r="X3917" s="0" t="s">
        <v>658</v>
      </c>
      <c r="Y3917" s="0" t="s">
        <v>659</v>
      </c>
    </row>
    <row r="3918" customFormat="false" ht="15" hidden="false" customHeight="false" outlineLevel="0" collapsed="false">
      <c r="A3918" s="0" t="s">
        <v>21</v>
      </c>
      <c r="B3918" s="0" t="s">
        <v>12379</v>
      </c>
      <c r="C3918" s="0" t="s">
        <v>97</v>
      </c>
      <c r="D3918" s="0" t="s">
        <v>12380</v>
      </c>
      <c r="E3918" s="0" t="s">
        <v>12381</v>
      </c>
      <c r="H3918" s="0" t="s">
        <v>654</v>
      </c>
      <c r="I3918" s="0" t="s">
        <v>655</v>
      </c>
      <c r="J3918" s="0" t="s">
        <v>100</v>
      </c>
      <c r="K3918" s="0" t="s">
        <v>168</v>
      </c>
      <c r="L3918" s="0" t="s">
        <v>101</v>
      </c>
      <c r="M3918" s="0" t="s">
        <v>656</v>
      </c>
      <c r="N3918" s="0" t="s">
        <v>101</v>
      </c>
      <c r="P3918" s="0" t="s">
        <v>102</v>
      </c>
      <c r="Q3918" s="0" t="s">
        <v>102</v>
      </c>
      <c r="R3918" s="0" t="s">
        <v>113</v>
      </c>
      <c r="S3918" s="0" t="s">
        <v>21</v>
      </c>
      <c r="T3918" s="0" t="s">
        <v>104</v>
      </c>
      <c r="W3918" s="0" t="s">
        <v>105</v>
      </c>
      <c r="X3918" s="0" t="s">
        <v>658</v>
      </c>
      <c r="Y3918" s="0" t="s">
        <v>659</v>
      </c>
    </row>
    <row r="3919" customFormat="false" ht="15" hidden="false" customHeight="false" outlineLevel="0" collapsed="false">
      <c r="A3919" s="0" t="s">
        <v>21</v>
      </c>
      <c r="B3919" s="0" t="s">
        <v>12382</v>
      </c>
      <c r="C3919" s="0" t="s">
        <v>97</v>
      </c>
      <c r="D3919" s="0" t="s">
        <v>12383</v>
      </c>
      <c r="E3919" s="0" t="s">
        <v>12384</v>
      </c>
      <c r="H3919" s="0" t="s">
        <v>654</v>
      </c>
      <c r="I3919" s="0" t="s">
        <v>655</v>
      </c>
      <c r="J3919" s="0" t="s">
        <v>100</v>
      </c>
      <c r="K3919" s="0" t="s">
        <v>168</v>
      </c>
      <c r="L3919" s="0" t="s">
        <v>101</v>
      </c>
      <c r="M3919" s="0" t="s">
        <v>656</v>
      </c>
      <c r="N3919" s="0" t="s">
        <v>101</v>
      </c>
      <c r="P3919" s="0" t="s">
        <v>102</v>
      </c>
      <c r="Q3919" s="0" t="s">
        <v>102</v>
      </c>
      <c r="R3919" s="0" t="s">
        <v>113</v>
      </c>
      <c r="S3919" s="0" t="s">
        <v>21</v>
      </c>
      <c r="T3919" s="0" t="s">
        <v>104</v>
      </c>
      <c r="W3919" s="0" t="s">
        <v>105</v>
      </c>
      <c r="X3919" s="0" t="s">
        <v>658</v>
      </c>
      <c r="Y3919" s="0" t="s">
        <v>659</v>
      </c>
    </row>
    <row r="3920" customFormat="false" ht="15" hidden="false" customHeight="false" outlineLevel="0" collapsed="false">
      <c r="A3920" s="0" t="s">
        <v>21</v>
      </c>
      <c r="B3920" s="0" t="s">
        <v>12385</v>
      </c>
      <c r="C3920" s="0" t="s">
        <v>97</v>
      </c>
      <c r="D3920" s="0" t="s">
        <v>12386</v>
      </c>
      <c r="E3920" s="0" t="s">
        <v>12387</v>
      </c>
      <c r="M3920" s="0" t="s">
        <v>656</v>
      </c>
      <c r="N3920" s="0" t="s">
        <v>101</v>
      </c>
      <c r="P3920" s="0" t="s">
        <v>102</v>
      </c>
      <c r="Q3920" s="0" t="s">
        <v>102</v>
      </c>
      <c r="R3920" s="0" t="s">
        <v>113</v>
      </c>
      <c r="S3920" s="0" t="s">
        <v>21</v>
      </c>
      <c r="T3920" s="0" t="s">
        <v>104</v>
      </c>
      <c r="W3920" s="0" t="s">
        <v>105</v>
      </c>
    </row>
    <row r="3921" customFormat="false" ht="15" hidden="false" customHeight="false" outlineLevel="0" collapsed="false">
      <c r="A3921" s="0" t="s">
        <v>21</v>
      </c>
      <c r="B3921" s="0" t="s">
        <v>12388</v>
      </c>
      <c r="C3921" s="0" t="s">
        <v>97</v>
      </c>
      <c r="D3921" s="0" t="s">
        <v>5044</v>
      </c>
      <c r="E3921" s="0" t="s">
        <v>12389</v>
      </c>
      <c r="H3921" s="0" t="s">
        <v>654</v>
      </c>
      <c r="I3921" s="0" t="s">
        <v>655</v>
      </c>
      <c r="J3921" s="0" t="s">
        <v>100</v>
      </c>
      <c r="K3921" s="0" t="s">
        <v>168</v>
      </c>
      <c r="L3921" s="0" t="s">
        <v>101</v>
      </c>
      <c r="M3921" s="0" t="s">
        <v>656</v>
      </c>
      <c r="N3921" s="0" t="s">
        <v>101</v>
      </c>
      <c r="P3921" s="0" t="s">
        <v>102</v>
      </c>
      <c r="Q3921" s="0" t="s">
        <v>102</v>
      </c>
      <c r="R3921" s="0" t="s">
        <v>113</v>
      </c>
      <c r="S3921" s="0" t="s">
        <v>21</v>
      </c>
      <c r="T3921" s="0" t="s">
        <v>104</v>
      </c>
      <c r="W3921" s="0" t="s">
        <v>105</v>
      </c>
      <c r="X3921" s="0" t="s">
        <v>658</v>
      </c>
      <c r="Y3921" s="0" t="s">
        <v>659</v>
      </c>
    </row>
    <row r="3922" customFormat="false" ht="15" hidden="false" customHeight="false" outlineLevel="0" collapsed="false">
      <c r="A3922" s="0" t="s">
        <v>21</v>
      </c>
      <c r="B3922" s="0" t="s">
        <v>12390</v>
      </c>
      <c r="C3922" s="0" t="s">
        <v>97</v>
      </c>
      <c r="D3922" s="0" t="s">
        <v>12391</v>
      </c>
      <c r="E3922" s="0" t="s">
        <v>12392</v>
      </c>
      <c r="H3922" s="0" t="s">
        <v>654</v>
      </c>
      <c r="I3922" s="0" t="s">
        <v>655</v>
      </c>
      <c r="J3922" s="0" t="s">
        <v>100</v>
      </c>
      <c r="K3922" s="0" t="s">
        <v>168</v>
      </c>
      <c r="L3922" s="0" t="s">
        <v>101</v>
      </c>
      <c r="M3922" s="0" t="s">
        <v>656</v>
      </c>
      <c r="N3922" s="0" t="s">
        <v>101</v>
      </c>
      <c r="P3922" s="0" t="s">
        <v>102</v>
      </c>
      <c r="Q3922" s="0" t="s">
        <v>102</v>
      </c>
      <c r="R3922" s="0" t="s">
        <v>113</v>
      </c>
      <c r="S3922" s="0" t="s">
        <v>21</v>
      </c>
      <c r="T3922" s="0" t="s">
        <v>104</v>
      </c>
      <c r="W3922" s="0" t="s">
        <v>105</v>
      </c>
      <c r="X3922" s="0" t="s">
        <v>658</v>
      </c>
      <c r="Y3922" s="0" t="s">
        <v>659</v>
      </c>
    </row>
    <row r="3923" customFormat="false" ht="15" hidden="false" customHeight="false" outlineLevel="0" collapsed="false">
      <c r="A3923" s="0" t="s">
        <v>21</v>
      </c>
      <c r="B3923" s="0" t="s">
        <v>12393</v>
      </c>
      <c r="C3923" s="0" t="s">
        <v>97</v>
      </c>
      <c r="D3923" s="0" t="s">
        <v>12394</v>
      </c>
      <c r="E3923" s="0" t="s">
        <v>12395</v>
      </c>
      <c r="H3923" s="0" t="s">
        <v>654</v>
      </c>
      <c r="I3923" s="0" t="s">
        <v>655</v>
      </c>
      <c r="J3923" s="0" t="s">
        <v>100</v>
      </c>
      <c r="K3923" s="0" t="s">
        <v>168</v>
      </c>
      <c r="L3923" s="0" t="s">
        <v>101</v>
      </c>
      <c r="M3923" s="0" t="s">
        <v>656</v>
      </c>
      <c r="N3923" s="0" t="s">
        <v>101</v>
      </c>
      <c r="P3923" s="0" t="s">
        <v>102</v>
      </c>
      <c r="Q3923" s="0" t="s">
        <v>102</v>
      </c>
      <c r="R3923" s="0" t="s">
        <v>113</v>
      </c>
      <c r="S3923" s="0" t="s">
        <v>21</v>
      </c>
      <c r="T3923" s="0" t="s">
        <v>104</v>
      </c>
      <c r="W3923" s="0" t="s">
        <v>105</v>
      </c>
      <c r="X3923" s="0" t="s">
        <v>658</v>
      </c>
      <c r="Y3923" s="0" t="s">
        <v>659</v>
      </c>
    </row>
    <row r="3924" customFormat="false" ht="15" hidden="false" customHeight="false" outlineLevel="0" collapsed="false">
      <c r="A3924" s="0" t="s">
        <v>21</v>
      </c>
      <c r="B3924" s="0" t="s">
        <v>12396</v>
      </c>
      <c r="C3924" s="0" t="s">
        <v>97</v>
      </c>
      <c r="D3924" s="0" t="s">
        <v>4976</v>
      </c>
      <c r="E3924" s="0" t="s">
        <v>12397</v>
      </c>
      <c r="H3924" s="0" t="s">
        <v>654</v>
      </c>
      <c r="I3924" s="0" t="s">
        <v>655</v>
      </c>
      <c r="J3924" s="0" t="s">
        <v>100</v>
      </c>
      <c r="K3924" s="0" t="s">
        <v>168</v>
      </c>
      <c r="L3924" s="0" t="s">
        <v>101</v>
      </c>
      <c r="M3924" s="0" t="s">
        <v>656</v>
      </c>
      <c r="N3924" s="0" t="s">
        <v>101</v>
      </c>
      <c r="P3924" s="0" t="s">
        <v>102</v>
      </c>
      <c r="Q3924" s="0" t="s">
        <v>102</v>
      </c>
      <c r="R3924" s="0" t="s">
        <v>113</v>
      </c>
      <c r="S3924" s="0" t="s">
        <v>21</v>
      </c>
      <c r="T3924" s="0" t="s">
        <v>104</v>
      </c>
      <c r="W3924" s="0" t="s">
        <v>105</v>
      </c>
      <c r="X3924" s="0" t="s">
        <v>658</v>
      </c>
      <c r="Y3924" s="0" t="s">
        <v>659</v>
      </c>
    </row>
    <row r="3925" customFormat="false" ht="15" hidden="false" customHeight="false" outlineLevel="0" collapsed="false">
      <c r="A3925" s="0" t="s">
        <v>21</v>
      </c>
      <c r="B3925" s="0" t="s">
        <v>12398</v>
      </c>
      <c r="C3925" s="0" t="s">
        <v>97</v>
      </c>
      <c r="D3925" s="0" t="s">
        <v>12399</v>
      </c>
      <c r="E3925" s="0" t="s">
        <v>12400</v>
      </c>
      <c r="H3925" s="0" t="s">
        <v>654</v>
      </c>
      <c r="I3925" s="0" t="s">
        <v>655</v>
      </c>
      <c r="J3925" s="0" t="s">
        <v>100</v>
      </c>
      <c r="K3925" s="0" t="s">
        <v>168</v>
      </c>
      <c r="L3925" s="0" t="s">
        <v>101</v>
      </c>
      <c r="M3925" s="0" t="s">
        <v>656</v>
      </c>
      <c r="N3925" s="0" t="s">
        <v>101</v>
      </c>
      <c r="P3925" s="0" t="s">
        <v>102</v>
      </c>
      <c r="Q3925" s="0" t="s">
        <v>102</v>
      </c>
      <c r="R3925" s="0" t="s">
        <v>113</v>
      </c>
      <c r="S3925" s="0" t="s">
        <v>21</v>
      </c>
      <c r="T3925" s="0" t="s">
        <v>104</v>
      </c>
      <c r="W3925" s="0" t="s">
        <v>105</v>
      </c>
      <c r="X3925" s="0" t="s">
        <v>658</v>
      </c>
      <c r="Y3925" s="0" t="s">
        <v>659</v>
      </c>
    </row>
    <row r="3926" customFormat="false" ht="15" hidden="false" customHeight="false" outlineLevel="0" collapsed="false">
      <c r="A3926" s="0" t="s">
        <v>21</v>
      </c>
      <c r="B3926" s="0" t="s">
        <v>12401</v>
      </c>
      <c r="C3926" s="0" t="s">
        <v>97</v>
      </c>
      <c r="D3926" s="0" t="s">
        <v>12402</v>
      </c>
      <c r="E3926" s="0" t="s">
        <v>12403</v>
      </c>
      <c r="H3926" s="0" t="s">
        <v>654</v>
      </c>
      <c r="I3926" s="0" t="s">
        <v>655</v>
      </c>
      <c r="J3926" s="0" t="s">
        <v>100</v>
      </c>
      <c r="K3926" s="0" t="s">
        <v>168</v>
      </c>
      <c r="L3926" s="0" t="s">
        <v>101</v>
      </c>
      <c r="M3926" s="0" t="s">
        <v>656</v>
      </c>
      <c r="N3926" s="0" t="s">
        <v>101</v>
      </c>
      <c r="P3926" s="0" t="s">
        <v>102</v>
      </c>
      <c r="Q3926" s="0" t="s">
        <v>102</v>
      </c>
      <c r="R3926" s="0" t="s">
        <v>113</v>
      </c>
      <c r="S3926" s="0" t="s">
        <v>21</v>
      </c>
      <c r="T3926" s="0" t="s">
        <v>104</v>
      </c>
      <c r="W3926" s="0" t="s">
        <v>105</v>
      </c>
      <c r="X3926" s="0" t="s">
        <v>658</v>
      </c>
      <c r="Y3926" s="0" t="s">
        <v>659</v>
      </c>
    </row>
    <row r="3927" customFormat="false" ht="15" hidden="false" customHeight="false" outlineLevel="0" collapsed="false">
      <c r="A3927" s="0" t="s">
        <v>21</v>
      </c>
      <c r="B3927" s="0" t="s">
        <v>12404</v>
      </c>
      <c r="C3927" s="0" t="s">
        <v>97</v>
      </c>
      <c r="D3927" s="0" t="s">
        <v>12405</v>
      </c>
      <c r="E3927" s="0" t="s">
        <v>12406</v>
      </c>
      <c r="H3927" s="0" t="s">
        <v>654</v>
      </c>
      <c r="I3927" s="0" t="s">
        <v>655</v>
      </c>
      <c r="J3927" s="0" t="s">
        <v>100</v>
      </c>
      <c r="K3927" s="0" t="s">
        <v>168</v>
      </c>
      <c r="L3927" s="0" t="s">
        <v>101</v>
      </c>
      <c r="M3927" s="0" t="s">
        <v>656</v>
      </c>
      <c r="N3927" s="0" t="s">
        <v>101</v>
      </c>
      <c r="P3927" s="0" t="s">
        <v>102</v>
      </c>
      <c r="Q3927" s="0" t="s">
        <v>102</v>
      </c>
      <c r="R3927" s="0" t="s">
        <v>113</v>
      </c>
      <c r="S3927" s="0" t="s">
        <v>21</v>
      </c>
      <c r="T3927" s="0" t="s">
        <v>104</v>
      </c>
      <c r="W3927" s="0" t="s">
        <v>105</v>
      </c>
      <c r="X3927" s="0" t="s">
        <v>658</v>
      </c>
      <c r="Y3927" s="0" t="s">
        <v>659</v>
      </c>
    </row>
    <row r="3928" customFormat="false" ht="15" hidden="false" customHeight="false" outlineLevel="0" collapsed="false">
      <c r="A3928" s="0" t="s">
        <v>21</v>
      </c>
      <c r="B3928" s="0" t="s">
        <v>12407</v>
      </c>
      <c r="C3928" s="0" t="s">
        <v>97</v>
      </c>
      <c r="D3928" s="0" t="s">
        <v>12408</v>
      </c>
      <c r="E3928" s="0" t="s">
        <v>12409</v>
      </c>
      <c r="H3928" s="0" t="s">
        <v>654</v>
      </c>
      <c r="I3928" s="0" t="s">
        <v>655</v>
      </c>
      <c r="J3928" s="0" t="s">
        <v>100</v>
      </c>
      <c r="K3928" s="0" t="s">
        <v>168</v>
      </c>
      <c r="L3928" s="0" t="s">
        <v>101</v>
      </c>
      <c r="M3928" s="0" t="s">
        <v>656</v>
      </c>
      <c r="N3928" s="0" t="s">
        <v>101</v>
      </c>
      <c r="P3928" s="0" t="s">
        <v>102</v>
      </c>
      <c r="Q3928" s="0" t="s">
        <v>102</v>
      </c>
      <c r="R3928" s="0" t="s">
        <v>113</v>
      </c>
      <c r="S3928" s="0" t="s">
        <v>21</v>
      </c>
      <c r="T3928" s="0" t="s">
        <v>104</v>
      </c>
      <c r="W3928" s="0" t="s">
        <v>105</v>
      </c>
      <c r="X3928" s="0" t="s">
        <v>658</v>
      </c>
      <c r="Y3928" s="0" t="s">
        <v>659</v>
      </c>
    </row>
    <row r="3929" customFormat="false" ht="15" hidden="false" customHeight="false" outlineLevel="0" collapsed="false">
      <c r="A3929" s="0" t="s">
        <v>21</v>
      </c>
      <c r="B3929" s="0" t="s">
        <v>12410</v>
      </c>
      <c r="C3929" s="0" t="s">
        <v>97</v>
      </c>
      <c r="D3929" s="0" t="s">
        <v>4839</v>
      </c>
      <c r="E3929" s="0" t="s">
        <v>12411</v>
      </c>
      <c r="H3929" s="0" t="s">
        <v>654</v>
      </c>
      <c r="I3929" s="0" t="s">
        <v>655</v>
      </c>
      <c r="J3929" s="0" t="s">
        <v>100</v>
      </c>
      <c r="K3929" s="0" t="s">
        <v>168</v>
      </c>
      <c r="L3929" s="0" t="s">
        <v>101</v>
      </c>
      <c r="M3929" s="0" t="s">
        <v>656</v>
      </c>
      <c r="N3929" s="0" t="s">
        <v>101</v>
      </c>
      <c r="P3929" s="0" t="s">
        <v>102</v>
      </c>
      <c r="Q3929" s="0" t="s">
        <v>102</v>
      </c>
      <c r="R3929" s="0" t="s">
        <v>113</v>
      </c>
      <c r="S3929" s="0" t="s">
        <v>21</v>
      </c>
      <c r="T3929" s="0" t="s">
        <v>104</v>
      </c>
      <c r="W3929" s="0" t="s">
        <v>105</v>
      </c>
      <c r="X3929" s="0" t="s">
        <v>658</v>
      </c>
      <c r="Y3929" s="0" t="s">
        <v>659</v>
      </c>
    </row>
    <row r="3930" customFormat="false" ht="15" hidden="false" customHeight="false" outlineLevel="0" collapsed="false">
      <c r="A3930" s="0" t="s">
        <v>21</v>
      </c>
      <c r="B3930" s="0" t="s">
        <v>12412</v>
      </c>
      <c r="C3930" s="0" t="s">
        <v>97</v>
      </c>
      <c r="D3930" s="0" t="s">
        <v>12413</v>
      </c>
      <c r="E3930" s="0" t="s">
        <v>12414</v>
      </c>
      <c r="H3930" s="0" t="s">
        <v>654</v>
      </c>
      <c r="I3930" s="0" t="s">
        <v>655</v>
      </c>
      <c r="J3930" s="0" t="s">
        <v>100</v>
      </c>
      <c r="K3930" s="0" t="s">
        <v>168</v>
      </c>
      <c r="L3930" s="0" t="s">
        <v>101</v>
      </c>
      <c r="M3930" s="0" t="s">
        <v>656</v>
      </c>
      <c r="N3930" s="0" t="s">
        <v>101</v>
      </c>
      <c r="P3930" s="0" t="s">
        <v>102</v>
      </c>
      <c r="Q3930" s="0" t="s">
        <v>102</v>
      </c>
      <c r="R3930" s="0" t="s">
        <v>113</v>
      </c>
      <c r="S3930" s="0" t="s">
        <v>21</v>
      </c>
      <c r="T3930" s="0" t="s">
        <v>104</v>
      </c>
      <c r="W3930" s="0" t="s">
        <v>105</v>
      </c>
      <c r="X3930" s="0" t="s">
        <v>658</v>
      </c>
      <c r="Y3930" s="0" t="s">
        <v>659</v>
      </c>
    </row>
    <row r="3931" customFormat="false" ht="15" hidden="false" customHeight="false" outlineLevel="0" collapsed="false">
      <c r="A3931" s="0" t="s">
        <v>21</v>
      </c>
      <c r="B3931" s="0" t="s">
        <v>12415</v>
      </c>
      <c r="C3931" s="0" t="s">
        <v>97</v>
      </c>
      <c r="D3931" s="0" t="s">
        <v>4823</v>
      </c>
      <c r="E3931" s="0" t="s">
        <v>12416</v>
      </c>
      <c r="H3931" s="0" t="s">
        <v>654</v>
      </c>
      <c r="I3931" s="0" t="s">
        <v>655</v>
      </c>
      <c r="J3931" s="0" t="s">
        <v>100</v>
      </c>
      <c r="K3931" s="0" t="s">
        <v>168</v>
      </c>
      <c r="L3931" s="0" t="s">
        <v>101</v>
      </c>
      <c r="M3931" s="0" t="s">
        <v>656</v>
      </c>
      <c r="N3931" s="0" t="s">
        <v>101</v>
      </c>
      <c r="P3931" s="0" t="s">
        <v>102</v>
      </c>
      <c r="Q3931" s="0" t="s">
        <v>102</v>
      </c>
      <c r="R3931" s="0" t="s">
        <v>113</v>
      </c>
      <c r="S3931" s="0" t="s">
        <v>21</v>
      </c>
      <c r="T3931" s="0" t="s">
        <v>104</v>
      </c>
      <c r="W3931" s="0" t="s">
        <v>105</v>
      </c>
      <c r="X3931" s="0" t="s">
        <v>658</v>
      </c>
      <c r="Y3931" s="0" t="s">
        <v>659</v>
      </c>
    </row>
    <row r="3932" customFormat="false" ht="15" hidden="false" customHeight="false" outlineLevel="0" collapsed="false">
      <c r="A3932" s="0" t="s">
        <v>21</v>
      </c>
      <c r="B3932" s="0" t="s">
        <v>12417</v>
      </c>
      <c r="C3932" s="0" t="s">
        <v>97</v>
      </c>
      <c r="D3932" s="0" t="s">
        <v>12418</v>
      </c>
      <c r="E3932" s="0" t="s">
        <v>12419</v>
      </c>
      <c r="H3932" s="0" t="s">
        <v>654</v>
      </c>
      <c r="I3932" s="0" t="s">
        <v>655</v>
      </c>
      <c r="J3932" s="0" t="s">
        <v>100</v>
      </c>
      <c r="K3932" s="0" t="s">
        <v>168</v>
      </c>
      <c r="L3932" s="0" t="s">
        <v>101</v>
      </c>
      <c r="M3932" s="0" t="s">
        <v>656</v>
      </c>
      <c r="N3932" s="0" t="s">
        <v>101</v>
      </c>
      <c r="P3932" s="0" t="s">
        <v>102</v>
      </c>
      <c r="Q3932" s="0" t="s">
        <v>102</v>
      </c>
      <c r="R3932" s="0" t="s">
        <v>113</v>
      </c>
      <c r="S3932" s="0" t="s">
        <v>21</v>
      </c>
      <c r="T3932" s="0" t="s">
        <v>104</v>
      </c>
      <c r="W3932" s="0" t="s">
        <v>105</v>
      </c>
      <c r="X3932" s="0" t="s">
        <v>658</v>
      </c>
      <c r="Y3932" s="0" t="s">
        <v>659</v>
      </c>
    </row>
    <row r="3933" customFormat="false" ht="15" hidden="false" customHeight="false" outlineLevel="0" collapsed="false">
      <c r="A3933" s="0" t="s">
        <v>21</v>
      </c>
      <c r="B3933" s="0" t="s">
        <v>12417</v>
      </c>
      <c r="C3933" s="0" t="s">
        <v>97</v>
      </c>
      <c r="D3933" s="0" t="s">
        <v>12418</v>
      </c>
      <c r="E3933" s="0" t="s">
        <v>12419</v>
      </c>
      <c r="H3933" s="0" t="s">
        <v>654</v>
      </c>
      <c r="I3933" s="0" t="s">
        <v>655</v>
      </c>
      <c r="J3933" s="0" t="s">
        <v>100</v>
      </c>
      <c r="K3933" s="0" t="s">
        <v>168</v>
      </c>
      <c r="L3933" s="0" t="s">
        <v>101</v>
      </c>
      <c r="M3933" s="0" t="s">
        <v>656</v>
      </c>
      <c r="N3933" s="0" t="s">
        <v>101</v>
      </c>
      <c r="P3933" s="0" t="s">
        <v>12420</v>
      </c>
      <c r="Q3933" s="0" t="s">
        <v>12420</v>
      </c>
      <c r="R3933" s="0" t="s">
        <v>12420</v>
      </c>
      <c r="S3933" s="0" t="s">
        <v>21</v>
      </c>
      <c r="T3933" s="0" t="s">
        <v>104</v>
      </c>
      <c r="W3933" s="0" t="s">
        <v>183</v>
      </c>
      <c r="X3933" s="0" t="s">
        <v>658</v>
      </c>
      <c r="Y3933" s="0" t="s">
        <v>659</v>
      </c>
    </row>
    <row r="3934" customFormat="false" ht="15" hidden="false" customHeight="false" outlineLevel="0" collapsed="false">
      <c r="A3934" s="0" t="s">
        <v>21</v>
      </c>
      <c r="B3934" s="0" t="s">
        <v>12421</v>
      </c>
      <c r="C3934" s="0" t="s">
        <v>97</v>
      </c>
      <c r="D3934" s="0" t="s">
        <v>5041</v>
      </c>
      <c r="E3934" s="0" t="s">
        <v>12422</v>
      </c>
      <c r="H3934" s="0" t="s">
        <v>654</v>
      </c>
      <c r="I3934" s="0" t="s">
        <v>655</v>
      </c>
      <c r="J3934" s="0" t="s">
        <v>100</v>
      </c>
      <c r="K3934" s="0" t="s">
        <v>168</v>
      </c>
      <c r="L3934" s="0" t="s">
        <v>101</v>
      </c>
      <c r="M3934" s="0" t="s">
        <v>656</v>
      </c>
      <c r="N3934" s="0" t="s">
        <v>101</v>
      </c>
      <c r="P3934" s="0" t="s">
        <v>102</v>
      </c>
      <c r="Q3934" s="0" t="s">
        <v>102</v>
      </c>
      <c r="R3934" s="0" t="s">
        <v>113</v>
      </c>
      <c r="S3934" s="0" t="s">
        <v>21</v>
      </c>
      <c r="T3934" s="0" t="s">
        <v>104</v>
      </c>
      <c r="W3934" s="0" t="s">
        <v>105</v>
      </c>
      <c r="X3934" s="0" t="s">
        <v>658</v>
      </c>
      <c r="Y3934" s="0" t="s">
        <v>659</v>
      </c>
    </row>
    <row r="3935" customFormat="false" ht="15" hidden="false" customHeight="false" outlineLevel="0" collapsed="false">
      <c r="A3935" s="0" t="s">
        <v>21</v>
      </c>
      <c r="B3935" s="0" t="s">
        <v>12423</v>
      </c>
      <c r="C3935" s="0" t="s">
        <v>97</v>
      </c>
      <c r="D3935" s="0" t="s">
        <v>12424</v>
      </c>
      <c r="E3935" s="0" t="s">
        <v>12425</v>
      </c>
      <c r="M3935" s="0" t="s">
        <v>366</v>
      </c>
      <c r="N3935" s="0" t="s">
        <v>101</v>
      </c>
      <c r="P3935" s="0" t="s">
        <v>102</v>
      </c>
      <c r="Q3935" s="0" t="s">
        <v>102</v>
      </c>
      <c r="R3935" s="0" t="s">
        <v>113</v>
      </c>
      <c r="S3935" s="0" t="s">
        <v>21</v>
      </c>
      <c r="T3935" s="0" t="s">
        <v>104</v>
      </c>
      <c r="W3935" s="0" t="s">
        <v>105</v>
      </c>
    </row>
    <row r="3936" customFormat="false" ht="15" hidden="false" customHeight="false" outlineLevel="0" collapsed="false">
      <c r="A3936" s="0" t="s">
        <v>21</v>
      </c>
      <c r="B3936" s="0" t="s">
        <v>12426</v>
      </c>
      <c r="C3936" s="0" t="s">
        <v>97</v>
      </c>
      <c r="D3936" s="0" t="s">
        <v>12427</v>
      </c>
      <c r="E3936" s="0" t="s">
        <v>12428</v>
      </c>
      <c r="H3936" s="0" t="s">
        <v>654</v>
      </c>
      <c r="I3936" s="0" t="s">
        <v>655</v>
      </c>
      <c r="J3936" s="0" t="s">
        <v>100</v>
      </c>
      <c r="K3936" s="0" t="s">
        <v>168</v>
      </c>
      <c r="L3936" s="0" t="s">
        <v>101</v>
      </c>
      <c r="M3936" s="0" t="s">
        <v>656</v>
      </c>
      <c r="N3936" s="0" t="s">
        <v>101</v>
      </c>
      <c r="P3936" s="0" t="s">
        <v>12429</v>
      </c>
      <c r="Q3936" s="0" t="s">
        <v>12429</v>
      </c>
      <c r="R3936" s="0" t="s">
        <v>12429</v>
      </c>
      <c r="S3936" s="0" t="s">
        <v>21</v>
      </c>
      <c r="T3936" s="0" t="s">
        <v>104</v>
      </c>
      <c r="W3936" s="0" t="s">
        <v>183</v>
      </c>
      <c r="X3936" s="0" t="s">
        <v>658</v>
      </c>
      <c r="Y3936" s="0" t="s">
        <v>659</v>
      </c>
    </row>
    <row r="3937" customFormat="false" ht="15" hidden="false" customHeight="false" outlineLevel="0" collapsed="false">
      <c r="A3937" s="0" t="s">
        <v>21</v>
      </c>
      <c r="B3937" s="0" t="s">
        <v>12426</v>
      </c>
      <c r="C3937" s="0" t="s">
        <v>97</v>
      </c>
      <c r="D3937" s="0" t="s">
        <v>12427</v>
      </c>
      <c r="E3937" s="0" t="s">
        <v>12428</v>
      </c>
      <c r="H3937" s="0" t="s">
        <v>654</v>
      </c>
      <c r="I3937" s="0" t="s">
        <v>655</v>
      </c>
      <c r="J3937" s="0" t="s">
        <v>100</v>
      </c>
      <c r="K3937" s="0" t="s">
        <v>168</v>
      </c>
      <c r="L3937" s="0" t="s">
        <v>101</v>
      </c>
      <c r="M3937" s="0" t="s">
        <v>656</v>
      </c>
      <c r="N3937" s="0" t="s">
        <v>101</v>
      </c>
      <c r="P3937" s="0" t="s">
        <v>102</v>
      </c>
      <c r="Q3937" s="0" t="s">
        <v>102</v>
      </c>
      <c r="R3937" s="0" t="s">
        <v>113</v>
      </c>
      <c r="S3937" s="0" t="s">
        <v>21</v>
      </c>
      <c r="T3937" s="0" t="s">
        <v>104</v>
      </c>
      <c r="W3937" s="0" t="s">
        <v>105</v>
      </c>
      <c r="X3937" s="0" t="s">
        <v>658</v>
      </c>
      <c r="Y3937" s="0" t="s">
        <v>659</v>
      </c>
    </row>
    <row r="3938" customFormat="false" ht="15" hidden="false" customHeight="false" outlineLevel="0" collapsed="false">
      <c r="A3938" s="0" t="s">
        <v>21</v>
      </c>
      <c r="B3938" s="0" t="s">
        <v>12430</v>
      </c>
      <c r="C3938" s="0" t="s">
        <v>97</v>
      </c>
      <c r="D3938" s="0" t="s">
        <v>12431</v>
      </c>
      <c r="E3938" s="0" t="s">
        <v>12432</v>
      </c>
      <c r="H3938" s="0" t="s">
        <v>654</v>
      </c>
      <c r="I3938" s="0" t="s">
        <v>655</v>
      </c>
      <c r="J3938" s="0" t="s">
        <v>100</v>
      </c>
      <c r="K3938" s="0" t="s">
        <v>168</v>
      </c>
      <c r="L3938" s="0" t="s">
        <v>101</v>
      </c>
      <c r="M3938" s="0" t="s">
        <v>656</v>
      </c>
      <c r="N3938" s="0" t="s">
        <v>101</v>
      </c>
      <c r="P3938" s="0" t="s">
        <v>102</v>
      </c>
      <c r="Q3938" s="0" t="s">
        <v>102</v>
      </c>
      <c r="R3938" s="0" t="s">
        <v>113</v>
      </c>
      <c r="S3938" s="0" t="s">
        <v>21</v>
      </c>
      <c r="T3938" s="0" t="s">
        <v>104</v>
      </c>
      <c r="W3938" s="0" t="s">
        <v>105</v>
      </c>
      <c r="X3938" s="0" t="s">
        <v>658</v>
      </c>
      <c r="Y3938" s="0" t="s">
        <v>659</v>
      </c>
    </row>
    <row r="3939" customFormat="false" ht="15" hidden="false" customHeight="false" outlineLevel="0" collapsed="false">
      <c r="A3939" s="0" t="s">
        <v>21</v>
      </c>
      <c r="B3939" s="0" t="s">
        <v>12433</v>
      </c>
      <c r="C3939" s="0" t="s">
        <v>97</v>
      </c>
      <c r="D3939" s="0" t="s">
        <v>12434</v>
      </c>
      <c r="E3939" s="0" t="s">
        <v>12435</v>
      </c>
      <c r="H3939" s="0" t="s">
        <v>654</v>
      </c>
      <c r="I3939" s="0" t="s">
        <v>655</v>
      </c>
      <c r="J3939" s="0" t="s">
        <v>100</v>
      </c>
      <c r="K3939" s="0" t="s">
        <v>168</v>
      </c>
      <c r="L3939" s="0" t="s">
        <v>101</v>
      </c>
      <c r="M3939" s="0" t="s">
        <v>656</v>
      </c>
      <c r="N3939" s="0" t="s">
        <v>101</v>
      </c>
      <c r="P3939" s="0" t="s">
        <v>102</v>
      </c>
      <c r="Q3939" s="0" t="s">
        <v>102</v>
      </c>
      <c r="R3939" s="0" t="s">
        <v>113</v>
      </c>
      <c r="S3939" s="0" t="s">
        <v>21</v>
      </c>
      <c r="T3939" s="0" t="s">
        <v>104</v>
      </c>
      <c r="W3939" s="0" t="s">
        <v>105</v>
      </c>
      <c r="X3939" s="0" t="s">
        <v>658</v>
      </c>
      <c r="Y3939" s="0" t="s">
        <v>659</v>
      </c>
    </row>
    <row r="3940" customFormat="false" ht="15" hidden="false" customHeight="false" outlineLevel="0" collapsed="false">
      <c r="A3940" s="0" t="s">
        <v>21</v>
      </c>
      <c r="B3940" s="0" t="s">
        <v>12436</v>
      </c>
      <c r="C3940" s="0" t="s">
        <v>97</v>
      </c>
      <c r="D3940" s="0" t="s">
        <v>12437</v>
      </c>
      <c r="E3940" s="0" t="s">
        <v>12438</v>
      </c>
      <c r="H3940" s="0" t="s">
        <v>654</v>
      </c>
      <c r="I3940" s="0" t="s">
        <v>655</v>
      </c>
      <c r="J3940" s="0" t="s">
        <v>100</v>
      </c>
      <c r="K3940" s="0" t="s">
        <v>168</v>
      </c>
      <c r="L3940" s="0" t="s">
        <v>101</v>
      </c>
      <c r="M3940" s="0" t="s">
        <v>656</v>
      </c>
      <c r="N3940" s="0" t="s">
        <v>101</v>
      </c>
      <c r="P3940" s="0" t="s">
        <v>102</v>
      </c>
      <c r="Q3940" s="0" t="s">
        <v>102</v>
      </c>
      <c r="R3940" s="0" t="s">
        <v>113</v>
      </c>
      <c r="S3940" s="0" t="s">
        <v>21</v>
      </c>
      <c r="T3940" s="0" t="s">
        <v>104</v>
      </c>
      <c r="W3940" s="0" t="s">
        <v>105</v>
      </c>
      <c r="X3940" s="0" t="s">
        <v>658</v>
      </c>
      <c r="Y3940" s="0" t="s">
        <v>659</v>
      </c>
    </row>
    <row r="3941" customFormat="false" ht="15" hidden="false" customHeight="false" outlineLevel="0" collapsed="false">
      <c r="A3941" s="0" t="s">
        <v>21</v>
      </c>
      <c r="B3941" s="0" t="s">
        <v>12439</v>
      </c>
      <c r="C3941" s="0" t="s">
        <v>97</v>
      </c>
      <c r="D3941" s="0" t="s">
        <v>12440</v>
      </c>
      <c r="E3941" s="0" t="s">
        <v>12441</v>
      </c>
      <c r="H3941" s="0" t="s">
        <v>654</v>
      </c>
      <c r="I3941" s="0" t="s">
        <v>655</v>
      </c>
      <c r="J3941" s="0" t="s">
        <v>100</v>
      </c>
      <c r="K3941" s="0" t="s">
        <v>168</v>
      </c>
      <c r="L3941" s="0" t="s">
        <v>101</v>
      </c>
      <c r="M3941" s="0" t="s">
        <v>656</v>
      </c>
      <c r="N3941" s="0" t="s">
        <v>101</v>
      </c>
      <c r="P3941" s="0" t="s">
        <v>102</v>
      </c>
      <c r="Q3941" s="0" t="s">
        <v>102</v>
      </c>
      <c r="R3941" s="0" t="s">
        <v>113</v>
      </c>
      <c r="S3941" s="0" t="s">
        <v>21</v>
      </c>
      <c r="T3941" s="0" t="s">
        <v>104</v>
      </c>
      <c r="W3941" s="0" t="s">
        <v>105</v>
      </c>
      <c r="X3941" s="0" t="s">
        <v>658</v>
      </c>
      <c r="Y3941" s="0" t="s">
        <v>659</v>
      </c>
    </row>
    <row r="3942" customFormat="false" ht="15" hidden="false" customHeight="false" outlineLevel="0" collapsed="false">
      <c r="A3942" s="0" t="s">
        <v>21</v>
      </c>
      <c r="B3942" s="0" t="s">
        <v>12442</v>
      </c>
      <c r="C3942" s="0" t="s">
        <v>97</v>
      </c>
      <c r="D3942" s="0" t="s">
        <v>12443</v>
      </c>
      <c r="E3942" s="0" t="s">
        <v>12444</v>
      </c>
      <c r="H3942" s="0" t="s">
        <v>654</v>
      </c>
      <c r="I3942" s="0" t="s">
        <v>655</v>
      </c>
      <c r="J3942" s="0" t="s">
        <v>100</v>
      </c>
      <c r="K3942" s="0" t="s">
        <v>168</v>
      </c>
      <c r="L3942" s="0" t="s">
        <v>101</v>
      </c>
      <c r="M3942" s="0" t="s">
        <v>656</v>
      </c>
      <c r="N3942" s="0" t="s">
        <v>101</v>
      </c>
      <c r="P3942" s="0" t="s">
        <v>102</v>
      </c>
      <c r="Q3942" s="0" t="s">
        <v>102</v>
      </c>
      <c r="R3942" s="0" t="s">
        <v>113</v>
      </c>
      <c r="S3942" s="0" t="s">
        <v>21</v>
      </c>
      <c r="T3942" s="0" t="s">
        <v>104</v>
      </c>
      <c r="W3942" s="0" t="s">
        <v>105</v>
      </c>
      <c r="X3942" s="0" t="s">
        <v>658</v>
      </c>
      <c r="Y3942" s="0" t="s">
        <v>659</v>
      </c>
    </row>
    <row r="3943" customFormat="false" ht="15" hidden="false" customHeight="false" outlineLevel="0" collapsed="false">
      <c r="A3943" s="0" t="s">
        <v>21</v>
      </c>
      <c r="B3943" s="0" t="s">
        <v>12445</v>
      </c>
      <c r="C3943" s="0" t="s">
        <v>97</v>
      </c>
      <c r="D3943" s="0" t="s">
        <v>4842</v>
      </c>
      <c r="E3943" s="0" t="s">
        <v>12446</v>
      </c>
      <c r="H3943" s="0" t="s">
        <v>654</v>
      </c>
      <c r="I3943" s="0" t="s">
        <v>655</v>
      </c>
      <c r="J3943" s="0" t="s">
        <v>100</v>
      </c>
      <c r="K3943" s="0" t="s">
        <v>168</v>
      </c>
      <c r="L3943" s="0" t="s">
        <v>101</v>
      </c>
      <c r="M3943" s="0" t="s">
        <v>656</v>
      </c>
      <c r="N3943" s="0" t="s">
        <v>101</v>
      </c>
      <c r="P3943" s="0" t="s">
        <v>102</v>
      </c>
      <c r="Q3943" s="0" t="s">
        <v>102</v>
      </c>
      <c r="R3943" s="0" t="s">
        <v>113</v>
      </c>
      <c r="S3943" s="0" t="s">
        <v>21</v>
      </c>
      <c r="T3943" s="0" t="s">
        <v>104</v>
      </c>
      <c r="W3943" s="0" t="s">
        <v>105</v>
      </c>
      <c r="X3943" s="0" t="s">
        <v>658</v>
      </c>
      <c r="Y3943" s="0" t="s">
        <v>659</v>
      </c>
    </row>
    <row r="3944" customFormat="false" ht="15" hidden="false" customHeight="false" outlineLevel="0" collapsed="false">
      <c r="A3944" s="0" t="s">
        <v>21</v>
      </c>
      <c r="B3944" s="0" t="s">
        <v>12447</v>
      </c>
      <c r="C3944" s="0" t="s">
        <v>97</v>
      </c>
      <c r="D3944" s="0" t="s">
        <v>12448</v>
      </c>
      <c r="E3944" s="0" t="s">
        <v>12449</v>
      </c>
      <c r="H3944" s="0" t="s">
        <v>654</v>
      </c>
      <c r="I3944" s="0" t="s">
        <v>655</v>
      </c>
      <c r="J3944" s="0" t="s">
        <v>100</v>
      </c>
      <c r="K3944" s="0" t="s">
        <v>168</v>
      </c>
      <c r="L3944" s="0" t="s">
        <v>101</v>
      </c>
      <c r="M3944" s="0" t="s">
        <v>656</v>
      </c>
      <c r="N3944" s="0" t="s">
        <v>101</v>
      </c>
      <c r="P3944" s="0" t="s">
        <v>102</v>
      </c>
      <c r="Q3944" s="0" t="s">
        <v>102</v>
      </c>
      <c r="R3944" s="0" t="s">
        <v>113</v>
      </c>
      <c r="S3944" s="0" t="s">
        <v>21</v>
      </c>
      <c r="T3944" s="0" t="s">
        <v>104</v>
      </c>
      <c r="W3944" s="0" t="s">
        <v>105</v>
      </c>
      <c r="X3944" s="0" t="s">
        <v>658</v>
      </c>
      <c r="Y3944" s="0" t="s">
        <v>659</v>
      </c>
    </row>
    <row r="3945" customFormat="false" ht="15" hidden="false" customHeight="false" outlineLevel="0" collapsed="false">
      <c r="A3945" s="0" t="s">
        <v>21</v>
      </c>
      <c r="B3945" s="0" t="s">
        <v>12450</v>
      </c>
      <c r="C3945" s="0" t="s">
        <v>97</v>
      </c>
      <c r="D3945" s="0" t="s">
        <v>12451</v>
      </c>
      <c r="E3945" s="0" t="s">
        <v>12452</v>
      </c>
      <c r="M3945" s="0" t="s">
        <v>100</v>
      </c>
      <c r="N3945" s="0" t="s">
        <v>101</v>
      </c>
      <c r="P3945" s="0" t="s">
        <v>102</v>
      </c>
      <c r="Q3945" s="0" t="s">
        <v>102</v>
      </c>
      <c r="R3945" s="0" t="s">
        <v>113</v>
      </c>
      <c r="S3945" s="0" t="s">
        <v>21</v>
      </c>
      <c r="T3945" s="0" t="s">
        <v>104</v>
      </c>
      <c r="W3945" s="0" t="s">
        <v>105</v>
      </c>
    </row>
    <row r="3946" customFormat="false" ht="15" hidden="false" customHeight="false" outlineLevel="0" collapsed="false">
      <c r="A3946" s="0" t="s">
        <v>21</v>
      </c>
      <c r="B3946" s="0" t="s">
        <v>12453</v>
      </c>
      <c r="C3946" s="0" t="s">
        <v>97</v>
      </c>
      <c r="D3946" s="0" t="s">
        <v>4830</v>
      </c>
      <c r="E3946" s="0" t="s">
        <v>12454</v>
      </c>
      <c r="H3946" s="0" t="s">
        <v>654</v>
      </c>
      <c r="I3946" s="0" t="s">
        <v>655</v>
      </c>
      <c r="J3946" s="0" t="s">
        <v>100</v>
      </c>
      <c r="K3946" s="0" t="s">
        <v>168</v>
      </c>
      <c r="L3946" s="0" t="s">
        <v>101</v>
      </c>
      <c r="M3946" s="0" t="s">
        <v>656</v>
      </c>
      <c r="N3946" s="0" t="s">
        <v>101</v>
      </c>
      <c r="P3946" s="0" t="s">
        <v>102</v>
      </c>
      <c r="Q3946" s="0" t="s">
        <v>102</v>
      </c>
      <c r="R3946" s="0" t="s">
        <v>113</v>
      </c>
      <c r="S3946" s="0" t="s">
        <v>21</v>
      </c>
      <c r="T3946" s="0" t="s">
        <v>104</v>
      </c>
      <c r="W3946" s="0" t="s">
        <v>105</v>
      </c>
      <c r="X3946" s="0" t="s">
        <v>658</v>
      </c>
      <c r="Y3946" s="0" t="s">
        <v>659</v>
      </c>
    </row>
    <row r="3947" customFormat="false" ht="15" hidden="false" customHeight="false" outlineLevel="0" collapsed="false">
      <c r="A3947" s="0" t="s">
        <v>21</v>
      </c>
      <c r="B3947" s="0" t="s">
        <v>12455</v>
      </c>
      <c r="C3947" s="0" t="s">
        <v>97</v>
      </c>
      <c r="D3947" s="0" t="s">
        <v>12456</v>
      </c>
      <c r="E3947" s="0" t="s">
        <v>12457</v>
      </c>
      <c r="M3947" s="0" t="s">
        <v>656</v>
      </c>
      <c r="N3947" s="0" t="s">
        <v>101</v>
      </c>
      <c r="P3947" s="0" t="s">
        <v>102</v>
      </c>
      <c r="Q3947" s="0" t="s">
        <v>102</v>
      </c>
      <c r="R3947" s="0" t="s">
        <v>113</v>
      </c>
      <c r="S3947" s="0" t="s">
        <v>21</v>
      </c>
      <c r="T3947" s="0" t="s">
        <v>104</v>
      </c>
      <c r="W3947" s="0" t="s">
        <v>105</v>
      </c>
    </row>
    <row r="3948" customFormat="false" ht="15" hidden="false" customHeight="false" outlineLevel="0" collapsed="false">
      <c r="A3948" s="0" t="s">
        <v>21</v>
      </c>
      <c r="B3948" s="0" t="s">
        <v>12458</v>
      </c>
      <c r="C3948" s="0" t="s">
        <v>97</v>
      </c>
      <c r="D3948" s="0" t="s">
        <v>12459</v>
      </c>
      <c r="E3948" s="0" t="s">
        <v>12460</v>
      </c>
      <c r="H3948" s="0" t="s">
        <v>654</v>
      </c>
      <c r="I3948" s="0" t="s">
        <v>655</v>
      </c>
      <c r="J3948" s="0" t="s">
        <v>100</v>
      </c>
      <c r="K3948" s="0" t="s">
        <v>168</v>
      </c>
      <c r="L3948" s="0" t="s">
        <v>101</v>
      </c>
      <c r="M3948" s="0" t="s">
        <v>656</v>
      </c>
      <c r="N3948" s="0" t="s">
        <v>101</v>
      </c>
      <c r="P3948" s="0" t="s">
        <v>102</v>
      </c>
      <c r="Q3948" s="0" t="s">
        <v>102</v>
      </c>
      <c r="R3948" s="0" t="s">
        <v>113</v>
      </c>
      <c r="S3948" s="0" t="s">
        <v>21</v>
      </c>
      <c r="T3948" s="0" t="s">
        <v>104</v>
      </c>
      <c r="W3948" s="0" t="s">
        <v>105</v>
      </c>
      <c r="X3948" s="0" t="s">
        <v>658</v>
      </c>
      <c r="Y3948" s="0" t="s">
        <v>659</v>
      </c>
    </row>
    <row r="3949" customFormat="false" ht="15" hidden="false" customHeight="false" outlineLevel="0" collapsed="false">
      <c r="A3949" s="0" t="s">
        <v>21</v>
      </c>
      <c r="B3949" s="0" t="s">
        <v>12461</v>
      </c>
      <c r="C3949" s="0" t="s">
        <v>211</v>
      </c>
      <c r="D3949" s="0" t="s">
        <v>11903</v>
      </c>
      <c r="E3949" s="0" t="s">
        <v>12462</v>
      </c>
      <c r="M3949" s="0" t="s">
        <v>456</v>
      </c>
      <c r="N3949" s="0" t="s">
        <v>101</v>
      </c>
      <c r="P3949" s="0" t="s">
        <v>102</v>
      </c>
      <c r="Q3949" s="0" t="s">
        <v>102</v>
      </c>
      <c r="R3949" s="0" t="s">
        <v>113</v>
      </c>
      <c r="S3949" s="0" t="s">
        <v>21</v>
      </c>
      <c r="T3949" s="0" t="s">
        <v>104</v>
      </c>
      <c r="W3949" s="0" t="s">
        <v>105</v>
      </c>
    </row>
    <row r="3950" customFormat="false" ht="15" hidden="false" customHeight="false" outlineLevel="0" collapsed="false">
      <c r="A3950" s="0" t="s">
        <v>21</v>
      </c>
      <c r="B3950" s="0" t="s">
        <v>12463</v>
      </c>
      <c r="C3950" s="0" t="s">
        <v>97</v>
      </c>
      <c r="D3950" s="0" t="s">
        <v>12464</v>
      </c>
      <c r="E3950" s="0" t="s">
        <v>12465</v>
      </c>
      <c r="H3950" s="0" t="s">
        <v>654</v>
      </c>
      <c r="I3950" s="0" t="s">
        <v>655</v>
      </c>
      <c r="J3950" s="0" t="s">
        <v>100</v>
      </c>
      <c r="K3950" s="0" t="s">
        <v>168</v>
      </c>
      <c r="L3950" s="0" t="s">
        <v>101</v>
      </c>
      <c r="M3950" s="0" t="s">
        <v>656</v>
      </c>
      <c r="N3950" s="0" t="s">
        <v>101</v>
      </c>
      <c r="P3950" s="0" t="s">
        <v>102</v>
      </c>
      <c r="Q3950" s="0" t="s">
        <v>102</v>
      </c>
      <c r="R3950" s="0" t="s">
        <v>113</v>
      </c>
      <c r="S3950" s="0" t="s">
        <v>21</v>
      </c>
      <c r="T3950" s="0" t="s">
        <v>104</v>
      </c>
      <c r="W3950" s="0" t="s">
        <v>105</v>
      </c>
      <c r="X3950" s="0" t="s">
        <v>658</v>
      </c>
      <c r="Y3950" s="0" t="s">
        <v>659</v>
      </c>
    </row>
    <row r="3951" customFormat="false" ht="15" hidden="false" customHeight="false" outlineLevel="0" collapsed="false">
      <c r="A3951" s="0" t="s">
        <v>21</v>
      </c>
      <c r="B3951" s="0" t="s">
        <v>12466</v>
      </c>
      <c r="C3951" s="0" t="s">
        <v>97</v>
      </c>
      <c r="D3951" s="0" t="s">
        <v>12467</v>
      </c>
      <c r="E3951" s="0" t="s">
        <v>12468</v>
      </c>
      <c r="H3951" s="0" t="s">
        <v>654</v>
      </c>
      <c r="I3951" s="0" t="s">
        <v>655</v>
      </c>
      <c r="J3951" s="0" t="s">
        <v>100</v>
      </c>
      <c r="K3951" s="0" t="s">
        <v>168</v>
      </c>
      <c r="L3951" s="0" t="s">
        <v>101</v>
      </c>
      <c r="M3951" s="0" t="s">
        <v>656</v>
      </c>
      <c r="N3951" s="0" t="s">
        <v>101</v>
      </c>
      <c r="P3951" s="0" t="s">
        <v>102</v>
      </c>
      <c r="Q3951" s="0" t="s">
        <v>102</v>
      </c>
      <c r="R3951" s="0" t="s">
        <v>113</v>
      </c>
      <c r="S3951" s="0" t="s">
        <v>21</v>
      </c>
      <c r="T3951" s="0" t="s">
        <v>104</v>
      </c>
      <c r="W3951" s="0" t="s">
        <v>105</v>
      </c>
      <c r="X3951" s="0" t="s">
        <v>658</v>
      </c>
      <c r="Y3951" s="0" t="s">
        <v>659</v>
      </c>
    </row>
    <row r="3952" customFormat="false" ht="15" hidden="false" customHeight="false" outlineLevel="0" collapsed="false">
      <c r="A3952" s="0" t="s">
        <v>21</v>
      </c>
      <c r="B3952" s="0" t="s">
        <v>12469</v>
      </c>
      <c r="C3952" s="0" t="s">
        <v>97</v>
      </c>
      <c r="D3952" s="0" t="s">
        <v>12470</v>
      </c>
      <c r="E3952" s="0" t="s">
        <v>12471</v>
      </c>
      <c r="H3952" s="0" t="s">
        <v>654</v>
      </c>
      <c r="I3952" s="0" t="s">
        <v>655</v>
      </c>
      <c r="J3952" s="0" t="s">
        <v>100</v>
      </c>
      <c r="K3952" s="0" t="s">
        <v>168</v>
      </c>
      <c r="L3952" s="0" t="s">
        <v>101</v>
      </c>
      <c r="M3952" s="0" t="s">
        <v>656</v>
      </c>
      <c r="N3952" s="0" t="s">
        <v>101</v>
      </c>
      <c r="P3952" s="0" t="s">
        <v>102</v>
      </c>
      <c r="Q3952" s="0" t="s">
        <v>102</v>
      </c>
      <c r="R3952" s="0" t="s">
        <v>113</v>
      </c>
      <c r="S3952" s="0" t="s">
        <v>21</v>
      </c>
      <c r="T3952" s="0" t="s">
        <v>104</v>
      </c>
      <c r="W3952" s="0" t="s">
        <v>105</v>
      </c>
      <c r="X3952" s="0" t="s">
        <v>658</v>
      </c>
      <c r="Y3952" s="0" t="s">
        <v>659</v>
      </c>
    </row>
    <row r="3953" customFormat="false" ht="15" hidden="false" customHeight="false" outlineLevel="0" collapsed="false">
      <c r="A3953" s="0" t="s">
        <v>21</v>
      </c>
      <c r="B3953" s="0" t="s">
        <v>12472</v>
      </c>
      <c r="C3953" s="0" t="s">
        <v>97</v>
      </c>
      <c r="D3953" s="0" t="s">
        <v>4878</v>
      </c>
      <c r="E3953" s="0" t="s">
        <v>12473</v>
      </c>
      <c r="H3953" s="0" t="s">
        <v>654</v>
      </c>
      <c r="I3953" s="0" t="s">
        <v>655</v>
      </c>
      <c r="J3953" s="0" t="s">
        <v>100</v>
      </c>
      <c r="K3953" s="0" t="s">
        <v>168</v>
      </c>
      <c r="L3953" s="0" t="s">
        <v>101</v>
      </c>
      <c r="M3953" s="0" t="s">
        <v>656</v>
      </c>
      <c r="N3953" s="0" t="s">
        <v>101</v>
      </c>
      <c r="P3953" s="0" t="s">
        <v>102</v>
      </c>
      <c r="Q3953" s="0" t="s">
        <v>102</v>
      </c>
      <c r="R3953" s="0" t="s">
        <v>113</v>
      </c>
      <c r="S3953" s="0" t="s">
        <v>21</v>
      </c>
      <c r="T3953" s="0" t="s">
        <v>104</v>
      </c>
      <c r="W3953" s="0" t="s">
        <v>105</v>
      </c>
      <c r="X3953" s="0" t="s">
        <v>658</v>
      </c>
      <c r="Y3953" s="0" t="s">
        <v>659</v>
      </c>
    </row>
    <row r="3954" customFormat="false" ht="15" hidden="false" customHeight="false" outlineLevel="0" collapsed="false">
      <c r="A3954" s="0" t="s">
        <v>21</v>
      </c>
      <c r="B3954" s="0" t="s">
        <v>12474</v>
      </c>
      <c r="C3954" s="0" t="s">
        <v>97</v>
      </c>
      <c r="D3954" s="0" t="s">
        <v>5047</v>
      </c>
      <c r="E3954" s="0" t="s">
        <v>12475</v>
      </c>
      <c r="H3954" s="0" t="s">
        <v>654</v>
      </c>
      <c r="I3954" s="0" t="s">
        <v>655</v>
      </c>
      <c r="J3954" s="0" t="s">
        <v>100</v>
      </c>
      <c r="K3954" s="0" t="s">
        <v>168</v>
      </c>
      <c r="L3954" s="0" t="s">
        <v>101</v>
      </c>
      <c r="M3954" s="0" t="s">
        <v>656</v>
      </c>
      <c r="N3954" s="0" t="s">
        <v>101</v>
      </c>
      <c r="P3954" s="0" t="s">
        <v>102</v>
      </c>
      <c r="Q3954" s="0" t="s">
        <v>102</v>
      </c>
      <c r="R3954" s="0" t="s">
        <v>113</v>
      </c>
      <c r="S3954" s="0" t="s">
        <v>21</v>
      </c>
      <c r="T3954" s="0" t="s">
        <v>104</v>
      </c>
      <c r="W3954" s="0" t="s">
        <v>105</v>
      </c>
      <c r="X3954" s="0" t="s">
        <v>658</v>
      </c>
      <c r="Y3954" s="0" t="s">
        <v>659</v>
      </c>
    </row>
    <row r="3955" customFormat="false" ht="15" hidden="false" customHeight="false" outlineLevel="0" collapsed="false">
      <c r="A3955" s="0" t="s">
        <v>21</v>
      </c>
      <c r="B3955" s="0" t="s">
        <v>12476</v>
      </c>
      <c r="C3955" s="0" t="s">
        <v>97</v>
      </c>
      <c r="D3955" s="0" t="s">
        <v>12477</v>
      </c>
      <c r="E3955" s="0" t="s">
        <v>12478</v>
      </c>
      <c r="H3955" s="0" t="s">
        <v>654</v>
      </c>
      <c r="I3955" s="0" t="s">
        <v>655</v>
      </c>
      <c r="J3955" s="0" t="s">
        <v>100</v>
      </c>
      <c r="K3955" s="0" t="s">
        <v>168</v>
      </c>
      <c r="L3955" s="0" t="s">
        <v>101</v>
      </c>
      <c r="M3955" s="0" t="s">
        <v>656</v>
      </c>
      <c r="N3955" s="0" t="s">
        <v>101</v>
      </c>
      <c r="P3955" s="0" t="s">
        <v>102</v>
      </c>
      <c r="Q3955" s="0" t="s">
        <v>102</v>
      </c>
      <c r="R3955" s="0" t="s">
        <v>113</v>
      </c>
      <c r="S3955" s="0" t="s">
        <v>21</v>
      </c>
      <c r="T3955" s="0" t="s">
        <v>104</v>
      </c>
      <c r="W3955" s="0" t="s">
        <v>105</v>
      </c>
      <c r="X3955" s="0" t="s">
        <v>658</v>
      </c>
      <c r="Y3955" s="0" t="s">
        <v>659</v>
      </c>
    </row>
    <row r="3956" customFormat="false" ht="15" hidden="false" customHeight="false" outlineLevel="0" collapsed="false">
      <c r="A3956" s="0" t="s">
        <v>21</v>
      </c>
      <c r="B3956" s="0" t="s">
        <v>12479</v>
      </c>
      <c r="C3956" s="0" t="s">
        <v>97</v>
      </c>
      <c r="D3956" s="0" t="s">
        <v>12480</v>
      </c>
      <c r="E3956" s="0" t="s">
        <v>12481</v>
      </c>
      <c r="H3956" s="0" t="s">
        <v>654</v>
      </c>
      <c r="I3956" s="0" t="s">
        <v>655</v>
      </c>
      <c r="J3956" s="0" t="s">
        <v>100</v>
      </c>
      <c r="K3956" s="0" t="s">
        <v>168</v>
      </c>
      <c r="L3956" s="0" t="s">
        <v>101</v>
      </c>
      <c r="M3956" s="0" t="s">
        <v>656</v>
      </c>
      <c r="N3956" s="0" t="s">
        <v>101</v>
      </c>
      <c r="P3956" s="0" t="s">
        <v>102</v>
      </c>
      <c r="Q3956" s="0" t="s">
        <v>102</v>
      </c>
      <c r="R3956" s="0" t="s">
        <v>113</v>
      </c>
      <c r="S3956" s="0" t="s">
        <v>21</v>
      </c>
      <c r="T3956" s="0" t="s">
        <v>104</v>
      </c>
      <c r="W3956" s="0" t="s">
        <v>105</v>
      </c>
      <c r="X3956" s="0" t="s">
        <v>658</v>
      </c>
      <c r="Y3956" s="0" t="s">
        <v>659</v>
      </c>
    </row>
    <row r="3957" customFormat="false" ht="15" hidden="false" customHeight="false" outlineLevel="0" collapsed="false">
      <c r="A3957" s="0" t="s">
        <v>21</v>
      </c>
      <c r="B3957" s="0" t="s">
        <v>12482</v>
      </c>
      <c r="C3957" s="0" t="s">
        <v>97</v>
      </c>
      <c r="D3957" s="0" t="s">
        <v>4872</v>
      </c>
      <c r="E3957" s="0" t="s">
        <v>12483</v>
      </c>
      <c r="H3957" s="0" t="s">
        <v>654</v>
      </c>
      <c r="I3957" s="0" t="s">
        <v>655</v>
      </c>
      <c r="J3957" s="0" t="s">
        <v>100</v>
      </c>
      <c r="K3957" s="0" t="s">
        <v>168</v>
      </c>
      <c r="L3957" s="0" t="s">
        <v>101</v>
      </c>
      <c r="M3957" s="0" t="s">
        <v>656</v>
      </c>
      <c r="N3957" s="0" t="s">
        <v>101</v>
      </c>
      <c r="P3957" s="0" t="s">
        <v>102</v>
      </c>
      <c r="Q3957" s="0" t="s">
        <v>102</v>
      </c>
      <c r="R3957" s="0" t="s">
        <v>113</v>
      </c>
      <c r="S3957" s="0" t="s">
        <v>21</v>
      </c>
      <c r="T3957" s="0" t="s">
        <v>104</v>
      </c>
      <c r="W3957" s="0" t="s">
        <v>105</v>
      </c>
      <c r="X3957" s="0" t="s">
        <v>658</v>
      </c>
      <c r="Y3957" s="0" t="s">
        <v>659</v>
      </c>
    </row>
    <row r="3958" customFormat="false" ht="15" hidden="false" customHeight="false" outlineLevel="0" collapsed="false">
      <c r="A3958" s="0" t="s">
        <v>21</v>
      </c>
      <c r="B3958" s="0" t="s">
        <v>12484</v>
      </c>
      <c r="C3958" s="0" t="s">
        <v>97</v>
      </c>
      <c r="D3958" s="0" t="s">
        <v>4866</v>
      </c>
      <c r="E3958" s="0" t="s">
        <v>12485</v>
      </c>
      <c r="H3958" s="0" t="s">
        <v>654</v>
      </c>
      <c r="I3958" s="0" t="s">
        <v>655</v>
      </c>
      <c r="J3958" s="0" t="s">
        <v>100</v>
      </c>
      <c r="K3958" s="0" t="s">
        <v>168</v>
      </c>
      <c r="L3958" s="0" t="s">
        <v>101</v>
      </c>
      <c r="M3958" s="0" t="s">
        <v>656</v>
      </c>
      <c r="N3958" s="0" t="s">
        <v>101</v>
      </c>
      <c r="P3958" s="0" t="s">
        <v>102</v>
      </c>
      <c r="Q3958" s="0" t="s">
        <v>102</v>
      </c>
      <c r="R3958" s="0" t="s">
        <v>113</v>
      </c>
      <c r="S3958" s="0" t="s">
        <v>21</v>
      </c>
      <c r="T3958" s="0" t="s">
        <v>104</v>
      </c>
      <c r="W3958" s="0" t="s">
        <v>105</v>
      </c>
      <c r="X3958" s="0" t="s">
        <v>658</v>
      </c>
      <c r="Y3958" s="0" t="s">
        <v>659</v>
      </c>
    </row>
    <row r="3959" customFormat="false" ht="15" hidden="false" customHeight="false" outlineLevel="0" collapsed="false">
      <c r="A3959" s="0" t="s">
        <v>21</v>
      </c>
      <c r="B3959" s="0" t="s">
        <v>12486</v>
      </c>
      <c r="C3959" s="0" t="s">
        <v>97</v>
      </c>
      <c r="D3959" s="0" t="s">
        <v>12335</v>
      </c>
      <c r="E3959" s="0" t="s">
        <v>12487</v>
      </c>
      <c r="H3959" s="0" t="s">
        <v>654</v>
      </c>
      <c r="I3959" s="0" t="s">
        <v>655</v>
      </c>
      <c r="J3959" s="0" t="s">
        <v>100</v>
      </c>
      <c r="K3959" s="0" t="s">
        <v>168</v>
      </c>
      <c r="L3959" s="0" t="s">
        <v>101</v>
      </c>
      <c r="M3959" s="0" t="s">
        <v>656</v>
      </c>
      <c r="N3959" s="0" t="s">
        <v>101</v>
      </c>
      <c r="P3959" s="0" t="s">
        <v>102</v>
      </c>
      <c r="Q3959" s="0" t="s">
        <v>102</v>
      </c>
      <c r="R3959" s="0" t="s">
        <v>113</v>
      </c>
      <c r="S3959" s="0" t="s">
        <v>21</v>
      </c>
      <c r="T3959" s="0" t="s">
        <v>104</v>
      </c>
      <c r="W3959" s="0" t="s">
        <v>105</v>
      </c>
      <c r="X3959" s="0" t="s">
        <v>658</v>
      </c>
      <c r="Y3959" s="0" t="s">
        <v>659</v>
      </c>
    </row>
    <row r="3960" customFormat="false" ht="15" hidden="false" customHeight="false" outlineLevel="0" collapsed="false">
      <c r="A3960" s="0" t="s">
        <v>21</v>
      </c>
      <c r="B3960" s="0" t="s">
        <v>12488</v>
      </c>
      <c r="C3960" s="0" t="s">
        <v>97</v>
      </c>
      <c r="D3960" s="0" t="s">
        <v>12489</v>
      </c>
      <c r="E3960" s="0" t="s">
        <v>12490</v>
      </c>
      <c r="G3960" s="0" t="s">
        <v>12491</v>
      </c>
      <c r="H3960" s="0" t="s">
        <v>654</v>
      </c>
      <c r="I3960" s="0" t="s">
        <v>655</v>
      </c>
      <c r="J3960" s="0" t="s">
        <v>100</v>
      </c>
      <c r="K3960" s="0" t="s">
        <v>168</v>
      </c>
      <c r="L3960" s="0" t="s">
        <v>101</v>
      </c>
      <c r="M3960" s="0" t="s">
        <v>656</v>
      </c>
      <c r="N3960" s="0" t="s">
        <v>101</v>
      </c>
      <c r="P3960" s="0" t="s">
        <v>102</v>
      </c>
      <c r="Q3960" s="0" t="s">
        <v>102</v>
      </c>
      <c r="R3960" s="0" t="s">
        <v>113</v>
      </c>
      <c r="S3960" s="0" t="s">
        <v>21</v>
      </c>
      <c r="T3960" s="0" t="s">
        <v>104</v>
      </c>
      <c r="W3960" s="0" t="s">
        <v>105</v>
      </c>
      <c r="X3960" s="0" t="s">
        <v>658</v>
      </c>
      <c r="Y3960" s="0" t="s">
        <v>659</v>
      </c>
    </row>
    <row r="3961" customFormat="false" ht="15" hidden="false" customHeight="false" outlineLevel="0" collapsed="false">
      <c r="A3961" s="0" t="s">
        <v>21</v>
      </c>
      <c r="B3961" s="0" t="s">
        <v>12492</v>
      </c>
      <c r="C3961" s="0" t="s">
        <v>97</v>
      </c>
      <c r="D3961" s="0" t="s">
        <v>12493</v>
      </c>
      <c r="E3961" s="0" t="s">
        <v>12494</v>
      </c>
      <c r="H3961" s="0" t="s">
        <v>654</v>
      </c>
      <c r="I3961" s="0" t="s">
        <v>655</v>
      </c>
      <c r="J3961" s="0" t="s">
        <v>100</v>
      </c>
      <c r="K3961" s="0" t="s">
        <v>168</v>
      </c>
      <c r="L3961" s="0" t="s">
        <v>101</v>
      </c>
      <c r="M3961" s="0" t="s">
        <v>656</v>
      </c>
      <c r="N3961" s="0" t="s">
        <v>101</v>
      </c>
      <c r="P3961" s="0" t="s">
        <v>102</v>
      </c>
      <c r="Q3961" s="0" t="s">
        <v>102</v>
      </c>
      <c r="R3961" s="0" t="s">
        <v>113</v>
      </c>
      <c r="S3961" s="0" t="s">
        <v>21</v>
      </c>
      <c r="T3961" s="0" t="s">
        <v>104</v>
      </c>
      <c r="W3961" s="0" t="s">
        <v>105</v>
      </c>
      <c r="X3961" s="0" t="s">
        <v>658</v>
      </c>
      <c r="Y3961" s="0" t="s">
        <v>659</v>
      </c>
    </row>
    <row r="3962" customFormat="false" ht="15" hidden="false" customHeight="false" outlineLevel="0" collapsed="false">
      <c r="A3962" s="0" t="s">
        <v>21</v>
      </c>
      <c r="B3962" s="0" t="s">
        <v>12495</v>
      </c>
      <c r="C3962" s="0" t="s">
        <v>97</v>
      </c>
      <c r="D3962" s="0" t="s">
        <v>12496</v>
      </c>
      <c r="E3962" s="0" t="s">
        <v>12497</v>
      </c>
      <c r="H3962" s="0" t="s">
        <v>654</v>
      </c>
      <c r="I3962" s="0" t="s">
        <v>655</v>
      </c>
      <c r="J3962" s="0" t="s">
        <v>100</v>
      </c>
      <c r="K3962" s="0" t="s">
        <v>168</v>
      </c>
      <c r="L3962" s="0" t="s">
        <v>101</v>
      </c>
      <c r="M3962" s="0" t="s">
        <v>656</v>
      </c>
      <c r="N3962" s="0" t="s">
        <v>101</v>
      </c>
      <c r="P3962" s="0" t="s">
        <v>102</v>
      </c>
      <c r="Q3962" s="0" t="s">
        <v>102</v>
      </c>
      <c r="R3962" s="0" t="s">
        <v>113</v>
      </c>
      <c r="S3962" s="0" t="s">
        <v>21</v>
      </c>
      <c r="T3962" s="0" t="s">
        <v>104</v>
      </c>
      <c r="W3962" s="0" t="s">
        <v>105</v>
      </c>
      <c r="X3962" s="0" t="s">
        <v>658</v>
      </c>
      <c r="Y3962" s="0" t="s">
        <v>659</v>
      </c>
    </row>
    <row r="3963" customFormat="false" ht="15" hidden="false" customHeight="false" outlineLevel="0" collapsed="false">
      <c r="A3963" s="0" t="s">
        <v>21</v>
      </c>
      <c r="B3963" s="0" t="s">
        <v>12498</v>
      </c>
      <c r="C3963" s="0" t="s">
        <v>97</v>
      </c>
      <c r="D3963" s="0" t="s">
        <v>12499</v>
      </c>
      <c r="E3963" s="0" t="s">
        <v>12500</v>
      </c>
      <c r="M3963" s="0" t="s">
        <v>1539</v>
      </c>
      <c r="N3963" s="0" t="s">
        <v>101</v>
      </c>
      <c r="P3963" s="0" t="s">
        <v>102</v>
      </c>
      <c r="Q3963" s="0" t="s">
        <v>102</v>
      </c>
      <c r="R3963" s="0" t="s">
        <v>113</v>
      </c>
      <c r="S3963" s="0" t="s">
        <v>21</v>
      </c>
      <c r="T3963" s="0" t="s">
        <v>104</v>
      </c>
      <c r="W3963" s="0" t="s">
        <v>105</v>
      </c>
    </row>
    <row r="3964" customFormat="false" ht="15" hidden="false" customHeight="false" outlineLevel="0" collapsed="false">
      <c r="A3964" s="0" t="s">
        <v>21</v>
      </c>
      <c r="B3964" s="0" t="s">
        <v>12501</v>
      </c>
      <c r="C3964" s="0" t="s">
        <v>97</v>
      </c>
      <c r="D3964" s="0" t="s">
        <v>12502</v>
      </c>
      <c r="E3964" s="0" t="s">
        <v>12503</v>
      </c>
      <c r="H3964" s="0" t="s">
        <v>654</v>
      </c>
      <c r="I3964" s="0" t="s">
        <v>655</v>
      </c>
      <c r="J3964" s="0" t="s">
        <v>100</v>
      </c>
      <c r="K3964" s="0" t="s">
        <v>168</v>
      </c>
      <c r="L3964" s="0" t="s">
        <v>101</v>
      </c>
      <c r="M3964" s="0" t="s">
        <v>656</v>
      </c>
      <c r="N3964" s="0" t="s">
        <v>101</v>
      </c>
      <c r="P3964" s="0" t="s">
        <v>102</v>
      </c>
      <c r="Q3964" s="0" t="s">
        <v>102</v>
      </c>
      <c r="R3964" s="0" t="s">
        <v>113</v>
      </c>
      <c r="S3964" s="0" t="s">
        <v>21</v>
      </c>
      <c r="T3964" s="0" t="s">
        <v>104</v>
      </c>
      <c r="W3964" s="0" t="s">
        <v>105</v>
      </c>
      <c r="X3964" s="0" t="s">
        <v>658</v>
      </c>
      <c r="Y3964" s="0" t="s">
        <v>659</v>
      </c>
    </row>
    <row r="3965" customFormat="false" ht="15" hidden="false" customHeight="false" outlineLevel="0" collapsed="false">
      <c r="A3965" s="0" t="s">
        <v>21</v>
      </c>
      <c r="B3965" s="0" t="s">
        <v>12504</v>
      </c>
      <c r="C3965" s="0" t="s">
        <v>97</v>
      </c>
      <c r="D3965" s="0" t="s">
        <v>12505</v>
      </c>
      <c r="E3965" s="0" t="s">
        <v>12506</v>
      </c>
      <c r="H3965" s="0" t="s">
        <v>654</v>
      </c>
      <c r="I3965" s="0" t="s">
        <v>655</v>
      </c>
      <c r="J3965" s="0" t="s">
        <v>100</v>
      </c>
      <c r="K3965" s="0" t="s">
        <v>168</v>
      </c>
      <c r="L3965" s="0" t="s">
        <v>101</v>
      </c>
      <c r="M3965" s="0" t="s">
        <v>656</v>
      </c>
      <c r="N3965" s="0" t="s">
        <v>101</v>
      </c>
      <c r="P3965" s="0" t="s">
        <v>102</v>
      </c>
      <c r="Q3965" s="0" t="s">
        <v>102</v>
      </c>
      <c r="R3965" s="0" t="s">
        <v>113</v>
      </c>
      <c r="S3965" s="0" t="s">
        <v>21</v>
      </c>
      <c r="T3965" s="0" t="s">
        <v>104</v>
      </c>
      <c r="W3965" s="0" t="s">
        <v>105</v>
      </c>
      <c r="X3965" s="0" t="s">
        <v>658</v>
      </c>
      <c r="Y3965" s="0" t="s">
        <v>659</v>
      </c>
    </row>
    <row r="3966" customFormat="false" ht="15" hidden="false" customHeight="false" outlineLevel="0" collapsed="false">
      <c r="A3966" s="0" t="s">
        <v>21</v>
      </c>
      <c r="B3966" s="0" t="s">
        <v>12507</v>
      </c>
      <c r="C3966" s="0" t="s">
        <v>97</v>
      </c>
      <c r="D3966" s="0" t="s">
        <v>12508</v>
      </c>
      <c r="E3966" s="0" t="s">
        <v>12509</v>
      </c>
      <c r="H3966" s="0" t="s">
        <v>654</v>
      </c>
      <c r="I3966" s="0" t="s">
        <v>655</v>
      </c>
      <c r="J3966" s="0" t="s">
        <v>100</v>
      </c>
      <c r="K3966" s="0" t="s">
        <v>168</v>
      </c>
      <c r="L3966" s="0" t="s">
        <v>101</v>
      </c>
      <c r="M3966" s="0" t="s">
        <v>656</v>
      </c>
      <c r="N3966" s="0" t="s">
        <v>101</v>
      </c>
      <c r="P3966" s="0" t="s">
        <v>102</v>
      </c>
      <c r="Q3966" s="0" t="s">
        <v>102</v>
      </c>
      <c r="R3966" s="0" t="s">
        <v>113</v>
      </c>
      <c r="S3966" s="0" t="s">
        <v>21</v>
      </c>
      <c r="T3966" s="0" t="s">
        <v>104</v>
      </c>
      <c r="W3966" s="0" t="s">
        <v>105</v>
      </c>
      <c r="X3966" s="0" t="s">
        <v>658</v>
      </c>
      <c r="Y3966" s="0" t="s">
        <v>659</v>
      </c>
    </row>
    <row r="3967" customFormat="false" ht="15" hidden="false" customHeight="false" outlineLevel="0" collapsed="false">
      <c r="A3967" s="0" t="s">
        <v>21</v>
      </c>
      <c r="B3967" s="0" t="s">
        <v>12510</v>
      </c>
      <c r="C3967" s="0" t="s">
        <v>97</v>
      </c>
      <c r="D3967" s="0" t="s">
        <v>12511</v>
      </c>
      <c r="E3967" s="0" t="s">
        <v>12512</v>
      </c>
      <c r="H3967" s="0" t="s">
        <v>654</v>
      </c>
      <c r="I3967" s="0" t="s">
        <v>655</v>
      </c>
      <c r="J3967" s="0" t="s">
        <v>100</v>
      </c>
      <c r="K3967" s="0" t="s">
        <v>168</v>
      </c>
      <c r="L3967" s="0" t="s">
        <v>101</v>
      </c>
      <c r="M3967" s="0" t="s">
        <v>656</v>
      </c>
      <c r="N3967" s="0" t="s">
        <v>101</v>
      </c>
      <c r="P3967" s="0" t="s">
        <v>102</v>
      </c>
      <c r="Q3967" s="0" t="s">
        <v>102</v>
      </c>
      <c r="R3967" s="0" t="s">
        <v>113</v>
      </c>
      <c r="S3967" s="0" t="s">
        <v>21</v>
      </c>
      <c r="T3967" s="0" t="s">
        <v>104</v>
      </c>
      <c r="W3967" s="0" t="s">
        <v>105</v>
      </c>
      <c r="X3967" s="0" t="s">
        <v>658</v>
      </c>
      <c r="Y3967" s="0" t="s">
        <v>659</v>
      </c>
    </row>
    <row r="3968" customFormat="false" ht="15" hidden="false" customHeight="false" outlineLevel="0" collapsed="false">
      <c r="A3968" s="0" t="s">
        <v>21</v>
      </c>
      <c r="B3968" s="0" t="s">
        <v>12513</v>
      </c>
      <c r="C3968" s="0" t="s">
        <v>97</v>
      </c>
      <c r="D3968" s="0" t="s">
        <v>12514</v>
      </c>
      <c r="E3968" s="0" t="s">
        <v>12515</v>
      </c>
      <c r="H3968" s="0" t="s">
        <v>654</v>
      </c>
      <c r="I3968" s="0" t="s">
        <v>655</v>
      </c>
      <c r="J3968" s="0" t="s">
        <v>100</v>
      </c>
      <c r="K3968" s="0" t="s">
        <v>168</v>
      </c>
      <c r="L3968" s="0" t="s">
        <v>101</v>
      </c>
      <c r="M3968" s="0" t="s">
        <v>656</v>
      </c>
      <c r="N3968" s="0" t="s">
        <v>101</v>
      </c>
      <c r="P3968" s="0" t="s">
        <v>102</v>
      </c>
      <c r="Q3968" s="0" t="s">
        <v>102</v>
      </c>
      <c r="R3968" s="0" t="s">
        <v>113</v>
      </c>
      <c r="S3968" s="0" t="s">
        <v>21</v>
      </c>
      <c r="T3968" s="0" t="s">
        <v>104</v>
      </c>
      <c r="W3968" s="0" t="s">
        <v>105</v>
      </c>
      <c r="X3968" s="0" t="s">
        <v>658</v>
      </c>
      <c r="Y3968" s="0" t="s">
        <v>659</v>
      </c>
    </row>
    <row r="3969" customFormat="false" ht="15" hidden="false" customHeight="false" outlineLevel="0" collapsed="false">
      <c r="A3969" s="0" t="s">
        <v>21</v>
      </c>
      <c r="B3969" s="0" t="s">
        <v>12516</v>
      </c>
      <c r="C3969" s="0" t="s">
        <v>97</v>
      </c>
      <c r="D3969" s="0" t="s">
        <v>12517</v>
      </c>
      <c r="E3969" s="0" t="s">
        <v>12518</v>
      </c>
      <c r="H3969" s="0" t="s">
        <v>654</v>
      </c>
      <c r="I3969" s="0" t="s">
        <v>655</v>
      </c>
      <c r="J3969" s="0" t="s">
        <v>100</v>
      </c>
      <c r="K3969" s="0" t="s">
        <v>168</v>
      </c>
      <c r="L3969" s="0" t="s">
        <v>101</v>
      </c>
      <c r="M3969" s="0" t="s">
        <v>656</v>
      </c>
      <c r="N3969" s="0" t="s">
        <v>101</v>
      </c>
      <c r="P3969" s="0" t="s">
        <v>102</v>
      </c>
      <c r="Q3969" s="0" t="s">
        <v>102</v>
      </c>
      <c r="R3969" s="0" t="s">
        <v>113</v>
      </c>
      <c r="S3969" s="0" t="s">
        <v>21</v>
      </c>
      <c r="T3969" s="0" t="s">
        <v>104</v>
      </c>
      <c r="W3969" s="0" t="s">
        <v>105</v>
      </c>
      <c r="X3969" s="0" t="s">
        <v>658</v>
      </c>
      <c r="Y3969" s="0" t="s">
        <v>659</v>
      </c>
    </row>
    <row r="3970" customFormat="false" ht="15" hidden="false" customHeight="false" outlineLevel="0" collapsed="false">
      <c r="A3970" s="0" t="s">
        <v>21</v>
      </c>
      <c r="B3970" s="0" t="s">
        <v>12519</v>
      </c>
      <c r="C3970" s="0" t="s">
        <v>97</v>
      </c>
      <c r="D3970" s="0" t="s">
        <v>12520</v>
      </c>
      <c r="E3970" s="0" t="s">
        <v>12521</v>
      </c>
      <c r="H3970" s="0" t="s">
        <v>654</v>
      </c>
      <c r="I3970" s="0" t="s">
        <v>655</v>
      </c>
      <c r="J3970" s="0" t="s">
        <v>100</v>
      </c>
      <c r="K3970" s="0" t="s">
        <v>168</v>
      </c>
      <c r="L3970" s="0" t="s">
        <v>101</v>
      </c>
      <c r="M3970" s="0" t="s">
        <v>656</v>
      </c>
      <c r="N3970" s="0" t="s">
        <v>101</v>
      </c>
      <c r="P3970" s="0" t="s">
        <v>102</v>
      </c>
      <c r="Q3970" s="0" t="s">
        <v>102</v>
      </c>
      <c r="R3970" s="0" t="s">
        <v>113</v>
      </c>
      <c r="S3970" s="0" t="s">
        <v>21</v>
      </c>
      <c r="T3970" s="0" t="s">
        <v>104</v>
      </c>
      <c r="W3970" s="0" t="s">
        <v>105</v>
      </c>
      <c r="X3970" s="0" t="s">
        <v>658</v>
      </c>
      <c r="Y3970" s="0" t="s">
        <v>659</v>
      </c>
    </row>
    <row r="3971" customFormat="false" ht="15" hidden="false" customHeight="false" outlineLevel="0" collapsed="false">
      <c r="A3971" s="0" t="s">
        <v>21</v>
      </c>
      <c r="B3971" s="0" t="s">
        <v>12522</v>
      </c>
      <c r="C3971" s="0" t="s">
        <v>97</v>
      </c>
      <c r="D3971" s="0" t="s">
        <v>12523</v>
      </c>
      <c r="E3971" s="0" t="s">
        <v>12524</v>
      </c>
      <c r="H3971" s="0" t="s">
        <v>654</v>
      </c>
      <c r="I3971" s="0" t="s">
        <v>655</v>
      </c>
      <c r="J3971" s="0" t="s">
        <v>100</v>
      </c>
      <c r="K3971" s="0" t="s">
        <v>168</v>
      </c>
      <c r="L3971" s="0" t="s">
        <v>101</v>
      </c>
      <c r="M3971" s="0" t="s">
        <v>656</v>
      </c>
      <c r="N3971" s="0" t="s">
        <v>101</v>
      </c>
      <c r="P3971" s="0" t="s">
        <v>102</v>
      </c>
      <c r="Q3971" s="0" t="s">
        <v>102</v>
      </c>
      <c r="R3971" s="0" t="s">
        <v>113</v>
      </c>
      <c r="S3971" s="0" t="s">
        <v>21</v>
      </c>
      <c r="T3971" s="0" t="s">
        <v>104</v>
      </c>
      <c r="W3971" s="0" t="s">
        <v>105</v>
      </c>
      <c r="X3971" s="0" t="s">
        <v>658</v>
      </c>
      <c r="Y3971" s="0" t="s">
        <v>659</v>
      </c>
    </row>
    <row r="3972" customFormat="false" ht="15" hidden="false" customHeight="false" outlineLevel="0" collapsed="false">
      <c r="A3972" s="0" t="s">
        <v>21</v>
      </c>
      <c r="B3972" s="0" t="s">
        <v>12525</v>
      </c>
      <c r="C3972" s="0" t="s">
        <v>97</v>
      </c>
      <c r="D3972" s="0" t="s">
        <v>5056</v>
      </c>
      <c r="E3972" s="0" t="s">
        <v>12526</v>
      </c>
      <c r="H3972" s="0" t="s">
        <v>654</v>
      </c>
      <c r="I3972" s="0" t="s">
        <v>655</v>
      </c>
      <c r="J3972" s="0" t="s">
        <v>100</v>
      </c>
      <c r="K3972" s="0" t="s">
        <v>168</v>
      </c>
      <c r="L3972" s="0" t="s">
        <v>101</v>
      </c>
      <c r="M3972" s="0" t="s">
        <v>656</v>
      </c>
      <c r="N3972" s="0" t="s">
        <v>101</v>
      </c>
      <c r="P3972" s="0" t="s">
        <v>102</v>
      </c>
      <c r="Q3972" s="0" t="s">
        <v>102</v>
      </c>
      <c r="R3972" s="0" t="s">
        <v>113</v>
      </c>
      <c r="S3972" s="0" t="s">
        <v>21</v>
      </c>
      <c r="T3972" s="0" t="s">
        <v>104</v>
      </c>
      <c r="W3972" s="0" t="s">
        <v>105</v>
      </c>
      <c r="X3972" s="0" t="s">
        <v>658</v>
      </c>
      <c r="Y3972" s="0" t="s">
        <v>659</v>
      </c>
    </row>
    <row r="3973" customFormat="false" ht="15" hidden="false" customHeight="false" outlineLevel="0" collapsed="false">
      <c r="A3973" s="0" t="s">
        <v>21</v>
      </c>
      <c r="B3973" s="0" t="s">
        <v>12527</v>
      </c>
      <c r="C3973" s="0" t="s">
        <v>97</v>
      </c>
      <c r="D3973" s="0" t="s">
        <v>3611</v>
      </c>
      <c r="E3973" s="0" t="s">
        <v>12528</v>
      </c>
      <c r="H3973" s="0" t="s">
        <v>654</v>
      </c>
      <c r="I3973" s="0" t="s">
        <v>655</v>
      </c>
      <c r="J3973" s="0" t="s">
        <v>100</v>
      </c>
      <c r="K3973" s="0" t="s">
        <v>168</v>
      </c>
      <c r="L3973" s="0" t="s">
        <v>101</v>
      </c>
      <c r="M3973" s="0" t="s">
        <v>656</v>
      </c>
      <c r="N3973" s="0" t="s">
        <v>101</v>
      </c>
      <c r="P3973" s="0" t="s">
        <v>102</v>
      </c>
      <c r="Q3973" s="0" t="s">
        <v>102</v>
      </c>
      <c r="R3973" s="0" t="s">
        <v>113</v>
      </c>
      <c r="S3973" s="0" t="s">
        <v>21</v>
      </c>
      <c r="T3973" s="0" t="s">
        <v>104</v>
      </c>
      <c r="W3973" s="0" t="s">
        <v>105</v>
      </c>
      <c r="X3973" s="0" t="s">
        <v>658</v>
      </c>
      <c r="Y3973" s="0" t="s">
        <v>659</v>
      </c>
    </row>
    <row r="3974" customFormat="false" ht="15" hidden="false" customHeight="false" outlineLevel="0" collapsed="false">
      <c r="A3974" s="0" t="s">
        <v>21</v>
      </c>
      <c r="B3974" s="0" t="s">
        <v>12529</v>
      </c>
      <c r="C3974" s="0" t="s">
        <v>211</v>
      </c>
      <c r="D3974" s="0" t="s">
        <v>11976</v>
      </c>
      <c r="E3974" s="0" t="s">
        <v>12530</v>
      </c>
      <c r="M3974" s="0" t="s">
        <v>421</v>
      </c>
      <c r="N3974" s="0" t="s">
        <v>101</v>
      </c>
      <c r="P3974" s="0" t="s">
        <v>102</v>
      </c>
      <c r="Q3974" s="0" t="s">
        <v>102</v>
      </c>
      <c r="R3974" s="0" t="s">
        <v>113</v>
      </c>
      <c r="S3974" s="0" t="s">
        <v>21</v>
      </c>
      <c r="T3974" s="0" t="s">
        <v>104</v>
      </c>
      <c r="W3974" s="0" t="s">
        <v>105</v>
      </c>
    </row>
    <row r="3975" customFormat="false" ht="15" hidden="false" customHeight="false" outlineLevel="0" collapsed="false">
      <c r="A3975" s="0" t="s">
        <v>21</v>
      </c>
      <c r="B3975" s="0" t="s">
        <v>12531</v>
      </c>
      <c r="C3975" s="0" t="s">
        <v>97</v>
      </c>
      <c r="D3975" s="0" t="s">
        <v>12532</v>
      </c>
      <c r="E3975" s="0" t="s">
        <v>12533</v>
      </c>
      <c r="H3975" s="0" t="s">
        <v>654</v>
      </c>
      <c r="I3975" s="0" t="s">
        <v>655</v>
      </c>
      <c r="J3975" s="0" t="s">
        <v>100</v>
      </c>
      <c r="K3975" s="0" t="s">
        <v>168</v>
      </c>
      <c r="L3975" s="0" t="s">
        <v>101</v>
      </c>
      <c r="M3975" s="0" t="s">
        <v>656</v>
      </c>
      <c r="N3975" s="0" t="s">
        <v>101</v>
      </c>
      <c r="P3975" s="0" t="s">
        <v>102</v>
      </c>
      <c r="Q3975" s="0" t="s">
        <v>102</v>
      </c>
      <c r="R3975" s="0" t="s">
        <v>113</v>
      </c>
      <c r="S3975" s="0" t="s">
        <v>21</v>
      </c>
      <c r="T3975" s="0" t="s">
        <v>104</v>
      </c>
      <c r="W3975" s="0" t="s">
        <v>105</v>
      </c>
      <c r="X3975" s="0" t="s">
        <v>658</v>
      </c>
      <c r="Y3975" s="0" t="s">
        <v>659</v>
      </c>
    </row>
    <row r="3976" customFormat="false" ht="15" hidden="false" customHeight="false" outlineLevel="0" collapsed="false">
      <c r="A3976" s="0" t="s">
        <v>21</v>
      </c>
      <c r="B3976" s="0" t="s">
        <v>12531</v>
      </c>
      <c r="C3976" s="0" t="s">
        <v>97</v>
      </c>
      <c r="D3976" s="0" t="s">
        <v>12532</v>
      </c>
      <c r="E3976" s="0" t="s">
        <v>12533</v>
      </c>
      <c r="H3976" s="0" t="s">
        <v>654</v>
      </c>
      <c r="I3976" s="0" t="s">
        <v>655</v>
      </c>
      <c r="J3976" s="0" t="s">
        <v>100</v>
      </c>
      <c r="K3976" s="0" t="s">
        <v>168</v>
      </c>
      <c r="L3976" s="0" t="s">
        <v>101</v>
      </c>
      <c r="M3976" s="0" t="s">
        <v>656</v>
      </c>
      <c r="N3976" s="0" t="s">
        <v>101</v>
      </c>
      <c r="P3976" s="0" t="s">
        <v>12420</v>
      </c>
      <c r="Q3976" s="0" t="s">
        <v>12420</v>
      </c>
      <c r="R3976" s="0" t="s">
        <v>12420</v>
      </c>
      <c r="S3976" s="0" t="s">
        <v>21</v>
      </c>
      <c r="T3976" s="0" t="s">
        <v>104</v>
      </c>
      <c r="W3976" s="0" t="s">
        <v>183</v>
      </c>
      <c r="X3976" s="0" t="s">
        <v>658</v>
      </c>
      <c r="Y3976" s="0" t="s">
        <v>659</v>
      </c>
    </row>
    <row r="3977" customFormat="false" ht="15" hidden="false" customHeight="false" outlineLevel="0" collapsed="false">
      <c r="A3977" s="0" t="s">
        <v>21</v>
      </c>
      <c r="B3977" s="0" t="s">
        <v>12534</v>
      </c>
      <c r="C3977" s="0" t="s">
        <v>97</v>
      </c>
      <c r="D3977" s="0" t="s">
        <v>5059</v>
      </c>
      <c r="E3977" s="0" t="s">
        <v>12535</v>
      </c>
      <c r="H3977" s="0" t="s">
        <v>654</v>
      </c>
      <c r="I3977" s="0" t="s">
        <v>655</v>
      </c>
      <c r="J3977" s="0" t="s">
        <v>100</v>
      </c>
      <c r="K3977" s="0" t="s">
        <v>168</v>
      </c>
      <c r="L3977" s="0" t="s">
        <v>101</v>
      </c>
      <c r="M3977" s="0" t="s">
        <v>656</v>
      </c>
      <c r="N3977" s="0" t="s">
        <v>101</v>
      </c>
      <c r="P3977" s="0" t="s">
        <v>102</v>
      </c>
      <c r="Q3977" s="0" t="s">
        <v>102</v>
      </c>
      <c r="R3977" s="0" t="s">
        <v>113</v>
      </c>
      <c r="S3977" s="0" t="s">
        <v>21</v>
      </c>
      <c r="T3977" s="0" t="s">
        <v>104</v>
      </c>
      <c r="W3977" s="0" t="s">
        <v>105</v>
      </c>
      <c r="X3977" s="0" t="s">
        <v>658</v>
      </c>
      <c r="Y3977" s="0" t="s">
        <v>659</v>
      </c>
    </row>
    <row r="3978" customFormat="false" ht="15" hidden="false" customHeight="false" outlineLevel="0" collapsed="false">
      <c r="A3978" s="0" t="s">
        <v>21</v>
      </c>
      <c r="B3978" s="0" t="s">
        <v>12536</v>
      </c>
      <c r="C3978" s="0" t="s">
        <v>97</v>
      </c>
      <c r="D3978" s="0" t="s">
        <v>12537</v>
      </c>
      <c r="E3978" s="0" t="s">
        <v>12538</v>
      </c>
      <c r="H3978" s="0" t="s">
        <v>654</v>
      </c>
      <c r="I3978" s="0" t="s">
        <v>655</v>
      </c>
      <c r="J3978" s="0" t="s">
        <v>100</v>
      </c>
      <c r="K3978" s="0" t="s">
        <v>168</v>
      </c>
      <c r="L3978" s="0" t="s">
        <v>101</v>
      </c>
      <c r="M3978" s="0" t="s">
        <v>656</v>
      </c>
      <c r="N3978" s="0" t="s">
        <v>101</v>
      </c>
      <c r="P3978" s="0" t="s">
        <v>102</v>
      </c>
      <c r="Q3978" s="0" t="s">
        <v>102</v>
      </c>
      <c r="R3978" s="0" t="s">
        <v>113</v>
      </c>
      <c r="S3978" s="0" t="s">
        <v>21</v>
      </c>
      <c r="T3978" s="0" t="s">
        <v>104</v>
      </c>
      <c r="W3978" s="0" t="s">
        <v>105</v>
      </c>
      <c r="X3978" s="0" t="s">
        <v>658</v>
      </c>
      <c r="Y3978" s="0" t="s">
        <v>659</v>
      </c>
    </row>
    <row r="3979" customFormat="false" ht="15" hidden="false" customHeight="false" outlineLevel="0" collapsed="false">
      <c r="A3979" s="0" t="s">
        <v>21</v>
      </c>
      <c r="B3979" s="0" t="s">
        <v>12539</v>
      </c>
      <c r="C3979" s="0" t="s">
        <v>97</v>
      </c>
      <c r="D3979" s="0" t="s">
        <v>12540</v>
      </c>
      <c r="E3979" s="0" t="s">
        <v>12541</v>
      </c>
      <c r="H3979" s="0" t="s">
        <v>654</v>
      </c>
      <c r="I3979" s="0" t="s">
        <v>655</v>
      </c>
      <c r="J3979" s="0" t="s">
        <v>100</v>
      </c>
      <c r="K3979" s="0" t="s">
        <v>168</v>
      </c>
      <c r="L3979" s="0" t="s">
        <v>101</v>
      </c>
      <c r="M3979" s="0" t="s">
        <v>656</v>
      </c>
      <c r="N3979" s="0" t="s">
        <v>101</v>
      </c>
      <c r="P3979" s="0" t="s">
        <v>102</v>
      </c>
      <c r="Q3979" s="0" t="s">
        <v>102</v>
      </c>
      <c r="R3979" s="0" t="s">
        <v>113</v>
      </c>
      <c r="S3979" s="0" t="s">
        <v>21</v>
      </c>
      <c r="T3979" s="0" t="s">
        <v>104</v>
      </c>
      <c r="W3979" s="0" t="s">
        <v>105</v>
      </c>
      <c r="X3979" s="0" t="s">
        <v>658</v>
      </c>
      <c r="Y3979" s="0" t="s">
        <v>659</v>
      </c>
    </row>
    <row r="3980" customFormat="false" ht="15" hidden="false" customHeight="false" outlineLevel="0" collapsed="false">
      <c r="A3980" s="0" t="s">
        <v>21</v>
      </c>
      <c r="B3980" s="0" t="s">
        <v>12542</v>
      </c>
      <c r="C3980" s="0" t="s">
        <v>97</v>
      </c>
      <c r="D3980" s="0" t="s">
        <v>12543</v>
      </c>
      <c r="E3980" s="0" t="s">
        <v>12544</v>
      </c>
      <c r="H3980" s="0" t="s">
        <v>654</v>
      </c>
      <c r="I3980" s="0" t="s">
        <v>655</v>
      </c>
      <c r="J3980" s="0" t="s">
        <v>100</v>
      </c>
      <c r="K3980" s="0" t="s">
        <v>168</v>
      </c>
      <c r="L3980" s="0" t="s">
        <v>101</v>
      </c>
      <c r="M3980" s="0" t="s">
        <v>656</v>
      </c>
      <c r="N3980" s="0" t="s">
        <v>101</v>
      </c>
      <c r="P3980" s="0" t="s">
        <v>102</v>
      </c>
      <c r="Q3980" s="0" t="s">
        <v>102</v>
      </c>
      <c r="R3980" s="0" t="s">
        <v>113</v>
      </c>
      <c r="S3980" s="0" t="s">
        <v>21</v>
      </c>
      <c r="T3980" s="0" t="s">
        <v>104</v>
      </c>
      <c r="W3980" s="0" t="s">
        <v>105</v>
      </c>
      <c r="X3980" s="0" t="s">
        <v>658</v>
      </c>
      <c r="Y3980" s="0" t="s">
        <v>659</v>
      </c>
    </row>
    <row r="3981" customFormat="false" ht="15" hidden="false" customHeight="false" outlineLevel="0" collapsed="false">
      <c r="A3981" s="0" t="s">
        <v>21</v>
      </c>
      <c r="B3981" s="0" t="s">
        <v>12545</v>
      </c>
      <c r="C3981" s="0" t="s">
        <v>97</v>
      </c>
      <c r="D3981" s="0" t="s">
        <v>4862</v>
      </c>
      <c r="E3981" s="0" t="s">
        <v>12546</v>
      </c>
      <c r="H3981" s="0" t="s">
        <v>654</v>
      </c>
      <c r="I3981" s="0" t="s">
        <v>655</v>
      </c>
      <c r="J3981" s="0" t="s">
        <v>100</v>
      </c>
      <c r="K3981" s="0" t="s">
        <v>168</v>
      </c>
      <c r="L3981" s="0" t="s">
        <v>101</v>
      </c>
      <c r="M3981" s="0" t="s">
        <v>656</v>
      </c>
      <c r="N3981" s="0" t="s">
        <v>101</v>
      </c>
      <c r="P3981" s="0" t="s">
        <v>102</v>
      </c>
      <c r="Q3981" s="0" t="s">
        <v>102</v>
      </c>
      <c r="R3981" s="0" t="s">
        <v>113</v>
      </c>
      <c r="S3981" s="0" t="s">
        <v>21</v>
      </c>
      <c r="T3981" s="0" t="s">
        <v>104</v>
      </c>
      <c r="W3981" s="0" t="s">
        <v>105</v>
      </c>
      <c r="X3981" s="0" t="s">
        <v>658</v>
      </c>
      <c r="Y3981" s="0" t="s">
        <v>659</v>
      </c>
    </row>
    <row r="3982" customFormat="false" ht="15" hidden="false" customHeight="false" outlineLevel="0" collapsed="false">
      <c r="A3982" s="0" t="s">
        <v>21</v>
      </c>
      <c r="B3982" s="0" t="s">
        <v>12547</v>
      </c>
      <c r="C3982" s="0" t="s">
        <v>97</v>
      </c>
      <c r="D3982" s="0" t="s">
        <v>12548</v>
      </c>
      <c r="E3982" s="0" t="s">
        <v>12549</v>
      </c>
      <c r="H3982" s="0" t="s">
        <v>654</v>
      </c>
      <c r="I3982" s="0" t="s">
        <v>655</v>
      </c>
      <c r="J3982" s="0" t="s">
        <v>100</v>
      </c>
      <c r="K3982" s="0" t="s">
        <v>168</v>
      </c>
      <c r="L3982" s="0" t="s">
        <v>101</v>
      </c>
      <c r="M3982" s="0" t="s">
        <v>656</v>
      </c>
      <c r="N3982" s="0" t="s">
        <v>101</v>
      </c>
      <c r="P3982" s="0" t="s">
        <v>102</v>
      </c>
      <c r="Q3982" s="0" t="s">
        <v>102</v>
      </c>
      <c r="R3982" s="0" t="s">
        <v>113</v>
      </c>
      <c r="S3982" s="0" t="s">
        <v>21</v>
      </c>
      <c r="T3982" s="0" t="s">
        <v>104</v>
      </c>
      <c r="W3982" s="0" t="s">
        <v>105</v>
      </c>
      <c r="X3982" s="0" t="s">
        <v>658</v>
      </c>
      <c r="Y3982" s="0" t="s">
        <v>659</v>
      </c>
    </row>
    <row r="3983" customFormat="false" ht="15" hidden="false" customHeight="false" outlineLevel="0" collapsed="false">
      <c r="A3983" s="0" t="s">
        <v>21</v>
      </c>
      <c r="B3983" s="0" t="s">
        <v>12550</v>
      </c>
      <c r="C3983" s="0" t="s">
        <v>97</v>
      </c>
      <c r="D3983" s="0" t="s">
        <v>10813</v>
      </c>
      <c r="E3983" s="0" t="s">
        <v>12551</v>
      </c>
      <c r="M3983" s="0" t="s">
        <v>136</v>
      </c>
      <c r="N3983" s="0" t="s">
        <v>124</v>
      </c>
      <c r="P3983" s="0" t="s">
        <v>102</v>
      </c>
      <c r="Q3983" s="0" t="s">
        <v>102</v>
      </c>
      <c r="R3983" s="0" t="s">
        <v>131</v>
      </c>
      <c r="S3983" s="0" t="s">
        <v>21</v>
      </c>
      <c r="T3983" s="0" t="s">
        <v>104</v>
      </c>
      <c r="W3983" s="0" t="s">
        <v>105</v>
      </c>
    </row>
    <row r="3984" customFormat="false" ht="15" hidden="false" customHeight="false" outlineLevel="0" collapsed="false">
      <c r="A3984" s="0" t="s">
        <v>21</v>
      </c>
      <c r="B3984" s="0" t="s">
        <v>12552</v>
      </c>
      <c r="C3984" s="0" t="s">
        <v>97</v>
      </c>
      <c r="D3984" s="0" t="s">
        <v>12553</v>
      </c>
      <c r="E3984" s="0" t="s">
        <v>12554</v>
      </c>
      <c r="M3984" s="0" t="s">
        <v>136</v>
      </c>
      <c r="N3984" s="0" t="s">
        <v>124</v>
      </c>
      <c r="P3984" s="0" t="s">
        <v>102</v>
      </c>
      <c r="Q3984" s="0" t="s">
        <v>102</v>
      </c>
      <c r="R3984" s="0" t="s">
        <v>131</v>
      </c>
      <c r="S3984" s="0" t="s">
        <v>21</v>
      </c>
      <c r="T3984" s="0" t="s">
        <v>104</v>
      </c>
      <c r="W3984" s="0" t="s">
        <v>105</v>
      </c>
    </row>
    <row r="3985" customFormat="false" ht="15" hidden="false" customHeight="false" outlineLevel="0" collapsed="false">
      <c r="A3985" s="0" t="s">
        <v>21</v>
      </c>
      <c r="B3985" s="0" t="s">
        <v>12555</v>
      </c>
      <c r="C3985" s="0" t="s">
        <v>97</v>
      </c>
      <c r="D3985" s="0" t="s">
        <v>12556</v>
      </c>
      <c r="E3985" s="0" t="s">
        <v>12557</v>
      </c>
      <c r="H3985" s="0" t="s">
        <v>654</v>
      </c>
      <c r="I3985" s="0" t="s">
        <v>655</v>
      </c>
      <c r="J3985" s="0" t="s">
        <v>100</v>
      </c>
      <c r="K3985" s="0" t="s">
        <v>168</v>
      </c>
      <c r="L3985" s="0" t="s">
        <v>101</v>
      </c>
      <c r="M3985" s="0" t="s">
        <v>656</v>
      </c>
      <c r="N3985" s="0" t="s">
        <v>101</v>
      </c>
      <c r="P3985" s="0" t="s">
        <v>102</v>
      </c>
      <c r="Q3985" s="0" t="s">
        <v>102</v>
      </c>
      <c r="R3985" s="0" t="s">
        <v>113</v>
      </c>
      <c r="S3985" s="0" t="s">
        <v>21</v>
      </c>
      <c r="T3985" s="0" t="s">
        <v>104</v>
      </c>
      <c r="W3985" s="0" t="s">
        <v>105</v>
      </c>
      <c r="X3985" s="0" t="s">
        <v>658</v>
      </c>
      <c r="Y3985" s="0" t="s">
        <v>659</v>
      </c>
    </row>
    <row r="3986" customFormat="false" ht="15" hidden="false" customHeight="false" outlineLevel="0" collapsed="false">
      <c r="A3986" s="0" t="s">
        <v>21</v>
      </c>
      <c r="B3986" s="0" t="s">
        <v>12558</v>
      </c>
      <c r="C3986" s="0" t="s">
        <v>97</v>
      </c>
      <c r="D3986" s="0" t="s">
        <v>12559</v>
      </c>
      <c r="E3986" s="0" t="s">
        <v>12560</v>
      </c>
      <c r="H3986" s="0" t="s">
        <v>654</v>
      </c>
      <c r="I3986" s="0" t="s">
        <v>655</v>
      </c>
      <c r="J3986" s="0" t="s">
        <v>100</v>
      </c>
      <c r="K3986" s="0" t="s">
        <v>168</v>
      </c>
      <c r="L3986" s="0" t="s">
        <v>101</v>
      </c>
      <c r="M3986" s="0" t="s">
        <v>656</v>
      </c>
      <c r="N3986" s="0" t="s">
        <v>101</v>
      </c>
      <c r="P3986" s="0" t="s">
        <v>102</v>
      </c>
      <c r="Q3986" s="0" t="s">
        <v>102</v>
      </c>
      <c r="R3986" s="0" t="s">
        <v>113</v>
      </c>
      <c r="S3986" s="0" t="s">
        <v>21</v>
      </c>
      <c r="T3986" s="0" t="s">
        <v>104</v>
      </c>
      <c r="W3986" s="0" t="s">
        <v>105</v>
      </c>
      <c r="X3986" s="0" t="s">
        <v>658</v>
      </c>
      <c r="Y3986" s="0" t="s">
        <v>659</v>
      </c>
    </row>
    <row r="3987" customFormat="false" ht="15" hidden="false" customHeight="false" outlineLevel="0" collapsed="false">
      <c r="A3987" s="0" t="s">
        <v>21</v>
      </c>
      <c r="B3987" s="0" t="s">
        <v>12561</v>
      </c>
      <c r="C3987" s="0" t="s">
        <v>97</v>
      </c>
      <c r="D3987" s="0" t="s">
        <v>12562</v>
      </c>
      <c r="E3987" s="0" t="s">
        <v>12563</v>
      </c>
      <c r="H3987" s="0" t="s">
        <v>654</v>
      </c>
      <c r="I3987" s="0" t="s">
        <v>655</v>
      </c>
      <c r="J3987" s="0" t="s">
        <v>100</v>
      </c>
      <c r="K3987" s="0" t="s">
        <v>168</v>
      </c>
      <c r="L3987" s="0" t="s">
        <v>101</v>
      </c>
      <c r="M3987" s="0" t="s">
        <v>656</v>
      </c>
      <c r="N3987" s="0" t="s">
        <v>101</v>
      </c>
      <c r="P3987" s="0" t="s">
        <v>102</v>
      </c>
      <c r="Q3987" s="0" t="s">
        <v>102</v>
      </c>
      <c r="R3987" s="0" t="s">
        <v>113</v>
      </c>
      <c r="S3987" s="0" t="s">
        <v>21</v>
      </c>
      <c r="T3987" s="0" t="s">
        <v>104</v>
      </c>
      <c r="W3987" s="0" t="s">
        <v>105</v>
      </c>
      <c r="X3987" s="0" t="s">
        <v>658</v>
      </c>
      <c r="Y3987" s="0" t="s">
        <v>659</v>
      </c>
    </row>
    <row r="3988" customFormat="false" ht="15" hidden="false" customHeight="false" outlineLevel="0" collapsed="false">
      <c r="A3988" s="0" t="s">
        <v>21</v>
      </c>
      <c r="B3988" s="0" t="s">
        <v>12564</v>
      </c>
      <c r="C3988" s="0" t="s">
        <v>97</v>
      </c>
      <c r="D3988" s="0" t="s">
        <v>12565</v>
      </c>
      <c r="E3988" s="0" t="s">
        <v>12566</v>
      </c>
      <c r="M3988" s="0" t="s">
        <v>136</v>
      </c>
      <c r="N3988" s="0" t="s">
        <v>124</v>
      </c>
      <c r="P3988" s="0" t="s">
        <v>102</v>
      </c>
      <c r="Q3988" s="0" t="s">
        <v>102</v>
      </c>
      <c r="R3988" s="0" t="s">
        <v>131</v>
      </c>
      <c r="S3988" s="0" t="s">
        <v>21</v>
      </c>
      <c r="T3988" s="0" t="s">
        <v>104</v>
      </c>
      <c r="W3988" s="0" t="s">
        <v>105</v>
      </c>
    </row>
    <row r="3989" customFormat="false" ht="15" hidden="false" customHeight="false" outlineLevel="0" collapsed="false">
      <c r="A3989" s="0" t="s">
        <v>21</v>
      </c>
      <c r="B3989" s="0" t="s">
        <v>12567</v>
      </c>
      <c r="C3989" s="0" t="s">
        <v>97</v>
      </c>
      <c r="D3989" s="0" t="s">
        <v>12568</v>
      </c>
      <c r="E3989" s="0" t="s">
        <v>12569</v>
      </c>
      <c r="M3989" s="0" t="s">
        <v>136</v>
      </c>
      <c r="N3989" s="0" t="s">
        <v>124</v>
      </c>
      <c r="P3989" s="0" t="s">
        <v>102</v>
      </c>
      <c r="Q3989" s="0" t="s">
        <v>102</v>
      </c>
      <c r="R3989" s="0" t="s">
        <v>131</v>
      </c>
      <c r="S3989" s="0" t="s">
        <v>21</v>
      </c>
      <c r="T3989" s="0" t="s">
        <v>104</v>
      </c>
      <c r="W3989" s="0" t="s">
        <v>105</v>
      </c>
    </row>
    <row r="3990" customFormat="false" ht="15" hidden="false" customHeight="false" outlineLevel="0" collapsed="false">
      <c r="A3990" s="0" t="s">
        <v>21</v>
      </c>
      <c r="B3990" s="0" t="s">
        <v>12570</v>
      </c>
      <c r="C3990" s="0" t="s">
        <v>97</v>
      </c>
      <c r="D3990" s="0" t="s">
        <v>8560</v>
      </c>
      <c r="E3990" s="0" t="s">
        <v>12571</v>
      </c>
      <c r="M3990" s="0" t="s">
        <v>136</v>
      </c>
      <c r="N3990" s="0" t="s">
        <v>124</v>
      </c>
      <c r="P3990" s="0" t="s">
        <v>102</v>
      </c>
      <c r="Q3990" s="0" t="s">
        <v>102</v>
      </c>
      <c r="R3990" s="0" t="s">
        <v>131</v>
      </c>
      <c r="S3990" s="0" t="s">
        <v>21</v>
      </c>
      <c r="T3990" s="0" t="s">
        <v>104</v>
      </c>
      <c r="W3990" s="0" t="s">
        <v>105</v>
      </c>
    </row>
    <row r="3991" customFormat="false" ht="15" hidden="false" customHeight="false" outlineLevel="0" collapsed="false">
      <c r="A3991" s="0" t="s">
        <v>21</v>
      </c>
      <c r="B3991" s="0" t="s">
        <v>12572</v>
      </c>
      <c r="C3991" s="0" t="s">
        <v>97</v>
      </c>
      <c r="D3991" s="0" t="s">
        <v>12573</v>
      </c>
      <c r="E3991" s="0" t="s">
        <v>12574</v>
      </c>
      <c r="M3991" s="0" t="s">
        <v>136</v>
      </c>
      <c r="N3991" s="0" t="s">
        <v>124</v>
      </c>
      <c r="P3991" s="0" t="s">
        <v>102</v>
      </c>
      <c r="Q3991" s="0" t="s">
        <v>102</v>
      </c>
      <c r="R3991" s="0" t="s">
        <v>131</v>
      </c>
      <c r="S3991" s="0" t="s">
        <v>21</v>
      </c>
      <c r="T3991" s="0" t="s">
        <v>104</v>
      </c>
      <c r="W3991" s="0" t="s">
        <v>105</v>
      </c>
    </row>
    <row r="3992" customFormat="false" ht="15" hidden="false" customHeight="false" outlineLevel="0" collapsed="false">
      <c r="A3992" s="0" t="s">
        <v>21</v>
      </c>
      <c r="B3992" s="0" t="s">
        <v>12575</v>
      </c>
      <c r="C3992" s="0" t="s">
        <v>97</v>
      </c>
      <c r="D3992" s="0" t="s">
        <v>12576</v>
      </c>
      <c r="E3992" s="0" t="s">
        <v>12577</v>
      </c>
      <c r="H3992" s="0" t="s">
        <v>654</v>
      </c>
      <c r="I3992" s="0" t="s">
        <v>655</v>
      </c>
      <c r="J3992" s="0" t="s">
        <v>100</v>
      </c>
      <c r="K3992" s="0" t="s">
        <v>168</v>
      </c>
      <c r="L3992" s="0" t="s">
        <v>101</v>
      </c>
      <c r="M3992" s="0" t="s">
        <v>656</v>
      </c>
      <c r="N3992" s="0" t="s">
        <v>101</v>
      </c>
      <c r="P3992" s="0" t="s">
        <v>102</v>
      </c>
      <c r="Q3992" s="0" t="s">
        <v>102</v>
      </c>
      <c r="R3992" s="0" t="s">
        <v>113</v>
      </c>
      <c r="S3992" s="0" t="s">
        <v>21</v>
      </c>
      <c r="T3992" s="0" t="s">
        <v>104</v>
      </c>
      <c r="W3992" s="0" t="s">
        <v>105</v>
      </c>
      <c r="X3992" s="0" t="s">
        <v>658</v>
      </c>
      <c r="Y3992" s="0" t="s">
        <v>659</v>
      </c>
    </row>
    <row r="3993" customFormat="false" ht="15" hidden="false" customHeight="false" outlineLevel="0" collapsed="false">
      <c r="A3993" s="0" t="s">
        <v>21</v>
      </c>
      <c r="B3993" s="0" t="s">
        <v>12578</v>
      </c>
      <c r="C3993" s="0" t="s">
        <v>97</v>
      </c>
      <c r="D3993" s="0" t="s">
        <v>12579</v>
      </c>
      <c r="E3993" s="0" t="s">
        <v>12580</v>
      </c>
      <c r="M3993" s="0" t="s">
        <v>136</v>
      </c>
      <c r="N3993" s="0" t="s">
        <v>124</v>
      </c>
      <c r="P3993" s="0" t="s">
        <v>102</v>
      </c>
      <c r="Q3993" s="0" t="s">
        <v>102</v>
      </c>
      <c r="R3993" s="0" t="s">
        <v>131</v>
      </c>
      <c r="S3993" s="0" t="s">
        <v>21</v>
      </c>
      <c r="T3993" s="0" t="s">
        <v>104</v>
      </c>
      <c r="W3993" s="0" t="s">
        <v>105</v>
      </c>
    </row>
    <row r="3994" customFormat="false" ht="15" hidden="false" customHeight="false" outlineLevel="0" collapsed="false">
      <c r="A3994" s="0" t="s">
        <v>21</v>
      </c>
      <c r="B3994" s="0" t="s">
        <v>12581</v>
      </c>
      <c r="C3994" s="0" t="s">
        <v>97</v>
      </c>
      <c r="D3994" s="0" t="s">
        <v>12582</v>
      </c>
      <c r="E3994" s="0" t="s">
        <v>12583</v>
      </c>
      <c r="M3994" s="0" t="s">
        <v>136</v>
      </c>
      <c r="N3994" s="0" t="s">
        <v>124</v>
      </c>
      <c r="P3994" s="0" t="s">
        <v>102</v>
      </c>
      <c r="Q3994" s="0" t="s">
        <v>102</v>
      </c>
      <c r="R3994" s="0" t="s">
        <v>131</v>
      </c>
      <c r="S3994" s="0" t="s">
        <v>21</v>
      </c>
      <c r="T3994" s="0" t="s">
        <v>104</v>
      </c>
      <c r="W3994" s="0" t="s">
        <v>105</v>
      </c>
    </row>
    <row r="3995" customFormat="false" ht="15" hidden="false" customHeight="false" outlineLevel="0" collapsed="false">
      <c r="A3995" s="0" t="s">
        <v>21</v>
      </c>
      <c r="B3995" s="0" t="s">
        <v>12584</v>
      </c>
      <c r="C3995" s="0" t="s">
        <v>97</v>
      </c>
      <c r="D3995" s="0" t="s">
        <v>12585</v>
      </c>
      <c r="E3995" s="0" t="s">
        <v>12586</v>
      </c>
      <c r="M3995" s="0" t="s">
        <v>136</v>
      </c>
      <c r="N3995" s="0" t="s">
        <v>124</v>
      </c>
      <c r="P3995" s="0" t="s">
        <v>102</v>
      </c>
      <c r="Q3995" s="0" t="s">
        <v>102</v>
      </c>
      <c r="R3995" s="0" t="s">
        <v>131</v>
      </c>
      <c r="S3995" s="0" t="s">
        <v>21</v>
      </c>
      <c r="T3995" s="0" t="s">
        <v>104</v>
      </c>
      <c r="W3995" s="0" t="s">
        <v>105</v>
      </c>
    </row>
    <row r="3996" customFormat="false" ht="15" hidden="false" customHeight="false" outlineLevel="0" collapsed="false">
      <c r="A3996" s="0" t="s">
        <v>21</v>
      </c>
      <c r="B3996" s="0" t="s">
        <v>12587</v>
      </c>
      <c r="C3996" s="0" t="s">
        <v>97</v>
      </c>
      <c r="D3996" s="0" t="s">
        <v>12588</v>
      </c>
      <c r="E3996" s="0" t="s">
        <v>12589</v>
      </c>
      <c r="H3996" s="0" t="s">
        <v>654</v>
      </c>
      <c r="I3996" s="0" t="s">
        <v>655</v>
      </c>
      <c r="J3996" s="0" t="s">
        <v>100</v>
      </c>
      <c r="K3996" s="0" t="s">
        <v>168</v>
      </c>
      <c r="L3996" s="0" t="s">
        <v>101</v>
      </c>
      <c r="M3996" s="0" t="s">
        <v>656</v>
      </c>
      <c r="N3996" s="0" t="s">
        <v>101</v>
      </c>
      <c r="P3996" s="0" t="s">
        <v>102</v>
      </c>
      <c r="Q3996" s="0" t="s">
        <v>102</v>
      </c>
      <c r="R3996" s="0" t="s">
        <v>113</v>
      </c>
      <c r="S3996" s="0" t="s">
        <v>21</v>
      </c>
      <c r="T3996" s="0" t="s">
        <v>104</v>
      </c>
      <c r="W3996" s="0" t="s">
        <v>105</v>
      </c>
      <c r="X3996" s="0" t="s">
        <v>658</v>
      </c>
      <c r="Y3996" s="0" t="s">
        <v>659</v>
      </c>
    </row>
    <row r="3997" customFormat="false" ht="15" hidden="false" customHeight="false" outlineLevel="0" collapsed="false">
      <c r="A3997" s="0" t="s">
        <v>21</v>
      </c>
      <c r="B3997" s="0" t="s">
        <v>12590</v>
      </c>
      <c r="C3997" s="0" t="s">
        <v>97</v>
      </c>
      <c r="D3997" s="0" t="s">
        <v>12591</v>
      </c>
      <c r="E3997" s="0" t="s">
        <v>12592</v>
      </c>
      <c r="H3997" s="0" t="s">
        <v>654</v>
      </c>
      <c r="I3997" s="0" t="s">
        <v>655</v>
      </c>
      <c r="J3997" s="0" t="s">
        <v>100</v>
      </c>
      <c r="K3997" s="0" t="s">
        <v>168</v>
      </c>
      <c r="L3997" s="0" t="s">
        <v>101</v>
      </c>
      <c r="M3997" s="0" t="s">
        <v>656</v>
      </c>
      <c r="N3997" s="0" t="s">
        <v>101</v>
      </c>
      <c r="P3997" s="0" t="s">
        <v>102</v>
      </c>
      <c r="Q3997" s="0" t="s">
        <v>102</v>
      </c>
      <c r="R3997" s="0" t="s">
        <v>113</v>
      </c>
      <c r="S3997" s="0" t="s">
        <v>21</v>
      </c>
      <c r="T3997" s="0" t="s">
        <v>104</v>
      </c>
      <c r="W3997" s="0" t="s">
        <v>105</v>
      </c>
      <c r="X3997" s="0" t="s">
        <v>658</v>
      </c>
      <c r="Y3997" s="0" t="s">
        <v>659</v>
      </c>
    </row>
    <row r="3998" customFormat="false" ht="15" hidden="false" customHeight="false" outlineLevel="0" collapsed="false">
      <c r="A3998" s="0" t="s">
        <v>21</v>
      </c>
      <c r="B3998" s="0" t="s">
        <v>12593</v>
      </c>
      <c r="C3998" s="0" t="s">
        <v>97</v>
      </c>
      <c r="D3998" s="0" t="s">
        <v>3421</v>
      </c>
      <c r="E3998" s="0" t="s">
        <v>12594</v>
      </c>
      <c r="M3998" s="0" t="s">
        <v>656</v>
      </c>
      <c r="N3998" s="0" t="s">
        <v>101</v>
      </c>
      <c r="P3998" s="0" t="s">
        <v>102</v>
      </c>
      <c r="Q3998" s="0" t="s">
        <v>102</v>
      </c>
      <c r="R3998" s="0" t="s">
        <v>113</v>
      </c>
      <c r="S3998" s="0" t="s">
        <v>21</v>
      </c>
      <c r="T3998" s="0" t="s">
        <v>104</v>
      </c>
      <c r="W3998" s="0" t="s">
        <v>105</v>
      </c>
    </row>
    <row r="3999" customFormat="false" ht="15" hidden="false" customHeight="false" outlineLevel="0" collapsed="false">
      <c r="A3999" s="0" t="s">
        <v>21</v>
      </c>
      <c r="B3999" s="0" t="s">
        <v>12595</v>
      </c>
      <c r="C3999" s="0" t="s">
        <v>97</v>
      </c>
      <c r="D3999" s="0" t="s">
        <v>4833</v>
      </c>
      <c r="E3999" s="0" t="s">
        <v>12596</v>
      </c>
      <c r="H3999" s="0" t="s">
        <v>654</v>
      </c>
      <c r="I3999" s="0" t="s">
        <v>655</v>
      </c>
      <c r="J3999" s="0" t="s">
        <v>100</v>
      </c>
      <c r="K3999" s="0" t="s">
        <v>168</v>
      </c>
      <c r="L3999" s="0" t="s">
        <v>101</v>
      </c>
      <c r="M3999" s="0" t="s">
        <v>656</v>
      </c>
      <c r="N3999" s="0" t="s">
        <v>101</v>
      </c>
      <c r="P3999" s="0" t="s">
        <v>102</v>
      </c>
      <c r="Q3999" s="0" t="s">
        <v>102</v>
      </c>
      <c r="R3999" s="0" t="s">
        <v>113</v>
      </c>
      <c r="S3999" s="0" t="s">
        <v>21</v>
      </c>
      <c r="T3999" s="0" t="s">
        <v>104</v>
      </c>
      <c r="W3999" s="0" t="s">
        <v>105</v>
      </c>
      <c r="X3999" s="0" t="s">
        <v>658</v>
      </c>
      <c r="Y3999" s="0" t="s">
        <v>659</v>
      </c>
    </row>
    <row r="4000" customFormat="false" ht="15" hidden="false" customHeight="false" outlineLevel="0" collapsed="false">
      <c r="A4000" s="0" t="s">
        <v>21</v>
      </c>
      <c r="B4000" s="0" t="s">
        <v>12597</v>
      </c>
      <c r="C4000" s="0" t="s">
        <v>97</v>
      </c>
      <c r="D4000" s="0" t="s">
        <v>12598</v>
      </c>
      <c r="E4000" s="0" t="s">
        <v>12599</v>
      </c>
      <c r="H4000" s="0" t="s">
        <v>654</v>
      </c>
      <c r="I4000" s="0" t="s">
        <v>655</v>
      </c>
      <c r="J4000" s="0" t="s">
        <v>100</v>
      </c>
      <c r="K4000" s="0" t="s">
        <v>168</v>
      </c>
      <c r="L4000" s="0" t="s">
        <v>101</v>
      </c>
      <c r="M4000" s="0" t="s">
        <v>656</v>
      </c>
      <c r="N4000" s="0" t="s">
        <v>101</v>
      </c>
      <c r="P4000" s="0" t="s">
        <v>102</v>
      </c>
      <c r="Q4000" s="0" t="s">
        <v>102</v>
      </c>
      <c r="R4000" s="0" t="s">
        <v>113</v>
      </c>
      <c r="S4000" s="0" t="s">
        <v>21</v>
      </c>
      <c r="T4000" s="0" t="s">
        <v>104</v>
      </c>
      <c r="W4000" s="0" t="s">
        <v>105</v>
      </c>
      <c r="X4000" s="0" t="s">
        <v>658</v>
      </c>
      <c r="Y4000" s="0" t="s">
        <v>659</v>
      </c>
    </row>
    <row r="4001" customFormat="false" ht="15" hidden="false" customHeight="false" outlineLevel="0" collapsed="false">
      <c r="A4001" s="0" t="s">
        <v>21</v>
      </c>
      <c r="B4001" s="0" t="s">
        <v>12600</v>
      </c>
      <c r="C4001" s="0" t="s">
        <v>97</v>
      </c>
      <c r="D4001" s="0" t="s">
        <v>12601</v>
      </c>
      <c r="E4001" s="0" t="s">
        <v>12602</v>
      </c>
      <c r="M4001" s="0" t="s">
        <v>136</v>
      </c>
      <c r="N4001" s="0" t="s">
        <v>124</v>
      </c>
      <c r="P4001" s="0" t="s">
        <v>102</v>
      </c>
      <c r="Q4001" s="0" t="s">
        <v>102</v>
      </c>
      <c r="R4001" s="0" t="s">
        <v>137</v>
      </c>
      <c r="S4001" s="0" t="s">
        <v>21</v>
      </c>
      <c r="T4001" s="0" t="s">
        <v>104</v>
      </c>
      <c r="W4001" s="0" t="s">
        <v>105</v>
      </c>
    </row>
    <row r="4002" customFormat="false" ht="15" hidden="false" customHeight="false" outlineLevel="0" collapsed="false">
      <c r="A4002" s="0" t="s">
        <v>21</v>
      </c>
      <c r="B4002" s="0" t="s">
        <v>12603</v>
      </c>
      <c r="C4002" s="0" t="s">
        <v>97</v>
      </c>
      <c r="D4002" s="0" t="s">
        <v>12604</v>
      </c>
      <c r="E4002" s="0" t="s">
        <v>12605</v>
      </c>
      <c r="M4002" s="0" t="s">
        <v>136</v>
      </c>
      <c r="N4002" s="0" t="s">
        <v>124</v>
      </c>
      <c r="P4002" s="0" t="s">
        <v>102</v>
      </c>
      <c r="Q4002" s="0" t="s">
        <v>102</v>
      </c>
      <c r="R4002" s="0" t="s">
        <v>113</v>
      </c>
      <c r="S4002" s="0" t="s">
        <v>21</v>
      </c>
      <c r="T4002" s="0" t="s">
        <v>104</v>
      </c>
      <c r="W4002" s="0" t="s">
        <v>105</v>
      </c>
    </row>
    <row r="4003" customFormat="false" ht="15" hidden="false" customHeight="false" outlineLevel="0" collapsed="false">
      <c r="A4003" s="0" t="s">
        <v>21</v>
      </c>
      <c r="B4003" s="0" t="s">
        <v>12606</v>
      </c>
      <c r="C4003" s="0" t="s">
        <v>97</v>
      </c>
      <c r="D4003" s="0" t="s">
        <v>4836</v>
      </c>
      <c r="E4003" s="0" t="s">
        <v>12607</v>
      </c>
      <c r="H4003" s="0" t="s">
        <v>654</v>
      </c>
      <c r="I4003" s="0" t="s">
        <v>655</v>
      </c>
      <c r="J4003" s="0" t="s">
        <v>100</v>
      </c>
      <c r="K4003" s="0" t="s">
        <v>168</v>
      </c>
      <c r="L4003" s="0" t="s">
        <v>101</v>
      </c>
      <c r="M4003" s="0" t="s">
        <v>656</v>
      </c>
      <c r="N4003" s="0" t="s">
        <v>101</v>
      </c>
      <c r="P4003" s="0" t="s">
        <v>102</v>
      </c>
      <c r="Q4003" s="0" t="s">
        <v>102</v>
      </c>
      <c r="R4003" s="0" t="s">
        <v>113</v>
      </c>
      <c r="S4003" s="0" t="s">
        <v>21</v>
      </c>
      <c r="T4003" s="0" t="s">
        <v>104</v>
      </c>
      <c r="W4003" s="0" t="s">
        <v>105</v>
      </c>
      <c r="X4003" s="0" t="s">
        <v>658</v>
      </c>
      <c r="Y4003" s="0" t="s">
        <v>659</v>
      </c>
    </row>
    <row r="4004" customFormat="false" ht="15" hidden="false" customHeight="false" outlineLevel="0" collapsed="false">
      <c r="A4004" s="0" t="s">
        <v>21</v>
      </c>
      <c r="B4004" s="0" t="s">
        <v>12608</v>
      </c>
      <c r="C4004" s="0" t="s">
        <v>97</v>
      </c>
      <c r="D4004" s="0" t="s">
        <v>12609</v>
      </c>
      <c r="E4004" s="0" t="s">
        <v>12610</v>
      </c>
      <c r="H4004" s="0" t="s">
        <v>654</v>
      </c>
      <c r="I4004" s="0" t="s">
        <v>655</v>
      </c>
      <c r="J4004" s="0" t="s">
        <v>100</v>
      </c>
      <c r="K4004" s="0" t="s">
        <v>168</v>
      </c>
      <c r="L4004" s="0" t="s">
        <v>101</v>
      </c>
      <c r="M4004" s="0" t="s">
        <v>656</v>
      </c>
      <c r="N4004" s="0" t="s">
        <v>101</v>
      </c>
      <c r="P4004" s="0" t="s">
        <v>102</v>
      </c>
      <c r="Q4004" s="0" t="s">
        <v>102</v>
      </c>
      <c r="R4004" s="0" t="s">
        <v>113</v>
      </c>
      <c r="S4004" s="0" t="s">
        <v>21</v>
      </c>
      <c r="T4004" s="0" t="s">
        <v>104</v>
      </c>
      <c r="W4004" s="0" t="s">
        <v>105</v>
      </c>
      <c r="X4004" s="0" t="s">
        <v>658</v>
      </c>
      <c r="Y4004" s="0" t="s">
        <v>659</v>
      </c>
    </row>
    <row r="4005" customFormat="false" ht="15" hidden="false" customHeight="false" outlineLevel="0" collapsed="false">
      <c r="A4005" s="0" t="s">
        <v>21</v>
      </c>
      <c r="B4005" s="0" t="s">
        <v>12611</v>
      </c>
      <c r="C4005" s="0" t="s">
        <v>97</v>
      </c>
      <c r="D4005" s="0" t="s">
        <v>3619</v>
      </c>
      <c r="E4005" s="0" t="s">
        <v>12612</v>
      </c>
      <c r="H4005" s="0" t="s">
        <v>654</v>
      </c>
      <c r="I4005" s="0" t="s">
        <v>655</v>
      </c>
      <c r="J4005" s="0" t="s">
        <v>100</v>
      </c>
      <c r="K4005" s="0" t="s">
        <v>168</v>
      </c>
      <c r="L4005" s="0" t="s">
        <v>101</v>
      </c>
      <c r="M4005" s="0" t="s">
        <v>656</v>
      </c>
      <c r="N4005" s="0" t="s">
        <v>101</v>
      </c>
      <c r="P4005" s="0" t="s">
        <v>102</v>
      </c>
      <c r="Q4005" s="0" t="s">
        <v>102</v>
      </c>
      <c r="R4005" s="0" t="s">
        <v>113</v>
      </c>
      <c r="S4005" s="0" t="s">
        <v>21</v>
      </c>
      <c r="T4005" s="0" t="s">
        <v>104</v>
      </c>
      <c r="W4005" s="0" t="s">
        <v>105</v>
      </c>
      <c r="X4005" s="0" t="s">
        <v>658</v>
      </c>
      <c r="Y4005" s="0" t="s">
        <v>659</v>
      </c>
    </row>
    <row r="4006" customFormat="false" ht="15" hidden="false" customHeight="false" outlineLevel="0" collapsed="false">
      <c r="A4006" s="0" t="s">
        <v>21</v>
      </c>
      <c r="B4006" s="0" t="s">
        <v>12613</v>
      </c>
      <c r="C4006" s="0" t="s">
        <v>97</v>
      </c>
      <c r="D4006" s="0" t="s">
        <v>12614</v>
      </c>
      <c r="E4006" s="0" t="s">
        <v>12615</v>
      </c>
      <c r="H4006" s="0" t="s">
        <v>654</v>
      </c>
      <c r="I4006" s="0" t="s">
        <v>655</v>
      </c>
      <c r="J4006" s="0" t="s">
        <v>100</v>
      </c>
      <c r="K4006" s="0" t="s">
        <v>168</v>
      </c>
      <c r="L4006" s="0" t="s">
        <v>101</v>
      </c>
      <c r="M4006" s="0" t="s">
        <v>656</v>
      </c>
      <c r="N4006" s="0" t="s">
        <v>101</v>
      </c>
      <c r="P4006" s="0" t="s">
        <v>102</v>
      </c>
      <c r="Q4006" s="0" t="s">
        <v>102</v>
      </c>
      <c r="R4006" s="0" t="s">
        <v>113</v>
      </c>
      <c r="S4006" s="0" t="s">
        <v>21</v>
      </c>
      <c r="T4006" s="0" t="s">
        <v>104</v>
      </c>
      <c r="W4006" s="0" t="s">
        <v>105</v>
      </c>
      <c r="X4006" s="0" t="s">
        <v>658</v>
      </c>
      <c r="Y4006" s="0" t="s">
        <v>659</v>
      </c>
    </row>
    <row r="4007" customFormat="false" ht="15" hidden="false" customHeight="false" outlineLevel="0" collapsed="false">
      <c r="A4007" s="0" t="s">
        <v>21</v>
      </c>
      <c r="B4007" s="0" t="s">
        <v>12616</v>
      </c>
      <c r="C4007" s="0" t="s">
        <v>97</v>
      </c>
      <c r="D4007" s="0" t="s">
        <v>12617</v>
      </c>
      <c r="E4007" s="0" t="s">
        <v>12618</v>
      </c>
      <c r="H4007" s="0" t="s">
        <v>654</v>
      </c>
      <c r="I4007" s="0" t="s">
        <v>655</v>
      </c>
      <c r="J4007" s="0" t="s">
        <v>100</v>
      </c>
      <c r="K4007" s="0" t="s">
        <v>168</v>
      </c>
      <c r="L4007" s="0" t="s">
        <v>101</v>
      </c>
      <c r="M4007" s="0" t="s">
        <v>656</v>
      </c>
      <c r="N4007" s="0" t="s">
        <v>101</v>
      </c>
      <c r="P4007" s="0" t="s">
        <v>102</v>
      </c>
      <c r="Q4007" s="0" t="s">
        <v>102</v>
      </c>
      <c r="R4007" s="0" t="s">
        <v>113</v>
      </c>
      <c r="S4007" s="0" t="s">
        <v>21</v>
      </c>
      <c r="T4007" s="0" t="s">
        <v>104</v>
      </c>
      <c r="W4007" s="0" t="s">
        <v>105</v>
      </c>
      <c r="X4007" s="0" t="s">
        <v>658</v>
      </c>
      <c r="Y4007" s="0" t="s">
        <v>659</v>
      </c>
    </row>
    <row r="4008" customFormat="false" ht="15" hidden="false" customHeight="false" outlineLevel="0" collapsed="false">
      <c r="A4008" s="0" t="s">
        <v>21</v>
      </c>
      <c r="B4008" s="0" t="s">
        <v>12619</v>
      </c>
      <c r="C4008" s="0" t="s">
        <v>97</v>
      </c>
      <c r="D4008" s="0" t="s">
        <v>12620</v>
      </c>
      <c r="E4008" s="0" t="s">
        <v>12621</v>
      </c>
      <c r="H4008" s="0" t="s">
        <v>654</v>
      </c>
      <c r="I4008" s="0" t="s">
        <v>655</v>
      </c>
      <c r="J4008" s="0" t="s">
        <v>100</v>
      </c>
      <c r="K4008" s="0" t="s">
        <v>168</v>
      </c>
      <c r="L4008" s="0" t="s">
        <v>101</v>
      </c>
      <c r="M4008" s="0" t="s">
        <v>656</v>
      </c>
      <c r="N4008" s="0" t="s">
        <v>101</v>
      </c>
      <c r="P4008" s="0" t="s">
        <v>102</v>
      </c>
      <c r="Q4008" s="0" t="s">
        <v>102</v>
      </c>
      <c r="R4008" s="0" t="s">
        <v>113</v>
      </c>
      <c r="S4008" s="0" t="s">
        <v>21</v>
      </c>
      <c r="T4008" s="0" t="s">
        <v>104</v>
      </c>
      <c r="W4008" s="0" t="s">
        <v>105</v>
      </c>
      <c r="X4008" s="0" t="s">
        <v>658</v>
      </c>
      <c r="Y4008" s="0" t="s">
        <v>659</v>
      </c>
    </row>
    <row r="4009" customFormat="false" ht="15" hidden="false" customHeight="false" outlineLevel="0" collapsed="false">
      <c r="A4009" s="0" t="s">
        <v>21</v>
      </c>
      <c r="B4009" s="0" t="s">
        <v>12622</v>
      </c>
      <c r="C4009" s="0" t="s">
        <v>97</v>
      </c>
      <c r="D4009" s="0" t="s">
        <v>12623</v>
      </c>
      <c r="E4009" s="0" t="s">
        <v>12624</v>
      </c>
      <c r="M4009" s="0" t="s">
        <v>136</v>
      </c>
      <c r="N4009" s="0" t="s">
        <v>124</v>
      </c>
      <c r="P4009" s="0" t="s">
        <v>102</v>
      </c>
      <c r="Q4009" s="0" t="s">
        <v>102</v>
      </c>
      <c r="R4009" s="0" t="s">
        <v>131</v>
      </c>
      <c r="S4009" s="0" t="s">
        <v>21</v>
      </c>
      <c r="T4009" s="0" t="s">
        <v>104</v>
      </c>
      <c r="W4009" s="0" t="s">
        <v>105</v>
      </c>
    </row>
    <row r="4010" customFormat="false" ht="15" hidden="false" customHeight="false" outlineLevel="0" collapsed="false">
      <c r="A4010" s="0" t="s">
        <v>21</v>
      </c>
      <c r="B4010" s="0" t="s">
        <v>12625</v>
      </c>
      <c r="C4010" s="0" t="s">
        <v>97</v>
      </c>
      <c r="D4010" s="0" t="s">
        <v>12626</v>
      </c>
      <c r="E4010" s="0" t="s">
        <v>12627</v>
      </c>
      <c r="H4010" s="0" t="s">
        <v>654</v>
      </c>
      <c r="I4010" s="0" t="s">
        <v>655</v>
      </c>
      <c r="J4010" s="0" t="s">
        <v>100</v>
      </c>
      <c r="K4010" s="0" t="s">
        <v>168</v>
      </c>
      <c r="L4010" s="0" t="s">
        <v>101</v>
      </c>
      <c r="M4010" s="0" t="s">
        <v>656</v>
      </c>
      <c r="N4010" s="0" t="s">
        <v>101</v>
      </c>
      <c r="P4010" s="0" t="s">
        <v>102</v>
      </c>
      <c r="Q4010" s="0" t="s">
        <v>102</v>
      </c>
      <c r="R4010" s="0" t="s">
        <v>113</v>
      </c>
      <c r="S4010" s="0" t="s">
        <v>21</v>
      </c>
      <c r="T4010" s="0" t="s">
        <v>104</v>
      </c>
      <c r="W4010" s="0" t="s">
        <v>105</v>
      </c>
      <c r="X4010" s="0" t="s">
        <v>658</v>
      </c>
      <c r="Y4010" s="0" t="s">
        <v>659</v>
      </c>
    </row>
    <row r="4011" customFormat="false" ht="15" hidden="false" customHeight="false" outlineLevel="0" collapsed="false">
      <c r="A4011" s="0" t="s">
        <v>21</v>
      </c>
      <c r="B4011" s="0" t="s">
        <v>12628</v>
      </c>
      <c r="C4011" s="0" t="s">
        <v>97</v>
      </c>
      <c r="D4011" s="0" t="s">
        <v>12629</v>
      </c>
      <c r="E4011" s="0" t="s">
        <v>12630</v>
      </c>
      <c r="H4011" s="0" t="s">
        <v>654</v>
      </c>
      <c r="I4011" s="0" t="s">
        <v>655</v>
      </c>
      <c r="J4011" s="0" t="s">
        <v>100</v>
      </c>
      <c r="K4011" s="0" t="s">
        <v>168</v>
      </c>
      <c r="L4011" s="0" t="s">
        <v>101</v>
      </c>
      <c r="M4011" s="0" t="s">
        <v>656</v>
      </c>
      <c r="N4011" s="0" t="s">
        <v>101</v>
      </c>
      <c r="P4011" s="0" t="s">
        <v>102</v>
      </c>
      <c r="Q4011" s="0" t="s">
        <v>102</v>
      </c>
      <c r="R4011" s="0" t="s">
        <v>113</v>
      </c>
      <c r="S4011" s="0" t="s">
        <v>21</v>
      </c>
      <c r="T4011" s="0" t="s">
        <v>104</v>
      </c>
      <c r="W4011" s="0" t="s">
        <v>105</v>
      </c>
      <c r="X4011" s="0" t="s">
        <v>658</v>
      </c>
      <c r="Y4011" s="0" t="s">
        <v>659</v>
      </c>
    </row>
    <row r="4012" customFormat="false" ht="15" hidden="false" customHeight="false" outlineLevel="0" collapsed="false">
      <c r="A4012" s="0" t="s">
        <v>21</v>
      </c>
      <c r="B4012" s="0" t="s">
        <v>12631</v>
      </c>
      <c r="C4012" s="0" t="s">
        <v>97</v>
      </c>
      <c r="D4012" s="0" t="s">
        <v>12632</v>
      </c>
      <c r="E4012" s="0" t="s">
        <v>12633</v>
      </c>
      <c r="H4012" s="0" t="s">
        <v>654</v>
      </c>
      <c r="I4012" s="0" t="s">
        <v>655</v>
      </c>
      <c r="J4012" s="0" t="s">
        <v>100</v>
      </c>
      <c r="K4012" s="0" t="s">
        <v>168</v>
      </c>
      <c r="L4012" s="0" t="s">
        <v>101</v>
      </c>
      <c r="M4012" s="0" t="s">
        <v>656</v>
      </c>
      <c r="N4012" s="0" t="s">
        <v>101</v>
      </c>
      <c r="P4012" s="0" t="s">
        <v>102</v>
      </c>
      <c r="Q4012" s="0" t="s">
        <v>102</v>
      </c>
      <c r="R4012" s="0" t="s">
        <v>113</v>
      </c>
      <c r="S4012" s="0" t="s">
        <v>21</v>
      </c>
      <c r="T4012" s="0" t="s">
        <v>104</v>
      </c>
      <c r="W4012" s="0" t="s">
        <v>105</v>
      </c>
      <c r="X4012" s="0" t="s">
        <v>658</v>
      </c>
      <c r="Y4012" s="0" t="s">
        <v>659</v>
      </c>
    </row>
    <row r="4013" customFormat="false" ht="15" hidden="false" customHeight="false" outlineLevel="0" collapsed="false">
      <c r="A4013" s="0" t="s">
        <v>21</v>
      </c>
      <c r="B4013" s="0" t="s">
        <v>12634</v>
      </c>
      <c r="C4013" s="0" t="s">
        <v>97</v>
      </c>
      <c r="D4013" s="0" t="s">
        <v>12635</v>
      </c>
      <c r="E4013" s="0" t="s">
        <v>12636</v>
      </c>
      <c r="M4013" s="0" t="s">
        <v>136</v>
      </c>
      <c r="N4013" s="0" t="s">
        <v>124</v>
      </c>
      <c r="P4013" s="0" t="s">
        <v>102</v>
      </c>
      <c r="Q4013" s="0" t="s">
        <v>102</v>
      </c>
      <c r="R4013" s="0" t="s">
        <v>131</v>
      </c>
      <c r="S4013" s="0" t="s">
        <v>21</v>
      </c>
      <c r="T4013" s="0" t="s">
        <v>104</v>
      </c>
      <c r="W4013" s="0" t="s">
        <v>105</v>
      </c>
    </row>
    <row r="4014" customFormat="false" ht="15" hidden="false" customHeight="false" outlineLevel="0" collapsed="false">
      <c r="A4014" s="0" t="s">
        <v>21</v>
      </c>
      <c r="B4014" s="0" t="s">
        <v>12637</v>
      </c>
      <c r="C4014" s="0" t="s">
        <v>97</v>
      </c>
      <c r="D4014" s="0" t="s">
        <v>12638</v>
      </c>
      <c r="E4014" s="0" t="s">
        <v>12639</v>
      </c>
      <c r="M4014" s="0" t="s">
        <v>136</v>
      </c>
      <c r="N4014" s="0" t="s">
        <v>124</v>
      </c>
      <c r="P4014" s="0" t="s">
        <v>102</v>
      </c>
      <c r="Q4014" s="0" t="s">
        <v>102</v>
      </c>
      <c r="R4014" s="0" t="s">
        <v>131</v>
      </c>
      <c r="S4014" s="0" t="s">
        <v>21</v>
      </c>
      <c r="T4014" s="0" t="s">
        <v>104</v>
      </c>
      <c r="W4014" s="0" t="s">
        <v>105</v>
      </c>
    </row>
    <row r="4015" customFormat="false" ht="15" hidden="false" customHeight="false" outlineLevel="0" collapsed="false">
      <c r="A4015" s="0" t="s">
        <v>21</v>
      </c>
      <c r="B4015" s="0" t="s">
        <v>12640</v>
      </c>
      <c r="C4015" s="0" t="s">
        <v>97</v>
      </c>
      <c r="D4015" s="0" t="s">
        <v>12641</v>
      </c>
      <c r="E4015" s="0" t="s">
        <v>12642</v>
      </c>
      <c r="M4015" s="0" t="s">
        <v>100</v>
      </c>
      <c r="N4015" s="0" t="s">
        <v>101</v>
      </c>
      <c r="P4015" s="0" t="s">
        <v>102</v>
      </c>
      <c r="Q4015" s="0" t="s">
        <v>102</v>
      </c>
      <c r="R4015" s="0" t="s">
        <v>131</v>
      </c>
      <c r="S4015" s="0" t="s">
        <v>21</v>
      </c>
      <c r="T4015" s="0" t="s">
        <v>104</v>
      </c>
      <c r="W4015" s="0" t="s">
        <v>105</v>
      </c>
    </row>
    <row r="4016" customFormat="false" ht="15" hidden="false" customHeight="false" outlineLevel="0" collapsed="false">
      <c r="A4016" s="0" t="s">
        <v>21</v>
      </c>
      <c r="B4016" s="0" t="s">
        <v>12643</v>
      </c>
      <c r="C4016" s="0" t="s">
        <v>12644</v>
      </c>
      <c r="D4016" s="0" t="s">
        <v>12645</v>
      </c>
      <c r="E4016" s="0" t="s">
        <v>12646</v>
      </c>
      <c r="G4016" s="0" t="s">
        <v>12647</v>
      </c>
      <c r="M4016" s="0" t="s">
        <v>1372</v>
      </c>
      <c r="N4016" s="0" t="s">
        <v>101</v>
      </c>
      <c r="P4016" s="0" t="s">
        <v>102</v>
      </c>
      <c r="Q4016" s="0" t="s">
        <v>102</v>
      </c>
      <c r="R4016" s="0" t="s">
        <v>113</v>
      </c>
      <c r="S4016" s="0" t="s">
        <v>21</v>
      </c>
      <c r="T4016" s="0" t="s">
        <v>104</v>
      </c>
      <c r="W4016" s="0" t="s">
        <v>105</v>
      </c>
    </row>
    <row r="4017" customFormat="false" ht="15" hidden="false" customHeight="false" outlineLevel="0" collapsed="false">
      <c r="A4017" s="0" t="s">
        <v>21</v>
      </c>
      <c r="B4017" s="0" t="s">
        <v>12648</v>
      </c>
      <c r="C4017" s="0" t="s">
        <v>12649</v>
      </c>
      <c r="D4017" s="0" t="s">
        <v>12650</v>
      </c>
      <c r="E4017" s="0" t="s">
        <v>12651</v>
      </c>
      <c r="G4017" s="0" t="s">
        <v>12652</v>
      </c>
      <c r="M4017" s="0" t="s">
        <v>1273</v>
      </c>
      <c r="N4017" s="0" t="s">
        <v>101</v>
      </c>
      <c r="P4017" s="0" t="s">
        <v>102</v>
      </c>
      <c r="Q4017" s="0" t="s">
        <v>102</v>
      </c>
      <c r="R4017" s="0" t="s">
        <v>113</v>
      </c>
      <c r="S4017" s="0" t="s">
        <v>21</v>
      </c>
      <c r="T4017" s="0" t="s">
        <v>104</v>
      </c>
      <c r="W4017" s="0" t="s">
        <v>105</v>
      </c>
    </row>
    <row r="4018" customFormat="false" ht="15" hidden="false" customHeight="false" outlineLevel="0" collapsed="false">
      <c r="A4018" s="0" t="s">
        <v>21</v>
      </c>
      <c r="B4018" s="0" t="s">
        <v>12653</v>
      </c>
      <c r="C4018" s="0" t="s">
        <v>97</v>
      </c>
      <c r="D4018" s="0" t="s">
        <v>12654</v>
      </c>
      <c r="E4018" s="0" t="s">
        <v>12655</v>
      </c>
      <c r="F4018" s="0" t="s">
        <v>12655</v>
      </c>
      <c r="M4018" s="0" t="s">
        <v>1273</v>
      </c>
      <c r="N4018" s="0" t="s">
        <v>101</v>
      </c>
      <c r="P4018" s="0" t="s">
        <v>102</v>
      </c>
      <c r="Q4018" s="0" t="s">
        <v>102</v>
      </c>
      <c r="R4018" s="0" t="s">
        <v>113</v>
      </c>
      <c r="S4018" s="0" t="s">
        <v>21</v>
      </c>
      <c r="T4018" s="0" t="s">
        <v>104</v>
      </c>
      <c r="W4018" s="0" t="s">
        <v>105</v>
      </c>
    </row>
    <row r="4019" customFormat="false" ht="15" hidden="false" customHeight="false" outlineLevel="0" collapsed="false">
      <c r="A4019" s="0" t="s">
        <v>21</v>
      </c>
      <c r="B4019" s="0" t="s">
        <v>12656</v>
      </c>
      <c r="C4019" s="0" t="s">
        <v>97</v>
      </c>
      <c r="D4019" s="0" t="s">
        <v>12657</v>
      </c>
      <c r="E4019" s="0" t="s">
        <v>12658</v>
      </c>
      <c r="M4019" s="0" t="s">
        <v>136</v>
      </c>
      <c r="N4019" s="0" t="s">
        <v>124</v>
      </c>
      <c r="P4019" s="0" t="s">
        <v>102</v>
      </c>
      <c r="Q4019" s="0" t="s">
        <v>102</v>
      </c>
      <c r="R4019" s="0" t="s">
        <v>131</v>
      </c>
      <c r="S4019" s="0" t="s">
        <v>21</v>
      </c>
      <c r="T4019" s="0" t="s">
        <v>104</v>
      </c>
      <c r="W4019" s="0" t="s">
        <v>105</v>
      </c>
    </row>
    <row r="4020" customFormat="false" ht="15" hidden="false" customHeight="false" outlineLevel="0" collapsed="false">
      <c r="A4020" s="0" t="s">
        <v>21</v>
      </c>
      <c r="B4020" s="0" t="s">
        <v>12659</v>
      </c>
      <c r="C4020" s="0" t="s">
        <v>97</v>
      </c>
      <c r="D4020" s="0" t="s">
        <v>12660</v>
      </c>
      <c r="E4020" s="0" t="s">
        <v>12660</v>
      </c>
      <c r="F4020" s="0" t="s">
        <v>12660</v>
      </c>
      <c r="M4020" s="0" t="s">
        <v>100</v>
      </c>
      <c r="N4020" s="0" t="s">
        <v>101</v>
      </c>
      <c r="P4020" s="0" t="s">
        <v>102</v>
      </c>
      <c r="Q4020" s="0" t="s">
        <v>102</v>
      </c>
      <c r="R4020" s="0" t="s">
        <v>131</v>
      </c>
      <c r="S4020" s="0" t="s">
        <v>21</v>
      </c>
      <c r="T4020" s="0" t="s">
        <v>104</v>
      </c>
      <c r="W4020" s="0" t="s">
        <v>105</v>
      </c>
    </row>
    <row r="4021" customFormat="false" ht="15" hidden="false" customHeight="false" outlineLevel="0" collapsed="false">
      <c r="A4021" s="0" t="s">
        <v>21</v>
      </c>
      <c r="B4021" s="0" t="s">
        <v>12661</v>
      </c>
      <c r="C4021" s="0" t="s">
        <v>4034</v>
      </c>
      <c r="M4021" s="0" t="s">
        <v>220</v>
      </c>
      <c r="N4021" s="0" t="s">
        <v>124</v>
      </c>
      <c r="P4021" s="0" t="s">
        <v>130</v>
      </c>
      <c r="Q4021" s="0" t="s">
        <v>130</v>
      </c>
      <c r="R4021" s="0" t="s">
        <v>144</v>
      </c>
      <c r="S4021" s="0" t="s">
        <v>21</v>
      </c>
      <c r="T4021" s="0" t="s">
        <v>104</v>
      </c>
      <c r="W4021" s="0" t="s">
        <v>105</v>
      </c>
    </row>
    <row r="4022" customFormat="false" ht="15" hidden="false" customHeight="false" outlineLevel="0" collapsed="false">
      <c r="A4022" s="0" t="s">
        <v>21</v>
      </c>
      <c r="B4022" s="0" t="s">
        <v>12662</v>
      </c>
      <c r="C4022" s="0" t="s">
        <v>97</v>
      </c>
      <c r="D4022" s="0" t="s">
        <v>12663</v>
      </c>
      <c r="E4022" s="0" t="s">
        <v>12664</v>
      </c>
      <c r="H4022" s="0" t="s">
        <v>12665</v>
      </c>
      <c r="I4022" s="0" t="s">
        <v>12666</v>
      </c>
      <c r="J4022" s="0" t="s">
        <v>1564</v>
      </c>
      <c r="K4022" s="0" t="s">
        <v>1193</v>
      </c>
      <c r="L4022" s="0" t="s">
        <v>101</v>
      </c>
      <c r="M4022" s="0" t="s">
        <v>1564</v>
      </c>
      <c r="N4022" s="0" t="s">
        <v>101</v>
      </c>
      <c r="P4022" s="0" t="s">
        <v>102</v>
      </c>
      <c r="Q4022" s="0" t="s">
        <v>102</v>
      </c>
      <c r="R4022" s="0" t="s">
        <v>137</v>
      </c>
      <c r="S4022" s="0" t="s">
        <v>21</v>
      </c>
      <c r="T4022" s="0" t="s">
        <v>104</v>
      </c>
      <c r="W4022" s="0" t="s">
        <v>105</v>
      </c>
      <c r="X4022" s="0" t="s">
        <v>12667</v>
      </c>
      <c r="Y4022" s="0" t="s">
        <v>12668</v>
      </c>
      <c r="AB4022" s="0" t="s">
        <v>832</v>
      </c>
    </row>
    <row r="4023" customFormat="false" ht="15" hidden="false" customHeight="false" outlineLevel="0" collapsed="false">
      <c r="A4023" s="0" t="s">
        <v>21</v>
      </c>
      <c r="B4023" s="0" t="s">
        <v>12669</v>
      </c>
      <c r="C4023" s="0" t="s">
        <v>97</v>
      </c>
      <c r="D4023" s="0" t="s">
        <v>12670</v>
      </c>
      <c r="E4023" s="0" t="s">
        <v>12671</v>
      </c>
      <c r="H4023" s="0" t="s">
        <v>12672</v>
      </c>
      <c r="I4023" s="0" t="s">
        <v>12673</v>
      </c>
      <c r="J4023" s="0" t="s">
        <v>1564</v>
      </c>
      <c r="K4023" s="0" t="s">
        <v>1218</v>
      </c>
      <c r="L4023" s="0" t="s">
        <v>101</v>
      </c>
      <c r="M4023" s="0" t="s">
        <v>1564</v>
      </c>
      <c r="N4023" s="0" t="s">
        <v>101</v>
      </c>
      <c r="P4023" s="0" t="s">
        <v>102</v>
      </c>
      <c r="Q4023" s="0" t="s">
        <v>102</v>
      </c>
      <c r="R4023" s="0" t="s">
        <v>137</v>
      </c>
      <c r="S4023" s="0" t="s">
        <v>21</v>
      </c>
      <c r="T4023" s="0" t="s">
        <v>104</v>
      </c>
      <c r="W4023" s="0" t="s">
        <v>105</v>
      </c>
      <c r="X4023" s="0" t="s">
        <v>12674</v>
      </c>
      <c r="Y4023" s="0" t="s">
        <v>12675</v>
      </c>
    </row>
    <row r="4024" customFormat="false" ht="15" hidden="false" customHeight="false" outlineLevel="0" collapsed="false">
      <c r="A4024" s="0" t="s">
        <v>21</v>
      </c>
      <c r="B4024" s="0" t="s">
        <v>12676</v>
      </c>
      <c r="C4024" s="0" t="s">
        <v>97</v>
      </c>
      <c r="D4024" s="0" t="s">
        <v>12677</v>
      </c>
      <c r="E4024" s="0" t="s">
        <v>12678</v>
      </c>
      <c r="H4024" s="0" t="s">
        <v>12679</v>
      </c>
      <c r="I4024" s="0" t="s">
        <v>12680</v>
      </c>
      <c r="J4024" s="0" t="s">
        <v>1564</v>
      </c>
      <c r="K4024" s="0" t="s">
        <v>1175</v>
      </c>
      <c r="M4024" s="0" t="s">
        <v>656</v>
      </c>
      <c r="N4024" s="0" t="s">
        <v>101</v>
      </c>
      <c r="P4024" s="0" t="s">
        <v>102</v>
      </c>
      <c r="Q4024" s="0" t="s">
        <v>102</v>
      </c>
      <c r="R4024" s="0" t="s">
        <v>137</v>
      </c>
      <c r="S4024" s="0" t="s">
        <v>21</v>
      </c>
      <c r="T4024" s="0" t="s">
        <v>104</v>
      </c>
      <c r="W4024" s="0" t="s">
        <v>105</v>
      </c>
      <c r="AB4024" s="0" t="s">
        <v>832</v>
      </c>
    </row>
    <row r="4025" customFormat="false" ht="15" hidden="false" customHeight="false" outlineLevel="0" collapsed="false">
      <c r="A4025" s="0" t="s">
        <v>21</v>
      </c>
      <c r="B4025" s="0" t="s">
        <v>12681</v>
      </c>
      <c r="C4025" s="0" t="s">
        <v>97</v>
      </c>
      <c r="D4025" s="0" t="s">
        <v>12682</v>
      </c>
      <c r="E4025" s="0" t="s">
        <v>12683</v>
      </c>
      <c r="M4025" s="0" t="s">
        <v>656</v>
      </c>
      <c r="N4025" s="0" t="s">
        <v>101</v>
      </c>
      <c r="P4025" s="0" t="s">
        <v>102</v>
      </c>
      <c r="Q4025" s="0" t="s">
        <v>102</v>
      </c>
      <c r="R4025" s="0" t="s">
        <v>113</v>
      </c>
      <c r="S4025" s="0" t="s">
        <v>21</v>
      </c>
      <c r="T4025" s="0" t="s">
        <v>104</v>
      </c>
      <c r="W4025" s="0" t="s">
        <v>105</v>
      </c>
    </row>
    <row r="4026" customFormat="false" ht="15" hidden="false" customHeight="false" outlineLevel="0" collapsed="false">
      <c r="A4026" s="0" t="s">
        <v>21</v>
      </c>
      <c r="B4026" s="0" t="s">
        <v>12684</v>
      </c>
      <c r="C4026" s="0" t="s">
        <v>110</v>
      </c>
      <c r="D4026" s="0" t="s">
        <v>12685</v>
      </c>
      <c r="E4026" s="0" t="s">
        <v>12686</v>
      </c>
      <c r="H4026" s="0" t="s">
        <v>12687</v>
      </c>
      <c r="I4026" s="0" t="s">
        <v>2659</v>
      </c>
      <c r="J4026" s="0" t="s">
        <v>218</v>
      </c>
      <c r="K4026" s="0" t="s">
        <v>3636</v>
      </c>
      <c r="L4026" s="0" t="s">
        <v>124</v>
      </c>
      <c r="M4026" s="0" t="s">
        <v>220</v>
      </c>
      <c r="N4026" s="0" t="s">
        <v>124</v>
      </c>
      <c r="P4026" s="0" t="s">
        <v>102</v>
      </c>
      <c r="Q4026" s="0" t="s">
        <v>102</v>
      </c>
      <c r="R4026" s="0" t="s">
        <v>113</v>
      </c>
      <c r="S4026" s="0" t="s">
        <v>21</v>
      </c>
      <c r="T4026" s="0" t="s">
        <v>104</v>
      </c>
      <c r="W4026" s="0" t="s">
        <v>105</v>
      </c>
      <c r="X4026" s="0" t="s">
        <v>12688</v>
      </c>
      <c r="Y4026" s="0" t="s">
        <v>12689</v>
      </c>
      <c r="Z4026" s="0" t="s">
        <v>134</v>
      </c>
    </row>
    <row r="4027" customFormat="false" ht="15" hidden="false" customHeight="false" outlineLevel="0" collapsed="false">
      <c r="A4027" s="0" t="s">
        <v>21</v>
      </c>
      <c r="B4027" s="0" t="s">
        <v>12684</v>
      </c>
      <c r="C4027" s="0" t="s">
        <v>110</v>
      </c>
      <c r="D4027" s="0" t="s">
        <v>12685</v>
      </c>
      <c r="E4027" s="0" t="s">
        <v>12686</v>
      </c>
      <c r="H4027" s="0" t="s">
        <v>12687</v>
      </c>
      <c r="I4027" s="0" t="s">
        <v>2659</v>
      </c>
      <c r="J4027" s="0" t="s">
        <v>218</v>
      </c>
      <c r="K4027" s="0" t="s">
        <v>3636</v>
      </c>
      <c r="L4027" s="0" t="s">
        <v>124</v>
      </c>
      <c r="M4027" s="0" t="s">
        <v>220</v>
      </c>
      <c r="N4027" s="0" t="s">
        <v>124</v>
      </c>
      <c r="P4027" s="0" t="s">
        <v>4272</v>
      </c>
      <c r="Q4027" s="0" t="s">
        <v>6335</v>
      </c>
      <c r="R4027" s="0" t="s">
        <v>7285</v>
      </c>
      <c r="S4027" s="0" t="s">
        <v>21</v>
      </c>
      <c r="T4027" s="0" t="s">
        <v>104</v>
      </c>
      <c r="W4027" s="0" t="s">
        <v>183</v>
      </c>
      <c r="X4027" s="0" t="s">
        <v>12688</v>
      </c>
      <c r="Y4027" s="0" t="s">
        <v>12689</v>
      </c>
      <c r="Z4027" s="0" t="s">
        <v>134</v>
      </c>
    </row>
    <row r="4028" customFormat="false" ht="15" hidden="false" customHeight="false" outlineLevel="0" collapsed="false">
      <c r="A4028" s="0" t="s">
        <v>21</v>
      </c>
      <c r="B4028" s="0" t="s">
        <v>4549</v>
      </c>
      <c r="C4028" s="0" t="s">
        <v>97</v>
      </c>
      <c r="D4028" s="0" t="s">
        <v>7497</v>
      </c>
      <c r="E4028" s="0" t="s">
        <v>12690</v>
      </c>
      <c r="F4028" s="0" t="s">
        <v>12691</v>
      </c>
      <c r="H4028" s="0" t="s">
        <v>12692</v>
      </c>
      <c r="I4028" s="0" t="s">
        <v>6922</v>
      </c>
      <c r="J4028" s="0" t="s">
        <v>245</v>
      </c>
      <c r="K4028" s="0" t="s">
        <v>12693</v>
      </c>
      <c r="L4028" s="0" t="s">
        <v>124</v>
      </c>
      <c r="M4028" s="0" t="s">
        <v>247</v>
      </c>
      <c r="N4028" s="0" t="s">
        <v>124</v>
      </c>
      <c r="P4028" s="0" t="s">
        <v>1044</v>
      </c>
      <c r="Q4028" s="0" t="s">
        <v>1044</v>
      </c>
      <c r="R4028" s="0" t="s">
        <v>248</v>
      </c>
      <c r="S4028" s="0" t="s">
        <v>21</v>
      </c>
      <c r="T4028" s="0" t="s">
        <v>104</v>
      </c>
      <c r="U4028" s="0" t="s">
        <v>368</v>
      </c>
      <c r="W4028" s="0" t="s">
        <v>105</v>
      </c>
      <c r="X4028" s="0" t="s">
        <v>6923</v>
      </c>
      <c r="Y4028" s="0" t="s">
        <v>6924</v>
      </c>
      <c r="Z4028" s="0" t="s">
        <v>134</v>
      </c>
    </row>
    <row r="4029" customFormat="false" ht="15" hidden="false" customHeight="false" outlineLevel="0" collapsed="false">
      <c r="A4029" s="0" t="s">
        <v>21</v>
      </c>
      <c r="B4029" s="0" t="s">
        <v>12694</v>
      </c>
      <c r="C4029" s="0" t="s">
        <v>97</v>
      </c>
      <c r="D4029" s="0" t="s">
        <v>6929</v>
      </c>
      <c r="E4029" s="0" t="s">
        <v>6929</v>
      </c>
      <c r="F4029" s="0" t="s">
        <v>6929</v>
      </c>
      <c r="M4029" s="0" t="s">
        <v>136</v>
      </c>
      <c r="N4029" s="0" t="s">
        <v>124</v>
      </c>
      <c r="P4029" s="0" t="s">
        <v>102</v>
      </c>
      <c r="Q4029" s="0" t="s">
        <v>102</v>
      </c>
      <c r="R4029" s="0" t="s">
        <v>131</v>
      </c>
      <c r="S4029" s="0" t="s">
        <v>21</v>
      </c>
      <c r="T4029" s="0" t="s">
        <v>104</v>
      </c>
      <c r="W4029" s="0" t="s">
        <v>105</v>
      </c>
    </row>
    <row r="4030" customFormat="false" ht="15" hidden="false" customHeight="false" outlineLevel="0" collapsed="false">
      <c r="A4030" s="0" t="s">
        <v>21</v>
      </c>
      <c r="B4030" s="0" t="s">
        <v>12695</v>
      </c>
      <c r="C4030" s="0" t="s">
        <v>110</v>
      </c>
      <c r="D4030" s="0" t="s">
        <v>12696</v>
      </c>
      <c r="E4030" s="0" t="s">
        <v>12697</v>
      </c>
      <c r="H4030" s="0" t="s">
        <v>12698</v>
      </c>
      <c r="I4030" s="0" t="s">
        <v>12695</v>
      </c>
      <c r="J4030" s="0" t="s">
        <v>218</v>
      </c>
      <c r="K4030" s="0" t="s">
        <v>12699</v>
      </c>
      <c r="L4030" s="0" t="s">
        <v>124</v>
      </c>
      <c r="M4030" s="0" t="s">
        <v>220</v>
      </c>
      <c r="N4030" s="0" t="s">
        <v>124</v>
      </c>
      <c r="P4030" s="0" t="s">
        <v>102</v>
      </c>
      <c r="Q4030" s="0" t="s">
        <v>102</v>
      </c>
      <c r="R4030" s="0" t="s">
        <v>113</v>
      </c>
      <c r="S4030" s="0" t="s">
        <v>21</v>
      </c>
      <c r="T4030" s="0" t="s">
        <v>104</v>
      </c>
      <c r="W4030" s="0" t="s">
        <v>105</v>
      </c>
      <c r="X4030" s="0" t="s">
        <v>12700</v>
      </c>
      <c r="Y4030" s="0" t="s">
        <v>12701</v>
      </c>
      <c r="Z4030" s="0" t="s">
        <v>134</v>
      </c>
    </row>
    <row r="4031" customFormat="false" ht="15" hidden="false" customHeight="false" outlineLevel="0" collapsed="false">
      <c r="A4031" s="0" t="s">
        <v>21</v>
      </c>
      <c r="B4031" s="0" t="s">
        <v>12695</v>
      </c>
      <c r="C4031" s="0" t="s">
        <v>110</v>
      </c>
      <c r="D4031" s="0" t="s">
        <v>12696</v>
      </c>
      <c r="E4031" s="0" t="s">
        <v>12697</v>
      </c>
      <c r="H4031" s="0" t="s">
        <v>12698</v>
      </c>
      <c r="I4031" s="0" t="s">
        <v>12695</v>
      </c>
      <c r="J4031" s="0" t="s">
        <v>218</v>
      </c>
      <c r="K4031" s="0" t="s">
        <v>12699</v>
      </c>
      <c r="L4031" s="0" t="s">
        <v>124</v>
      </c>
      <c r="M4031" s="0" t="s">
        <v>220</v>
      </c>
      <c r="N4031" s="0" t="s">
        <v>124</v>
      </c>
      <c r="P4031" s="0" t="s">
        <v>4272</v>
      </c>
      <c r="Q4031" s="0" t="s">
        <v>6335</v>
      </c>
      <c r="R4031" s="0" t="s">
        <v>7285</v>
      </c>
      <c r="S4031" s="0" t="s">
        <v>21</v>
      </c>
      <c r="T4031" s="0" t="s">
        <v>104</v>
      </c>
      <c r="W4031" s="0" t="s">
        <v>183</v>
      </c>
      <c r="X4031" s="0" t="s">
        <v>12700</v>
      </c>
      <c r="Y4031" s="0" t="s">
        <v>12701</v>
      </c>
      <c r="Z4031" s="0" t="s">
        <v>134</v>
      </c>
    </row>
    <row r="4032" customFormat="false" ht="15" hidden="false" customHeight="false" outlineLevel="0" collapsed="false">
      <c r="A4032" s="0" t="s">
        <v>21</v>
      </c>
      <c r="B4032" s="0" t="s">
        <v>12702</v>
      </c>
      <c r="C4032" s="0" t="s">
        <v>110</v>
      </c>
      <c r="D4032" s="0" t="s">
        <v>12703</v>
      </c>
      <c r="E4032" s="0" t="s">
        <v>12704</v>
      </c>
      <c r="H4032" s="0" t="s">
        <v>12705</v>
      </c>
      <c r="I4032" s="0" t="s">
        <v>12702</v>
      </c>
      <c r="J4032" s="0" t="s">
        <v>218</v>
      </c>
      <c r="K4032" s="0" t="s">
        <v>12706</v>
      </c>
      <c r="L4032" s="0" t="s">
        <v>124</v>
      </c>
      <c r="M4032" s="0" t="s">
        <v>220</v>
      </c>
      <c r="N4032" s="0" t="s">
        <v>124</v>
      </c>
      <c r="P4032" s="0" t="s">
        <v>102</v>
      </c>
      <c r="Q4032" s="0" t="s">
        <v>102</v>
      </c>
      <c r="R4032" s="0" t="s">
        <v>113</v>
      </c>
      <c r="S4032" s="0" t="s">
        <v>21</v>
      </c>
      <c r="T4032" s="0" t="s">
        <v>104</v>
      </c>
      <c r="W4032" s="0" t="s">
        <v>105</v>
      </c>
      <c r="X4032" s="0" t="s">
        <v>12707</v>
      </c>
      <c r="Y4032" s="0" t="s">
        <v>12708</v>
      </c>
      <c r="Z4032" s="0" t="s">
        <v>134</v>
      </c>
    </row>
    <row r="4033" customFormat="false" ht="15" hidden="false" customHeight="false" outlineLevel="0" collapsed="false">
      <c r="A4033" s="0" t="s">
        <v>21</v>
      </c>
      <c r="B4033" s="0" t="s">
        <v>12702</v>
      </c>
      <c r="C4033" s="0" t="s">
        <v>110</v>
      </c>
      <c r="D4033" s="0" t="s">
        <v>12703</v>
      </c>
      <c r="E4033" s="0" t="s">
        <v>12704</v>
      </c>
      <c r="H4033" s="0" t="s">
        <v>12705</v>
      </c>
      <c r="I4033" s="0" t="s">
        <v>12702</v>
      </c>
      <c r="J4033" s="0" t="s">
        <v>218</v>
      </c>
      <c r="K4033" s="0" t="s">
        <v>12706</v>
      </c>
      <c r="L4033" s="0" t="s">
        <v>124</v>
      </c>
      <c r="M4033" s="0" t="s">
        <v>220</v>
      </c>
      <c r="N4033" s="0" t="s">
        <v>124</v>
      </c>
      <c r="P4033" s="0" t="s">
        <v>4272</v>
      </c>
      <c r="Q4033" s="0" t="s">
        <v>6335</v>
      </c>
      <c r="R4033" s="0" t="s">
        <v>7285</v>
      </c>
      <c r="S4033" s="0" t="s">
        <v>21</v>
      </c>
      <c r="T4033" s="0" t="s">
        <v>104</v>
      </c>
      <c r="W4033" s="0" t="s">
        <v>183</v>
      </c>
      <c r="X4033" s="0" t="s">
        <v>12707</v>
      </c>
      <c r="Y4033" s="0" t="s">
        <v>12708</v>
      </c>
      <c r="Z4033" s="0" t="s">
        <v>134</v>
      </c>
    </row>
    <row r="4034" customFormat="false" ht="15" hidden="false" customHeight="false" outlineLevel="0" collapsed="false">
      <c r="A4034" s="0" t="s">
        <v>21</v>
      </c>
      <c r="B4034" s="0" t="s">
        <v>12709</v>
      </c>
      <c r="C4034" s="0" t="s">
        <v>97</v>
      </c>
      <c r="D4034" s="0" t="s">
        <v>12710</v>
      </c>
      <c r="E4034" s="0" t="s">
        <v>12711</v>
      </c>
      <c r="M4034" s="0" t="s">
        <v>136</v>
      </c>
      <c r="N4034" s="0" t="s">
        <v>124</v>
      </c>
      <c r="P4034" s="0" t="s">
        <v>102</v>
      </c>
      <c r="Q4034" s="0" t="s">
        <v>102</v>
      </c>
      <c r="R4034" s="0" t="s">
        <v>131</v>
      </c>
      <c r="S4034" s="0" t="s">
        <v>21</v>
      </c>
      <c r="T4034" s="0" t="s">
        <v>104</v>
      </c>
      <c r="W4034" s="0" t="s">
        <v>105</v>
      </c>
    </row>
    <row r="4035" customFormat="false" ht="15" hidden="false" customHeight="false" outlineLevel="0" collapsed="false">
      <c r="A4035" s="0" t="s">
        <v>21</v>
      </c>
      <c r="B4035" s="0" t="s">
        <v>12712</v>
      </c>
      <c r="C4035" s="0" t="s">
        <v>97</v>
      </c>
      <c r="D4035" s="0" t="s">
        <v>12713</v>
      </c>
      <c r="E4035" s="0" t="s">
        <v>12714</v>
      </c>
      <c r="M4035" s="0" t="s">
        <v>136</v>
      </c>
      <c r="N4035" s="0" t="s">
        <v>124</v>
      </c>
      <c r="P4035" s="0" t="s">
        <v>102</v>
      </c>
      <c r="Q4035" s="0" t="s">
        <v>102</v>
      </c>
      <c r="R4035" s="0" t="s">
        <v>131</v>
      </c>
      <c r="S4035" s="0" t="s">
        <v>21</v>
      </c>
      <c r="T4035" s="0" t="s">
        <v>104</v>
      </c>
      <c r="W4035" s="0" t="s">
        <v>105</v>
      </c>
    </row>
    <row r="4036" customFormat="false" ht="15" hidden="false" customHeight="false" outlineLevel="0" collapsed="false">
      <c r="A4036" s="0" t="s">
        <v>21</v>
      </c>
      <c r="B4036" s="0" t="s">
        <v>12715</v>
      </c>
      <c r="C4036" s="0" t="s">
        <v>97</v>
      </c>
      <c r="D4036" s="0" t="s">
        <v>12716</v>
      </c>
      <c r="E4036" s="0" t="s">
        <v>12717</v>
      </c>
      <c r="G4036" s="0" t="s">
        <v>1573</v>
      </c>
      <c r="H4036" s="0" t="s">
        <v>654</v>
      </c>
      <c r="I4036" s="0" t="s">
        <v>655</v>
      </c>
      <c r="J4036" s="0" t="s">
        <v>100</v>
      </c>
      <c r="K4036" s="0" t="s">
        <v>168</v>
      </c>
      <c r="L4036" s="0" t="s">
        <v>101</v>
      </c>
      <c r="M4036" s="0" t="s">
        <v>656</v>
      </c>
      <c r="N4036" s="0" t="s">
        <v>101</v>
      </c>
      <c r="P4036" s="0" t="s">
        <v>102</v>
      </c>
      <c r="Q4036" s="0" t="s">
        <v>102</v>
      </c>
      <c r="R4036" s="0" t="s">
        <v>131</v>
      </c>
      <c r="S4036" s="0" t="s">
        <v>21</v>
      </c>
      <c r="T4036" s="0" t="s">
        <v>104</v>
      </c>
      <c r="W4036" s="0" t="s">
        <v>105</v>
      </c>
      <c r="X4036" s="0" t="s">
        <v>658</v>
      </c>
      <c r="Y4036" s="0" t="s">
        <v>659</v>
      </c>
    </row>
    <row r="4037" customFormat="false" ht="15" hidden="false" customHeight="false" outlineLevel="0" collapsed="false">
      <c r="A4037" s="0" t="s">
        <v>21</v>
      </c>
      <c r="B4037" s="0" t="s">
        <v>12718</v>
      </c>
      <c r="C4037" s="0" t="s">
        <v>97</v>
      </c>
      <c r="D4037" s="0" t="s">
        <v>8013</v>
      </c>
      <c r="E4037" s="0" t="s">
        <v>12719</v>
      </c>
      <c r="M4037" s="0" t="s">
        <v>100</v>
      </c>
      <c r="N4037" s="0" t="s">
        <v>101</v>
      </c>
      <c r="P4037" s="0" t="s">
        <v>102</v>
      </c>
      <c r="Q4037" s="0" t="s">
        <v>102</v>
      </c>
      <c r="R4037" s="0" t="s">
        <v>131</v>
      </c>
      <c r="S4037" s="0" t="s">
        <v>21</v>
      </c>
      <c r="T4037" s="0" t="s">
        <v>104</v>
      </c>
      <c r="W4037" s="0" t="s">
        <v>105</v>
      </c>
    </row>
    <row r="4038" customFormat="false" ht="15" hidden="false" customHeight="false" outlineLevel="0" collapsed="false">
      <c r="A4038" s="0" t="s">
        <v>21</v>
      </c>
      <c r="B4038" s="0" t="s">
        <v>12720</v>
      </c>
      <c r="C4038" s="0" t="s">
        <v>97</v>
      </c>
      <c r="D4038" s="0" t="s">
        <v>9946</v>
      </c>
      <c r="E4038" s="0" t="s">
        <v>12721</v>
      </c>
      <c r="M4038" s="0" t="s">
        <v>136</v>
      </c>
      <c r="N4038" s="0" t="s">
        <v>124</v>
      </c>
      <c r="P4038" s="0" t="s">
        <v>102</v>
      </c>
      <c r="Q4038" s="0" t="s">
        <v>102</v>
      </c>
      <c r="R4038" s="0" t="s">
        <v>131</v>
      </c>
      <c r="S4038" s="0" t="s">
        <v>21</v>
      </c>
      <c r="T4038" s="0" t="s">
        <v>104</v>
      </c>
      <c r="W4038" s="0" t="s">
        <v>105</v>
      </c>
    </row>
    <row r="4039" customFormat="false" ht="15" hidden="false" customHeight="false" outlineLevel="0" collapsed="false">
      <c r="A4039" s="0" t="s">
        <v>21</v>
      </c>
      <c r="B4039" s="0" t="s">
        <v>12722</v>
      </c>
      <c r="C4039" s="0" t="s">
        <v>97</v>
      </c>
      <c r="D4039" s="0" t="s">
        <v>5178</v>
      </c>
      <c r="E4039" s="0" t="s">
        <v>12723</v>
      </c>
      <c r="H4039" s="0" t="s">
        <v>654</v>
      </c>
      <c r="I4039" s="0" t="s">
        <v>655</v>
      </c>
      <c r="J4039" s="0" t="s">
        <v>100</v>
      </c>
      <c r="K4039" s="0" t="s">
        <v>168</v>
      </c>
      <c r="L4039" s="0" t="s">
        <v>101</v>
      </c>
      <c r="M4039" s="0" t="s">
        <v>656</v>
      </c>
      <c r="N4039" s="0" t="s">
        <v>101</v>
      </c>
      <c r="P4039" s="0" t="s">
        <v>102</v>
      </c>
      <c r="Q4039" s="0" t="s">
        <v>102</v>
      </c>
      <c r="R4039" s="0" t="s">
        <v>131</v>
      </c>
      <c r="S4039" s="0" t="s">
        <v>21</v>
      </c>
      <c r="T4039" s="0" t="s">
        <v>104</v>
      </c>
      <c r="W4039" s="0" t="s">
        <v>105</v>
      </c>
      <c r="X4039" s="0" t="s">
        <v>658</v>
      </c>
      <c r="Y4039" s="0" t="s">
        <v>659</v>
      </c>
    </row>
    <row r="4040" customFormat="false" ht="15" hidden="false" customHeight="false" outlineLevel="0" collapsed="false">
      <c r="A4040" s="0" t="s">
        <v>21</v>
      </c>
      <c r="B4040" s="0" t="s">
        <v>12724</v>
      </c>
      <c r="C4040" s="0" t="s">
        <v>97</v>
      </c>
      <c r="D4040" s="0" t="s">
        <v>12716</v>
      </c>
      <c r="E4040" s="0" t="s">
        <v>12725</v>
      </c>
      <c r="M4040" s="0" t="s">
        <v>656</v>
      </c>
      <c r="N4040" s="0" t="s">
        <v>101</v>
      </c>
      <c r="P4040" s="0" t="s">
        <v>102</v>
      </c>
      <c r="Q4040" s="0" t="s">
        <v>102</v>
      </c>
      <c r="R4040" s="0" t="s">
        <v>131</v>
      </c>
      <c r="S4040" s="0" t="s">
        <v>21</v>
      </c>
      <c r="T4040" s="0" t="s">
        <v>104</v>
      </c>
      <c r="W4040" s="0" t="s">
        <v>105</v>
      </c>
    </row>
    <row r="4041" customFormat="false" ht="15" hidden="false" customHeight="false" outlineLevel="0" collapsed="false">
      <c r="A4041" s="0" t="s">
        <v>21</v>
      </c>
      <c r="B4041" s="0" t="s">
        <v>12726</v>
      </c>
      <c r="C4041" s="0" t="s">
        <v>7367</v>
      </c>
      <c r="D4041" s="0" t="s">
        <v>12727</v>
      </c>
      <c r="E4041" s="0" t="s">
        <v>12728</v>
      </c>
      <c r="G4041" s="0" t="s">
        <v>12729</v>
      </c>
      <c r="H4041" s="0" t="s">
        <v>12730</v>
      </c>
      <c r="I4041" s="0" t="s">
        <v>12731</v>
      </c>
      <c r="J4041" s="0" t="s">
        <v>208</v>
      </c>
      <c r="K4041" s="0" t="s">
        <v>551</v>
      </c>
      <c r="M4041" s="0" t="s">
        <v>208</v>
      </c>
      <c r="N4041" s="0" t="s">
        <v>124</v>
      </c>
      <c r="P4041" s="0" t="s">
        <v>102</v>
      </c>
      <c r="Q4041" s="0" t="s">
        <v>102</v>
      </c>
      <c r="R4041" s="0" t="s">
        <v>131</v>
      </c>
      <c r="S4041" s="0" t="s">
        <v>21</v>
      </c>
      <c r="T4041" s="0" t="s">
        <v>104</v>
      </c>
      <c r="W4041" s="0" t="s">
        <v>105</v>
      </c>
    </row>
    <row r="4042" customFormat="false" ht="28.35" hidden="false" customHeight="false" outlineLevel="0" collapsed="false">
      <c r="A4042" s="0" t="s">
        <v>21</v>
      </c>
      <c r="B4042" s="0" t="s">
        <v>12732</v>
      </c>
      <c r="C4042" s="0" t="s">
        <v>97</v>
      </c>
      <c r="D4042" s="0" t="s">
        <v>8760</v>
      </c>
      <c r="E4042" s="0" t="s">
        <v>12733</v>
      </c>
      <c r="G4042" s="9" t="s">
        <v>12734</v>
      </c>
      <c r="M4042" s="0" t="s">
        <v>100</v>
      </c>
      <c r="N4042" s="0" t="s">
        <v>101</v>
      </c>
      <c r="P4042" s="0" t="s">
        <v>102</v>
      </c>
      <c r="Q4042" s="0" t="s">
        <v>102</v>
      </c>
      <c r="R4042" s="0" t="s">
        <v>131</v>
      </c>
      <c r="S4042" s="0" t="s">
        <v>21</v>
      </c>
      <c r="T4042" s="0" t="s">
        <v>104</v>
      </c>
      <c r="W4042" s="0" t="s">
        <v>105</v>
      </c>
    </row>
    <row r="4043" customFormat="false" ht="15" hidden="false" customHeight="false" outlineLevel="0" collapsed="false">
      <c r="A4043" s="0" t="s">
        <v>21</v>
      </c>
      <c r="B4043" s="0" t="s">
        <v>12735</v>
      </c>
      <c r="C4043" s="0" t="s">
        <v>97</v>
      </c>
      <c r="D4043" s="0" t="s">
        <v>12736</v>
      </c>
      <c r="E4043" s="0" t="s">
        <v>12737</v>
      </c>
      <c r="M4043" s="0" t="s">
        <v>136</v>
      </c>
      <c r="N4043" s="0" t="s">
        <v>124</v>
      </c>
      <c r="P4043" s="0" t="s">
        <v>102</v>
      </c>
      <c r="Q4043" s="0" t="s">
        <v>102</v>
      </c>
      <c r="R4043" s="0" t="s">
        <v>131</v>
      </c>
      <c r="S4043" s="0" t="s">
        <v>21</v>
      </c>
      <c r="T4043" s="0" t="s">
        <v>104</v>
      </c>
      <c r="W4043" s="0" t="s">
        <v>105</v>
      </c>
    </row>
    <row r="4044" customFormat="false" ht="15" hidden="false" customHeight="false" outlineLevel="0" collapsed="false">
      <c r="A4044" s="0" t="s">
        <v>21</v>
      </c>
      <c r="B4044" s="0" t="s">
        <v>12738</v>
      </c>
      <c r="C4044" s="0" t="s">
        <v>97</v>
      </c>
      <c r="D4044" s="0" t="s">
        <v>12739</v>
      </c>
      <c r="E4044" s="0" t="s">
        <v>12740</v>
      </c>
      <c r="M4044" s="0" t="s">
        <v>136</v>
      </c>
      <c r="N4044" s="0" t="s">
        <v>124</v>
      </c>
      <c r="P4044" s="0" t="s">
        <v>102</v>
      </c>
      <c r="Q4044" s="0" t="s">
        <v>102</v>
      </c>
      <c r="R4044" s="0" t="s">
        <v>131</v>
      </c>
      <c r="S4044" s="0" t="s">
        <v>21</v>
      </c>
      <c r="T4044" s="0" t="s">
        <v>104</v>
      </c>
      <c r="W4044" s="0" t="s">
        <v>105</v>
      </c>
    </row>
    <row r="4045" customFormat="false" ht="15" hidden="false" customHeight="false" outlineLevel="0" collapsed="false">
      <c r="A4045" s="0" t="s">
        <v>21</v>
      </c>
      <c r="B4045" s="0" t="s">
        <v>12741</v>
      </c>
      <c r="C4045" s="0" t="s">
        <v>97</v>
      </c>
      <c r="D4045" s="0" t="s">
        <v>12742</v>
      </c>
      <c r="E4045" s="0" t="s">
        <v>12743</v>
      </c>
      <c r="M4045" s="0" t="s">
        <v>136</v>
      </c>
      <c r="N4045" s="0" t="s">
        <v>124</v>
      </c>
      <c r="P4045" s="0" t="s">
        <v>102</v>
      </c>
      <c r="Q4045" s="0" t="s">
        <v>102</v>
      </c>
      <c r="R4045" s="0" t="s">
        <v>131</v>
      </c>
      <c r="S4045" s="0" t="s">
        <v>21</v>
      </c>
      <c r="T4045" s="0" t="s">
        <v>104</v>
      </c>
      <c r="W4045" s="0" t="s">
        <v>105</v>
      </c>
    </row>
    <row r="4046" customFormat="false" ht="15" hidden="false" customHeight="false" outlineLevel="0" collapsed="false">
      <c r="A4046" s="0" t="s">
        <v>21</v>
      </c>
      <c r="B4046" s="0" t="s">
        <v>12744</v>
      </c>
      <c r="C4046" s="0" t="s">
        <v>110</v>
      </c>
      <c r="D4046" s="0" t="s">
        <v>6669</v>
      </c>
      <c r="E4046" s="0" t="s">
        <v>6669</v>
      </c>
      <c r="F4046" s="0" t="s">
        <v>12745</v>
      </c>
      <c r="M4046" s="0" t="s">
        <v>442</v>
      </c>
      <c r="N4046" s="0" t="s">
        <v>101</v>
      </c>
      <c r="P4046" s="0" t="s">
        <v>102</v>
      </c>
      <c r="Q4046" s="0" t="s">
        <v>102</v>
      </c>
      <c r="R4046" s="0" t="s">
        <v>131</v>
      </c>
      <c r="S4046" s="0" t="s">
        <v>21</v>
      </c>
      <c r="T4046" s="0" t="s">
        <v>104</v>
      </c>
      <c r="W4046" s="0" t="s">
        <v>105</v>
      </c>
    </row>
    <row r="4047" customFormat="false" ht="15" hidden="false" customHeight="false" outlineLevel="0" collapsed="false">
      <c r="A4047" s="0" t="s">
        <v>21</v>
      </c>
      <c r="B4047" s="0" t="s">
        <v>12746</v>
      </c>
      <c r="C4047" s="0" t="s">
        <v>97</v>
      </c>
      <c r="D4047" s="0" t="s">
        <v>12747</v>
      </c>
      <c r="E4047" s="0" t="s">
        <v>12748</v>
      </c>
      <c r="M4047" s="0" t="s">
        <v>136</v>
      </c>
      <c r="N4047" s="0" t="s">
        <v>124</v>
      </c>
      <c r="P4047" s="0" t="s">
        <v>102</v>
      </c>
      <c r="Q4047" s="0" t="s">
        <v>102</v>
      </c>
      <c r="R4047" s="0" t="s">
        <v>131</v>
      </c>
      <c r="S4047" s="0" t="s">
        <v>21</v>
      </c>
      <c r="T4047" s="0" t="s">
        <v>104</v>
      </c>
      <c r="W4047" s="0" t="s">
        <v>105</v>
      </c>
    </row>
    <row r="4048" customFormat="false" ht="15" hidden="false" customHeight="false" outlineLevel="0" collapsed="false">
      <c r="A4048" s="0" t="s">
        <v>21</v>
      </c>
      <c r="B4048" s="0" t="s">
        <v>12749</v>
      </c>
      <c r="C4048" s="0" t="s">
        <v>97</v>
      </c>
      <c r="D4048" s="0" t="s">
        <v>12750</v>
      </c>
      <c r="E4048" s="0" t="s">
        <v>12751</v>
      </c>
      <c r="M4048" s="0" t="s">
        <v>136</v>
      </c>
      <c r="N4048" s="0" t="s">
        <v>124</v>
      </c>
      <c r="P4048" s="0" t="s">
        <v>102</v>
      </c>
      <c r="Q4048" s="0" t="s">
        <v>102</v>
      </c>
      <c r="R4048" s="0" t="s">
        <v>131</v>
      </c>
      <c r="S4048" s="0" t="s">
        <v>21</v>
      </c>
      <c r="T4048" s="0" t="s">
        <v>104</v>
      </c>
      <c r="W4048" s="0" t="s">
        <v>105</v>
      </c>
    </row>
    <row r="4049" customFormat="false" ht="15" hidden="false" customHeight="false" outlineLevel="0" collapsed="false">
      <c r="A4049" s="0" t="s">
        <v>21</v>
      </c>
      <c r="B4049" s="0" t="s">
        <v>12752</v>
      </c>
      <c r="C4049" s="0" t="s">
        <v>97</v>
      </c>
      <c r="D4049" s="0" t="s">
        <v>12753</v>
      </c>
      <c r="E4049" s="0" t="s">
        <v>12754</v>
      </c>
      <c r="M4049" s="0" t="s">
        <v>136</v>
      </c>
      <c r="N4049" s="0" t="s">
        <v>124</v>
      </c>
      <c r="P4049" s="0" t="s">
        <v>102</v>
      </c>
      <c r="Q4049" s="0" t="s">
        <v>102</v>
      </c>
      <c r="R4049" s="0" t="s">
        <v>131</v>
      </c>
      <c r="S4049" s="0" t="s">
        <v>21</v>
      </c>
      <c r="T4049" s="0" t="s">
        <v>104</v>
      </c>
      <c r="W4049" s="0" t="s">
        <v>105</v>
      </c>
    </row>
    <row r="4050" customFormat="false" ht="15" hidden="false" customHeight="false" outlineLevel="0" collapsed="false">
      <c r="A4050" s="0" t="s">
        <v>21</v>
      </c>
      <c r="B4050" s="0" t="s">
        <v>12755</v>
      </c>
      <c r="C4050" s="0" t="s">
        <v>97</v>
      </c>
      <c r="D4050" s="0" t="s">
        <v>12756</v>
      </c>
      <c r="E4050" s="0" t="s">
        <v>12757</v>
      </c>
      <c r="M4050" s="0" t="s">
        <v>136</v>
      </c>
      <c r="N4050" s="0" t="s">
        <v>124</v>
      </c>
      <c r="P4050" s="0" t="s">
        <v>102</v>
      </c>
      <c r="Q4050" s="0" t="s">
        <v>102</v>
      </c>
      <c r="R4050" s="0" t="s">
        <v>131</v>
      </c>
      <c r="S4050" s="0" t="s">
        <v>21</v>
      </c>
      <c r="T4050" s="0" t="s">
        <v>104</v>
      </c>
      <c r="W4050" s="0" t="s">
        <v>105</v>
      </c>
    </row>
    <row r="4051" customFormat="false" ht="15" hidden="false" customHeight="false" outlineLevel="0" collapsed="false">
      <c r="A4051" s="0" t="s">
        <v>21</v>
      </c>
      <c r="B4051" s="0" t="s">
        <v>12758</v>
      </c>
      <c r="C4051" s="0" t="s">
        <v>97</v>
      </c>
      <c r="D4051" s="0" t="s">
        <v>12759</v>
      </c>
      <c r="E4051" s="0" t="s">
        <v>12759</v>
      </c>
      <c r="M4051" s="0" t="s">
        <v>136</v>
      </c>
      <c r="N4051" s="0" t="s">
        <v>124</v>
      </c>
      <c r="P4051" s="0" t="s">
        <v>102</v>
      </c>
      <c r="Q4051" s="0" t="s">
        <v>102</v>
      </c>
      <c r="R4051" s="0" t="s">
        <v>131</v>
      </c>
      <c r="S4051" s="0" t="s">
        <v>21</v>
      </c>
      <c r="T4051" s="0" t="s">
        <v>104</v>
      </c>
      <c r="W4051" s="0" t="s">
        <v>105</v>
      </c>
    </row>
    <row r="4052" customFormat="false" ht="15" hidden="false" customHeight="false" outlineLevel="0" collapsed="false">
      <c r="A4052" s="0" t="s">
        <v>21</v>
      </c>
      <c r="B4052" s="0" t="s">
        <v>12760</v>
      </c>
      <c r="C4052" s="0" t="s">
        <v>97</v>
      </c>
      <c r="D4052" s="0" t="s">
        <v>12761</v>
      </c>
      <c r="E4052" s="0" t="s">
        <v>12762</v>
      </c>
      <c r="M4052" s="0" t="s">
        <v>136</v>
      </c>
      <c r="N4052" s="0" t="s">
        <v>124</v>
      </c>
      <c r="P4052" s="0" t="s">
        <v>102</v>
      </c>
      <c r="Q4052" s="0" t="s">
        <v>102</v>
      </c>
      <c r="R4052" s="0" t="s">
        <v>113</v>
      </c>
      <c r="S4052" s="0" t="s">
        <v>21</v>
      </c>
      <c r="T4052" s="0" t="s">
        <v>104</v>
      </c>
      <c r="W4052" s="0" t="s">
        <v>105</v>
      </c>
    </row>
    <row r="4053" customFormat="false" ht="15" hidden="false" customHeight="false" outlineLevel="0" collapsed="false">
      <c r="A4053" s="0" t="s">
        <v>21</v>
      </c>
      <c r="B4053" s="0" t="s">
        <v>12763</v>
      </c>
      <c r="C4053" s="0" t="s">
        <v>97</v>
      </c>
      <c r="D4053" s="0" t="s">
        <v>12764</v>
      </c>
      <c r="E4053" s="0" t="s">
        <v>12765</v>
      </c>
      <c r="M4053" s="0" t="s">
        <v>136</v>
      </c>
      <c r="N4053" s="0" t="s">
        <v>124</v>
      </c>
      <c r="P4053" s="0" t="s">
        <v>102</v>
      </c>
      <c r="Q4053" s="0" t="s">
        <v>102</v>
      </c>
      <c r="R4053" s="0" t="s">
        <v>113</v>
      </c>
      <c r="S4053" s="0" t="s">
        <v>21</v>
      </c>
      <c r="T4053" s="0" t="s">
        <v>104</v>
      </c>
      <c r="W4053" s="0" t="s">
        <v>105</v>
      </c>
    </row>
    <row r="4054" customFormat="false" ht="15" hidden="false" customHeight="false" outlineLevel="0" collapsed="false">
      <c r="A4054" s="0" t="s">
        <v>21</v>
      </c>
      <c r="B4054" s="0" t="s">
        <v>12766</v>
      </c>
      <c r="C4054" s="0" t="s">
        <v>97</v>
      </c>
      <c r="D4054" s="0" t="s">
        <v>12767</v>
      </c>
      <c r="E4054" s="0" t="s">
        <v>12768</v>
      </c>
      <c r="H4054" s="0" t="s">
        <v>654</v>
      </c>
      <c r="I4054" s="0" t="s">
        <v>655</v>
      </c>
      <c r="J4054" s="0" t="s">
        <v>100</v>
      </c>
      <c r="K4054" s="0" t="s">
        <v>168</v>
      </c>
      <c r="L4054" s="0" t="s">
        <v>101</v>
      </c>
      <c r="M4054" s="0" t="s">
        <v>656</v>
      </c>
      <c r="N4054" s="0" t="s">
        <v>101</v>
      </c>
      <c r="P4054" s="0" t="s">
        <v>102</v>
      </c>
      <c r="Q4054" s="0" t="s">
        <v>102</v>
      </c>
      <c r="R4054" s="0" t="s">
        <v>113</v>
      </c>
      <c r="S4054" s="0" t="s">
        <v>21</v>
      </c>
      <c r="T4054" s="0" t="s">
        <v>104</v>
      </c>
      <c r="W4054" s="0" t="s">
        <v>105</v>
      </c>
      <c r="X4054" s="0" t="s">
        <v>658</v>
      </c>
      <c r="Y4054" s="0" t="s">
        <v>659</v>
      </c>
    </row>
    <row r="4055" customFormat="false" ht="15" hidden="false" customHeight="false" outlineLevel="0" collapsed="false">
      <c r="A4055" s="0" t="s">
        <v>21</v>
      </c>
      <c r="B4055" s="0" t="s">
        <v>12769</v>
      </c>
      <c r="C4055" s="0" t="s">
        <v>4295</v>
      </c>
      <c r="E4055" s="0" t="s">
        <v>12770</v>
      </c>
      <c r="H4055" s="0" t="s">
        <v>12771</v>
      </c>
      <c r="I4055" s="0" t="s">
        <v>1696</v>
      </c>
      <c r="J4055" s="0" t="s">
        <v>275</v>
      </c>
      <c r="K4055" s="0" t="s">
        <v>12772</v>
      </c>
      <c r="L4055" s="0" t="s">
        <v>124</v>
      </c>
      <c r="M4055" s="0" t="s">
        <v>1696</v>
      </c>
      <c r="N4055" s="0" t="s">
        <v>124</v>
      </c>
      <c r="P4055" s="0" t="s">
        <v>130</v>
      </c>
      <c r="Q4055" s="0" t="s">
        <v>130</v>
      </c>
      <c r="R4055" s="0" t="s">
        <v>144</v>
      </c>
      <c r="S4055" s="0" t="s">
        <v>21</v>
      </c>
      <c r="T4055" s="0" t="s">
        <v>104</v>
      </c>
      <c r="W4055" s="0" t="s">
        <v>105</v>
      </c>
      <c r="X4055" s="0" t="s">
        <v>12773</v>
      </c>
      <c r="Y4055" s="0" t="s">
        <v>12774</v>
      </c>
      <c r="Z4055" s="0" t="s">
        <v>625</v>
      </c>
    </row>
    <row r="4056" customFormat="false" ht="15" hidden="false" customHeight="false" outlineLevel="0" collapsed="false">
      <c r="A4056" s="0" t="s">
        <v>21</v>
      </c>
      <c r="B4056" s="0" t="s">
        <v>12775</v>
      </c>
      <c r="C4056" s="0" t="s">
        <v>4319</v>
      </c>
      <c r="M4056" s="0" t="s">
        <v>247</v>
      </c>
      <c r="N4056" s="0" t="s">
        <v>124</v>
      </c>
      <c r="P4056" s="0" t="s">
        <v>130</v>
      </c>
      <c r="Q4056" s="0" t="s">
        <v>130</v>
      </c>
      <c r="R4056" s="0" t="s">
        <v>144</v>
      </c>
      <c r="S4056" s="0" t="s">
        <v>21</v>
      </c>
      <c r="T4056" s="0" t="s">
        <v>104</v>
      </c>
      <c r="W4056" s="0" t="s">
        <v>105</v>
      </c>
    </row>
    <row r="4057" customFormat="false" ht="15" hidden="false" customHeight="false" outlineLevel="0" collapsed="false">
      <c r="A4057" s="0" t="s">
        <v>21</v>
      </c>
      <c r="B4057" s="0" t="s">
        <v>12776</v>
      </c>
      <c r="C4057" s="0" t="s">
        <v>200</v>
      </c>
      <c r="D4057" s="0" t="s">
        <v>12777</v>
      </c>
      <c r="E4057" s="0" t="s">
        <v>12778</v>
      </c>
      <c r="H4057" s="0" t="s">
        <v>12779</v>
      </c>
      <c r="I4057" s="0" t="s">
        <v>12780</v>
      </c>
      <c r="J4057" s="0" t="s">
        <v>157</v>
      </c>
      <c r="K4057" s="0" t="s">
        <v>12781</v>
      </c>
      <c r="M4057" s="0" t="s">
        <v>232</v>
      </c>
      <c r="N4057" s="0" t="s">
        <v>124</v>
      </c>
      <c r="P4057" s="0" t="s">
        <v>130</v>
      </c>
      <c r="Q4057" s="0" t="s">
        <v>130</v>
      </c>
      <c r="R4057" s="0" t="s">
        <v>144</v>
      </c>
      <c r="S4057" s="0" t="s">
        <v>21</v>
      </c>
      <c r="T4057" s="0" t="s">
        <v>104</v>
      </c>
      <c r="W4057" s="0" t="s">
        <v>105</v>
      </c>
      <c r="X4057" s="0" t="s">
        <v>12782</v>
      </c>
      <c r="Y4057" s="0" t="s">
        <v>12783</v>
      </c>
      <c r="Z4057" s="0" t="s">
        <v>12784</v>
      </c>
    </row>
    <row r="4058" customFormat="false" ht="15" hidden="false" customHeight="false" outlineLevel="0" collapsed="false">
      <c r="A4058" s="0" t="s">
        <v>21</v>
      </c>
      <c r="B4058" s="0" t="s">
        <v>12785</v>
      </c>
      <c r="C4058" s="0" t="s">
        <v>4295</v>
      </c>
      <c r="E4058" s="0" t="s">
        <v>12786</v>
      </c>
      <c r="H4058" s="0" t="s">
        <v>12787</v>
      </c>
      <c r="I4058" s="0" t="s">
        <v>219</v>
      </c>
      <c r="J4058" s="0" t="s">
        <v>218</v>
      </c>
      <c r="K4058" s="0" t="s">
        <v>12788</v>
      </c>
      <c r="L4058" s="0" t="s">
        <v>124</v>
      </c>
      <c r="M4058" s="0" t="s">
        <v>219</v>
      </c>
      <c r="N4058" s="0" t="s">
        <v>124</v>
      </c>
      <c r="P4058" s="0" t="s">
        <v>130</v>
      </c>
      <c r="Q4058" s="0" t="s">
        <v>130</v>
      </c>
      <c r="R4058" s="0" t="s">
        <v>144</v>
      </c>
      <c r="S4058" s="0" t="s">
        <v>21</v>
      </c>
      <c r="T4058" s="0" t="s">
        <v>104</v>
      </c>
      <c r="W4058" s="0" t="s">
        <v>105</v>
      </c>
      <c r="X4058" s="0" t="s">
        <v>12789</v>
      </c>
      <c r="Y4058" s="0" t="s">
        <v>12790</v>
      </c>
      <c r="Z4058" s="0" t="s">
        <v>625</v>
      </c>
    </row>
    <row r="4059" customFormat="false" ht="15" hidden="false" customHeight="false" outlineLevel="0" collapsed="false">
      <c r="A4059" s="0" t="s">
        <v>21</v>
      </c>
      <c r="B4059" s="0" t="s">
        <v>12791</v>
      </c>
      <c r="C4059" s="0" t="s">
        <v>12792</v>
      </c>
      <c r="D4059" s="0" t="s">
        <v>12793</v>
      </c>
      <c r="E4059" s="0" t="s">
        <v>12794</v>
      </c>
      <c r="H4059" s="0" t="s">
        <v>12795</v>
      </c>
      <c r="I4059" s="0" t="s">
        <v>12796</v>
      </c>
      <c r="J4059" s="0" t="s">
        <v>157</v>
      </c>
      <c r="K4059" s="0" t="s">
        <v>12797</v>
      </c>
      <c r="M4059" s="0" t="s">
        <v>232</v>
      </c>
      <c r="N4059" s="0" t="s">
        <v>124</v>
      </c>
      <c r="P4059" s="0" t="s">
        <v>130</v>
      </c>
      <c r="Q4059" s="0" t="s">
        <v>130</v>
      </c>
      <c r="R4059" s="0" t="s">
        <v>144</v>
      </c>
      <c r="S4059" s="0" t="s">
        <v>21</v>
      </c>
      <c r="T4059" s="0" t="s">
        <v>104</v>
      </c>
      <c r="W4059" s="0" t="s">
        <v>105</v>
      </c>
      <c r="X4059" s="0" t="s">
        <v>12798</v>
      </c>
      <c r="Y4059" s="0" t="s">
        <v>12799</v>
      </c>
      <c r="Z4059" s="0" t="s">
        <v>12784</v>
      </c>
    </row>
    <row r="4060" customFormat="false" ht="15" hidden="false" customHeight="false" outlineLevel="0" collapsed="false">
      <c r="A4060" s="0" t="s">
        <v>21</v>
      </c>
      <c r="B4060" s="0" t="s">
        <v>12800</v>
      </c>
      <c r="C4060" s="0" t="s">
        <v>12792</v>
      </c>
      <c r="D4060" s="0" t="s">
        <v>12801</v>
      </c>
      <c r="E4060" s="0" t="s">
        <v>12802</v>
      </c>
      <c r="H4060" s="0" t="s">
        <v>12803</v>
      </c>
      <c r="I4060" s="0" t="s">
        <v>12804</v>
      </c>
      <c r="J4060" s="0" t="s">
        <v>157</v>
      </c>
      <c r="K4060" s="0" t="s">
        <v>12805</v>
      </c>
      <c r="M4060" s="0" t="s">
        <v>232</v>
      </c>
      <c r="N4060" s="0" t="s">
        <v>124</v>
      </c>
      <c r="P4060" s="0" t="s">
        <v>130</v>
      </c>
      <c r="Q4060" s="0" t="s">
        <v>130</v>
      </c>
      <c r="R4060" s="0" t="s">
        <v>144</v>
      </c>
      <c r="S4060" s="0" t="s">
        <v>21</v>
      </c>
      <c r="T4060" s="0" t="s">
        <v>104</v>
      </c>
      <c r="W4060" s="0" t="s">
        <v>105</v>
      </c>
      <c r="X4060" s="0" t="s">
        <v>12806</v>
      </c>
      <c r="Y4060" s="0" t="s">
        <v>12807</v>
      </c>
      <c r="Z4060" s="0" t="s">
        <v>12784</v>
      </c>
    </row>
    <row r="4061" customFormat="false" ht="15" hidden="false" customHeight="false" outlineLevel="0" collapsed="false">
      <c r="A4061" s="0" t="s">
        <v>21</v>
      </c>
      <c r="B4061" s="0" t="s">
        <v>12808</v>
      </c>
      <c r="C4061" s="0" t="s">
        <v>12792</v>
      </c>
      <c r="D4061" s="0" t="s">
        <v>12809</v>
      </c>
      <c r="E4061" s="0" t="s">
        <v>12810</v>
      </c>
      <c r="H4061" s="0" t="s">
        <v>12811</v>
      </c>
      <c r="I4061" s="0" t="s">
        <v>12812</v>
      </c>
      <c r="J4061" s="0" t="s">
        <v>157</v>
      </c>
      <c r="K4061" s="0" t="s">
        <v>12813</v>
      </c>
      <c r="M4061" s="0" t="s">
        <v>232</v>
      </c>
      <c r="N4061" s="0" t="s">
        <v>124</v>
      </c>
      <c r="P4061" s="0" t="s">
        <v>130</v>
      </c>
      <c r="Q4061" s="0" t="s">
        <v>130</v>
      </c>
      <c r="R4061" s="0" t="s">
        <v>144</v>
      </c>
      <c r="S4061" s="0" t="s">
        <v>21</v>
      </c>
      <c r="T4061" s="0" t="s">
        <v>104</v>
      </c>
      <c r="W4061" s="0" t="s">
        <v>105</v>
      </c>
      <c r="X4061" s="0" t="s">
        <v>12814</v>
      </c>
      <c r="Y4061" s="0" t="s">
        <v>12815</v>
      </c>
      <c r="Z4061" s="0" t="s">
        <v>12784</v>
      </c>
    </row>
    <row r="4062" customFormat="false" ht="15" hidden="false" customHeight="false" outlineLevel="0" collapsed="false">
      <c r="A4062" s="0" t="s">
        <v>21</v>
      </c>
      <c r="B4062" s="0" t="s">
        <v>12816</v>
      </c>
      <c r="C4062" s="0" t="s">
        <v>12792</v>
      </c>
      <c r="D4062" s="0" t="s">
        <v>12817</v>
      </c>
      <c r="E4062" s="0" t="s">
        <v>12818</v>
      </c>
      <c r="H4062" s="0" t="s">
        <v>12819</v>
      </c>
      <c r="I4062" s="0" t="s">
        <v>12820</v>
      </c>
      <c r="J4062" s="0" t="s">
        <v>157</v>
      </c>
      <c r="K4062" s="0" t="s">
        <v>12821</v>
      </c>
      <c r="M4062" s="0" t="s">
        <v>232</v>
      </c>
      <c r="N4062" s="0" t="s">
        <v>124</v>
      </c>
      <c r="P4062" s="0" t="s">
        <v>130</v>
      </c>
      <c r="Q4062" s="0" t="s">
        <v>130</v>
      </c>
      <c r="R4062" s="0" t="s">
        <v>144</v>
      </c>
      <c r="S4062" s="0" t="s">
        <v>21</v>
      </c>
      <c r="T4062" s="0" t="s">
        <v>104</v>
      </c>
      <c r="W4062" s="0" t="s">
        <v>105</v>
      </c>
      <c r="X4062" s="0" t="s">
        <v>12822</v>
      </c>
      <c r="Y4062" s="0" t="s">
        <v>12823</v>
      </c>
      <c r="Z4062" s="0" t="s">
        <v>12784</v>
      </c>
    </row>
    <row r="4063" customFormat="false" ht="15" hidden="false" customHeight="false" outlineLevel="0" collapsed="false">
      <c r="A4063" s="0" t="s">
        <v>21</v>
      </c>
      <c r="B4063" s="0" t="s">
        <v>12824</v>
      </c>
      <c r="C4063" s="0" t="s">
        <v>12792</v>
      </c>
      <c r="D4063" s="0" t="s">
        <v>12825</v>
      </c>
      <c r="E4063" s="0" t="s">
        <v>12826</v>
      </c>
      <c r="H4063" s="0" t="s">
        <v>12827</v>
      </c>
      <c r="I4063" s="0" t="s">
        <v>12828</v>
      </c>
      <c r="J4063" s="0" t="s">
        <v>157</v>
      </c>
      <c r="K4063" s="0" t="s">
        <v>12813</v>
      </c>
      <c r="M4063" s="0" t="s">
        <v>232</v>
      </c>
      <c r="N4063" s="0" t="s">
        <v>124</v>
      </c>
      <c r="P4063" s="0" t="s">
        <v>130</v>
      </c>
      <c r="Q4063" s="0" t="s">
        <v>130</v>
      </c>
      <c r="R4063" s="0" t="s">
        <v>144</v>
      </c>
      <c r="S4063" s="0" t="s">
        <v>21</v>
      </c>
      <c r="T4063" s="0" t="s">
        <v>104</v>
      </c>
      <c r="W4063" s="0" t="s">
        <v>105</v>
      </c>
      <c r="X4063" s="0" t="s">
        <v>12829</v>
      </c>
      <c r="Y4063" s="0" t="s">
        <v>12830</v>
      </c>
      <c r="Z4063" s="0" t="s">
        <v>12784</v>
      </c>
    </row>
    <row r="4064" customFormat="false" ht="15" hidden="false" customHeight="false" outlineLevel="0" collapsed="false">
      <c r="A4064" s="0" t="s">
        <v>21</v>
      </c>
      <c r="B4064" s="0" t="s">
        <v>12831</v>
      </c>
      <c r="C4064" s="0" t="s">
        <v>12792</v>
      </c>
      <c r="D4064" s="0" t="s">
        <v>10742</v>
      </c>
      <c r="E4064" s="0" t="s">
        <v>12832</v>
      </c>
      <c r="H4064" s="0" t="s">
        <v>12833</v>
      </c>
      <c r="I4064" s="0" t="s">
        <v>12834</v>
      </c>
      <c r="J4064" s="0" t="s">
        <v>157</v>
      </c>
      <c r="K4064" s="0" t="s">
        <v>12835</v>
      </c>
      <c r="M4064" s="0" t="s">
        <v>232</v>
      </c>
      <c r="N4064" s="0" t="s">
        <v>124</v>
      </c>
      <c r="P4064" s="0" t="s">
        <v>130</v>
      </c>
      <c r="Q4064" s="0" t="s">
        <v>130</v>
      </c>
      <c r="R4064" s="0" t="s">
        <v>144</v>
      </c>
      <c r="S4064" s="0" t="s">
        <v>21</v>
      </c>
      <c r="T4064" s="0" t="s">
        <v>104</v>
      </c>
      <c r="W4064" s="0" t="s">
        <v>105</v>
      </c>
      <c r="X4064" s="0" t="s">
        <v>12836</v>
      </c>
      <c r="Y4064" s="0" t="s">
        <v>12837</v>
      </c>
      <c r="Z4064" s="0" t="s">
        <v>12784</v>
      </c>
    </row>
    <row r="4065" customFormat="false" ht="15" hidden="false" customHeight="false" outlineLevel="0" collapsed="false">
      <c r="A4065" s="0" t="s">
        <v>21</v>
      </c>
      <c r="B4065" s="0" t="s">
        <v>12838</v>
      </c>
      <c r="C4065" s="0" t="s">
        <v>12792</v>
      </c>
      <c r="D4065" s="0" t="s">
        <v>12839</v>
      </c>
      <c r="E4065" s="0" t="s">
        <v>12840</v>
      </c>
      <c r="H4065" s="0" t="s">
        <v>12841</v>
      </c>
      <c r="I4065" s="0" t="s">
        <v>12842</v>
      </c>
      <c r="J4065" s="0" t="s">
        <v>157</v>
      </c>
      <c r="K4065" s="0" t="s">
        <v>12813</v>
      </c>
      <c r="M4065" s="0" t="s">
        <v>232</v>
      </c>
      <c r="N4065" s="0" t="s">
        <v>124</v>
      </c>
      <c r="P4065" s="0" t="s">
        <v>130</v>
      </c>
      <c r="Q4065" s="0" t="s">
        <v>130</v>
      </c>
      <c r="R4065" s="0" t="s">
        <v>144</v>
      </c>
      <c r="S4065" s="0" t="s">
        <v>21</v>
      </c>
      <c r="T4065" s="0" t="s">
        <v>104</v>
      </c>
      <c r="W4065" s="0" t="s">
        <v>105</v>
      </c>
      <c r="X4065" s="0" t="s">
        <v>12843</v>
      </c>
      <c r="Y4065" s="0" t="s">
        <v>12844</v>
      </c>
      <c r="Z4065" s="0" t="s">
        <v>12784</v>
      </c>
    </row>
    <row r="4066" customFormat="false" ht="15" hidden="false" customHeight="false" outlineLevel="0" collapsed="false">
      <c r="A4066" s="0" t="s">
        <v>21</v>
      </c>
      <c r="B4066" s="0" t="s">
        <v>12845</v>
      </c>
      <c r="C4066" s="0" t="s">
        <v>12792</v>
      </c>
      <c r="D4066" s="0" t="s">
        <v>12846</v>
      </c>
      <c r="E4066" s="0" t="s">
        <v>12847</v>
      </c>
      <c r="H4066" s="0" t="s">
        <v>12848</v>
      </c>
      <c r="I4066" s="0" t="s">
        <v>12842</v>
      </c>
      <c r="J4066" s="0" t="s">
        <v>157</v>
      </c>
      <c r="K4066" s="0" t="s">
        <v>12813</v>
      </c>
      <c r="M4066" s="0" t="s">
        <v>232</v>
      </c>
      <c r="N4066" s="0" t="s">
        <v>124</v>
      </c>
      <c r="P4066" s="0" t="s">
        <v>130</v>
      </c>
      <c r="Q4066" s="0" t="s">
        <v>130</v>
      </c>
      <c r="R4066" s="0" t="s">
        <v>144</v>
      </c>
      <c r="S4066" s="0" t="s">
        <v>21</v>
      </c>
      <c r="T4066" s="0" t="s">
        <v>104</v>
      </c>
      <c r="W4066" s="0" t="s">
        <v>105</v>
      </c>
      <c r="X4066" s="0" t="s">
        <v>12849</v>
      </c>
      <c r="Y4066" s="0" t="s">
        <v>12850</v>
      </c>
      <c r="Z4066" s="0" t="s">
        <v>12784</v>
      </c>
    </row>
    <row r="4067" customFormat="false" ht="15" hidden="false" customHeight="false" outlineLevel="0" collapsed="false">
      <c r="A4067" s="0" t="s">
        <v>21</v>
      </c>
      <c r="B4067" s="0" t="s">
        <v>12851</v>
      </c>
      <c r="C4067" s="0" t="s">
        <v>12792</v>
      </c>
      <c r="D4067" s="0" t="s">
        <v>12852</v>
      </c>
      <c r="E4067" s="0" t="s">
        <v>12853</v>
      </c>
      <c r="H4067" s="0" t="s">
        <v>12854</v>
      </c>
      <c r="I4067" s="0" t="s">
        <v>12855</v>
      </c>
      <c r="J4067" s="0" t="s">
        <v>157</v>
      </c>
      <c r="K4067" s="0" t="s">
        <v>12856</v>
      </c>
      <c r="M4067" s="0" t="s">
        <v>232</v>
      </c>
      <c r="N4067" s="0" t="s">
        <v>124</v>
      </c>
      <c r="P4067" s="0" t="s">
        <v>130</v>
      </c>
      <c r="Q4067" s="0" t="s">
        <v>130</v>
      </c>
      <c r="R4067" s="0" t="s">
        <v>144</v>
      </c>
      <c r="S4067" s="0" t="s">
        <v>21</v>
      </c>
      <c r="T4067" s="0" t="s">
        <v>104</v>
      </c>
      <c r="W4067" s="0" t="s">
        <v>105</v>
      </c>
      <c r="X4067" s="0" t="s">
        <v>12857</v>
      </c>
      <c r="Y4067" s="0" t="s">
        <v>12858</v>
      </c>
      <c r="Z4067" s="0" t="s">
        <v>12784</v>
      </c>
    </row>
    <row r="4068" customFormat="false" ht="15" hidden="false" customHeight="false" outlineLevel="0" collapsed="false">
      <c r="A4068" s="0" t="s">
        <v>21</v>
      </c>
      <c r="B4068" s="0" t="s">
        <v>12859</v>
      </c>
      <c r="C4068" s="0" t="s">
        <v>12792</v>
      </c>
      <c r="D4068" s="0" t="s">
        <v>12860</v>
      </c>
      <c r="E4068" s="0" t="s">
        <v>12861</v>
      </c>
      <c r="H4068" s="0" t="s">
        <v>12862</v>
      </c>
      <c r="I4068" s="0" t="s">
        <v>12863</v>
      </c>
      <c r="J4068" s="0" t="s">
        <v>157</v>
      </c>
      <c r="K4068" s="0" t="s">
        <v>12864</v>
      </c>
      <c r="M4068" s="0" t="s">
        <v>232</v>
      </c>
      <c r="N4068" s="0" t="s">
        <v>124</v>
      </c>
      <c r="P4068" s="0" t="s">
        <v>130</v>
      </c>
      <c r="Q4068" s="0" t="s">
        <v>130</v>
      </c>
      <c r="R4068" s="0" t="s">
        <v>144</v>
      </c>
      <c r="S4068" s="0" t="s">
        <v>21</v>
      </c>
      <c r="T4068" s="0" t="s">
        <v>104</v>
      </c>
      <c r="W4068" s="0" t="s">
        <v>105</v>
      </c>
      <c r="X4068" s="0" t="s">
        <v>12865</v>
      </c>
      <c r="Y4068" s="0" t="s">
        <v>12866</v>
      </c>
      <c r="Z4068" s="0" t="s">
        <v>12784</v>
      </c>
    </row>
    <row r="4069" customFormat="false" ht="15" hidden="false" customHeight="false" outlineLevel="0" collapsed="false">
      <c r="A4069" s="0" t="s">
        <v>21</v>
      </c>
      <c r="B4069" s="0" t="s">
        <v>12867</v>
      </c>
      <c r="C4069" s="0" t="s">
        <v>12792</v>
      </c>
      <c r="D4069" s="0" t="s">
        <v>12868</v>
      </c>
      <c r="E4069" s="0" t="s">
        <v>12869</v>
      </c>
      <c r="H4069" s="0" t="s">
        <v>12870</v>
      </c>
      <c r="I4069" s="0" t="s">
        <v>12871</v>
      </c>
      <c r="J4069" s="0" t="s">
        <v>157</v>
      </c>
      <c r="K4069" s="0" t="s">
        <v>12872</v>
      </c>
      <c r="M4069" s="0" t="s">
        <v>232</v>
      </c>
      <c r="N4069" s="0" t="s">
        <v>124</v>
      </c>
      <c r="P4069" s="0" t="s">
        <v>130</v>
      </c>
      <c r="Q4069" s="0" t="s">
        <v>130</v>
      </c>
      <c r="R4069" s="0" t="s">
        <v>144</v>
      </c>
      <c r="S4069" s="0" t="s">
        <v>21</v>
      </c>
      <c r="T4069" s="0" t="s">
        <v>104</v>
      </c>
      <c r="W4069" s="0" t="s">
        <v>105</v>
      </c>
      <c r="X4069" s="0" t="s">
        <v>12873</v>
      </c>
      <c r="Y4069" s="0" t="s">
        <v>12874</v>
      </c>
      <c r="Z4069" s="0" t="s">
        <v>12784</v>
      </c>
    </row>
    <row r="4070" customFormat="false" ht="15" hidden="false" customHeight="false" outlineLevel="0" collapsed="false">
      <c r="A4070" s="0" t="s">
        <v>21</v>
      </c>
      <c r="B4070" s="0" t="s">
        <v>12875</v>
      </c>
      <c r="C4070" s="0" t="s">
        <v>12792</v>
      </c>
      <c r="D4070" s="0" t="s">
        <v>12876</v>
      </c>
      <c r="E4070" s="0" t="s">
        <v>9050</v>
      </c>
      <c r="H4070" s="0" t="s">
        <v>12877</v>
      </c>
      <c r="I4070" s="0" t="s">
        <v>12878</v>
      </c>
      <c r="J4070" s="0" t="s">
        <v>157</v>
      </c>
      <c r="K4070" s="0" t="s">
        <v>12879</v>
      </c>
      <c r="M4070" s="0" t="s">
        <v>232</v>
      </c>
      <c r="N4070" s="0" t="s">
        <v>124</v>
      </c>
      <c r="P4070" s="0" t="s">
        <v>130</v>
      </c>
      <c r="Q4070" s="0" t="s">
        <v>130</v>
      </c>
      <c r="R4070" s="0" t="s">
        <v>144</v>
      </c>
      <c r="S4070" s="0" t="s">
        <v>21</v>
      </c>
      <c r="T4070" s="0" t="s">
        <v>104</v>
      </c>
      <c r="W4070" s="0" t="s">
        <v>105</v>
      </c>
      <c r="X4070" s="0" t="s">
        <v>12880</v>
      </c>
      <c r="Y4070" s="0" t="s">
        <v>12881</v>
      </c>
      <c r="Z4070" s="0" t="s">
        <v>12784</v>
      </c>
    </row>
    <row r="4071" customFormat="false" ht="15" hidden="false" customHeight="false" outlineLevel="0" collapsed="false">
      <c r="A4071" s="0" t="s">
        <v>21</v>
      </c>
      <c r="B4071" s="0" t="s">
        <v>12882</v>
      </c>
      <c r="C4071" s="0" t="s">
        <v>12792</v>
      </c>
      <c r="D4071" s="0" t="s">
        <v>12883</v>
      </c>
      <c r="E4071" s="0" t="s">
        <v>12884</v>
      </c>
      <c r="H4071" s="0" t="s">
        <v>12885</v>
      </c>
      <c r="I4071" s="0" t="s">
        <v>12886</v>
      </c>
      <c r="J4071" s="0" t="s">
        <v>157</v>
      </c>
      <c r="K4071" s="0" t="s">
        <v>12887</v>
      </c>
      <c r="M4071" s="0" t="s">
        <v>232</v>
      </c>
      <c r="N4071" s="0" t="s">
        <v>124</v>
      </c>
      <c r="P4071" s="0" t="s">
        <v>130</v>
      </c>
      <c r="Q4071" s="0" t="s">
        <v>130</v>
      </c>
      <c r="R4071" s="0" t="s">
        <v>144</v>
      </c>
      <c r="S4071" s="0" t="s">
        <v>21</v>
      </c>
      <c r="T4071" s="0" t="s">
        <v>104</v>
      </c>
      <c r="W4071" s="0" t="s">
        <v>105</v>
      </c>
      <c r="X4071" s="0" t="s">
        <v>12888</v>
      </c>
      <c r="Y4071" s="0" t="s">
        <v>12889</v>
      </c>
      <c r="Z4071" s="0" t="s">
        <v>12784</v>
      </c>
    </row>
    <row r="4072" customFormat="false" ht="15" hidden="false" customHeight="false" outlineLevel="0" collapsed="false">
      <c r="A4072" s="0" t="s">
        <v>21</v>
      </c>
      <c r="B4072" s="0" t="s">
        <v>12890</v>
      </c>
      <c r="C4072" s="0" t="s">
        <v>12792</v>
      </c>
      <c r="D4072" s="0" t="s">
        <v>12891</v>
      </c>
      <c r="E4072" s="0" t="s">
        <v>12892</v>
      </c>
      <c r="F4072" s="0" t="s">
        <v>12892</v>
      </c>
      <c r="H4072" s="0" t="s">
        <v>12893</v>
      </c>
      <c r="I4072" s="0" t="s">
        <v>12894</v>
      </c>
      <c r="J4072" s="0" t="s">
        <v>157</v>
      </c>
      <c r="K4072" s="0" t="s">
        <v>2149</v>
      </c>
      <c r="M4072" s="0" t="s">
        <v>232</v>
      </c>
      <c r="N4072" s="0" t="s">
        <v>124</v>
      </c>
      <c r="P4072" s="0" t="s">
        <v>130</v>
      </c>
      <c r="Q4072" s="0" t="s">
        <v>130</v>
      </c>
      <c r="R4072" s="0" t="s">
        <v>144</v>
      </c>
      <c r="S4072" s="0" t="s">
        <v>21</v>
      </c>
      <c r="T4072" s="0" t="s">
        <v>104</v>
      </c>
      <c r="W4072" s="0" t="s">
        <v>105</v>
      </c>
      <c r="X4072" s="0" t="s">
        <v>12895</v>
      </c>
      <c r="Y4072" s="0" t="s">
        <v>12896</v>
      </c>
      <c r="Z4072" s="0" t="s">
        <v>12784</v>
      </c>
    </row>
    <row r="4073" customFormat="false" ht="15" hidden="false" customHeight="false" outlineLevel="0" collapsed="false">
      <c r="A4073" s="0" t="s">
        <v>21</v>
      </c>
      <c r="B4073" s="0" t="s">
        <v>12897</v>
      </c>
      <c r="C4073" s="0" t="s">
        <v>12792</v>
      </c>
      <c r="D4073" s="0" t="s">
        <v>12898</v>
      </c>
      <c r="E4073" s="0" t="s">
        <v>12899</v>
      </c>
      <c r="H4073" s="0" t="s">
        <v>12900</v>
      </c>
      <c r="I4073" s="0" t="s">
        <v>4268</v>
      </c>
      <c r="J4073" s="0" t="s">
        <v>157</v>
      </c>
      <c r="K4073" s="0" t="s">
        <v>4269</v>
      </c>
      <c r="M4073" s="0" t="s">
        <v>232</v>
      </c>
      <c r="N4073" s="0" t="s">
        <v>124</v>
      </c>
      <c r="P4073" s="0" t="s">
        <v>130</v>
      </c>
      <c r="Q4073" s="0" t="s">
        <v>130</v>
      </c>
      <c r="R4073" s="0" t="s">
        <v>144</v>
      </c>
      <c r="S4073" s="0" t="s">
        <v>21</v>
      </c>
      <c r="T4073" s="0" t="s">
        <v>104</v>
      </c>
      <c r="W4073" s="0" t="s">
        <v>105</v>
      </c>
      <c r="X4073" s="0" t="s">
        <v>12901</v>
      </c>
      <c r="Y4073" s="0" t="s">
        <v>12902</v>
      </c>
      <c r="Z4073" s="0" t="s">
        <v>12784</v>
      </c>
    </row>
    <row r="4074" customFormat="false" ht="15" hidden="false" customHeight="false" outlineLevel="0" collapsed="false">
      <c r="A4074" s="0" t="s">
        <v>21</v>
      </c>
      <c r="B4074" s="0" t="s">
        <v>12903</v>
      </c>
      <c r="C4074" s="0" t="s">
        <v>12792</v>
      </c>
      <c r="D4074" s="0" t="s">
        <v>12904</v>
      </c>
      <c r="E4074" s="0" t="s">
        <v>12905</v>
      </c>
      <c r="H4074" s="0" t="s">
        <v>12906</v>
      </c>
      <c r="I4074" s="0" t="s">
        <v>12907</v>
      </c>
      <c r="J4074" s="0" t="s">
        <v>157</v>
      </c>
      <c r="K4074" s="0" t="s">
        <v>12821</v>
      </c>
      <c r="M4074" s="0" t="s">
        <v>232</v>
      </c>
      <c r="N4074" s="0" t="s">
        <v>124</v>
      </c>
      <c r="P4074" s="0" t="s">
        <v>130</v>
      </c>
      <c r="Q4074" s="0" t="s">
        <v>130</v>
      </c>
      <c r="R4074" s="0" t="s">
        <v>144</v>
      </c>
      <c r="S4074" s="0" t="s">
        <v>21</v>
      </c>
      <c r="T4074" s="0" t="s">
        <v>104</v>
      </c>
      <c r="W4074" s="0" t="s">
        <v>105</v>
      </c>
      <c r="X4074" s="0" t="s">
        <v>12908</v>
      </c>
      <c r="Y4074" s="0" t="s">
        <v>12909</v>
      </c>
      <c r="Z4074" s="0" t="s">
        <v>12784</v>
      </c>
    </row>
    <row r="4075" customFormat="false" ht="15" hidden="false" customHeight="false" outlineLevel="0" collapsed="false">
      <c r="A4075" s="0" t="s">
        <v>21</v>
      </c>
      <c r="B4075" s="0" t="s">
        <v>12910</v>
      </c>
      <c r="C4075" s="0" t="s">
        <v>12792</v>
      </c>
      <c r="D4075" s="0" t="s">
        <v>12911</v>
      </c>
      <c r="E4075" s="0" t="s">
        <v>12912</v>
      </c>
      <c r="H4075" s="0" t="s">
        <v>12913</v>
      </c>
      <c r="I4075" s="0" t="s">
        <v>12914</v>
      </c>
      <c r="J4075" s="0" t="s">
        <v>157</v>
      </c>
      <c r="K4075" s="0" t="s">
        <v>4669</v>
      </c>
      <c r="M4075" s="0" t="s">
        <v>232</v>
      </c>
      <c r="N4075" s="0" t="s">
        <v>124</v>
      </c>
      <c r="P4075" s="0" t="s">
        <v>130</v>
      </c>
      <c r="Q4075" s="0" t="s">
        <v>130</v>
      </c>
      <c r="R4075" s="0" t="s">
        <v>144</v>
      </c>
      <c r="S4075" s="0" t="s">
        <v>21</v>
      </c>
      <c r="T4075" s="0" t="s">
        <v>104</v>
      </c>
      <c r="W4075" s="0" t="s">
        <v>105</v>
      </c>
      <c r="X4075" s="0" t="s">
        <v>12915</v>
      </c>
      <c r="Y4075" s="0" t="s">
        <v>12916</v>
      </c>
      <c r="Z4075" s="0" t="s">
        <v>12784</v>
      </c>
    </row>
    <row r="4076" customFormat="false" ht="15" hidden="false" customHeight="false" outlineLevel="0" collapsed="false">
      <c r="A4076" s="0" t="s">
        <v>21</v>
      </c>
      <c r="B4076" s="0" t="s">
        <v>12917</v>
      </c>
      <c r="C4076" s="0" t="s">
        <v>12792</v>
      </c>
      <c r="D4076" s="0" t="s">
        <v>12918</v>
      </c>
      <c r="E4076" s="0" t="s">
        <v>12919</v>
      </c>
      <c r="H4076" s="0" t="s">
        <v>12920</v>
      </c>
      <c r="I4076" s="0" t="s">
        <v>12812</v>
      </c>
      <c r="J4076" s="0" t="s">
        <v>157</v>
      </c>
      <c r="K4076" s="0" t="s">
        <v>12813</v>
      </c>
      <c r="M4076" s="0" t="s">
        <v>232</v>
      </c>
      <c r="N4076" s="0" t="s">
        <v>124</v>
      </c>
      <c r="P4076" s="0" t="s">
        <v>130</v>
      </c>
      <c r="Q4076" s="0" t="s">
        <v>130</v>
      </c>
      <c r="R4076" s="0" t="s">
        <v>144</v>
      </c>
      <c r="S4076" s="0" t="s">
        <v>21</v>
      </c>
      <c r="T4076" s="0" t="s">
        <v>104</v>
      </c>
      <c r="W4076" s="0" t="s">
        <v>105</v>
      </c>
      <c r="X4076" s="0" t="s">
        <v>12921</v>
      </c>
      <c r="Y4076" s="0" t="s">
        <v>12922</v>
      </c>
      <c r="Z4076" s="0" t="s">
        <v>12784</v>
      </c>
    </row>
    <row r="4077" customFormat="false" ht="15" hidden="false" customHeight="false" outlineLevel="0" collapsed="false">
      <c r="A4077" s="0" t="s">
        <v>21</v>
      </c>
      <c r="B4077" s="0" t="s">
        <v>12923</v>
      </c>
      <c r="C4077" s="0" t="s">
        <v>12792</v>
      </c>
      <c r="D4077" s="0" t="s">
        <v>12924</v>
      </c>
      <c r="E4077" s="0" t="s">
        <v>12925</v>
      </c>
      <c r="H4077" s="0" t="s">
        <v>12926</v>
      </c>
      <c r="I4077" s="0" t="s">
        <v>12927</v>
      </c>
      <c r="J4077" s="0" t="s">
        <v>157</v>
      </c>
      <c r="K4077" s="0" t="s">
        <v>12928</v>
      </c>
      <c r="M4077" s="0" t="s">
        <v>232</v>
      </c>
      <c r="N4077" s="0" t="s">
        <v>124</v>
      </c>
      <c r="P4077" s="0" t="s">
        <v>130</v>
      </c>
      <c r="Q4077" s="0" t="s">
        <v>130</v>
      </c>
      <c r="R4077" s="0" t="s">
        <v>144</v>
      </c>
      <c r="S4077" s="0" t="s">
        <v>21</v>
      </c>
      <c r="T4077" s="0" t="s">
        <v>104</v>
      </c>
      <c r="W4077" s="0" t="s">
        <v>105</v>
      </c>
      <c r="X4077" s="0" t="s">
        <v>12929</v>
      </c>
      <c r="Y4077" s="0" t="s">
        <v>12930</v>
      </c>
      <c r="Z4077" s="0" t="s">
        <v>12784</v>
      </c>
    </row>
    <row r="4078" customFormat="false" ht="15" hidden="false" customHeight="false" outlineLevel="0" collapsed="false">
      <c r="A4078" s="0" t="s">
        <v>21</v>
      </c>
      <c r="B4078" s="0" t="s">
        <v>12931</v>
      </c>
      <c r="C4078" s="0" t="s">
        <v>12792</v>
      </c>
      <c r="D4078" s="0" t="s">
        <v>12932</v>
      </c>
      <c r="E4078" s="0" t="s">
        <v>12933</v>
      </c>
      <c r="H4078" s="0" t="s">
        <v>12934</v>
      </c>
      <c r="I4078" s="0" t="s">
        <v>12935</v>
      </c>
      <c r="J4078" s="0" t="s">
        <v>157</v>
      </c>
      <c r="K4078" s="0" t="s">
        <v>12856</v>
      </c>
      <c r="M4078" s="0" t="s">
        <v>232</v>
      </c>
      <c r="N4078" s="0" t="s">
        <v>124</v>
      </c>
      <c r="P4078" s="0" t="s">
        <v>130</v>
      </c>
      <c r="Q4078" s="0" t="s">
        <v>130</v>
      </c>
      <c r="R4078" s="0" t="s">
        <v>144</v>
      </c>
      <c r="S4078" s="0" t="s">
        <v>21</v>
      </c>
      <c r="T4078" s="0" t="s">
        <v>104</v>
      </c>
      <c r="W4078" s="0" t="s">
        <v>105</v>
      </c>
      <c r="X4078" s="0" t="s">
        <v>12936</v>
      </c>
      <c r="Y4078" s="0" t="s">
        <v>12937</v>
      </c>
      <c r="Z4078" s="0" t="s">
        <v>12784</v>
      </c>
    </row>
    <row r="4079" customFormat="false" ht="15" hidden="false" customHeight="false" outlineLevel="0" collapsed="false">
      <c r="A4079" s="0" t="s">
        <v>21</v>
      </c>
      <c r="B4079" s="0" t="s">
        <v>12938</v>
      </c>
      <c r="C4079" s="0" t="s">
        <v>4295</v>
      </c>
      <c r="E4079" s="0" t="s">
        <v>12939</v>
      </c>
      <c r="H4079" s="0" t="s">
        <v>12940</v>
      </c>
      <c r="I4079" s="0" t="s">
        <v>2651</v>
      </c>
      <c r="J4079" s="0" t="s">
        <v>157</v>
      </c>
      <c r="K4079" s="0" t="s">
        <v>12941</v>
      </c>
      <c r="L4079" s="0" t="s">
        <v>124</v>
      </c>
      <c r="M4079" s="0" t="s">
        <v>2651</v>
      </c>
      <c r="N4079" s="0" t="s">
        <v>124</v>
      </c>
      <c r="P4079" s="0" t="s">
        <v>130</v>
      </c>
      <c r="Q4079" s="0" t="s">
        <v>130</v>
      </c>
      <c r="R4079" s="0" t="s">
        <v>144</v>
      </c>
      <c r="S4079" s="0" t="s">
        <v>21</v>
      </c>
      <c r="T4079" s="0" t="s">
        <v>104</v>
      </c>
      <c r="W4079" s="0" t="s">
        <v>105</v>
      </c>
      <c r="X4079" s="0" t="s">
        <v>12942</v>
      </c>
      <c r="Y4079" s="0" t="s">
        <v>12943</v>
      </c>
      <c r="Z4079" s="0" t="s">
        <v>625</v>
      </c>
    </row>
    <row r="4080" customFormat="false" ht="15" hidden="false" customHeight="false" outlineLevel="0" collapsed="false">
      <c r="A4080" s="0" t="s">
        <v>21</v>
      </c>
      <c r="B4080" s="0" t="s">
        <v>12944</v>
      </c>
      <c r="C4080" s="0" t="s">
        <v>12649</v>
      </c>
      <c r="E4080" s="0" t="s">
        <v>12945</v>
      </c>
      <c r="H4080" s="0" t="s">
        <v>12946</v>
      </c>
      <c r="I4080" s="0" t="s">
        <v>12947</v>
      </c>
      <c r="J4080" s="0" t="s">
        <v>245</v>
      </c>
      <c r="K4080" s="0" t="s">
        <v>12948</v>
      </c>
      <c r="L4080" s="0" t="s">
        <v>124</v>
      </c>
      <c r="M4080" s="0" t="s">
        <v>12947</v>
      </c>
      <c r="N4080" s="0" t="s">
        <v>124</v>
      </c>
      <c r="P4080" s="0" t="s">
        <v>130</v>
      </c>
      <c r="Q4080" s="0" t="s">
        <v>130</v>
      </c>
      <c r="R4080" s="0" t="s">
        <v>144</v>
      </c>
      <c r="S4080" s="0" t="s">
        <v>21</v>
      </c>
      <c r="T4080" s="0" t="s">
        <v>104</v>
      </c>
      <c r="W4080" s="0" t="s">
        <v>105</v>
      </c>
      <c r="X4080" s="0" t="s">
        <v>12949</v>
      </c>
      <c r="Y4080" s="0" t="s">
        <v>12950</v>
      </c>
      <c r="Z4080" s="0" t="s">
        <v>625</v>
      </c>
    </row>
    <row r="4081" customFormat="false" ht="15" hidden="false" customHeight="false" outlineLevel="0" collapsed="false">
      <c r="A4081" s="0" t="s">
        <v>21</v>
      </c>
      <c r="B4081" s="0" t="s">
        <v>12951</v>
      </c>
      <c r="C4081" s="0" t="s">
        <v>4319</v>
      </c>
      <c r="E4081" s="0" t="s">
        <v>12952</v>
      </c>
      <c r="M4081" s="0" t="s">
        <v>219</v>
      </c>
      <c r="N4081" s="0" t="s">
        <v>124</v>
      </c>
      <c r="P4081" s="0" t="s">
        <v>130</v>
      </c>
      <c r="Q4081" s="0" t="s">
        <v>130</v>
      </c>
      <c r="R4081" s="0" t="s">
        <v>144</v>
      </c>
      <c r="S4081" s="0" t="s">
        <v>21</v>
      </c>
      <c r="T4081" s="0" t="s">
        <v>104</v>
      </c>
      <c r="W4081" s="0" t="s">
        <v>105</v>
      </c>
      <c r="Z4081" s="0" t="s">
        <v>171</v>
      </c>
    </row>
    <row r="4082" customFormat="false" ht="15" hidden="false" customHeight="false" outlineLevel="0" collapsed="false">
      <c r="A4082" s="0" t="s">
        <v>21</v>
      </c>
      <c r="B4082" s="0" t="s">
        <v>12953</v>
      </c>
      <c r="C4082" s="0" t="s">
        <v>4295</v>
      </c>
      <c r="E4082" s="0" t="s">
        <v>7872</v>
      </c>
      <c r="H4082" s="0" t="s">
        <v>12954</v>
      </c>
      <c r="I4082" s="0" t="s">
        <v>12955</v>
      </c>
      <c r="J4082" s="0" t="s">
        <v>275</v>
      </c>
      <c r="K4082" s="0" t="s">
        <v>12956</v>
      </c>
      <c r="L4082" s="0" t="s">
        <v>124</v>
      </c>
      <c r="M4082" s="0" t="s">
        <v>12955</v>
      </c>
      <c r="N4082" s="0" t="s">
        <v>124</v>
      </c>
      <c r="P4082" s="0" t="s">
        <v>130</v>
      </c>
      <c r="Q4082" s="0" t="s">
        <v>130</v>
      </c>
      <c r="R4082" s="0" t="s">
        <v>144</v>
      </c>
      <c r="S4082" s="0" t="s">
        <v>21</v>
      </c>
      <c r="T4082" s="0" t="s">
        <v>104</v>
      </c>
      <c r="W4082" s="0" t="s">
        <v>105</v>
      </c>
      <c r="X4082" s="0" t="s">
        <v>12957</v>
      </c>
      <c r="Y4082" s="0" t="s">
        <v>12958</v>
      </c>
      <c r="Z4082" s="0" t="s">
        <v>625</v>
      </c>
    </row>
    <row r="4083" customFormat="false" ht="15" hidden="false" customHeight="false" outlineLevel="0" collapsed="false">
      <c r="A4083" s="0" t="s">
        <v>21</v>
      </c>
      <c r="B4083" s="0" t="s">
        <v>12959</v>
      </c>
      <c r="C4083" s="0" t="s">
        <v>12792</v>
      </c>
      <c r="D4083" s="0" t="s">
        <v>12960</v>
      </c>
      <c r="E4083" s="0" t="s">
        <v>12961</v>
      </c>
      <c r="H4083" s="0" t="s">
        <v>12962</v>
      </c>
      <c r="I4083" s="0" t="s">
        <v>12963</v>
      </c>
      <c r="J4083" s="0" t="s">
        <v>218</v>
      </c>
      <c r="K4083" s="0" t="s">
        <v>494</v>
      </c>
      <c r="M4083" s="0" t="s">
        <v>220</v>
      </c>
      <c r="N4083" s="0" t="s">
        <v>124</v>
      </c>
      <c r="P4083" s="0" t="s">
        <v>130</v>
      </c>
      <c r="Q4083" s="0" t="s">
        <v>130</v>
      </c>
      <c r="R4083" s="0" t="s">
        <v>144</v>
      </c>
      <c r="S4083" s="0" t="s">
        <v>21</v>
      </c>
      <c r="T4083" s="0" t="s">
        <v>104</v>
      </c>
      <c r="W4083" s="0" t="s">
        <v>105</v>
      </c>
      <c r="X4083" s="0" t="s">
        <v>12964</v>
      </c>
      <c r="Y4083" s="0" t="s">
        <v>12965</v>
      </c>
      <c r="Z4083" s="0" t="s">
        <v>12784</v>
      </c>
    </row>
    <row r="4084" customFormat="false" ht="15" hidden="false" customHeight="false" outlineLevel="0" collapsed="false">
      <c r="A4084" s="0" t="s">
        <v>21</v>
      </c>
      <c r="B4084" s="0" t="s">
        <v>12966</v>
      </c>
      <c r="C4084" s="0" t="s">
        <v>12792</v>
      </c>
      <c r="D4084" s="0" t="s">
        <v>12967</v>
      </c>
      <c r="E4084" s="0" t="s">
        <v>12968</v>
      </c>
      <c r="H4084" s="0" t="s">
        <v>12969</v>
      </c>
      <c r="I4084" s="0" t="s">
        <v>12970</v>
      </c>
      <c r="J4084" s="0" t="s">
        <v>218</v>
      </c>
      <c r="K4084" s="0" t="s">
        <v>3444</v>
      </c>
      <c r="M4084" s="0" t="s">
        <v>220</v>
      </c>
      <c r="N4084" s="0" t="s">
        <v>124</v>
      </c>
      <c r="P4084" s="0" t="s">
        <v>130</v>
      </c>
      <c r="Q4084" s="0" t="s">
        <v>130</v>
      </c>
      <c r="R4084" s="0" t="s">
        <v>144</v>
      </c>
      <c r="S4084" s="0" t="s">
        <v>21</v>
      </c>
      <c r="T4084" s="0" t="s">
        <v>104</v>
      </c>
      <c r="W4084" s="0" t="s">
        <v>105</v>
      </c>
      <c r="X4084" s="0" t="s">
        <v>12971</v>
      </c>
      <c r="Y4084" s="0" t="s">
        <v>12972</v>
      </c>
      <c r="Z4084" s="0" t="s">
        <v>12784</v>
      </c>
    </row>
    <row r="4085" customFormat="false" ht="15" hidden="false" customHeight="false" outlineLevel="0" collapsed="false">
      <c r="A4085" s="0" t="s">
        <v>21</v>
      </c>
      <c r="B4085" s="0" t="s">
        <v>12973</v>
      </c>
      <c r="C4085" s="0" t="s">
        <v>12792</v>
      </c>
      <c r="D4085" s="0" t="s">
        <v>12974</v>
      </c>
      <c r="E4085" s="0" t="s">
        <v>12975</v>
      </c>
      <c r="H4085" s="0" t="s">
        <v>12976</v>
      </c>
      <c r="I4085" s="0" t="s">
        <v>12977</v>
      </c>
      <c r="J4085" s="0" t="s">
        <v>218</v>
      </c>
      <c r="K4085" s="0" t="s">
        <v>4867</v>
      </c>
      <c r="M4085" s="0" t="s">
        <v>220</v>
      </c>
      <c r="N4085" s="0" t="s">
        <v>124</v>
      </c>
      <c r="P4085" s="0" t="s">
        <v>130</v>
      </c>
      <c r="Q4085" s="0" t="s">
        <v>130</v>
      </c>
      <c r="R4085" s="0" t="s">
        <v>144</v>
      </c>
      <c r="S4085" s="0" t="s">
        <v>21</v>
      </c>
      <c r="T4085" s="0" t="s">
        <v>104</v>
      </c>
      <c r="W4085" s="0" t="s">
        <v>105</v>
      </c>
      <c r="X4085" s="0" t="s">
        <v>12978</v>
      </c>
      <c r="Y4085" s="0" t="s">
        <v>12979</v>
      </c>
      <c r="Z4085" s="0" t="s">
        <v>12784</v>
      </c>
    </row>
    <row r="4086" customFormat="false" ht="15" hidden="false" customHeight="false" outlineLevel="0" collapsed="false">
      <c r="A4086" s="0" t="s">
        <v>21</v>
      </c>
      <c r="B4086" s="0" t="s">
        <v>12980</v>
      </c>
      <c r="C4086" s="0" t="s">
        <v>12792</v>
      </c>
      <c r="D4086" s="0" t="s">
        <v>12981</v>
      </c>
      <c r="E4086" s="0" t="s">
        <v>12982</v>
      </c>
      <c r="H4086" s="0" t="s">
        <v>12983</v>
      </c>
      <c r="I4086" s="0" t="s">
        <v>12984</v>
      </c>
      <c r="J4086" s="0" t="s">
        <v>218</v>
      </c>
      <c r="K4086" s="0" t="s">
        <v>4870</v>
      </c>
      <c r="M4086" s="0" t="s">
        <v>220</v>
      </c>
      <c r="N4086" s="0" t="s">
        <v>124</v>
      </c>
      <c r="P4086" s="0" t="s">
        <v>130</v>
      </c>
      <c r="Q4086" s="0" t="s">
        <v>130</v>
      </c>
      <c r="R4086" s="0" t="s">
        <v>144</v>
      </c>
      <c r="S4086" s="0" t="s">
        <v>21</v>
      </c>
      <c r="T4086" s="0" t="s">
        <v>104</v>
      </c>
      <c r="W4086" s="0" t="s">
        <v>105</v>
      </c>
      <c r="X4086" s="0" t="s">
        <v>12985</v>
      </c>
      <c r="Y4086" s="0" t="s">
        <v>12986</v>
      </c>
      <c r="Z4086" s="0" t="s">
        <v>12784</v>
      </c>
    </row>
    <row r="4087" customFormat="false" ht="15" hidden="false" customHeight="false" outlineLevel="0" collapsed="false">
      <c r="A4087" s="0" t="s">
        <v>21</v>
      </c>
      <c r="B4087" s="0" t="s">
        <v>12987</v>
      </c>
      <c r="C4087" s="0" t="s">
        <v>12792</v>
      </c>
      <c r="D4087" s="0" t="s">
        <v>12988</v>
      </c>
      <c r="E4087" s="0" t="s">
        <v>12989</v>
      </c>
      <c r="H4087" s="0" t="s">
        <v>12990</v>
      </c>
      <c r="I4087" s="0" t="s">
        <v>8762</v>
      </c>
      <c r="J4087" s="0" t="s">
        <v>218</v>
      </c>
      <c r="K4087" s="0" t="s">
        <v>1941</v>
      </c>
      <c r="M4087" s="0" t="s">
        <v>220</v>
      </c>
      <c r="N4087" s="0" t="s">
        <v>124</v>
      </c>
      <c r="P4087" s="0" t="s">
        <v>130</v>
      </c>
      <c r="Q4087" s="0" t="s">
        <v>130</v>
      </c>
      <c r="R4087" s="0" t="s">
        <v>144</v>
      </c>
      <c r="S4087" s="0" t="s">
        <v>21</v>
      </c>
      <c r="T4087" s="0" t="s">
        <v>104</v>
      </c>
      <c r="W4087" s="0" t="s">
        <v>105</v>
      </c>
      <c r="X4087" s="0" t="s">
        <v>12991</v>
      </c>
      <c r="Y4087" s="0" t="s">
        <v>12992</v>
      </c>
      <c r="Z4087" s="0" t="s">
        <v>12784</v>
      </c>
    </row>
    <row r="4088" customFormat="false" ht="15" hidden="false" customHeight="false" outlineLevel="0" collapsed="false">
      <c r="A4088" s="0" t="s">
        <v>21</v>
      </c>
      <c r="B4088" s="0" t="s">
        <v>12993</v>
      </c>
      <c r="C4088" s="0" t="s">
        <v>12792</v>
      </c>
      <c r="D4088" s="0" t="s">
        <v>12994</v>
      </c>
      <c r="E4088" s="0" t="s">
        <v>12995</v>
      </c>
      <c r="H4088" s="0" t="s">
        <v>12996</v>
      </c>
      <c r="I4088" s="0" t="s">
        <v>12997</v>
      </c>
      <c r="J4088" s="0" t="s">
        <v>218</v>
      </c>
      <c r="K4088" s="0" t="s">
        <v>410</v>
      </c>
      <c r="M4088" s="0" t="s">
        <v>220</v>
      </c>
      <c r="N4088" s="0" t="s">
        <v>124</v>
      </c>
      <c r="P4088" s="0" t="s">
        <v>130</v>
      </c>
      <c r="Q4088" s="0" t="s">
        <v>130</v>
      </c>
      <c r="R4088" s="0" t="s">
        <v>144</v>
      </c>
      <c r="S4088" s="0" t="s">
        <v>21</v>
      </c>
      <c r="T4088" s="0" t="s">
        <v>104</v>
      </c>
      <c r="W4088" s="0" t="s">
        <v>105</v>
      </c>
      <c r="X4088" s="0" t="s">
        <v>12998</v>
      </c>
      <c r="Y4088" s="0" t="s">
        <v>12999</v>
      </c>
      <c r="Z4088" s="0" t="s">
        <v>12784</v>
      </c>
    </row>
    <row r="4089" customFormat="false" ht="15" hidden="false" customHeight="false" outlineLevel="0" collapsed="false">
      <c r="A4089" s="0" t="s">
        <v>21</v>
      </c>
      <c r="B4089" s="0" t="s">
        <v>13000</v>
      </c>
      <c r="C4089" s="0" t="s">
        <v>200</v>
      </c>
      <c r="E4089" s="0" t="s">
        <v>13001</v>
      </c>
      <c r="G4089" s="0" t="s">
        <v>13002</v>
      </c>
      <c r="H4089" s="0" t="s">
        <v>13003</v>
      </c>
      <c r="I4089" s="0" t="s">
        <v>13004</v>
      </c>
      <c r="J4089" s="0" t="s">
        <v>157</v>
      </c>
      <c r="K4089" s="0" t="s">
        <v>13005</v>
      </c>
      <c r="M4089" s="0" t="s">
        <v>232</v>
      </c>
      <c r="N4089" s="0" t="s">
        <v>124</v>
      </c>
      <c r="P4089" s="0" t="s">
        <v>130</v>
      </c>
      <c r="Q4089" s="0" t="s">
        <v>130</v>
      </c>
      <c r="R4089" s="0" t="s">
        <v>144</v>
      </c>
      <c r="S4089" s="0" t="s">
        <v>21</v>
      </c>
      <c r="T4089" s="0" t="s">
        <v>104</v>
      </c>
      <c r="W4089" s="0" t="s">
        <v>105</v>
      </c>
      <c r="X4089" s="0" t="s">
        <v>13006</v>
      </c>
      <c r="Y4089" s="0" t="s">
        <v>13007</v>
      </c>
      <c r="Z4089" s="0" t="s">
        <v>171</v>
      </c>
    </row>
    <row r="4090" customFormat="false" ht="15" hidden="false" customHeight="false" outlineLevel="0" collapsed="false">
      <c r="A4090" s="0" t="s">
        <v>21</v>
      </c>
      <c r="B4090" s="0" t="s">
        <v>13008</v>
      </c>
      <c r="C4090" s="0" t="s">
        <v>4319</v>
      </c>
      <c r="D4090" s="0" t="s">
        <v>13009</v>
      </c>
      <c r="E4090" s="0" t="s">
        <v>13010</v>
      </c>
      <c r="H4090" s="0" t="s">
        <v>13011</v>
      </c>
      <c r="I4090" s="0" t="s">
        <v>13012</v>
      </c>
      <c r="J4090" s="0" t="s">
        <v>254</v>
      </c>
      <c r="M4090" s="0" t="s">
        <v>208</v>
      </c>
      <c r="N4090" s="0" t="s">
        <v>124</v>
      </c>
      <c r="P4090" s="0" t="s">
        <v>130</v>
      </c>
      <c r="Q4090" s="0" t="s">
        <v>130</v>
      </c>
      <c r="R4090" s="0" t="s">
        <v>144</v>
      </c>
      <c r="S4090" s="0" t="s">
        <v>21</v>
      </c>
      <c r="T4090" s="0" t="s">
        <v>104</v>
      </c>
      <c r="W4090" s="0" t="s">
        <v>105</v>
      </c>
      <c r="X4090" s="0" t="s">
        <v>13013</v>
      </c>
      <c r="Y4090" s="0" t="s">
        <v>13014</v>
      </c>
      <c r="Z4090" s="0" t="s">
        <v>12784</v>
      </c>
    </row>
    <row r="4091" customFormat="false" ht="15" hidden="false" customHeight="false" outlineLevel="0" collapsed="false">
      <c r="A4091" s="0" t="s">
        <v>21</v>
      </c>
      <c r="B4091" s="0" t="s">
        <v>13015</v>
      </c>
      <c r="C4091" s="0" t="s">
        <v>4295</v>
      </c>
      <c r="E4091" s="0" t="s">
        <v>13016</v>
      </c>
      <c r="H4091" s="0" t="s">
        <v>13017</v>
      </c>
      <c r="I4091" s="0" t="s">
        <v>13018</v>
      </c>
      <c r="J4091" s="0" t="s">
        <v>254</v>
      </c>
      <c r="K4091" s="0" t="s">
        <v>4235</v>
      </c>
      <c r="L4091" s="0" t="s">
        <v>124</v>
      </c>
      <c r="M4091" s="0" t="s">
        <v>208</v>
      </c>
      <c r="N4091" s="0" t="s">
        <v>124</v>
      </c>
      <c r="P4091" s="0" t="s">
        <v>130</v>
      </c>
      <c r="Q4091" s="0" t="s">
        <v>130</v>
      </c>
      <c r="R4091" s="0" t="s">
        <v>144</v>
      </c>
      <c r="S4091" s="0" t="s">
        <v>21</v>
      </c>
      <c r="T4091" s="0" t="s">
        <v>104</v>
      </c>
      <c r="W4091" s="0" t="s">
        <v>105</v>
      </c>
      <c r="X4091" s="0" t="s">
        <v>13019</v>
      </c>
      <c r="Y4091" s="0" t="s">
        <v>13020</v>
      </c>
      <c r="Z4091" s="0" t="s">
        <v>625</v>
      </c>
    </row>
    <row r="4092" customFormat="false" ht="15" hidden="false" customHeight="false" outlineLevel="0" collapsed="false">
      <c r="A4092" s="0" t="s">
        <v>21</v>
      </c>
      <c r="B4092" s="0" t="s">
        <v>13021</v>
      </c>
      <c r="C4092" s="0" t="s">
        <v>4319</v>
      </c>
      <c r="E4092" s="0" t="s">
        <v>13022</v>
      </c>
      <c r="M4092" s="0" t="s">
        <v>13023</v>
      </c>
      <c r="N4092" s="0" t="s">
        <v>124</v>
      </c>
      <c r="P4092" s="0" t="s">
        <v>130</v>
      </c>
      <c r="Q4092" s="0" t="s">
        <v>130</v>
      </c>
      <c r="R4092" s="0" t="s">
        <v>144</v>
      </c>
      <c r="S4092" s="0" t="s">
        <v>21</v>
      </c>
      <c r="T4092" s="0" t="s">
        <v>104</v>
      </c>
      <c r="W4092" s="0" t="s">
        <v>105</v>
      </c>
      <c r="Z4092" s="0" t="s">
        <v>171</v>
      </c>
    </row>
    <row r="4093" customFormat="false" ht="15" hidden="false" customHeight="false" outlineLevel="0" collapsed="false">
      <c r="A4093" s="0" t="s">
        <v>21</v>
      </c>
      <c r="B4093" s="0" t="s">
        <v>13024</v>
      </c>
      <c r="C4093" s="0" t="s">
        <v>200</v>
      </c>
      <c r="E4093" s="0" t="s">
        <v>13025</v>
      </c>
      <c r="M4093" s="0" t="s">
        <v>13026</v>
      </c>
      <c r="N4093" s="0" t="s">
        <v>124</v>
      </c>
      <c r="P4093" s="0" t="s">
        <v>130</v>
      </c>
      <c r="Q4093" s="0" t="s">
        <v>130</v>
      </c>
      <c r="R4093" s="0" t="s">
        <v>144</v>
      </c>
      <c r="S4093" s="0" t="s">
        <v>21</v>
      </c>
      <c r="T4093" s="0" t="s">
        <v>104</v>
      </c>
      <c r="W4093" s="0" t="s">
        <v>105</v>
      </c>
      <c r="Z4093" s="0" t="s">
        <v>171</v>
      </c>
    </row>
    <row r="4094" customFormat="false" ht="15" hidden="false" customHeight="false" outlineLevel="0" collapsed="false">
      <c r="A4094" s="0" t="s">
        <v>21</v>
      </c>
      <c r="B4094" s="0" t="s">
        <v>13027</v>
      </c>
      <c r="C4094" s="0" t="s">
        <v>12792</v>
      </c>
      <c r="E4094" s="0" t="s">
        <v>13028</v>
      </c>
      <c r="M4094" s="0" t="s">
        <v>474</v>
      </c>
      <c r="N4094" s="0" t="s">
        <v>124</v>
      </c>
      <c r="P4094" s="0" t="s">
        <v>130</v>
      </c>
      <c r="Q4094" s="0" t="s">
        <v>130</v>
      </c>
      <c r="R4094" s="0" t="s">
        <v>144</v>
      </c>
      <c r="S4094" s="0" t="s">
        <v>21</v>
      </c>
      <c r="T4094" s="0" t="s">
        <v>104</v>
      </c>
      <c r="W4094" s="0" t="s">
        <v>105</v>
      </c>
      <c r="Z4094" s="0" t="s">
        <v>13029</v>
      </c>
    </row>
    <row r="4095" customFormat="false" ht="15" hidden="false" customHeight="false" outlineLevel="0" collapsed="false">
      <c r="A4095" s="0" t="s">
        <v>21</v>
      </c>
      <c r="B4095" s="0" t="s">
        <v>13030</v>
      </c>
      <c r="C4095" s="0" t="s">
        <v>12792</v>
      </c>
      <c r="E4095" s="0" t="s">
        <v>13031</v>
      </c>
      <c r="M4095" s="0" t="s">
        <v>474</v>
      </c>
      <c r="N4095" s="0" t="s">
        <v>124</v>
      </c>
      <c r="P4095" s="0" t="s">
        <v>130</v>
      </c>
      <c r="Q4095" s="0" t="s">
        <v>130</v>
      </c>
      <c r="R4095" s="0" t="s">
        <v>144</v>
      </c>
      <c r="S4095" s="0" t="s">
        <v>21</v>
      </c>
      <c r="T4095" s="0" t="s">
        <v>104</v>
      </c>
      <c r="W4095" s="0" t="s">
        <v>105</v>
      </c>
      <c r="Z4095" s="0" t="s">
        <v>13029</v>
      </c>
    </row>
    <row r="4096" customFormat="false" ht="15" hidden="false" customHeight="false" outlineLevel="0" collapsed="false">
      <c r="A4096" s="0" t="s">
        <v>21</v>
      </c>
      <c r="B4096" s="0" t="s">
        <v>13032</v>
      </c>
      <c r="C4096" s="0" t="s">
        <v>12792</v>
      </c>
      <c r="E4096" s="0" t="s">
        <v>13033</v>
      </c>
      <c r="M4096" s="0" t="s">
        <v>474</v>
      </c>
      <c r="N4096" s="0" t="s">
        <v>124</v>
      </c>
      <c r="P4096" s="0" t="s">
        <v>130</v>
      </c>
      <c r="Q4096" s="0" t="s">
        <v>130</v>
      </c>
      <c r="R4096" s="0" t="s">
        <v>144</v>
      </c>
      <c r="S4096" s="0" t="s">
        <v>21</v>
      </c>
      <c r="T4096" s="0" t="s">
        <v>104</v>
      </c>
      <c r="W4096" s="0" t="s">
        <v>105</v>
      </c>
      <c r="Z4096" s="0" t="s">
        <v>13029</v>
      </c>
    </row>
    <row r="4097" customFormat="false" ht="15" hidden="false" customHeight="false" outlineLevel="0" collapsed="false">
      <c r="A4097" s="0" t="s">
        <v>21</v>
      </c>
      <c r="B4097" s="0" t="s">
        <v>13034</v>
      </c>
      <c r="C4097" s="0" t="s">
        <v>12792</v>
      </c>
      <c r="E4097" s="0" t="s">
        <v>13035</v>
      </c>
      <c r="M4097" s="0" t="s">
        <v>474</v>
      </c>
      <c r="N4097" s="0" t="s">
        <v>124</v>
      </c>
      <c r="P4097" s="0" t="s">
        <v>130</v>
      </c>
      <c r="Q4097" s="0" t="s">
        <v>130</v>
      </c>
      <c r="R4097" s="0" t="s">
        <v>144</v>
      </c>
      <c r="S4097" s="0" t="s">
        <v>21</v>
      </c>
      <c r="T4097" s="0" t="s">
        <v>104</v>
      </c>
      <c r="W4097" s="0" t="s">
        <v>105</v>
      </c>
      <c r="Z4097" s="0" t="s">
        <v>13029</v>
      </c>
    </row>
    <row r="4098" customFormat="false" ht="15" hidden="false" customHeight="false" outlineLevel="0" collapsed="false">
      <c r="A4098" s="0" t="s">
        <v>21</v>
      </c>
      <c r="B4098" s="0" t="s">
        <v>13036</v>
      </c>
      <c r="C4098" s="0" t="s">
        <v>12792</v>
      </c>
      <c r="E4098" s="0" t="s">
        <v>13037</v>
      </c>
      <c r="M4098" s="0" t="s">
        <v>474</v>
      </c>
      <c r="N4098" s="0" t="s">
        <v>124</v>
      </c>
      <c r="P4098" s="0" t="s">
        <v>130</v>
      </c>
      <c r="Q4098" s="0" t="s">
        <v>130</v>
      </c>
      <c r="R4098" s="0" t="s">
        <v>144</v>
      </c>
      <c r="S4098" s="0" t="s">
        <v>21</v>
      </c>
      <c r="T4098" s="0" t="s">
        <v>104</v>
      </c>
      <c r="W4098" s="0" t="s">
        <v>105</v>
      </c>
      <c r="Z4098" s="0" t="s">
        <v>13029</v>
      </c>
    </row>
    <row r="4099" customFormat="false" ht="15" hidden="false" customHeight="false" outlineLevel="0" collapsed="false">
      <c r="A4099" s="0" t="s">
        <v>21</v>
      </c>
      <c r="B4099" s="0" t="s">
        <v>13038</v>
      </c>
      <c r="C4099" s="0" t="s">
        <v>12792</v>
      </c>
      <c r="E4099" s="0" t="s">
        <v>13039</v>
      </c>
      <c r="M4099" s="0" t="s">
        <v>474</v>
      </c>
      <c r="N4099" s="0" t="s">
        <v>124</v>
      </c>
      <c r="P4099" s="0" t="s">
        <v>130</v>
      </c>
      <c r="Q4099" s="0" t="s">
        <v>130</v>
      </c>
      <c r="R4099" s="0" t="s">
        <v>144</v>
      </c>
      <c r="S4099" s="0" t="s">
        <v>21</v>
      </c>
      <c r="T4099" s="0" t="s">
        <v>104</v>
      </c>
      <c r="W4099" s="0" t="s">
        <v>105</v>
      </c>
      <c r="Z4099" s="0" t="s">
        <v>13029</v>
      </c>
    </row>
    <row r="4100" customFormat="false" ht="15" hidden="false" customHeight="false" outlineLevel="0" collapsed="false">
      <c r="A4100" s="0" t="s">
        <v>21</v>
      </c>
      <c r="B4100" s="0" t="s">
        <v>13040</v>
      </c>
      <c r="C4100" s="0" t="s">
        <v>4319</v>
      </c>
      <c r="E4100" s="0" t="s">
        <v>13041</v>
      </c>
      <c r="M4100" s="0" t="s">
        <v>474</v>
      </c>
      <c r="N4100" s="0" t="s">
        <v>124</v>
      </c>
      <c r="P4100" s="0" t="s">
        <v>130</v>
      </c>
      <c r="Q4100" s="0" t="s">
        <v>130</v>
      </c>
      <c r="R4100" s="0" t="s">
        <v>144</v>
      </c>
      <c r="S4100" s="0" t="s">
        <v>21</v>
      </c>
      <c r="T4100" s="0" t="s">
        <v>104</v>
      </c>
      <c r="W4100" s="0" t="s">
        <v>105</v>
      </c>
      <c r="Z4100" s="0" t="s">
        <v>171</v>
      </c>
    </row>
    <row r="4101" customFormat="false" ht="15" hidden="false" customHeight="false" outlineLevel="0" collapsed="false">
      <c r="A4101" s="0" t="s">
        <v>21</v>
      </c>
      <c r="B4101" s="0" t="s">
        <v>13042</v>
      </c>
      <c r="C4101" s="0" t="s">
        <v>4319</v>
      </c>
      <c r="E4101" s="0" t="s">
        <v>13043</v>
      </c>
      <c r="M4101" s="0" t="s">
        <v>474</v>
      </c>
      <c r="N4101" s="0" t="s">
        <v>124</v>
      </c>
      <c r="P4101" s="0" t="s">
        <v>130</v>
      </c>
      <c r="Q4101" s="0" t="s">
        <v>130</v>
      </c>
      <c r="R4101" s="0" t="s">
        <v>144</v>
      </c>
      <c r="S4101" s="0" t="s">
        <v>21</v>
      </c>
      <c r="T4101" s="0" t="s">
        <v>104</v>
      </c>
      <c r="W4101" s="0" t="s">
        <v>105</v>
      </c>
      <c r="Z4101" s="0" t="s">
        <v>171</v>
      </c>
    </row>
    <row r="4102" customFormat="false" ht="15" hidden="false" customHeight="false" outlineLevel="0" collapsed="false">
      <c r="A4102" s="0" t="s">
        <v>21</v>
      </c>
      <c r="B4102" s="0" t="s">
        <v>13044</v>
      </c>
      <c r="C4102" s="0" t="s">
        <v>4319</v>
      </c>
      <c r="E4102" s="0" t="s">
        <v>13045</v>
      </c>
      <c r="M4102" s="0" t="s">
        <v>474</v>
      </c>
      <c r="N4102" s="0" t="s">
        <v>124</v>
      </c>
      <c r="P4102" s="0" t="s">
        <v>130</v>
      </c>
      <c r="Q4102" s="0" t="s">
        <v>130</v>
      </c>
      <c r="R4102" s="0" t="s">
        <v>144</v>
      </c>
      <c r="S4102" s="0" t="s">
        <v>21</v>
      </c>
      <c r="T4102" s="0" t="s">
        <v>104</v>
      </c>
      <c r="W4102" s="0" t="s">
        <v>105</v>
      </c>
      <c r="Z4102" s="0" t="s">
        <v>171</v>
      </c>
    </row>
    <row r="4103" customFormat="false" ht="15" hidden="false" customHeight="false" outlineLevel="0" collapsed="false">
      <c r="A4103" s="0" t="s">
        <v>21</v>
      </c>
      <c r="B4103" s="0" t="s">
        <v>13046</v>
      </c>
      <c r="C4103" s="0" t="s">
        <v>4319</v>
      </c>
      <c r="E4103" s="0" t="s">
        <v>13047</v>
      </c>
      <c r="M4103" s="0" t="s">
        <v>474</v>
      </c>
      <c r="N4103" s="0" t="s">
        <v>124</v>
      </c>
      <c r="P4103" s="0" t="s">
        <v>130</v>
      </c>
      <c r="Q4103" s="0" t="s">
        <v>130</v>
      </c>
      <c r="R4103" s="0" t="s">
        <v>144</v>
      </c>
      <c r="S4103" s="0" t="s">
        <v>21</v>
      </c>
      <c r="T4103" s="0" t="s">
        <v>104</v>
      </c>
      <c r="W4103" s="0" t="s">
        <v>105</v>
      </c>
      <c r="Z4103" s="0" t="s">
        <v>171</v>
      </c>
    </row>
    <row r="4104" customFormat="false" ht="15" hidden="false" customHeight="false" outlineLevel="0" collapsed="false">
      <c r="A4104" s="0" t="s">
        <v>21</v>
      </c>
      <c r="B4104" s="0" t="s">
        <v>13048</v>
      </c>
      <c r="C4104" s="0" t="s">
        <v>4319</v>
      </c>
      <c r="E4104" s="0" t="s">
        <v>13049</v>
      </c>
      <c r="M4104" s="0" t="s">
        <v>474</v>
      </c>
      <c r="N4104" s="0" t="s">
        <v>124</v>
      </c>
      <c r="P4104" s="0" t="s">
        <v>130</v>
      </c>
      <c r="Q4104" s="0" t="s">
        <v>130</v>
      </c>
      <c r="R4104" s="0" t="s">
        <v>144</v>
      </c>
      <c r="S4104" s="0" t="s">
        <v>21</v>
      </c>
      <c r="T4104" s="0" t="s">
        <v>104</v>
      </c>
      <c r="W4104" s="0" t="s">
        <v>105</v>
      </c>
      <c r="Z4104" s="0" t="s">
        <v>171</v>
      </c>
    </row>
    <row r="4105" customFormat="false" ht="15" hidden="false" customHeight="false" outlineLevel="0" collapsed="false">
      <c r="A4105" s="0" t="s">
        <v>21</v>
      </c>
      <c r="B4105" s="0" t="s">
        <v>13050</v>
      </c>
      <c r="C4105" s="0" t="s">
        <v>4319</v>
      </c>
      <c r="E4105" s="0" t="s">
        <v>13051</v>
      </c>
      <c r="M4105" s="0" t="s">
        <v>474</v>
      </c>
      <c r="N4105" s="0" t="s">
        <v>124</v>
      </c>
      <c r="P4105" s="0" t="s">
        <v>130</v>
      </c>
      <c r="Q4105" s="0" t="s">
        <v>130</v>
      </c>
      <c r="R4105" s="0" t="s">
        <v>144</v>
      </c>
      <c r="S4105" s="0" t="s">
        <v>21</v>
      </c>
      <c r="T4105" s="0" t="s">
        <v>104</v>
      </c>
      <c r="W4105" s="0" t="s">
        <v>105</v>
      </c>
      <c r="Z4105" s="0" t="s">
        <v>171</v>
      </c>
    </row>
    <row r="4106" customFormat="false" ht="15" hidden="false" customHeight="false" outlineLevel="0" collapsed="false">
      <c r="A4106" s="0" t="s">
        <v>21</v>
      </c>
      <c r="B4106" s="0" t="s">
        <v>13052</v>
      </c>
      <c r="C4106" s="0" t="s">
        <v>12792</v>
      </c>
      <c r="E4106" s="0" t="s">
        <v>13053</v>
      </c>
      <c r="H4106" s="0" t="s">
        <v>13054</v>
      </c>
      <c r="I4106" s="0" t="s">
        <v>13055</v>
      </c>
      <c r="J4106" s="0" t="s">
        <v>245</v>
      </c>
      <c r="K4106" s="0" t="s">
        <v>13056</v>
      </c>
      <c r="L4106" s="0" t="s">
        <v>124</v>
      </c>
      <c r="M4106" s="0" t="s">
        <v>247</v>
      </c>
      <c r="N4106" s="0" t="s">
        <v>124</v>
      </c>
      <c r="P4106" s="0" t="s">
        <v>130</v>
      </c>
      <c r="Q4106" s="0" t="s">
        <v>130</v>
      </c>
      <c r="R4106" s="0" t="s">
        <v>144</v>
      </c>
      <c r="S4106" s="0" t="s">
        <v>21</v>
      </c>
      <c r="T4106" s="0" t="s">
        <v>104</v>
      </c>
      <c r="W4106" s="0" t="s">
        <v>105</v>
      </c>
      <c r="X4106" s="0" t="s">
        <v>13057</v>
      </c>
      <c r="Y4106" s="0" t="s">
        <v>13058</v>
      </c>
      <c r="Z4106" s="0" t="s">
        <v>171</v>
      </c>
    </row>
    <row r="4107" customFormat="false" ht="15" hidden="false" customHeight="false" outlineLevel="0" collapsed="false">
      <c r="A4107" s="0" t="s">
        <v>21</v>
      </c>
      <c r="B4107" s="0" t="s">
        <v>13059</v>
      </c>
      <c r="C4107" s="0" t="s">
        <v>12792</v>
      </c>
      <c r="E4107" s="0" t="s">
        <v>13060</v>
      </c>
      <c r="H4107" s="0" t="s">
        <v>13061</v>
      </c>
      <c r="I4107" s="0" t="s">
        <v>13062</v>
      </c>
      <c r="J4107" s="0" t="s">
        <v>245</v>
      </c>
      <c r="K4107" s="0" t="s">
        <v>13063</v>
      </c>
      <c r="L4107" s="0" t="s">
        <v>124</v>
      </c>
      <c r="M4107" s="0" t="s">
        <v>247</v>
      </c>
      <c r="N4107" s="0" t="s">
        <v>124</v>
      </c>
      <c r="P4107" s="0" t="s">
        <v>130</v>
      </c>
      <c r="Q4107" s="0" t="s">
        <v>130</v>
      </c>
      <c r="R4107" s="0" t="s">
        <v>144</v>
      </c>
      <c r="S4107" s="0" t="s">
        <v>21</v>
      </c>
      <c r="T4107" s="0" t="s">
        <v>104</v>
      </c>
      <c r="W4107" s="0" t="s">
        <v>105</v>
      </c>
      <c r="X4107" s="0" t="s">
        <v>13064</v>
      </c>
      <c r="Y4107" s="0" t="s">
        <v>13065</v>
      </c>
      <c r="Z4107" s="0" t="s">
        <v>171</v>
      </c>
    </row>
    <row r="4108" customFormat="false" ht="15" hidden="false" customHeight="false" outlineLevel="0" collapsed="false">
      <c r="A4108" s="0" t="s">
        <v>21</v>
      </c>
      <c r="B4108" s="0" t="s">
        <v>13066</v>
      </c>
      <c r="C4108" s="0" t="s">
        <v>12792</v>
      </c>
      <c r="E4108" s="0" t="s">
        <v>13067</v>
      </c>
      <c r="H4108" s="0" t="s">
        <v>13068</v>
      </c>
      <c r="I4108" s="0" t="s">
        <v>13069</v>
      </c>
      <c r="J4108" s="0" t="s">
        <v>245</v>
      </c>
      <c r="K4108" s="0" t="s">
        <v>5384</v>
      </c>
      <c r="L4108" s="0" t="s">
        <v>124</v>
      </c>
      <c r="M4108" s="0" t="s">
        <v>247</v>
      </c>
      <c r="N4108" s="0" t="s">
        <v>124</v>
      </c>
      <c r="P4108" s="0" t="s">
        <v>130</v>
      </c>
      <c r="Q4108" s="0" t="s">
        <v>130</v>
      </c>
      <c r="R4108" s="0" t="s">
        <v>144</v>
      </c>
      <c r="S4108" s="0" t="s">
        <v>21</v>
      </c>
      <c r="T4108" s="0" t="s">
        <v>104</v>
      </c>
      <c r="W4108" s="0" t="s">
        <v>105</v>
      </c>
      <c r="X4108" s="0" t="s">
        <v>13070</v>
      </c>
      <c r="Y4108" s="0" t="s">
        <v>13071</v>
      </c>
      <c r="Z4108" s="0" t="s">
        <v>171</v>
      </c>
    </row>
    <row r="4109" customFormat="false" ht="15" hidden="false" customHeight="false" outlineLevel="0" collapsed="false">
      <c r="A4109" s="0" t="s">
        <v>21</v>
      </c>
      <c r="B4109" s="0" t="s">
        <v>13072</v>
      </c>
      <c r="C4109" s="0" t="s">
        <v>12792</v>
      </c>
      <c r="E4109" s="0" t="s">
        <v>13073</v>
      </c>
      <c r="H4109" s="0" t="s">
        <v>13074</v>
      </c>
      <c r="I4109" s="0" t="s">
        <v>13075</v>
      </c>
      <c r="J4109" s="0" t="s">
        <v>245</v>
      </c>
      <c r="K4109" s="0" t="s">
        <v>13076</v>
      </c>
      <c r="L4109" s="0" t="s">
        <v>124</v>
      </c>
      <c r="M4109" s="0" t="s">
        <v>247</v>
      </c>
      <c r="N4109" s="0" t="s">
        <v>124</v>
      </c>
      <c r="P4109" s="0" t="s">
        <v>130</v>
      </c>
      <c r="Q4109" s="0" t="s">
        <v>130</v>
      </c>
      <c r="R4109" s="0" t="s">
        <v>144</v>
      </c>
      <c r="S4109" s="0" t="s">
        <v>21</v>
      </c>
      <c r="T4109" s="0" t="s">
        <v>104</v>
      </c>
      <c r="W4109" s="0" t="s">
        <v>105</v>
      </c>
      <c r="X4109" s="0" t="s">
        <v>13077</v>
      </c>
      <c r="Y4109" s="0" t="s">
        <v>13078</v>
      </c>
      <c r="Z4109" s="0" t="s">
        <v>171</v>
      </c>
    </row>
    <row r="4110" customFormat="false" ht="15" hidden="false" customHeight="false" outlineLevel="0" collapsed="false">
      <c r="A4110" s="0" t="s">
        <v>21</v>
      </c>
      <c r="B4110" s="0" t="s">
        <v>13079</v>
      </c>
      <c r="C4110" s="0" t="s">
        <v>12792</v>
      </c>
      <c r="E4110" s="0" t="s">
        <v>13080</v>
      </c>
      <c r="H4110" s="0" t="s">
        <v>13081</v>
      </c>
      <c r="I4110" s="0" t="s">
        <v>13082</v>
      </c>
      <c r="J4110" s="0" t="s">
        <v>245</v>
      </c>
      <c r="K4110" s="0" t="s">
        <v>13083</v>
      </c>
      <c r="L4110" s="0" t="s">
        <v>124</v>
      </c>
      <c r="M4110" s="0" t="s">
        <v>13082</v>
      </c>
      <c r="N4110" s="0" t="s">
        <v>124</v>
      </c>
      <c r="P4110" s="0" t="s">
        <v>130</v>
      </c>
      <c r="Q4110" s="0" t="s">
        <v>130</v>
      </c>
      <c r="R4110" s="0" t="s">
        <v>144</v>
      </c>
      <c r="S4110" s="0" t="s">
        <v>21</v>
      </c>
      <c r="T4110" s="0" t="s">
        <v>104</v>
      </c>
      <c r="W4110" s="0" t="s">
        <v>105</v>
      </c>
      <c r="X4110" s="0" t="s">
        <v>13084</v>
      </c>
      <c r="Y4110" s="0" t="s">
        <v>13085</v>
      </c>
      <c r="Z4110" s="0" t="s">
        <v>171</v>
      </c>
    </row>
    <row r="4111" customFormat="false" ht="15" hidden="false" customHeight="false" outlineLevel="0" collapsed="false">
      <c r="A4111" s="0" t="s">
        <v>21</v>
      </c>
      <c r="B4111" s="0" t="s">
        <v>13086</v>
      </c>
      <c r="C4111" s="0" t="s">
        <v>4319</v>
      </c>
      <c r="E4111" s="0" t="s">
        <v>13087</v>
      </c>
      <c r="H4111" s="0" t="s">
        <v>13088</v>
      </c>
      <c r="I4111" s="0" t="s">
        <v>1934</v>
      </c>
      <c r="J4111" s="0" t="s">
        <v>214</v>
      </c>
      <c r="K4111" s="0" t="s">
        <v>7893</v>
      </c>
      <c r="L4111" s="0" t="s">
        <v>124</v>
      </c>
      <c r="M4111" s="0" t="s">
        <v>1934</v>
      </c>
      <c r="N4111" s="0" t="s">
        <v>124</v>
      </c>
      <c r="P4111" s="0" t="s">
        <v>130</v>
      </c>
      <c r="Q4111" s="0" t="s">
        <v>130</v>
      </c>
      <c r="R4111" s="0" t="s">
        <v>144</v>
      </c>
      <c r="S4111" s="0" t="s">
        <v>21</v>
      </c>
      <c r="T4111" s="0" t="s">
        <v>104</v>
      </c>
      <c r="W4111" s="0" t="s">
        <v>105</v>
      </c>
      <c r="X4111" s="0" t="s">
        <v>13089</v>
      </c>
      <c r="Y4111" s="0" t="s">
        <v>13090</v>
      </c>
      <c r="Z4111" s="0" t="s">
        <v>171</v>
      </c>
    </row>
    <row r="4112" customFormat="false" ht="15" hidden="false" customHeight="false" outlineLevel="0" collapsed="false">
      <c r="A4112" s="0" t="s">
        <v>21</v>
      </c>
      <c r="B4112" s="0" t="s">
        <v>13091</v>
      </c>
      <c r="C4112" s="0" t="s">
        <v>97</v>
      </c>
      <c r="D4112" s="0" t="s">
        <v>13092</v>
      </c>
      <c r="E4112" s="0" t="s">
        <v>13093</v>
      </c>
      <c r="M4112" s="0" t="s">
        <v>136</v>
      </c>
      <c r="N4112" s="0" t="s">
        <v>124</v>
      </c>
      <c r="P4112" s="0" t="s">
        <v>102</v>
      </c>
      <c r="Q4112" s="0" t="s">
        <v>102</v>
      </c>
      <c r="R4112" s="0" t="s">
        <v>131</v>
      </c>
      <c r="S4112" s="0" t="s">
        <v>21</v>
      </c>
      <c r="T4112" s="0" t="s">
        <v>104</v>
      </c>
      <c r="W4112" s="0" t="s">
        <v>105</v>
      </c>
    </row>
    <row r="4113" customFormat="false" ht="15" hidden="false" customHeight="false" outlineLevel="0" collapsed="false">
      <c r="A4113" s="0" t="s">
        <v>21</v>
      </c>
      <c r="B4113" s="0" t="s">
        <v>13094</v>
      </c>
      <c r="C4113" s="0" t="s">
        <v>97</v>
      </c>
      <c r="D4113" s="0" t="s">
        <v>13095</v>
      </c>
      <c r="E4113" s="0" t="s">
        <v>13095</v>
      </c>
      <c r="M4113" s="0" t="s">
        <v>136</v>
      </c>
      <c r="N4113" s="0" t="s">
        <v>124</v>
      </c>
      <c r="P4113" s="0" t="s">
        <v>102</v>
      </c>
      <c r="Q4113" s="0" t="s">
        <v>102</v>
      </c>
      <c r="R4113" s="0" t="s">
        <v>131</v>
      </c>
      <c r="S4113" s="0" t="s">
        <v>21</v>
      </c>
      <c r="T4113" s="0" t="s">
        <v>104</v>
      </c>
      <c r="W4113" s="0" t="s">
        <v>105</v>
      </c>
    </row>
    <row r="4114" customFormat="false" ht="15" hidden="false" customHeight="false" outlineLevel="0" collapsed="false">
      <c r="A4114" s="0" t="s">
        <v>21</v>
      </c>
      <c r="B4114" s="0" t="s">
        <v>13096</v>
      </c>
      <c r="C4114" s="0" t="s">
        <v>97</v>
      </c>
      <c r="D4114" s="0" t="s">
        <v>9271</v>
      </c>
      <c r="E4114" s="0" t="s">
        <v>13097</v>
      </c>
      <c r="F4114" s="0" t="s">
        <v>13097</v>
      </c>
      <c r="M4114" s="0" t="s">
        <v>100</v>
      </c>
      <c r="N4114" s="0" t="s">
        <v>101</v>
      </c>
      <c r="P4114" s="0" t="s">
        <v>102</v>
      </c>
      <c r="Q4114" s="0" t="s">
        <v>102</v>
      </c>
      <c r="R4114" s="0" t="s">
        <v>131</v>
      </c>
      <c r="S4114" s="0" t="s">
        <v>21</v>
      </c>
      <c r="T4114" s="0" t="s">
        <v>104</v>
      </c>
      <c r="W4114" s="0" t="s">
        <v>105</v>
      </c>
    </row>
    <row r="4115" customFormat="false" ht="15" hidden="false" customHeight="false" outlineLevel="0" collapsed="false">
      <c r="A4115" s="0" t="s">
        <v>21</v>
      </c>
      <c r="B4115" s="0" t="s">
        <v>13098</v>
      </c>
      <c r="C4115" s="0" t="s">
        <v>97</v>
      </c>
      <c r="D4115" s="0" t="s">
        <v>3614</v>
      </c>
      <c r="E4115" s="0" t="s">
        <v>13099</v>
      </c>
      <c r="H4115" s="0" t="s">
        <v>654</v>
      </c>
      <c r="I4115" s="0" t="s">
        <v>655</v>
      </c>
      <c r="J4115" s="0" t="s">
        <v>100</v>
      </c>
      <c r="K4115" s="0" t="s">
        <v>168</v>
      </c>
      <c r="L4115" s="0" t="s">
        <v>101</v>
      </c>
      <c r="M4115" s="0" t="s">
        <v>656</v>
      </c>
      <c r="N4115" s="0" t="s">
        <v>101</v>
      </c>
      <c r="P4115" s="0" t="s">
        <v>102</v>
      </c>
      <c r="Q4115" s="0" t="s">
        <v>102</v>
      </c>
      <c r="R4115" s="0" t="s">
        <v>113</v>
      </c>
      <c r="S4115" s="0" t="s">
        <v>21</v>
      </c>
      <c r="T4115" s="0" t="s">
        <v>104</v>
      </c>
      <c r="W4115" s="0" t="s">
        <v>105</v>
      </c>
      <c r="X4115" s="0" t="s">
        <v>658</v>
      </c>
      <c r="Y4115" s="0" t="s">
        <v>659</v>
      </c>
    </row>
    <row r="4116" customFormat="false" ht="15" hidden="false" customHeight="false" outlineLevel="0" collapsed="false">
      <c r="A4116" s="0" t="s">
        <v>21</v>
      </c>
      <c r="B4116" s="0" t="s">
        <v>13100</v>
      </c>
      <c r="C4116" s="0" t="s">
        <v>200</v>
      </c>
      <c r="D4116" s="0" t="s">
        <v>13101</v>
      </c>
      <c r="E4116" s="0" t="s">
        <v>13102</v>
      </c>
      <c r="G4116" s="0" t="s">
        <v>13103</v>
      </c>
      <c r="M4116" s="0" t="s">
        <v>100</v>
      </c>
      <c r="N4116" s="0" t="s">
        <v>101</v>
      </c>
      <c r="P4116" s="0" t="s">
        <v>102</v>
      </c>
      <c r="Q4116" s="0" t="s">
        <v>102</v>
      </c>
      <c r="R4116" s="0" t="s">
        <v>144</v>
      </c>
      <c r="S4116" s="0" t="s">
        <v>21</v>
      </c>
      <c r="T4116" s="0" t="s">
        <v>104</v>
      </c>
      <c r="W4116" s="0" t="s">
        <v>105</v>
      </c>
    </row>
    <row r="4117" customFormat="false" ht="15" hidden="false" customHeight="false" outlineLevel="0" collapsed="false">
      <c r="A4117" s="0" t="s">
        <v>21</v>
      </c>
      <c r="B4117" s="0" t="s">
        <v>13104</v>
      </c>
      <c r="C4117" s="0" t="s">
        <v>97</v>
      </c>
      <c r="D4117" s="0" t="s">
        <v>13105</v>
      </c>
      <c r="E4117" s="0" t="s">
        <v>13106</v>
      </c>
      <c r="G4117" s="0" t="s">
        <v>13107</v>
      </c>
      <c r="H4117" s="0" t="s">
        <v>654</v>
      </c>
      <c r="I4117" s="0" t="s">
        <v>655</v>
      </c>
      <c r="J4117" s="0" t="s">
        <v>100</v>
      </c>
      <c r="K4117" s="0" t="s">
        <v>168</v>
      </c>
      <c r="L4117" s="0" t="s">
        <v>101</v>
      </c>
      <c r="M4117" s="0" t="s">
        <v>656</v>
      </c>
      <c r="N4117" s="0" t="s">
        <v>101</v>
      </c>
      <c r="P4117" s="0" t="s">
        <v>102</v>
      </c>
      <c r="Q4117" s="0" t="s">
        <v>102</v>
      </c>
      <c r="R4117" s="0" t="s">
        <v>131</v>
      </c>
      <c r="S4117" s="0" t="s">
        <v>21</v>
      </c>
      <c r="T4117" s="0" t="s">
        <v>104</v>
      </c>
      <c r="W4117" s="0" t="s">
        <v>105</v>
      </c>
      <c r="X4117" s="0" t="s">
        <v>658</v>
      </c>
      <c r="Y4117" s="0" t="s">
        <v>659</v>
      </c>
    </row>
    <row r="4118" customFormat="false" ht="15" hidden="false" customHeight="false" outlineLevel="0" collapsed="false">
      <c r="A4118" s="0" t="s">
        <v>21</v>
      </c>
      <c r="B4118" s="0" t="s">
        <v>13108</v>
      </c>
      <c r="C4118" s="0" t="s">
        <v>97</v>
      </c>
      <c r="D4118" s="0" t="s">
        <v>13109</v>
      </c>
      <c r="E4118" s="0" t="s">
        <v>13110</v>
      </c>
      <c r="M4118" s="0" t="s">
        <v>136</v>
      </c>
      <c r="N4118" s="0" t="s">
        <v>124</v>
      </c>
      <c r="P4118" s="0" t="s">
        <v>102</v>
      </c>
      <c r="Q4118" s="0" t="s">
        <v>102</v>
      </c>
      <c r="R4118" s="0" t="s">
        <v>131</v>
      </c>
      <c r="S4118" s="0" t="s">
        <v>21</v>
      </c>
      <c r="T4118" s="0" t="s">
        <v>104</v>
      </c>
      <c r="W4118" s="0" t="s">
        <v>105</v>
      </c>
    </row>
    <row r="4119" customFormat="false" ht="15" hidden="false" customHeight="false" outlineLevel="0" collapsed="false">
      <c r="A4119" s="0" t="s">
        <v>21</v>
      </c>
      <c r="B4119" s="0" t="s">
        <v>13111</v>
      </c>
      <c r="C4119" s="0" t="s">
        <v>97</v>
      </c>
      <c r="D4119" s="0" t="s">
        <v>13112</v>
      </c>
      <c r="E4119" s="0" t="s">
        <v>13113</v>
      </c>
      <c r="H4119" s="0" t="s">
        <v>654</v>
      </c>
      <c r="I4119" s="0" t="s">
        <v>655</v>
      </c>
      <c r="J4119" s="0" t="s">
        <v>100</v>
      </c>
      <c r="K4119" s="0" t="s">
        <v>168</v>
      </c>
      <c r="L4119" s="0" t="s">
        <v>101</v>
      </c>
      <c r="M4119" s="0" t="s">
        <v>656</v>
      </c>
      <c r="N4119" s="0" t="s">
        <v>101</v>
      </c>
      <c r="P4119" s="0" t="s">
        <v>102</v>
      </c>
      <c r="Q4119" s="0" t="s">
        <v>102</v>
      </c>
      <c r="R4119" s="0" t="s">
        <v>113</v>
      </c>
      <c r="S4119" s="0" t="s">
        <v>21</v>
      </c>
      <c r="T4119" s="0" t="s">
        <v>104</v>
      </c>
      <c r="W4119" s="0" t="s">
        <v>105</v>
      </c>
      <c r="X4119" s="0" t="s">
        <v>658</v>
      </c>
      <c r="Y4119" s="0" t="s">
        <v>659</v>
      </c>
    </row>
    <row r="4120" customFormat="false" ht="15" hidden="false" customHeight="false" outlineLevel="0" collapsed="false">
      <c r="A4120" s="0" t="s">
        <v>21</v>
      </c>
      <c r="B4120" s="0" t="s">
        <v>13114</v>
      </c>
      <c r="C4120" s="0" t="s">
        <v>97</v>
      </c>
      <c r="D4120" s="0" t="s">
        <v>13115</v>
      </c>
      <c r="E4120" s="0" t="s">
        <v>13116</v>
      </c>
      <c r="G4120" s="0" t="s">
        <v>13117</v>
      </c>
      <c r="H4120" s="0" t="s">
        <v>654</v>
      </c>
      <c r="I4120" s="0" t="s">
        <v>655</v>
      </c>
      <c r="J4120" s="0" t="s">
        <v>100</v>
      </c>
      <c r="K4120" s="0" t="s">
        <v>168</v>
      </c>
      <c r="L4120" s="0" t="s">
        <v>101</v>
      </c>
      <c r="M4120" s="0" t="s">
        <v>656</v>
      </c>
      <c r="N4120" s="0" t="s">
        <v>101</v>
      </c>
      <c r="P4120" s="0" t="s">
        <v>102</v>
      </c>
      <c r="Q4120" s="0" t="s">
        <v>102</v>
      </c>
      <c r="R4120" s="0" t="s">
        <v>131</v>
      </c>
      <c r="S4120" s="0" t="s">
        <v>21</v>
      </c>
      <c r="T4120" s="0" t="s">
        <v>104</v>
      </c>
      <c r="W4120" s="0" t="s">
        <v>105</v>
      </c>
      <c r="X4120" s="0" t="s">
        <v>658</v>
      </c>
      <c r="Y4120" s="0" t="s">
        <v>659</v>
      </c>
    </row>
    <row r="4121" customFormat="false" ht="15" hidden="false" customHeight="false" outlineLevel="0" collapsed="false">
      <c r="A4121" s="0" t="s">
        <v>21</v>
      </c>
      <c r="B4121" s="0" t="s">
        <v>13118</v>
      </c>
      <c r="C4121" s="0" t="s">
        <v>97</v>
      </c>
      <c r="D4121" s="0" t="s">
        <v>13119</v>
      </c>
      <c r="E4121" s="0" t="s">
        <v>13120</v>
      </c>
      <c r="M4121" s="0" t="s">
        <v>136</v>
      </c>
      <c r="N4121" s="0" t="s">
        <v>124</v>
      </c>
      <c r="P4121" s="0" t="s">
        <v>102</v>
      </c>
      <c r="Q4121" s="0" t="s">
        <v>102</v>
      </c>
      <c r="R4121" s="0" t="s">
        <v>131</v>
      </c>
      <c r="S4121" s="0" t="s">
        <v>21</v>
      </c>
      <c r="T4121" s="0" t="s">
        <v>104</v>
      </c>
      <c r="W4121" s="0" t="s">
        <v>105</v>
      </c>
    </row>
    <row r="4122" customFormat="false" ht="15" hidden="false" customHeight="false" outlineLevel="0" collapsed="false">
      <c r="A4122" s="0" t="s">
        <v>21</v>
      </c>
      <c r="B4122" s="0" t="s">
        <v>13121</v>
      </c>
      <c r="C4122" s="0" t="s">
        <v>97</v>
      </c>
      <c r="D4122" s="0" t="s">
        <v>7626</v>
      </c>
      <c r="E4122" s="0" t="s">
        <v>13122</v>
      </c>
      <c r="G4122" s="0" t="s">
        <v>13123</v>
      </c>
      <c r="H4122" s="0" t="s">
        <v>654</v>
      </c>
      <c r="I4122" s="0" t="s">
        <v>655</v>
      </c>
      <c r="J4122" s="0" t="s">
        <v>100</v>
      </c>
      <c r="K4122" s="0" t="s">
        <v>168</v>
      </c>
      <c r="L4122" s="0" t="s">
        <v>101</v>
      </c>
      <c r="M4122" s="0" t="s">
        <v>656</v>
      </c>
      <c r="N4122" s="0" t="s">
        <v>101</v>
      </c>
      <c r="P4122" s="0" t="s">
        <v>102</v>
      </c>
      <c r="Q4122" s="0" t="s">
        <v>102</v>
      </c>
      <c r="R4122" s="0" t="s">
        <v>144</v>
      </c>
      <c r="S4122" s="0" t="s">
        <v>21</v>
      </c>
      <c r="T4122" s="0" t="s">
        <v>104</v>
      </c>
      <c r="W4122" s="0" t="s">
        <v>105</v>
      </c>
      <c r="X4122" s="0" t="s">
        <v>658</v>
      </c>
      <c r="Y4122" s="0" t="s">
        <v>659</v>
      </c>
    </row>
    <row r="4123" customFormat="false" ht="15" hidden="false" customHeight="false" outlineLevel="0" collapsed="false">
      <c r="A4123" s="0" t="s">
        <v>21</v>
      </c>
      <c r="B4123" s="0" t="s">
        <v>13124</v>
      </c>
      <c r="C4123" s="0" t="s">
        <v>97</v>
      </c>
      <c r="D4123" s="0" t="s">
        <v>13125</v>
      </c>
      <c r="E4123" s="0" t="s">
        <v>13122</v>
      </c>
      <c r="M4123" s="0" t="s">
        <v>100</v>
      </c>
      <c r="N4123" s="0" t="s">
        <v>101</v>
      </c>
      <c r="P4123" s="0" t="s">
        <v>102</v>
      </c>
      <c r="Q4123" s="0" t="s">
        <v>102</v>
      </c>
      <c r="R4123" s="0" t="s">
        <v>144</v>
      </c>
      <c r="S4123" s="0" t="s">
        <v>21</v>
      </c>
      <c r="T4123" s="0" t="s">
        <v>104</v>
      </c>
      <c r="W4123" s="0" t="s">
        <v>105</v>
      </c>
    </row>
    <row r="4124" customFormat="false" ht="15" hidden="false" customHeight="false" outlineLevel="0" collapsed="false">
      <c r="A4124" s="0" t="s">
        <v>21</v>
      </c>
      <c r="B4124" s="0" t="s">
        <v>13126</v>
      </c>
      <c r="C4124" s="0" t="s">
        <v>97</v>
      </c>
      <c r="D4124" s="0" t="s">
        <v>13127</v>
      </c>
      <c r="E4124" s="0" t="s">
        <v>13128</v>
      </c>
      <c r="H4124" s="0" t="s">
        <v>654</v>
      </c>
      <c r="I4124" s="0" t="s">
        <v>655</v>
      </c>
      <c r="J4124" s="0" t="s">
        <v>100</v>
      </c>
      <c r="K4124" s="0" t="s">
        <v>168</v>
      </c>
      <c r="L4124" s="0" t="s">
        <v>101</v>
      </c>
      <c r="M4124" s="0" t="s">
        <v>656</v>
      </c>
      <c r="N4124" s="0" t="s">
        <v>101</v>
      </c>
      <c r="P4124" s="0" t="s">
        <v>102</v>
      </c>
      <c r="Q4124" s="0" t="s">
        <v>102</v>
      </c>
      <c r="R4124" s="0" t="s">
        <v>131</v>
      </c>
      <c r="S4124" s="0" t="s">
        <v>21</v>
      </c>
      <c r="T4124" s="0" t="s">
        <v>104</v>
      </c>
      <c r="W4124" s="0" t="s">
        <v>105</v>
      </c>
      <c r="X4124" s="0" t="s">
        <v>658</v>
      </c>
      <c r="Y4124" s="0" t="s">
        <v>659</v>
      </c>
    </row>
    <row r="4125" customFormat="false" ht="15" hidden="false" customHeight="false" outlineLevel="0" collapsed="false">
      <c r="A4125" s="0" t="s">
        <v>21</v>
      </c>
      <c r="B4125" s="0" t="s">
        <v>13129</v>
      </c>
      <c r="C4125" s="0" t="s">
        <v>97</v>
      </c>
      <c r="D4125" s="0" t="s">
        <v>13130</v>
      </c>
      <c r="E4125" s="0" t="s">
        <v>13130</v>
      </c>
      <c r="M4125" s="0" t="s">
        <v>442</v>
      </c>
      <c r="N4125" s="0" t="s">
        <v>101</v>
      </c>
      <c r="P4125" s="0" t="s">
        <v>102</v>
      </c>
      <c r="Q4125" s="0" t="s">
        <v>102</v>
      </c>
      <c r="R4125" s="0" t="s">
        <v>131</v>
      </c>
      <c r="S4125" s="0" t="s">
        <v>21</v>
      </c>
      <c r="T4125" s="0" t="s">
        <v>104</v>
      </c>
      <c r="W4125" s="0" t="s">
        <v>105</v>
      </c>
    </row>
    <row r="4126" customFormat="false" ht="15" hidden="false" customHeight="false" outlineLevel="0" collapsed="false">
      <c r="A4126" s="0" t="s">
        <v>21</v>
      </c>
      <c r="B4126" s="0" t="s">
        <v>13131</v>
      </c>
      <c r="C4126" s="0" t="s">
        <v>97</v>
      </c>
      <c r="D4126" s="0" t="s">
        <v>13132</v>
      </c>
      <c r="E4126" s="0" t="s">
        <v>13132</v>
      </c>
      <c r="M4126" s="0" t="s">
        <v>136</v>
      </c>
      <c r="N4126" s="0" t="s">
        <v>124</v>
      </c>
      <c r="P4126" s="0" t="s">
        <v>102</v>
      </c>
      <c r="Q4126" s="0" t="s">
        <v>102</v>
      </c>
      <c r="R4126" s="0" t="s">
        <v>131</v>
      </c>
      <c r="S4126" s="0" t="s">
        <v>21</v>
      </c>
      <c r="T4126" s="0" t="s">
        <v>104</v>
      </c>
      <c r="W4126" s="0" t="s">
        <v>105</v>
      </c>
    </row>
    <row r="4127" customFormat="false" ht="15" hidden="false" customHeight="false" outlineLevel="0" collapsed="false">
      <c r="A4127" s="0" t="s">
        <v>21</v>
      </c>
      <c r="B4127" s="0" t="s">
        <v>13133</v>
      </c>
      <c r="C4127" s="0" t="s">
        <v>97</v>
      </c>
      <c r="D4127" s="0" t="s">
        <v>3704</v>
      </c>
      <c r="E4127" s="0" t="s">
        <v>3704</v>
      </c>
      <c r="M4127" s="0" t="s">
        <v>136</v>
      </c>
      <c r="N4127" s="0" t="s">
        <v>124</v>
      </c>
      <c r="P4127" s="0" t="s">
        <v>102</v>
      </c>
      <c r="Q4127" s="0" t="s">
        <v>102</v>
      </c>
      <c r="R4127" s="0" t="s">
        <v>131</v>
      </c>
      <c r="S4127" s="0" t="s">
        <v>21</v>
      </c>
      <c r="T4127" s="0" t="s">
        <v>104</v>
      </c>
      <c r="W4127" s="0" t="s">
        <v>105</v>
      </c>
    </row>
    <row r="4128" customFormat="false" ht="15" hidden="false" customHeight="false" outlineLevel="0" collapsed="false">
      <c r="A4128" s="0" t="s">
        <v>21</v>
      </c>
      <c r="B4128" s="0" t="s">
        <v>13134</v>
      </c>
      <c r="C4128" s="0" t="s">
        <v>97</v>
      </c>
      <c r="D4128" s="0" t="s">
        <v>3394</v>
      </c>
      <c r="E4128" s="0" t="s">
        <v>13135</v>
      </c>
      <c r="H4128" s="0" t="s">
        <v>654</v>
      </c>
      <c r="I4128" s="0" t="s">
        <v>655</v>
      </c>
      <c r="J4128" s="0" t="s">
        <v>100</v>
      </c>
      <c r="K4128" s="0" t="s">
        <v>168</v>
      </c>
      <c r="L4128" s="0" t="s">
        <v>101</v>
      </c>
      <c r="M4128" s="0" t="s">
        <v>656</v>
      </c>
      <c r="N4128" s="0" t="s">
        <v>101</v>
      </c>
      <c r="P4128" s="0" t="s">
        <v>102</v>
      </c>
      <c r="Q4128" s="0" t="s">
        <v>102</v>
      </c>
      <c r="R4128" s="0" t="s">
        <v>137</v>
      </c>
      <c r="S4128" s="0" t="s">
        <v>21</v>
      </c>
      <c r="T4128" s="0" t="s">
        <v>104</v>
      </c>
      <c r="W4128" s="0" t="s">
        <v>105</v>
      </c>
      <c r="X4128" s="0" t="s">
        <v>658</v>
      </c>
      <c r="Y4128" s="0" t="s">
        <v>659</v>
      </c>
    </row>
    <row r="4129" customFormat="false" ht="15" hidden="false" customHeight="false" outlineLevel="0" collapsed="false">
      <c r="A4129" s="0" t="s">
        <v>21</v>
      </c>
      <c r="B4129" s="0" t="s">
        <v>13136</v>
      </c>
      <c r="C4129" s="0" t="s">
        <v>97</v>
      </c>
      <c r="D4129" s="0" t="s">
        <v>5618</v>
      </c>
      <c r="E4129" s="0" t="s">
        <v>13137</v>
      </c>
      <c r="M4129" s="0" t="s">
        <v>136</v>
      </c>
      <c r="N4129" s="0" t="s">
        <v>124</v>
      </c>
      <c r="P4129" s="0" t="s">
        <v>102</v>
      </c>
      <c r="Q4129" s="0" t="s">
        <v>102</v>
      </c>
      <c r="R4129" s="0" t="s">
        <v>131</v>
      </c>
      <c r="S4129" s="0" t="s">
        <v>21</v>
      </c>
      <c r="T4129" s="0" t="s">
        <v>104</v>
      </c>
      <c r="W4129" s="0" t="s">
        <v>105</v>
      </c>
    </row>
    <row r="4130" customFormat="false" ht="15" hidden="false" customHeight="false" outlineLevel="0" collapsed="false">
      <c r="A4130" s="0" t="s">
        <v>21</v>
      </c>
      <c r="B4130" s="0" t="s">
        <v>13138</v>
      </c>
      <c r="C4130" s="0" t="s">
        <v>97</v>
      </c>
      <c r="D4130" s="0" t="s">
        <v>13139</v>
      </c>
      <c r="E4130" s="0" t="s">
        <v>13140</v>
      </c>
      <c r="M4130" s="0" t="s">
        <v>136</v>
      </c>
      <c r="N4130" s="0" t="s">
        <v>124</v>
      </c>
      <c r="P4130" s="0" t="s">
        <v>102</v>
      </c>
      <c r="Q4130" s="0" t="s">
        <v>102</v>
      </c>
      <c r="R4130" s="0" t="s">
        <v>131</v>
      </c>
      <c r="S4130" s="0" t="s">
        <v>21</v>
      </c>
      <c r="T4130" s="0" t="s">
        <v>104</v>
      </c>
      <c r="W4130" s="0" t="s">
        <v>105</v>
      </c>
    </row>
    <row r="4131" customFormat="false" ht="15" hidden="false" customHeight="false" outlineLevel="0" collapsed="false">
      <c r="A4131" s="0" t="s">
        <v>21</v>
      </c>
      <c r="B4131" s="0" t="s">
        <v>13141</v>
      </c>
      <c r="C4131" s="0" t="s">
        <v>97</v>
      </c>
      <c r="D4131" s="0" t="s">
        <v>13142</v>
      </c>
      <c r="E4131" s="0" t="s">
        <v>13143</v>
      </c>
      <c r="M4131" s="0" t="s">
        <v>136</v>
      </c>
      <c r="N4131" s="0" t="s">
        <v>124</v>
      </c>
      <c r="P4131" s="0" t="s">
        <v>102</v>
      </c>
      <c r="Q4131" s="0" t="s">
        <v>102</v>
      </c>
      <c r="R4131" s="0" t="s">
        <v>131</v>
      </c>
      <c r="S4131" s="0" t="s">
        <v>21</v>
      </c>
      <c r="T4131" s="0" t="s">
        <v>104</v>
      </c>
      <c r="W4131" s="0" t="s">
        <v>105</v>
      </c>
    </row>
    <row r="4132" customFormat="false" ht="15" hidden="false" customHeight="false" outlineLevel="0" collapsed="false">
      <c r="A4132" s="0" t="s">
        <v>21</v>
      </c>
      <c r="B4132" s="0" t="s">
        <v>13144</v>
      </c>
      <c r="C4132" s="0" t="s">
        <v>97</v>
      </c>
      <c r="D4132" s="0" t="s">
        <v>13145</v>
      </c>
      <c r="E4132" s="0" t="s">
        <v>13146</v>
      </c>
      <c r="M4132" s="0" t="s">
        <v>136</v>
      </c>
      <c r="N4132" s="0" t="s">
        <v>124</v>
      </c>
      <c r="P4132" s="0" t="s">
        <v>102</v>
      </c>
      <c r="Q4132" s="0" t="s">
        <v>102</v>
      </c>
      <c r="R4132" s="0" t="s">
        <v>131</v>
      </c>
      <c r="S4132" s="0" t="s">
        <v>21</v>
      </c>
      <c r="T4132" s="0" t="s">
        <v>104</v>
      </c>
      <c r="W4132" s="0" t="s">
        <v>105</v>
      </c>
    </row>
    <row r="4133" customFormat="false" ht="15" hidden="false" customHeight="false" outlineLevel="0" collapsed="false">
      <c r="A4133" s="0" t="s">
        <v>21</v>
      </c>
      <c r="B4133" s="0" t="s">
        <v>13147</v>
      </c>
      <c r="C4133" s="0" t="s">
        <v>97</v>
      </c>
      <c r="D4133" s="0" t="s">
        <v>7654</v>
      </c>
      <c r="E4133" s="0" t="s">
        <v>13148</v>
      </c>
      <c r="M4133" s="0" t="s">
        <v>100</v>
      </c>
      <c r="N4133" s="0" t="s">
        <v>101</v>
      </c>
      <c r="P4133" s="0" t="s">
        <v>102</v>
      </c>
      <c r="Q4133" s="0" t="s">
        <v>102</v>
      </c>
      <c r="R4133" s="0" t="s">
        <v>144</v>
      </c>
      <c r="S4133" s="0" t="s">
        <v>21</v>
      </c>
      <c r="T4133" s="0" t="s">
        <v>104</v>
      </c>
      <c r="W4133" s="0" t="s">
        <v>105</v>
      </c>
    </row>
    <row r="4134" customFormat="false" ht="15" hidden="false" customHeight="false" outlineLevel="0" collapsed="false">
      <c r="A4134" s="0" t="s">
        <v>21</v>
      </c>
      <c r="B4134" s="0" t="s">
        <v>13149</v>
      </c>
      <c r="C4134" s="0" t="s">
        <v>97</v>
      </c>
      <c r="D4134" s="0" t="s">
        <v>13150</v>
      </c>
      <c r="E4134" s="0" t="s">
        <v>13151</v>
      </c>
      <c r="M4134" s="0" t="s">
        <v>136</v>
      </c>
      <c r="N4134" s="0" t="s">
        <v>124</v>
      </c>
      <c r="P4134" s="0" t="s">
        <v>102</v>
      </c>
      <c r="Q4134" s="0" t="s">
        <v>102</v>
      </c>
      <c r="R4134" s="0" t="s">
        <v>113</v>
      </c>
      <c r="S4134" s="0" t="s">
        <v>21</v>
      </c>
      <c r="T4134" s="0" t="s">
        <v>104</v>
      </c>
      <c r="W4134" s="0" t="s">
        <v>105</v>
      </c>
    </row>
    <row r="4135" customFormat="false" ht="15" hidden="false" customHeight="false" outlineLevel="0" collapsed="false">
      <c r="A4135" s="0" t="s">
        <v>21</v>
      </c>
      <c r="B4135" s="0" t="s">
        <v>13152</v>
      </c>
      <c r="C4135" s="0" t="s">
        <v>97</v>
      </c>
      <c r="D4135" s="0" t="s">
        <v>13153</v>
      </c>
      <c r="E4135" s="0" t="s">
        <v>13154</v>
      </c>
      <c r="M4135" s="0" t="s">
        <v>656</v>
      </c>
      <c r="N4135" s="0" t="s">
        <v>101</v>
      </c>
      <c r="P4135" s="0" t="s">
        <v>102</v>
      </c>
      <c r="Q4135" s="0" t="s">
        <v>102</v>
      </c>
      <c r="R4135" s="0" t="s">
        <v>113</v>
      </c>
      <c r="S4135" s="0" t="s">
        <v>21</v>
      </c>
      <c r="T4135" s="0" t="s">
        <v>104</v>
      </c>
      <c r="W4135" s="0" t="s">
        <v>105</v>
      </c>
    </row>
    <row r="4136" customFormat="false" ht="15" hidden="false" customHeight="false" outlineLevel="0" collapsed="false">
      <c r="A4136" s="0" t="s">
        <v>21</v>
      </c>
      <c r="B4136" s="0" t="s">
        <v>13155</v>
      </c>
      <c r="C4136" s="0" t="s">
        <v>97</v>
      </c>
      <c r="D4136" s="0" t="s">
        <v>13156</v>
      </c>
      <c r="E4136" s="0" t="s">
        <v>13157</v>
      </c>
      <c r="M4136" s="0" t="s">
        <v>136</v>
      </c>
      <c r="N4136" s="0" t="s">
        <v>124</v>
      </c>
      <c r="P4136" s="0" t="s">
        <v>102</v>
      </c>
      <c r="Q4136" s="0" t="s">
        <v>102</v>
      </c>
      <c r="R4136" s="0" t="s">
        <v>144</v>
      </c>
      <c r="S4136" s="0" t="s">
        <v>21</v>
      </c>
      <c r="T4136" s="0" t="s">
        <v>104</v>
      </c>
      <c r="W4136" s="0" t="s">
        <v>105</v>
      </c>
    </row>
    <row r="4137" customFormat="false" ht="15" hidden="false" customHeight="false" outlineLevel="0" collapsed="false">
      <c r="A4137" s="0" t="s">
        <v>21</v>
      </c>
      <c r="B4137" s="0" t="s">
        <v>13158</v>
      </c>
      <c r="C4137" s="0" t="s">
        <v>97</v>
      </c>
      <c r="D4137" s="0" t="s">
        <v>13159</v>
      </c>
      <c r="E4137" s="0" t="s">
        <v>13160</v>
      </c>
      <c r="M4137" s="0" t="s">
        <v>656</v>
      </c>
      <c r="N4137" s="0" t="s">
        <v>101</v>
      </c>
      <c r="P4137" s="0" t="s">
        <v>102</v>
      </c>
      <c r="Q4137" s="0" t="s">
        <v>102</v>
      </c>
      <c r="R4137" s="0" t="s">
        <v>113</v>
      </c>
      <c r="S4137" s="0" t="s">
        <v>21</v>
      </c>
      <c r="T4137" s="0" t="s">
        <v>104</v>
      </c>
      <c r="W4137" s="0" t="s">
        <v>105</v>
      </c>
    </row>
    <row r="4138" customFormat="false" ht="15" hidden="false" customHeight="false" outlineLevel="0" collapsed="false">
      <c r="A4138" s="0" t="s">
        <v>21</v>
      </c>
      <c r="B4138" s="0" t="s">
        <v>13161</v>
      </c>
      <c r="C4138" s="0" t="s">
        <v>97</v>
      </c>
      <c r="D4138" s="0" t="s">
        <v>13162</v>
      </c>
      <c r="E4138" s="0" t="s">
        <v>13162</v>
      </c>
      <c r="M4138" s="0" t="s">
        <v>136</v>
      </c>
      <c r="N4138" s="0" t="s">
        <v>124</v>
      </c>
      <c r="P4138" s="0" t="s">
        <v>102</v>
      </c>
      <c r="Q4138" s="0" t="s">
        <v>102</v>
      </c>
      <c r="R4138" s="0" t="s">
        <v>113</v>
      </c>
      <c r="S4138" s="0" t="s">
        <v>21</v>
      </c>
      <c r="T4138" s="0" t="s">
        <v>104</v>
      </c>
      <c r="W4138" s="0" t="s">
        <v>105</v>
      </c>
    </row>
    <row r="4139" customFormat="false" ht="15" hidden="false" customHeight="false" outlineLevel="0" collapsed="false">
      <c r="A4139" s="0" t="s">
        <v>21</v>
      </c>
      <c r="B4139" s="0" t="s">
        <v>13163</v>
      </c>
      <c r="C4139" s="0" t="s">
        <v>97</v>
      </c>
      <c r="D4139" s="0" t="s">
        <v>13164</v>
      </c>
      <c r="E4139" s="0" t="s">
        <v>13165</v>
      </c>
      <c r="M4139" s="0" t="s">
        <v>136</v>
      </c>
      <c r="N4139" s="0" t="s">
        <v>124</v>
      </c>
      <c r="P4139" s="0" t="s">
        <v>102</v>
      </c>
      <c r="Q4139" s="0" t="s">
        <v>102</v>
      </c>
      <c r="R4139" s="0" t="s">
        <v>131</v>
      </c>
      <c r="S4139" s="0" t="s">
        <v>21</v>
      </c>
      <c r="T4139" s="0" t="s">
        <v>104</v>
      </c>
      <c r="W4139" s="0" t="s">
        <v>105</v>
      </c>
    </row>
    <row r="4140" customFormat="false" ht="15" hidden="false" customHeight="false" outlineLevel="0" collapsed="false">
      <c r="A4140" s="0" t="s">
        <v>21</v>
      </c>
      <c r="B4140" s="0" t="s">
        <v>13166</v>
      </c>
      <c r="C4140" s="0" t="s">
        <v>174</v>
      </c>
      <c r="D4140" s="0" t="s">
        <v>13167</v>
      </c>
      <c r="E4140" s="0" t="s">
        <v>13167</v>
      </c>
      <c r="F4140" s="0" t="s">
        <v>606</v>
      </c>
      <c r="M4140" s="0" t="s">
        <v>178</v>
      </c>
      <c r="N4140" s="0" t="s">
        <v>124</v>
      </c>
      <c r="P4140" s="0" t="s">
        <v>102</v>
      </c>
      <c r="Q4140" s="0" t="s">
        <v>102</v>
      </c>
      <c r="R4140" s="0" t="s">
        <v>131</v>
      </c>
      <c r="S4140" s="0" t="s">
        <v>21</v>
      </c>
      <c r="T4140" s="0" t="s">
        <v>104</v>
      </c>
      <c r="W4140" s="0" t="s">
        <v>105</v>
      </c>
    </row>
    <row r="4141" customFormat="false" ht="15" hidden="false" customHeight="false" outlineLevel="0" collapsed="false">
      <c r="A4141" s="0" t="s">
        <v>21</v>
      </c>
      <c r="B4141" s="0" t="s">
        <v>13168</v>
      </c>
      <c r="C4141" s="0" t="s">
        <v>97</v>
      </c>
      <c r="D4141" s="0" t="s">
        <v>13169</v>
      </c>
      <c r="E4141" s="0" t="s">
        <v>13170</v>
      </c>
      <c r="M4141" s="0" t="s">
        <v>136</v>
      </c>
      <c r="N4141" s="0" t="s">
        <v>124</v>
      </c>
      <c r="P4141" s="0" t="s">
        <v>102</v>
      </c>
      <c r="Q4141" s="0" t="s">
        <v>102</v>
      </c>
      <c r="R4141" s="0" t="s">
        <v>131</v>
      </c>
      <c r="S4141" s="0" t="s">
        <v>21</v>
      </c>
      <c r="T4141" s="0" t="s">
        <v>104</v>
      </c>
      <c r="W4141" s="0" t="s">
        <v>105</v>
      </c>
    </row>
    <row r="4142" customFormat="false" ht="15" hidden="false" customHeight="false" outlineLevel="0" collapsed="false">
      <c r="A4142" s="0" t="s">
        <v>21</v>
      </c>
      <c r="B4142" s="0" t="s">
        <v>13171</v>
      </c>
      <c r="C4142" s="0" t="s">
        <v>97</v>
      </c>
      <c r="D4142" s="0" t="s">
        <v>13172</v>
      </c>
      <c r="E4142" s="0" t="s">
        <v>13173</v>
      </c>
      <c r="M4142" s="0" t="s">
        <v>136</v>
      </c>
      <c r="N4142" s="0" t="s">
        <v>124</v>
      </c>
      <c r="P4142" s="0" t="s">
        <v>102</v>
      </c>
      <c r="Q4142" s="0" t="s">
        <v>102</v>
      </c>
      <c r="R4142" s="0" t="s">
        <v>144</v>
      </c>
      <c r="S4142" s="0" t="s">
        <v>21</v>
      </c>
      <c r="T4142" s="0" t="s">
        <v>104</v>
      </c>
      <c r="W4142" s="0" t="s">
        <v>105</v>
      </c>
    </row>
    <row r="4143" customFormat="false" ht="15" hidden="false" customHeight="false" outlineLevel="0" collapsed="false">
      <c r="A4143" s="0" t="s">
        <v>21</v>
      </c>
      <c r="B4143" s="0" t="s">
        <v>13174</v>
      </c>
      <c r="C4143" s="0" t="s">
        <v>6084</v>
      </c>
      <c r="D4143" s="0" t="s">
        <v>13175</v>
      </c>
      <c r="E4143" s="0" t="s">
        <v>13176</v>
      </c>
      <c r="G4143" s="0" t="s">
        <v>13177</v>
      </c>
      <c r="H4143" s="0" t="s">
        <v>6982</v>
      </c>
      <c r="I4143" s="0" t="s">
        <v>6983</v>
      </c>
      <c r="J4143" s="0" t="s">
        <v>254</v>
      </c>
      <c r="K4143" s="0" t="s">
        <v>757</v>
      </c>
      <c r="L4143" s="0" t="s">
        <v>124</v>
      </c>
      <c r="M4143" s="0" t="s">
        <v>262</v>
      </c>
      <c r="N4143" s="0" t="s">
        <v>124</v>
      </c>
      <c r="P4143" s="0" t="s">
        <v>102</v>
      </c>
      <c r="Q4143" s="0" t="s">
        <v>102</v>
      </c>
      <c r="R4143" s="0" t="s">
        <v>137</v>
      </c>
      <c r="S4143" s="0" t="s">
        <v>21</v>
      </c>
      <c r="T4143" s="0" t="s">
        <v>104</v>
      </c>
      <c r="W4143" s="0" t="s">
        <v>105</v>
      </c>
      <c r="X4143" s="0" t="s">
        <v>13178</v>
      </c>
      <c r="Y4143" s="0" t="s">
        <v>13179</v>
      </c>
      <c r="Z4143" s="0" t="s">
        <v>159</v>
      </c>
    </row>
    <row r="4144" customFormat="false" ht="15" hidden="false" customHeight="false" outlineLevel="0" collapsed="false">
      <c r="A4144" s="0" t="s">
        <v>21</v>
      </c>
      <c r="B4144" s="0" t="s">
        <v>13180</v>
      </c>
      <c r="C4144" s="0" t="s">
        <v>97</v>
      </c>
      <c r="D4144" s="0" t="s">
        <v>13181</v>
      </c>
      <c r="E4144" s="0" t="s">
        <v>13182</v>
      </c>
      <c r="M4144" s="0" t="s">
        <v>136</v>
      </c>
      <c r="N4144" s="0" t="s">
        <v>124</v>
      </c>
      <c r="P4144" s="0" t="s">
        <v>102</v>
      </c>
      <c r="Q4144" s="0" t="s">
        <v>102</v>
      </c>
      <c r="R4144" s="0" t="s">
        <v>144</v>
      </c>
      <c r="S4144" s="0" t="s">
        <v>21</v>
      </c>
      <c r="T4144" s="0" t="s">
        <v>104</v>
      </c>
      <c r="W4144" s="0" t="s">
        <v>105</v>
      </c>
    </row>
    <row r="4145" customFormat="false" ht="15" hidden="false" customHeight="false" outlineLevel="0" collapsed="false">
      <c r="A4145" s="0" t="s">
        <v>21</v>
      </c>
      <c r="B4145" s="0" t="s">
        <v>13183</v>
      </c>
      <c r="C4145" s="0" t="s">
        <v>97</v>
      </c>
      <c r="D4145" s="0" t="s">
        <v>13184</v>
      </c>
      <c r="E4145" s="0" t="s">
        <v>13185</v>
      </c>
      <c r="M4145" s="0" t="s">
        <v>136</v>
      </c>
      <c r="N4145" s="0" t="s">
        <v>124</v>
      </c>
      <c r="P4145" s="0" t="s">
        <v>102</v>
      </c>
      <c r="Q4145" s="0" t="s">
        <v>102</v>
      </c>
      <c r="R4145" s="0" t="s">
        <v>144</v>
      </c>
      <c r="S4145" s="0" t="s">
        <v>21</v>
      </c>
      <c r="T4145" s="0" t="s">
        <v>104</v>
      </c>
      <c r="W4145" s="0" t="s">
        <v>105</v>
      </c>
    </row>
    <row r="4146" customFormat="false" ht="15" hidden="false" customHeight="false" outlineLevel="0" collapsed="false">
      <c r="A4146" s="0" t="s">
        <v>21</v>
      </c>
      <c r="B4146" s="0" t="s">
        <v>13186</v>
      </c>
      <c r="C4146" s="0" t="s">
        <v>97</v>
      </c>
      <c r="D4146" s="0" t="s">
        <v>13187</v>
      </c>
      <c r="E4146" s="0" t="s">
        <v>13188</v>
      </c>
      <c r="M4146" s="0" t="s">
        <v>136</v>
      </c>
      <c r="N4146" s="0" t="s">
        <v>124</v>
      </c>
      <c r="P4146" s="0" t="s">
        <v>102</v>
      </c>
      <c r="Q4146" s="0" t="s">
        <v>102</v>
      </c>
      <c r="R4146" s="0" t="s">
        <v>131</v>
      </c>
      <c r="S4146" s="0" t="s">
        <v>21</v>
      </c>
      <c r="T4146" s="0" t="s">
        <v>104</v>
      </c>
      <c r="W4146" s="0" t="s">
        <v>105</v>
      </c>
    </row>
    <row r="4147" customFormat="false" ht="15" hidden="false" customHeight="false" outlineLevel="0" collapsed="false">
      <c r="A4147" s="0" t="s">
        <v>21</v>
      </c>
      <c r="B4147" s="0" t="s">
        <v>13189</v>
      </c>
      <c r="C4147" s="0" t="s">
        <v>97</v>
      </c>
      <c r="D4147" s="0" t="s">
        <v>13190</v>
      </c>
      <c r="E4147" s="0" t="s">
        <v>13191</v>
      </c>
      <c r="M4147" s="0" t="s">
        <v>136</v>
      </c>
      <c r="N4147" s="0" t="s">
        <v>124</v>
      </c>
      <c r="P4147" s="0" t="s">
        <v>102</v>
      </c>
      <c r="Q4147" s="0" t="s">
        <v>102</v>
      </c>
      <c r="R4147" s="0" t="s">
        <v>804</v>
      </c>
      <c r="S4147" s="0" t="s">
        <v>21</v>
      </c>
      <c r="T4147" s="0" t="s">
        <v>104</v>
      </c>
      <c r="W4147" s="0" t="s">
        <v>105</v>
      </c>
    </row>
    <row r="4148" customFormat="false" ht="15" hidden="false" customHeight="false" outlineLevel="0" collapsed="false">
      <c r="A4148" s="0" t="s">
        <v>21</v>
      </c>
      <c r="B4148" s="0" t="s">
        <v>13192</v>
      </c>
      <c r="C4148" s="0" t="s">
        <v>97</v>
      </c>
      <c r="D4148" s="0" t="s">
        <v>13193</v>
      </c>
      <c r="E4148" s="0" t="s">
        <v>13194</v>
      </c>
      <c r="M4148" s="0" t="s">
        <v>136</v>
      </c>
      <c r="N4148" s="0" t="s">
        <v>124</v>
      </c>
      <c r="P4148" s="0" t="s">
        <v>102</v>
      </c>
      <c r="Q4148" s="0" t="s">
        <v>102</v>
      </c>
      <c r="R4148" s="0" t="s">
        <v>113</v>
      </c>
      <c r="S4148" s="0" t="s">
        <v>21</v>
      </c>
      <c r="T4148" s="0" t="s">
        <v>104</v>
      </c>
      <c r="W4148" s="0" t="s">
        <v>105</v>
      </c>
    </row>
    <row r="4149" customFormat="false" ht="15" hidden="false" customHeight="false" outlineLevel="0" collapsed="false">
      <c r="A4149" s="0" t="s">
        <v>21</v>
      </c>
      <c r="B4149" s="0" t="s">
        <v>13195</v>
      </c>
      <c r="C4149" s="0" t="s">
        <v>97</v>
      </c>
      <c r="D4149" s="0" t="s">
        <v>5476</v>
      </c>
      <c r="E4149" s="0" t="s">
        <v>5477</v>
      </c>
      <c r="M4149" s="0" t="s">
        <v>136</v>
      </c>
      <c r="N4149" s="0" t="s">
        <v>124</v>
      </c>
      <c r="P4149" s="0" t="s">
        <v>102</v>
      </c>
      <c r="Q4149" s="0" t="s">
        <v>102</v>
      </c>
      <c r="R4149" s="0" t="s">
        <v>113</v>
      </c>
      <c r="S4149" s="0" t="s">
        <v>21</v>
      </c>
      <c r="T4149" s="0" t="s">
        <v>104</v>
      </c>
      <c r="W4149" s="0" t="s">
        <v>105</v>
      </c>
    </row>
    <row r="4150" customFormat="false" ht="15" hidden="false" customHeight="false" outlineLevel="0" collapsed="false">
      <c r="A4150" s="0" t="s">
        <v>21</v>
      </c>
      <c r="B4150" s="0" t="s">
        <v>13196</v>
      </c>
      <c r="C4150" s="0" t="s">
        <v>97</v>
      </c>
      <c r="D4150" s="0" t="s">
        <v>13197</v>
      </c>
      <c r="E4150" s="0" t="s">
        <v>13198</v>
      </c>
      <c r="M4150" s="0" t="s">
        <v>136</v>
      </c>
      <c r="N4150" s="0" t="s">
        <v>124</v>
      </c>
      <c r="P4150" s="0" t="s">
        <v>102</v>
      </c>
      <c r="Q4150" s="0" t="s">
        <v>102</v>
      </c>
      <c r="R4150" s="0" t="s">
        <v>113</v>
      </c>
      <c r="S4150" s="0" t="s">
        <v>21</v>
      </c>
      <c r="T4150" s="0" t="s">
        <v>104</v>
      </c>
      <c r="W4150" s="0" t="s">
        <v>105</v>
      </c>
    </row>
    <row r="4151" customFormat="false" ht="15" hidden="false" customHeight="false" outlineLevel="0" collapsed="false">
      <c r="A4151" s="0" t="s">
        <v>21</v>
      </c>
      <c r="B4151" s="0" t="s">
        <v>13199</v>
      </c>
      <c r="C4151" s="0" t="s">
        <v>97</v>
      </c>
      <c r="D4151" s="0" t="s">
        <v>13200</v>
      </c>
      <c r="E4151" s="0" t="s">
        <v>13201</v>
      </c>
      <c r="M4151" s="0" t="s">
        <v>136</v>
      </c>
      <c r="N4151" s="0" t="s">
        <v>124</v>
      </c>
      <c r="P4151" s="0" t="s">
        <v>102</v>
      </c>
      <c r="Q4151" s="0" t="s">
        <v>102</v>
      </c>
      <c r="R4151" s="0" t="s">
        <v>144</v>
      </c>
      <c r="S4151" s="0" t="s">
        <v>21</v>
      </c>
      <c r="T4151" s="0" t="s">
        <v>104</v>
      </c>
      <c r="W4151" s="0" t="s">
        <v>105</v>
      </c>
    </row>
    <row r="4152" customFormat="false" ht="15" hidden="false" customHeight="false" outlineLevel="0" collapsed="false">
      <c r="A4152" s="0" t="s">
        <v>21</v>
      </c>
      <c r="B4152" s="0" t="s">
        <v>13202</v>
      </c>
      <c r="C4152" s="0" t="s">
        <v>97</v>
      </c>
      <c r="D4152" s="0" t="s">
        <v>13203</v>
      </c>
      <c r="E4152" s="0" t="s">
        <v>13204</v>
      </c>
      <c r="M4152" s="0" t="s">
        <v>136</v>
      </c>
      <c r="N4152" s="0" t="s">
        <v>124</v>
      </c>
      <c r="P4152" s="0" t="s">
        <v>102</v>
      </c>
      <c r="Q4152" s="0" t="s">
        <v>102</v>
      </c>
      <c r="R4152" s="0" t="s">
        <v>144</v>
      </c>
      <c r="S4152" s="0" t="s">
        <v>21</v>
      </c>
      <c r="T4152" s="0" t="s">
        <v>104</v>
      </c>
      <c r="W4152" s="0" t="s">
        <v>105</v>
      </c>
    </row>
    <row r="4153" customFormat="false" ht="15" hidden="false" customHeight="false" outlineLevel="0" collapsed="false">
      <c r="A4153" s="0" t="s">
        <v>21</v>
      </c>
      <c r="B4153" s="0" t="s">
        <v>13205</v>
      </c>
      <c r="C4153" s="0" t="s">
        <v>97</v>
      </c>
      <c r="D4153" s="0" t="s">
        <v>6979</v>
      </c>
      <c r="E4153" s="0" t="s">
        <v>13206</v>
      </c>
      <c r="M4153" s="0" t="s">
        <v>136</v>
      </c>
      <c r="N4153" s="0" t="s">
        <v>124</v>
      </c>
      <c r="P4153" s="0" t="s">
        <v>102</v>
      </c>
      <c r="Q4153" s="0" t="s">
        <v>102</v>
      </c>
      <c r="R4153" s="0" t="s">
        <v>113</v>
      </c>
      <c r="S4153" s="0" t="s">
        <v>21</v>
      </c>
      <c r="T4153" s="0" t="s">
        <v>104</v>
      </c>
      <c r="W4153" s="0" t="s">
        <v>105</v>
      </c>
    </row>
    <row r="4154" customFormat="false" ht="15" hidden="false" customHeight="false" outlineLevel="0" collapsed="false">
      <c r="A4154" s="0" t="s">
        <v>21</v>
      </c>
      <c r="B4154" s="0" t="s">
        <v>13207</v>
      </c>
      <c r="C4154" s="0" t="s">
        <v>7200</v>
      </c>
      <c r="D4154" s="0" t="s">
        <v>13208</v>
      </c>
      <c r="E4154" s="0" t="s">
        <v>13209</v>
      </c>
      <c r="G4154" s="0" t="s">
        <v>13210</v>
      </c>
      <c r="H4154" s="0" t="s">
        <v>13211</v>
      </c>
      <c r="I4154" s="0" t="s">
        <v>13212</v>
      </c>
      <c r="J4154" s="0" t="s">
        <v>254</v>
      </c>
      <c r="K4154" s="0" t="s">
        <v>757</v>
      </c>
      <c r="L4154" s="0" t="s">
        <v>124</v>
      </c>
      <c r="M4154" s="0" t="s">
        <v>208</v>
      </c>
      <c r="N4154" s="0" t="s">
        <v>124</v>
      </c>
      <c r="P4154" s="0" t="s">
        <v>102</v>
      </c>
      <c r="Q4154" s="0" t="s">
        <v>102</v>
      </c>
      <c r="R4154" s="0" t="s">
        <v>113</v>
      </c>
      <c r="S4154" s="0" t="s">
        <v>21</v>
      </c>
      <c r="T4154" s="0" t="s">
        <v>104</v>
      </c>
      <c r="W4154" s="0" t="s">
        <v>105</v>
      </c>
      <c r="X4154" s="0" t="s">
        <v>13213</v>
      </c>
      <c r="Y4154" s="0" t="s">
        <v>13214</v>
      </c>
      <c r="Z4154" s="0" t="s">
        <v>382</v>
      </c>
    </row>
    <row r="4155" customFormat="false" ht="15" hidden="false" customHeight="false" outlineLevel="0" collapsed="false">
      <c r="A4155" s="0" t="s">
        <v>21</v>
      </c>
      <c r="B4155" s="0" t="s">
        <v>13215</v>
      </c>
      <c r="C4155" s="0" t="s">
        <v>97</v>
      </c>
      <c r="D4155" s="0" t="s">
        <v>13216</v>
      </c>
      <c r="E4155" s="0" t="s">
        <v>13216</v>
      </c>
      <c r="M4155" s="0" t="s">
        <v>136</v>
      </c>
      <c r="N4155" s="0" t="s">
        <v>124</v>
      </c>
      <c r="P4155" s="0" t="s">
        <v>102</v>
      </c>
      <c r="Q4155" s="0" t="s">
        <v>102</v>
      </c>
      <c r="R4155" s="0" t="s">
        <v>131</v>
      </c>
      <c r="S4155" s="0" t="s">
        <v>21</v>
      </c>
      <c r="T4155" s="0" t="s">
        <v>104</v>
      </c>
      <c r="W4155" s="0" t="s">
        <v>105</v>
      </c>
    </row>
    <row r="4156" customFormat="false" ht="15" hidden="false" customHeight="false" outlineLevel="0" collapsed="false">
      <c r="A4156" s="0" t="s">
        <v>21</v>
      </c>
      <c r="B4156" s="0" t="s">
        <v>13217</v>
      </c>
      <c r="C4156" s="0" t="s">
        <v>97</v>
      </c>
      <c r="D4156" s="0" t="s">
        <v>13218</v>
      </c>
      <c r="E4156" s="0" t="s">
        <v>13219</v>
      </c>
      <c r="M4156" s="0" t="s">
        <v>136</v>
      </c>
      <c r="N4156" s="0" t="s">
        <v>124</v>
      </c>
      <c r="P4156" s="0" t="s">
        <v>102</v>
      </c>
      <c r="Q4156" s="0" t="s">
        <v>102</v>
      </c>
      <c r="R4156" s="0" t="s">
        <v>113</v>
      </c>
      <c r="S4156" s="0" t="s">
        <v>21</v>
      </c>
      <c r="T4156" s="0" t="s">
        <v>104</v>
      </c>
      <c r="W4156" s="0" t="s">
        <v>105</v>
      </c>
    </row>
    <row r="4157" customFormat="false" ht="15" hidden="false" customHeight="false" outlineLevel="0" collapsed="false">
      <c r="A4157" s="0" t="s">
        <v>21</v>
      </c>
      <c r="B4157" s="0" t="s">
        <v>13220</v>
      </c>
      <c r="C4157" s="0" t="s">
        <v>97</v>
      </c>
      <c r="D4157" s="0" t="s">
        <v>13221</v>
      </c>
      <c r="E4157" s="0" t="s">
        <v>13222</v>
      </c>
      <c r="M4157" s="0" t="s">
        <v>136</v>
      </c>
      <c r="N4157" s="0" t="s">
        <v>124</v>
      </c>
      <c r="P4157" s="0" t="s">
        <v>102</v>
      </c>
      <c r="Q4157" s="0" t="s">
        <v>102</v>
      </c>
      <c r="R4157" s="0" t="s">
        <v>131</v>
      </c>
      <c r="S4157" s="0" t="s">
        <v>21</v>
      </c>
      <c r="T4157" s="0" t="s">
        <v>104</v>
      </c>
      <c r="W4157" s="0" t="s">
        <v>105</v>
      </c>
    </row>
    <row r="4158" customFormat="false" ht="15" hidden="false" customHeight="false" outlineLevel="0" collapsed="false">
      <c r="A4158" s="0" t="s">
        <v>21</v>
      </c>
      <c r="B4158" s="0" t="s">
        <v>13223</v>
      </c>
      <c r="C4158" s="0" t="s">
        <v>97</v>
      </c>
      <c r="D4158" s="0" t="s">
        <v>6584</v>
      </c>
      <c r="E4158" s="0" t="s">
        <v>13224</v>
      </c>
      <c r="M4158" s="0" t="s">
        <v>136</v>
      </c>
      <c r="N4158" s="0" t="s">
        <v>124</v>
      </c>
      <c r="P4158" s="0" t="s">
        <v>102</v>
      </c>
      <c r="Q4158" s="0" t="s">
        <v>102</v>
      </c>
      <c r="R4158" s="0" t="s">
        <v>131</v>
      </c>
      <c r="S4158" s="0" t="s">
        <v>21</v>
      </c>
      <c r="T4158" s="0" t="s">
        <v>104</v>
      </c>
      <c r="W4158" s="0" t="s">
        <v>105</v>
      </c>
    </row>
    <row r="4159" customFormat="false" ht="15" hidden="false" customHeight="false" outlineLevel="0" collapsed="false">
      <c r="A4159" s="0" t="s">
        <v>21</v>
      </c>
      <c r="B4159" s="0" t="s">
        <v>13225</v>
      </c>
      <c r="C4159" s="0" t="s">
        <v>97</v>
      </c>
      <c r="D4159" s="0" t="s">
        <v>13226</v>
      </c>
      <c r="E4159" s="0" t="s">
        <v>13227</v>
      </c>
      <c r="M4159" s="0" t="s">
        <v>136</v>
      </c>
      <c r="N4159" s="0" t="s">
        <v>124</v>
      </c>
      <c r="P4159" s="0" t="s">
        <v>102</v>
      </c>
      <c r="Q4159" s="0" t="s">
        <v>102</v>
      </c>
      <c r="R4159" s="0" t="s">
        <v>113</v>
      </c>
      <c r="S4159" s="0" t="s">
        <v>21</v>
      </c>
      <c r="T4159" s="0" t="s">
        <v>104</v>
      </c>
      <c r="W4159" s="0" t="s">
        <v>105</v>
      </c>
    </row>
    <row r="4160" customFormat="false" ht="15" hidden="false" customHeight="false" outlineLevel="0" collapsed="false">
      <c r="A4160" s="0" t="s">
        <v>21</v>
      </c>
      <c r="B4160" s="0" t="s">
        <v>13228</v>
      </c>
      <c r="C4160" s="0" t="s">
        <v>97</v>
      </c>
      <c r="D4160" s="0" t="s">
        <v>12660</v>
      </c>
      <c r="E4160" s="0" t="s">
        <v>13229</v>
      </c>
      <c r="M4160" s="0" t="s">
        <v>136</v>
      </c>
      <c r="N4160" s="0" t="s">
        <v>124</v>
      </c>
      <c r="P4160" s="0" t="s">
        <v>102</v>
      </c>
      <c r="Q4160" s="0" t="s">
        <v>102</v>
      </c>
      <c r="R4160" s="0" t="s">
        <v>131</v>
      </c>
      <c r="S4160" s="0" t="s">
        <v>21</v>
      </c>
      <c r="T4160" s="0" t="s">
        <v>104</v>
      </c>
      <c r="W4160" s="0" t="s">
        <v>105</v>
      </c>
    </row>
    <row r="4161" customFormat="false" ht="15" hidden="false" customHeight="false" outlineLevel="0" collapsed="false">
      <c r="A4161" s="0" t="s">
        <v>21</v>
      </c>
      <c r="B4161" s="0" t="s">
        <v>13230</v>
      </c>
      <c r="C4161" s="0" t="s">
        <v>97</v>
      </c>
      <c r="D4161" s="0" t="s">
        <v>13231</v>
      </c>
      <c r="E4161" s="0" t="s">
        <v>13232</v>
      </c>
      <c r="M4161" s="0" t="s">
        <v>136</v>
      </c>
      <c r="N4161" s="0" t="s">
        <v>124</v>
      </c>
      <c r="P4161" s="0" t="s">
        <v>102</v>
      </c>
      <c r="Q4161" s="0" t="s">
        <v>102</v>
      </c>
      <c r="R4161" s="0" t="s">
        <v>113</v>
      </c>
      <c r="S4161" s="0" t="s">
        <v>21</v>
      </c>
      <c r="T4161" s="0" t="s">
        <v>104</v>
      </c>
      <c r="W4161" s="0" t="s">
        <v>105</v>
      </c>
    </row>
    <row r="4162" customFormat="false" ht="15" hidden="false" customHeight="false" outlineLevel="0" collapsed="false">
      <c r="A4162" s="0" t="s">
        <v>21</v>
      </c>
      <c r="B4162" s="0" t="s">
        <v>13233</v>
      </c>
      <c r="C4162" s="0" t="s">
        <v>97</v>
      </c>
      <c r="D4162" s="0" t="s">
        <v>13234</v>
      </c>
      <c r="E4162" s="0" t="s">
        <v>13235</v>
      </c>
      <c r="M4162" s="0" t="s">
        <v>136</v>
      </c>
      <c r="N4162" s="0" t="s">
        <v>124</v>
      </c>
      <c r="P4162" s="0" t="s">
        <v>102</v>
      </c>
      <c r="Q4162" s="0" t="s">
        <v>102</v>
      </c>
      <c r="R4162" s="0" t="s">
        <v>113</v>
      </c>
      <c r="S4162" s="0" t="s">
        <v>21</v>
      </c>
      <c r="T4162" s="0" t="s">
        <v>104</v>
      </c>
      <c r="W4162" s="0" t="s">
        <v>105</v>
      </c>
    </row>
    <row r="4163" customFormat="false" ht="15" hidden="false" customHeight="false" outlineLevel="0" collapsed="false">
      <c r="A4163" s="0" t="s">
        <v>21</v>
      </c>
      <c r="B4163" s="0" t="s">
        <v>13236</v>
      </c>
      <c r="C4163" s="0" t="s">
        <v>97</v>
      </c>
      <c r="D4163" s="0" t="s">
        <v>13237</v>
      </c>
      <c r="E4163" s="0" t="s">
        <v>13238</v>
      </c>
      <c r="M4163" s="0" t="s">
        <v>136</v>
      </c>
      <c r="N4163" s="0" t="s">
        <v>124</v>
      </c>
      <c r="P4163" s="0" t="s">
        <v>102</v>
      </c>
      <c r="Q4163" s="0" t="s">
        <v>102</v>
      </c>
      <c r="R4163" s="0" t="s">
        <v>144</v>
      </c>
      <c r="S4163" s="0" t="s">
        <v>21</v>
      </c>
      <c r="T4163" s="0" t="s">
        <v>104</v>
      </c>
      <c r="W4163" s="0" t="s">
        <v>105</v>
      </c>
    </row>
    <row r="4164" customFormat="false" ht="15" hidden="false" customHeight="false" outlineLevel="0" collapsed="false">
      <c r="A4164" s="0" t="s">
        <v>21</v>
      </c>
      <c r="B4164" s="0" t="s">
        <v>13239</v>
      </c>
      <c r="C4164" s="0" t="s">
        <v>97</v>
      </c>
      <c r="D4164" s="0" t="s">
        <v>13240</v>
      </c>
      <c r="E4164" s="0" t="s">
        <v>13241</v>
      </c>
      <c r="M4164" s="0" t="s">
        <v>136</v>
      </c>
      <c r="N4164" s="0" t="s">
        <v>124</v>
      </c>
      <c r="P4164" s="0" t="s">
        <v>102</v>
      </c>
      <c r="Q4164" s="0" t="s">
        <v>102</v>
      </c>
      <c r="R4164" s="0" t="s">
        <v>131</v>
      </c>
      <c r="S4164" s="0" t="s">
        <v>21</v>
      </c>
      <c r="T4164" s="0" t="s">
        <v>104</v>
      </c>
      <c r="W4164" s="0" t="s">
        <v>105</v>
      </c>
    </row>
    <row r="4165" customFormat="false" ht="15" hidden="false" customHeight="false" outlineLevel="0" collapsed="false">
      <c r="A4165" s="0" t="s">
        <v>21</v>
      </c>
      <c r="B4165" s="0" t="s">
        <v>13242</v>
      </c>
      <c r="C4165" s="0" t="s">
        <v>97</v>
      </c>
      <c r="D4165" s="0" t="s">
        <v>13243</v>
      </c>
      <c r="E4165" s="0" t="s">
        <v>13243</v>
      </c>
      <c r="F4165" s="0" t="s">
        <v>13243</v>
      </c>
      <c r="M4165" s="0" t="s">
        <v>136</v>
      </c>
      <c r="N4165" s="0" t="s">
        <v>124</v>
      </c>
      <c r="P4165" s="0" t="s">
        <v>102</v>
      </c>
      <c r="Q4165" s="0" t="s">
        <v>102</v>
      </c>
      <c r="R4165" s="0" t="s">
        <v>131</v>
      </c>
      <c r="S4165" s="0" t="s">
        <v>21</v>
      </c>
      <c r="T4165" s="0" t="s">
        <v>104</v>
      </c>
      <c r="W4165" s="0" t="s">
        <v>105</v>
      </c>
    </row>
    <row r="4166" customFormat="false" ht="15" hidden="false" customHeight="false" outlineLevel="0" collapsed="false">
      <c r="A4166" s="0" t="s">
        <v>21</v>
      </c>
      <c r="B4166" s="0" t="s">
        <v>13244</v>
      </c>
      <c r="C4166" s="0" t="s">
        <v>97</v>
      </c>
      <c r="D4166" s="0" t="s">
        <v>13245</v>
      </c>
      <c r="E4166" s="0" t="s">
        <v>13245</v>
      </c>
      <c r="M4166" s="0" t="s">
        <v>136</v>
      </c>
      <c r="N4166" s="0" t="s">
        <v>124</v>
      </c>
      <c r="P4166" s="0" t="s">
        <v>102</v>
      </c>
      <c r="Q4166" s="0" t="s">
        <v>102</v>
      </c>
      <c r="R4166" s="0" t="s">
        <v>131</v>
      </c>
      <c r="S4166" s="0" t="s">
        <v>21</v>
      </c>
      <c r="T4166" s="0" t="s">
        <v>104</v>
      </c>
      <c r="W4166" s="0" t="s">
        <v>105</v>
      </c>
    </row>
    <row r="4167" customFormat="false" ht="15" hidden="false" customHeight="false" outlineLevel="0" collapsed="false">
      <c r="A4167" s="0" t="s">
        <v>21</v>
      </c>
      <c r="B4167" s="0" t="s">
        <v>13246</v>
      </c>
      <c r="C4167" s="0" t="s">
        <v>97</v>
      </c>
      <c r="D4167" s="0" t="s">
        <v>2040</v>
      </c>
      <c r="E4167" s="0" t="s">
        <v>13247</v>
      </c>
      <c r="M4167" s="0" t="s">
        <v>136</v>
      </c>
      <c r="N4167" s="0" t="s">
        <v>124</v>
      </c>
      <c r="P4167" s="0" t="s">
        <v>102</v>
      </c>
      <c r="Q4167" s="0" t="s">
        <v>102</v>
      </c>
      <c r="R4167" s="0" t="s">
        <v>804</v>
      </c>
      <c r="S4167" s="0" t="s">
        <v>21</v>
      </c>
      <c r="T4167" s="0" t="s">
        <v>104</v>
      </c>
      <c r="W4167" s="0" t="s">
        <v>105</v>
      </c>
    </row>
    <row r="4168" customFormat="false" ht="15" hidden="false" customHeight="false" outlineLevel="0" collapsed="false">
      <c r="A4168" s="0" t="s">
        <v>21</v>
      </c>
      <c r="B4168" s="0" t="s">
        <v>13248</v>
      </c>
      <c r="C4168" s="0" t="s">
        <v>97</v>
      </c>
      <c r="D4168" s="0" t="s">
        <v>13249</v>
      </c>
      <c r="E4168" s="0" t="s">
        <v>13250</v>
      </c>
      <c r="M4168" s="0" t="s">
        <v>136</v>
      </c>
      <c r="N4168" s="0" t="s">
        <v>124</v>
      </c>
      <c r="P4168" s="0" t="s">
        <v>102</v>
      </c>
      <c r="Q4168" s="0" t="s">
        <v>102</v>
      </c>
      <c r="R4168" s="0" t="s">
        <v>804</v>
      </c>
      <c r="S4168" s="0" t="s">
        <v>21</v>
      </c>
      <c r="T4168" s="0" t="s">
        <v>104</v>
      </c>
      <c r="W4168" s="0" t="s">
        <v>105</v>
      </c>
    </row>
    <row r="4169" customFormat="false" ht="15" hidden="false" customHeight="false" outlineLevel="0" collapsed="false">
      <c r="A4169" s="0" t="s">
        <v>21</v>
      </c>
      <c r="B4169" s="0" t="s">
        <v>13251</v>
      </c>
      <c r="C4169" s="0" t="s">
        <v>97</v>
      </c>
      <c r="D4169" s="0" t="s">
        <v>8614</v>
      </c>
      <c r="E4169" s="0" t="s">
        <v>13252</v>
      </c>
      <c r="M4169" s="0" t="s">
        <v>136</v>
      </c>
      <c r="N4169" s="0" t="s">
        <v>124</v>
      </c>
      <c r="P4169" s="0" t="s">
        <v>102</v>
      </c>
      <c r="Q4169" s="0" t="s">
        <v>102</v>
      </c>
      <c r="R4169" s="0" t="s">
        <v>804</v>
      </c>
      <c r="S4169" s="0" t="s">
        <v>21</v>
      </c>
      <c r="T4169" s="0" t="s">
        <v>104</v>
      </c>
      <c r="W4169" s="0" t="s">
        <v>105</v>
      </c>
    </row>
    <row r="4170" customFormat="false" ht="15" hidden="false" customHeight="false" outlineLevel="0" collapsed="false">
      <c r="A4170" s="0" t="s">
        <v>21</v>
      </c>
      <c r="B4170" s="0" t="s">
        <v>13253</v>
      </c>
      <c r="C4170" s="0" t="s">
        <v>97</v>
      </c>
      <c r="D4170" s="0" t="s">
        <v>3744</v>
      </c>
      <c r="E4170" s="0" t="s">
        <v>13254</v>
      </c>
      <c r="H4170" s="0" t="s">
        <v>13255</v>
      </c>
      <c r="I4170" s="0" t="s">
        <v>1331</v>
      </c>
      <c r="J4170" s="0" t="s">
        <v>1332</v>
      </c>
      <c r="K4170" s="0" t="s">
        <v>1316</v>
      </c>
      <c r="L4170" s="0" t="s">
        <v>101</v>
      </c>
      <c r="M4170" s="0" t="s">
        <v>3751</v>
      </c>
      <c r="N4170" s="0" t="s">
        <v>101</v>
      </c>
      <c r="P4170" s="0" t="s">
        <v>102</v>
      </c>
      <c r="Q4170" s="0" t="s">
        <v>102</v>
      </c>
      <c r="R4170" s="0" t="s">
        <v>113</v>
      </c>
      <c r="S4170" s="0" t="s">
        <v>21</v>
      </c>
      <c r="T4170" s="0" t="s">
        <v>104</v>
      </c>
      <c r="W4170" s="0" t="s">
        <v>105</v>
      </c>
      <c r="X4170" s="0" t="s">
        <v>13256</v>
      </c>
      <c r="Y4170" s="0" t="s">
        <v>13257</v>
      </c>
    </row>
    <row r="4171" customFormat="false" ht="15" hidden="false" customHeight="false" outlineLevel="0" collapsed="false">
      <c r="A4171" s="0" t="s">
        <v>21</v>
      </c>
      <c r="B4171" s="0" t="s">
        <v>13258</v>
      </c>
      <c r="C4171" s="0" t="s">
        <v>97</v>
      </c>
      <c r="D4171" s="0" t="s">
        <v>3761</v>
      </c>
      <c r="E4171" s="0" t="s">
        <v>13259</v>
      </c>
      <c r="H4171" s="0" t="s">
        <v>13260</v>
      </c>
      <c r="I4171" s="0" t="s">
        <v>13261</v>
      </c>
      <c r="J4171" s="0" t="s">
        <v>13261</v>
      </c>
      <c r="K4171" s="0" t="s">
        <v>3750</v>
      </c>
      <c r="L4171" s="0" t="s">
        <v>101</v>
      </c>
      <c r="M4171" s="0" t="s">
        <v>3764</v>
      </c>
      <c r="N4171" s="0" t="s">
        <v>101</v>
      </c>
      <c r="P4171" s="0" t="s">
        <v>102</v>
      </c>
      <c r="Q4171" s="0" t="s">
        <v>102</v>
      </c>
      <c r="R4171" s="0" t="s">
        <v>113</v>
      </c>
      <c r="S4171" s="0" t="s">
        <v>21</v>
      </c>
      <c r="T4171" s="0" t="s">
        <v>104</v>
      </c>
      <c r="W4171" s="0" t="s">
        <v>105</v>
      </c>
      <c r="X4171" s="0" t="s">
        <v>13262</v>
      </c>
      <c r="Y4171" s="0" t="s">
        <v>13263</v>
      </c>
    </row>
    <row r="4172" customFormat="false" ht="15" hidden="false" customHeight="false" outlineLevel="0" collapsed="false">
      <c r="A4172" s="0" t="s">
        <v>21</v>
      </c>
      <c r="B4172" s="0" t="s">
        <v>13264</v>
      </c>
      <c r="C4172" s="0" t="s">
        <v>97</v>
      </c>
      <c r="D4172" s="0" t="s">
        <v>13265</v>
      </c>
      <c r="E4172" s="0" t="s">
        <v>13266</v>
      </c>
      <c r="M4172" s="0" t="s">
        <v>136</v>
      </c>
      <c r="N4172" s="0" t="s">
        <v>124</v>
      </c>
      <c r="P4172" s="0" t="s">
        <v>102</v>
      </c>
      <c r="Q4172" s="0" t="s">
        <v>102</v>
      </c>
      <c r="R4172" s="0" t="s">
        <v>113</v>
      </c>
      <c r="S4172" s="0" t="s">
        <v>21</v>
      </c>
      <c r="T4172" s="0" t="s">
        <v>104</v>
      </c>
      <c r="W4172" s="0" t="s">
        <v>105</v>
      </c>
    </row>
    <row r="4173" customFormat="false" ht="15" hidden="false" customHeight="false" outlineLevel="0" collapsed="false">
      <c r="A4173" s="0" t="s">
        <v>21</v>
      </c>
      <c r="B4173" s="0" t="s">
        <v>13267</v>
      </c>
      <c r="C4173" s="0" t="s">
        <v>6647</v>
      </c>
      <c r="D4173" s="0" t="s">
        <v>13268</v>
      </c>
      <c r="E4173" s="0" t="s">
        <v>13269</v>
      </c>
      <c r="G4173" s="0" t="s">
        <v>13270</v>
      </c>
      <c r="H4173" s="0" t="s">
        <v>13271</v>
      </c>
      <c r="I4173" s="0" t="s">
        <v>1392</v>
      </c>
      <c r="K4173" s="0" t="s">
        <v>3033</v>
      </c>
      <c r="M4173" s="0" t="s">
        <v>1392</v>
      </c>
      <c r="N4173" s="0" t="s">
        <v>101</v>
      </c>
      <c r="P4173" s="0" t="s">
        <v>102</v>
      </c>
      <c r="Q4173" s="0" t="s">
        <v>102</v>
      </c>
      <c r="R4173" s="0" t="s">
        <v>137</v>
      </c>
      <c r="S4173" s="0" t="s">
        <v>21</v>
      </c>
      <c r="T4173" s="0" t="s">
        <v>104</v>
      </c>
      <c r="W4173" s="0" t="s">
        <v>105</v>
      </c>
    </row>
    <row r="4174" customFormat="false" ht="15" hidden="false" customHeight="false" outlineLevel="0" collapsed="false">
      <c r="A4174" s="0" t="s">
        <v>21</v>
      </c>
      <c r="B4174" s="0" t="s">
        <v>13272</v>
      </c>
      <c r="C4174" s="0" t="s">
        <v>97</v>
      </c>
      <c r="D4174" s="0" t="s">
        <v>13273</v>
      </c>
      <c r="E4174" s="0" t="s">
        <v>13274</v>
      </c>
      <c r="H4174" s="0" t="s">
        <v>654</v>
      </c>
      <c r="I4174" s="0" t="s">
        <v>655</v>
      </c>
      <c r="J4174" s="0" t="s">
        <v>100</v>
      </c>
      <c r="K4174" s="0" t="s">
        <v>168</v>
      </c>
      <c r="L4174" s="0" t="s">
        <v>101</v>
      </c>
      <c r="M4174" s="0" t="s">
        <v>656</v>
      </c>
      <c r="N4174" s="0" t="s">
        <v>101</v>
      </c>
      <c r="P4174" s="0" t="s">
        <v>102</v>
      </c>
      <c r="Q4174" s="0" t="s">
        <v>102</v>
      </c>
      <c r="R4174" s="0" t="s">
        <v>113</v>
      </c>
      <c r="S4174" s="0" t="s">
        <v>21</v>
      </c>
      <c r="T4174" s="0" t="s">
        <v>104</v>
      </c>
      <c r="W4174" s="0" t="s">
        <v>105</v>
      </c>
      <c r="X4174" s="0" t="s">
        <v>658</v>
      </c>
      <c r="Y4174" s="0" t="s">
        <v>659</v>
      </c>
    </row>
    <row r="4175" customFormat="false" ht="15" hidden="false" customHeight="false" outlineLevel="0" collapsed="false">
      <c r="A4175" s="0" t="s">
        <v>21</v>
      </c>
      <c r="B4175" s="0" t="s">
        <v>13275</v>
      </c>
      <c r="C4175" s="0" t="s">
        <v>97</v>
      </c>
      <c r="D4175" s="0" t="s">
        <v>1389</v>
      </c>
      <c r="E4175" s="0" t="s">
        <v>13276</v>
      </c>
      <c r="H4175" s="0" t="s">
        <v>13277</v>
      </c>
      <c r="I4175" s="0" t="s">
        <v>8975</v>
      </c>
      <c r="J4175" s="0" t="s">
        <v>1392</v>
      </c>
      <c r="K4175" s="0" t="s">
        <v>3033</v>
      </c>
      <c r="L4175" s="0" t="s">
        <v>101</v>
      </c>
      <c r="M4175" s="0" t="s">
        <v>1392</v>
      </c>
      <c r="N4175" s="0" t="s">
        <v>101</v>
      </c>
      <c r="P4175" s="0" t="s">
        <v>102</v>
      </c>
      <c r="Q4175" s="0" t="s">
        <v>102</v>
      </c>
      <c r="R4175" s="0" t="s">
        <v>113</v>
      </c>
      <c r="S4175" s="0" t="s">
        <v>21</v>
      </c>
      <c r="T4175" s="0" t="s">
        <v>104</v>
      </c>
      <c r="W4175" s="0" t="s">
        <v>105</v>
      </c>
      <c r="X4175" s="0" t="s">
        <v>13278</v>
      </c>
      <c r="Y4175" s="0" t="s">
        <v>13279</v>
      </c>
    </row>
    <row r="4176" customFormat="false" ht="15" hidden="false" customHeight="false" outlineLevel="0" collapsed="false">
      <c r="A4176" s="0" t="s">
        <v>21</v>
      </c>
      <c r="B4176" s="0" t="s">
        <v>13280</v>
      </c>
      <c r="C4176" s="0" t="s">
        <v>4280</v>
      </c>
      <c r="D4176" s="0" t="s">
        <v>13281</v>
      </c>
      <c r="E4176" s="0" t="s">
        <v>13282</v>
      </c>
      <c r="M4176" s="0" t="s">
        <v>1392</v>
      </c>
      <c r="N4176" s="0" t="s">
        <v>101</v>
      </c>
      <c r="P4176" s="0" t="s">
        <v>102</v>
      </c>
      <c r="Q4176" s="0" t="s">
        <v>102</v>
      </c>
      <c r="R4176" s="0" t="s">
        <v>113</v>
      </c>
      <c r="S4176" s="0" t="s">
        <v>21</v>
      </c>
      <c r="T4176" s="0" t="s">
        <v>104</v>
      </c>
      <c r="W4176" s="0" t="s">
        <v>105</v>
      </c>
    </row>
    <row r="4177" customFormat="false" ht="15" hidden="false" customHeight="false" outlineLevel="0" collapsed="false">
      <c r="A4177" s="0" t="s">
        <v>21</v>
      </c>
      <c r="B4177" s="0" t="s">
        <v>13283</v>
      </c>
      <c r="C4177" s="0" t="s">
        <v>97</v>
      </c>
      <c r="D4177" s="0" t="s">
        <v>13284</v>
      </c>
      <c r="E4177" s="0" t="s">
        <v>13285</v>
      </c>
      <c r="M4177" s="0" t="s">
        <v>656</v>
      </c>
      <c r="N4177" s="0" t="s">
        <v>101</v>
      </c>
      <c r="P4177" s="0" t="s">
        <v>102</v>
      </c>
      <c r="Q4177" s="0" t="s">
        <v>102</v>
      </c>
      <c r="R4177" s="0" t="s">
        <v>113</v>
      </c>
      <c r="S4177" s="0" t="s">
        <v>21</v>
      </c>
      <c r="T4177" s="0" t="s">
        <v>104</v>
      </c>
      <c r="W4177" s="0" t="s">
        <v>105</v>
      </c>
    </row>
    <row r="4178" customFormat="false" ht="15" hidden="false" customHeight="false" outlineLevel="0" collapsed="false">
      <c r="A4178" s="0" t="s">
        <v>21</v>
      </c>
      <c r="B4178" s="0" t="s">
        <v>13286</v>
      </c>
      <c r="C4178" s="0" t="s">
        <v>97</v>
      </c>
      <c r="D4178" s="0" t="s">
        <v>13287</v>
      </c>
      <c r="E4178" s="0" t="s">
        <v>13288</v>
      </c>
      <c r="M4178" s="0" t="s">
        <v>136</v>
      </c>
      <c r="N4178" s="0" t="s">
        <v>124</v>
      </c>
      <c r="P4178" s="0" t="s">
        <v>102</v>
      </c>
      <c r="Q4178" s="0" t="s">
        <v>102</v>
      </c>
      <c r="R4178" s="0" t="s">
        <v>131</v>
      </c>
      <c r="S4178" s="0" t="s">
        <v>21</v>
      </c>
      <c r="T4178" s="0" t="s">
        <v>104</v>
      </c>
      <c r="W4178" s="0" t="s">
        <v>105</v>
      </c>
    </row>
    <row r="4179" customFormat="false" ht="15" hidden="false" customHeight="false" outlineLevel="0" collapsed="false">
      <c r="A4179" s="0" t="s">
        <v>21</v>
      </c>
      <c r="B4179" s="0" t="s">
        <v>13289</v>
      </c>
      <c r="C4179" s="0" t="s">
        <v>97</v>
      </c>
      <c r="D4179" s="0" t="s">
        <v>13290</v>
      </c>
      <c r="E4179" s="0" t="s">
        <v>13291</v>
      </c>
      <c r="M4179" s="0" t="s">
        <v>136</v>
      </c>
      <c r="N4179" s="0" t="s">
        <v>124</v>
      </c>
      <c r="P4179" s="0" t="s">
        <v>102</v>
      </c>
      <c r="Q4179" s="0" t="s">
        <v>102</v>
      </c>
      <c r="R4179" s="0" t="s">
        <v>131</v>
      </c>
      <c r="S4179" s="0" t="s">
        <v>21</v>
      </c>
      <c r="T4179" s="0" t="s">
        <v>104</v>
      </c>
      <c r="W4179" s="0" t="s">
        <v>105</v>
      </c>
    </row>
    <row r="4180" customFormat="false" ht="15" hidden="false" customHeight="false" outlineLevel="0" collapsed="false">
      <c r="A4180" s="0" t="s">
        <v>21</v>
      </c>
      <c r="B4180" s="0" t="s">
        <v>13292</v>
      </c>
      <c r="C4180" s="0" t="s">
        <v>97</v>
      </c>
      <c r="D4180" s="0" t="s">
        <v>13293</v>
      </c>
      <c r="E4180" s="0" t="s">
        <v>13293</v>
      </c>
      <c r="M4180" s="0" t="s">
        <v>136</v>
      </c>
      <c r="N4180" s="0" t="s">
        <v>124</v>
      </c>
      <c r="P4180" s="0" t="s">
        <v>102</v>
      </c>
      <c r="Q4180" s="0" t="s">
        <v>102</v>
      </c>
      <c r="R4180" s="0" t="s">
        <v>131</v>
      </c>
      <c r="S4180" s="0" t="s">
        <v>21</v>
      </c>
      <c r="T4180" s="0" t="s">
        <v>104</v>
      </c>
      <c r="W4180" s="0" t="s">
        <v>105</v>
      </c>
    </row>
    <row r="4181" customFormat="false" ht="15" hidden="false" customHeight="false" outlineLevel="0" collapsed="false">
      <c r="A4181" s="0" t="s">
        <v>21</v>
      </c>
      <c r="B4181" s="0" t="s">
        <v>13294</v>
      </c>
      <c r="C4181" s="0" t="s">
        <v>97</v>
      </c>
      <c r="D4181" s="0" t="s">
        <v>13295</v>
      </c>
      <c r="E4181" s="0" t="s">
        <v>13296</v>
      </c>
      <c r="M4181" s="0" t="s">
        <v>136</v>
      </c>
      <c r="N4181" s="0" t="s">
        <v>124</v>
      </c>
      <c r="P4181" s="0" t="s">
        <v>102</v>
      </c>
      <c r="Q4181" s="0" t="s">
        <v>102</v>
      </c>
      <c r="R4181" s="0" t="s">
        <v>131</v>
      </c>
      <c r="S4181" s="0" t="s">
        <v>21</v>
      </c>
      <c r="T4181" s="0" t="s">
        <v>104</v>
      </c>
      <c r="W4181" s="0" t="s">
        <v>105</v>
      </c>
    </row>
    <row r="4182" customFormat="false" ht="15" hidden="false" customHeight="false" outlineLevel="0" collapsed="false">
      <c r="A4182" s="0" t="s">
        <v>21</v>
      </c>
      <c r="B4182" s="0" t="s">
        <v>13297</v>
      </c>
      <c r="C4182" s="0" t="s">
        <v>97</v>
      </c>
      <c r="D4182" s="0" t="s">
        <v>13298</v>
      </c>
      <c r="E4182" s="0" t="s">
        <v>13299</v>
      </c>
      <c r="M4182" s="0" t="s">
        <v>136</v>
      </c>
      <c r="N4182" s="0" t="s">
        <v>124</v>
      </c>
      <c r="P4182" s="0" t="s">
        <v>102</v>
      </c>
      <c r="Q4182" s="0" t="s">
        <v>102</v>
      </c>
      <c r="R4182" s="0" t="s">
        <v>131</v>
      </c>
      <c r="S4182" s="0" t="s">
        <v>21</v>
      </c>
      <c r="T4182" s="0" t="s">
        <v>104</v>
      </c>
      <c r="W4182" s="0" t="s">
        <v>105</v>
      </c>
    </row>
    <row r="4183" customFormat="false" ht="15" hidden="false" customHeight="false" outlineLevel="0" collapsed="false">
      <c r="A4183" s="0" t="s">
        <v>21</v>
      </c>
      <c r="B4183" s="0" t="s">
        <v>13300</v>
      </c>
      <c r="C4183" s="0" t="s">
        <v>97</v>
      </c>
      <c r="D4183" s="0" t="s">
        <v>13301</v>
      </c>
      <c r="E4183" s="0" t="s">
        <v>13302</v>
      </c>
      <c r="M4183" s="0" t="s">
        <v>136</v>
      </c>
      <c r="N4183" s="0" t="s">
        <v>124</v>
      </c>
      <c r="P4183" s="0" t="s">
        <v>102</v>
      </c>
      <c r="Q4183" s="0" t="s">
        <v>102</v>
      </c>
      <c r="R4183" s="0" t="s">
        <v>144</v>
      </c>
      <c r="S4183" s="0" t="s">
        <v>21</v>
      </c>
      <c r="T4183" s="0" t="s">
        <v>104</v>
      </c>
      <c r="W4183" s="0" t="s">
        <v>105</v>
      </c>
    </row>
    <row r="4184" customFormat="false" ht="15" hidden="false" customHeight="false" outlineLevel="0" collapsed="false">
      <c r="A4184" s="0" t="s">
        <v>21</v>
      </c>
      <c r="B4184" s="0" t="s">
        <v>13303</v>
      </c>
      <c r="C4184" s="0" t="s">
        <v>97</v>
      </c>
      <c r="D4184" s="0" t="s">
        <v>13304</v>
      </c>
      <c r="E4184" s="0" t="s">
        <v>13305</v>
      </c>
      <c r="M4184" s="0" t="s">
        <v>136</v>
      </c>
      <c r="N4184" s="0" t="s">
        <v>124</v>
      </c>
      <c r="P4184" s="0" t="s">
        <v>102</v>
      </c>
      <c r="Q4184" s="0" t="s">
        <v>102</v>
      </c>
      <c r="R4184" s="0" t="s">
        <v>144</v>
      </c>
      <c r="S4184" s="0" t="s">
        <v>21</v>
      </c>
      <c r="T4184" s="0" t="s">
        <v>104</v>
      </c>
      <c r="W4184" s="0" t="s">
        <v>105</v>
      </c>
    </row>
    <row r="4185" customFormat="false" ht="15" hidden="false" customHeight="false" outlineLevel="0" collapsed="false">
      <c r="A4185" s="0" t="s">
        <v>21</v>
      </c>
      <c r="B4185" s="0" t="s">
        <v>13306</v>
      </c>
      <c r="C4185" s="0" t="s">
        <v>97</v>
      </c>
      <c r="D4185" s="0" t="s">
        <v>13307</v>
      </c>
      <c r="E4185" s="0" t="s">
        <v>13308</v>
      </c>
      <c r="M4185" s="0" t="s">
        <v>136</v>
      </c>
      <c r="N4185" s="0" t="s">
        <v>124</v>
      </c>
      <c r="P4185" s="0" t="s">
        <v>102</v>
      </c>
      <c r="Q4185" s="0" t="s">
        <v>102</v>
      </c>
      <c r="R4185" s="0" t="s">
        <v>144</v>
      </c>
      <c r="S4185" s="0" t="s">
        <v>21</v>
      </c>
      <c r="T4185" s="0" t="s">
        <v>104</v>
      </c>
      <c r="W4185" s="0" t="s">
        <v>105</v>
      </c>
    </row>
    <row r="4186" customFormat="false" ht="15" hidden="false" customHeight="false" outlineLevel="0" collapsed="false">
      <c r="A4186" s="0" t="s">
        <v>21</v>
      </c>
      <c r="B4186" s="0" t="s">
        <v>13309</v>
      </c>
      <c r="C4186" s="0" t="s">
        <v>97</v>
      </c>
      <c r="D4186" s="0" t="s">
        <v>13310</v>
      </c>
      <c r="E4186" s="0" t="s">
        <v>13311</v>
      </c>
      <c r="M4186" s="0" t="s">
        <v>136</v>
      </c>
      <c r="N4186" s="0" t="s">
        <v>124</v>
      </c>
      <c r="P4186" s="0" t="s">
        <v>102</v>
      </c>
      <c r="Q4186" s="0" t="s">
        <v>102</v>
      </c>
      <c r="R4186" s="0" t="s">
        <v>144</v>
      </c>
      <c r="S4186" s="0" t="s">
        <v>21</v>
      </c>
      <c r="T4186" s="0" t="s">
        <v>104</v>
      </c>
      <c r="W4186" s="0" t="s">
        <v>105</v>
      </c>
    </row>
    <row r="4187" customFormat="false" ht="15" hidden="false" customHeight="false" outlineLevel="0" collapsed="false">
      <c r="A4187" s="0" t="s">
        <v>21</v>
      </c>
      <c r="B4187" s="0" t="s">
        <v>13312</v>
      </c>
      <c r="C4187" s="0" t="s">
        <v>97</v>
      </c>
      <c r="D4187" s="0" t="s">
        <v>13313</v>
      </c>
      <c r="E4187" s="0" t="s">
        <v>13314</v>
      </c>
      <c r="M4187" s="0" t="s">
        <v>136</v>
      </c>
      <c r="N4187" s="0" t="s">
        <v>124</v>
      </c>
      <c r="P4187" s="0" t="s">
        <v>102</v>
      </c>
      <c r="Q4187" s="0" t="s">
        <v>102</v>
      </c>
      <c r="R4187" s="0" t="s">
        <v>131</v>
      </c>
      <c r="S4187" s="0" t="s">
        <v>21</v>
      </c>
      <c r="T4187" s="0" t="s">
        <v>104</v>
      </c>
      <c r="W4187" s="0" t="s">
        <v>105</v>
      </c>
    </row>
    <row r="4188" customFormat="false" ht="15" hidden="false" customHeight="false" outlineLevel="0" collapsed="false">
      <c r="A4188" s="0" t="s">
        <v>21</v>
      </c>
      <c r="B4188" s="0" t="s">
        <v>13315</v>
      </c>
      <c r="C4188" s="0" t="s">
        <v>97</v>
      </c>
      <c r="D4188" s="0" t="s">
        <v>1397</v>
      </c>
      <c r="E4188" s="0" t="s">
        <v>13316</v>
      </c>
      <c r="H4188" s="0" t="s">
        <v>1399</v>
      </c>
      <c r="I4188" s="0" t="s">
        <v>1400</v>
      </c>
      <c r="J4188" s="0" t="s">
        <v>1400</v>
      </c>
      <c r="K4188" s="0" t="s">
        <v>1385</v>
      </c>
      <c r="L4188" s="0" t="s">
        <v>101</v>
      </c>
      <c r="M4188" s="0" t="s">
        <v>1402</v>
      </c>
      <c r="N4188" s="0" t="s">
        <v>101</v>
      </c>
      <c r="P4188" s="0" t="s">
        <v>102</v>
      </c>
      <c r="Q4188" s="0" t="s">
        <v>102</v>
      </c>
      <c r="R4188" s="0" t="s">
        <v>113</v>
      </c>
      <c r="S4188" s="0" t="s">
        <v>21</v>
      </c>
      <c r="T4188" s="0" t="s">
        <v>104</v>
      </c>
      <c r="W4188" s="0" t="s">
        <v>105</v>
      </c>
      <c r="X4188" s="0" t="s">
        <v>13317</v>
      </c>
      <c r="Y4188" s="0" t="s">
        <v>13318</v>
      </c>
    </row>
    <row r="4189" customFormat="false" ht="15" hidden="false" customHeight="false" outlineLevel="0" collapsed="false">
      <c r="A4189" s="0" t="s">
        <v>21</v>
      </c>
      <c r="B4189" s="0" t="s">
        <v>13319</v>
      </c>
      <c r="C4189" s="0" t="s">
        <v>97</v>
      </c>
      <c r="D4189" s="0" t="s">
        <v>13320</v>
      </c>
      <c r="E4189" s="0" t="s">
        <v>13321</v>
      </c>
      <c r="M4189" s="0" t="s">
        <v>136</v>
      </c>
      <c r="N4189" s="0" t="s">
        <v>124</v>
      </c>
      <c r="P4189" s="0" t="s">
        <v>102</v>
      </c>
      <c r="Q4189" s="0" t="s">
        <v>102</v>
      </c>
      <c r="R4189" s="0" t="s">
        <v>804</v>
      </c>
      <c r="S4189" s="0" t="s">
        <v>21</v>
      </c>
      <c r="T4189" s="0" t="s">
        <v>104</v>
      </c>
      <c r="W4189" s="0" t="s">
        <v>105</v>
      </c>
    </row>
    <row r="4190" customFormat="false" ht="15" hidden="false" customHeight="false" outlineLevel="0" collapsed="false">
      <c r="A4190" s="0" t="s">
        <v>21</v>
      </c>
      <c r="B4190" s="0" t="s">
        <v>13322</v>
      </c>
      <c r="C4190" s="0" t="s">
        <v>97</v>
      </c>
      <c r="D4190" s="0" t="s">
        <v>13323</v>
      </c>
      <c r="E4190" s="0" t="s">
        <v>13324</v>
      </c>
      <c r="M4190" s="0" t="s">
        <v>136</v>
      </c>
      <c r="N4190" s="0" t="s">
        <v>124</v>
      </c>
      <c r="P4190" s="0" t="s">
        <v>102</v>
      </c>
      <c r="Q4190" s="0" t="s">
        <v>102</v>
      </c>
      <c r="R4190" s="0" t="s">
        <v>804</v>
      </c>
      <c r="S4190" s="0" t="s">
        <v>21</v>
      </c>
      <c r="T4190" s="0" t="s">
        <v>104</v>
      </c>
      <c r="W4190" s="0" t="s">
        <v>105</v>
      </c>
    </row>
    <row r="4191" customFormat="false" ht="15" hidden="false" customHeight="false" outlineLevel="0" collapsed="false">
      <c r="A4191" s="0" t="s">
        <v>21</v>
      </c>
      <c r="B4191" s="0" t="s">
        <v>13325</v>
      </c>
      <c r="C4191" s="0" t="s">
        <v>97</v>
      </c>
      <c r="D4191" s="0" t="s">
        <v>13326</v>
      </c>
      <c r="E4191" s="0" t="s">
        <v>13327</v>
      </c>
      <c r="M4191" s="0" t="s">
        <v>100</v>
      </c>
      <c r="N4191" s="0" t="s">
        <v>101</v>
      </c>
      <c r="P4191" s="0" t="s">
        <v>102</v>
      </c>
      <c r="Q4191" s="0" t="s">
        <v>102</v>
      </c>
      <c r="R4191" s="0" t="s">
        <v>131</v>
      </c>
      <c r="S4191" s="0" t="s">
        <v>21</v>
      </c>
      <c r="T4191" s="0" t="s">
        <v>104</v>
      </c>
      <c r="W4191" s="0" t="s">
        <v>105</v>
      </c>
    </row>
    <row r="4192" customFormat="false" ht="15" hidden="false" customHeight="false" outlineLevel="0" collapsed="false">
      <c r="A4192" s="0" t="s">
        <v>21</v>
      </c>
      <c r="B4192" s="0" t="s">
        <v>13328</v>
      </c>
      <c r="C4192" s="0" t="s">
        <v>97</v>
      </c>
      <c r="D4192" s="0" t="s">
        <v>13329</v>
      </c>
      <c r="E4192" s="0" t="s">
        <v>13330</v>
      </c>
      <c r="M4192" s="0" t="s">
        <v>136</v>
      </c>
      <c r="N4192" s="0" t="s">
        <v>124</v>
      </c>
      <c r="P4192" s="0" t="s">
        <v>102</v>
      </c>
      <c r="Q4192" s="0" t="s">
        <v>102</v>
      </c>
      <c r="R4192" s="0" t="s">
        <v>113</v>
      </c>
      <c r="S4192" s="0" t="s">
        <v>21</v>
      </c>
      <c r="T4192" s="0" t="s">
        <v>104</v>
      </c>
      <c r="W4192" s="0" t="s">
        <v>105</v>
      </c>
    </row>
    <row r="4193" customFormat="false" ht="15" hidden="false" customHeight="false" outlineLevel="0" collapsed="false">
      <c r="A4193" s="0" t="s">
        <v>21</v>
      </c>
      <c r="B4193" s="0" t="s">
        <v>13331</v>
      </c>
      <c r="C4193" s="0" t="s">
        <v>97</v>
      </c>
      <c r="D4193" s="0" t="s">
        <v>13332</v>
      </c>
      <c r="E4193" s="0" t="s">
        <v>13333</v>
      </c>
      <c r="M4193" s="0" t="s">
        <v>136</v>
      </c>
      <c r="N4193" s="0" t="s">
        <v>124</v>
      </c>
      <c r="P4193" s="0" t="s">
        <v>102</v>
      </c>
      <c r="Q4193" s="0" t="s">
        <v>102</v>
      </c>
      <c r="R4193" s="0" t="s">
        <v>113</v>
      </c>
      <c r="S4193" s="0" t="s">
        <v>21</v>
      </c>
      <c r="T4193" s="0" t="s">
        <v>104</v>
      </c>
      <c r="W4193" s="0" t="s">
        <v>105</v>
      </c>
    </row>
    <row r="4194" customFormat="false" ht="15" hidden="false" customHeight="false" outlineLevel="0" collapsed="false">
      <c r="A4194" s="0" t="s">
        <v>21</v>
      </c>
      <c r="B4194" s="0" t="s">
        <v>13334</v>
      </c>
      <c r="C4194" s="0" t="s">
        <v>97</v>
      </c>
      <c r="D4194" s="0" t="s">
        <v>13335</v>
      </c>
      <c r="E4194" s="0" t="s">
        <v>13336</v>
      </c>
      <c r="M4194" s="0" t="s">
        <v>136</v>
      </c>
      <c r="N4194" s="0" t="s">
        <v>124</v>
      </c>
      <c r="P4194" s="0" t="s">
        <v>102</v>
      </c>
      <c r="Q4194" s="0" t="s">
        <v>102</v>
      </c>
      <c r="R4194" s="0" t="s">
        <v>113</v>
      </c>
      <c r="S4194" s="0" t="s">
        <v>21</v>
      </c>
      <c r="T4194" s="0" t="s">
        <v>104</v>
      </c>
      <c r="W4194" s="0" t="s">
        <v>105</v>
      </c>
    </row>
    <row r="4195" customFormat="false" ht="15" hidden="false" customHeight="false" outlineLevel="0" collapsed="false">
      <c r="A4195" s="0" t="s">
        <v>21</v>
      </c>
      <c r="B4195" s="0" t="s">
        <v>13337</v>
      </c>
      <c r="C4195" s="0" t="s">
        <v>97</v>
      </c>
      <c r="D4195" s="0" t="s">
        <v>13338</v>
      </c>
      <c r="E4195" s="0" t="s">
        <v>13339</v>
      </c>
      <c r="M4195" s="0" t="s">
        <v>136</v>
      </c>
      <c r="N4195" s="0" t="s">
        <v>124</v>
      </c>
      <c r="P4195" s="0" t="s">
        <v>102</v>
      </c>
      <c r="Q4195" s="0" t="s">
        <v>102</v>
      </c>
      <c r="R4195" s="0" t="s">
        <v>113</v>
      </c>
      <c r="S4195" s="0" t="s">
        <v>21</v>
      </c>
      <c r="T4195" s="0" t="s">
        <v>104</v>
      </c>
      <c r="W4195" s="0" t="s">
        <v>105</v>
      </c>
    </row>
    <row r="4196" customFormat="false" ht="15" hidden="false" customHeight="false" outlineLevel="0" collapsed="false">
      <c r="A4196" s="0" t="s">
        <v>21</v>
      </c>
      <c r="B4196" s="0" t="s">
        <v>13340</v>
      </c>
      <c r="C4196" s="0" t="s">
        <v>97</v>
      </c>
      <c r="D4196" s="0" t="s">
        <v>13341</v>
      </c>
      <c r="E4196" s="0" t="s">
        <v>13342</v>
      </c>
      <c r="M4196" s="0" t="s">
        <v>136</v>
      </c>
      <c r="N4196" s="0" t="s">
        <v>124</v>
      </c>
      <c r="P4196" s="0" t="s">
        <v>102</v>
      </c>
      <c r="Q4196" s="0" t="s">
        <v>102</v>
      </c>
      <c r="R4196" s="0" t="s">
        <v>144</v>
      </c>
      <c r="S4196" s="0" t="s">
        <v>21</v>
      </c>
      <c r="T4196" s="0" t="s">
        <v>104</v>
      </c>
      <c r="W4196" s="0" t="s">
        <v>105</v>
      </c>
    </row>
    <row r="4197" customFormat="false" ht="15" hidden="false" customHeight="false" outlineLevel="0" collapsed="false">
      <c r="A4197" s="0" t="s">
        <v>21</v>
      </c>
      <c r="B4197" s="0" t="s">
        <v>13343</v>
      </c>
      <c r="C4197" s="0" t="s">
        <v>97</v>
      </c>
      <c r="D4197" s="0" t="s">
        <v>13344</v>
      </c>
      <c r="E4197" s="0" t="s">
        <v>13344</v>
      </c>
      <c r="M4197" s="0" t="s">
        <v>442</v>
      </c>
      <c r="N4197" s="0" t="s">
        <v>101</v>
      </c>
      <c r="P4197" s="0" t="s">
        <v>102</v>
      </c>
      <c r="Q4197" s="0" t="s">
        <v>102</v>
      </c>
      <c r="R4197" s="0" t="s">
        <v>131</v>
      </c>
      <c r="S4197" s="0" t="s">
        <v>21</v>
      </c>
      <c r="T4197" s="0" t="s">
        <v>104</v>
      </c>
      <c r="W4197" s="0" t="s">
        <v>105</v>
      </c>
    </row>
    <row r="4198" customFormat="false" ht="15" hidden="false" customHeight="false" outlineLevel="0" collapsed="false">
      <c r="A4198" s="0" t="s">
        <v>21</v>
      </c>
      <c r="B4198" s="0" t="s">
        <v>13345</v>
      </c>
      <c r="C4198" s="0" t="s">
        <v>97</v>
      </c>
      <c r="D4198" s="0" t="s">
        <v>13346</v>
      </c>
      <c r="E4198" s="0" t="s">
        <v>13347</v>
      </c>
      <c r="M4198" s="0" t="s">
        <v>136</v>
      </c>
      <c r="N4198" s="0" t="s">
        <v>124</v>
      </c>
      <c r="P4198" s="0" t="s">
        <v>102</v>
      </c>
      <c r="Q4198" s="0" t="s">
        <v>102</v>
      </c>
      <c r="R4198" s="0" t="s">
        <v>131</v>
      </c>
      <c r="S4198" s="0" t="s">
        <v>21</v>
      </c>
      <c r="T4198" s="0" t="s">
        <v>104</v>
      </c>
      <c r="W4198" s="0" t="s">
        <v>105</v>
      </c>
    </row>
    <row r="4199" customFormat="false" ht="15" hidden="false" customHeight="false" outlineLevel="0" collapsed="false">
      <c r="A4199" s="0" t="s">
        <v>21</v>
      </c>
      <c r="B4199" s="0" t="s">
        <v>13348</v>
      </c>
      <c r="C4199" s="0" t="s">
        <v>97</v>
      </c>
      <c r="D4199" s="0" t="s">
        <v>13349</v>
      </c>
      <c r="E4199" s="0" t="s">
        <v>13350</v>
      </c>
      <c r="M4199" s="0" t="s">
        <v>136</v>
      </c>
      <c r="N4199" s="0" t="s">
        <v>124</v>
      </c>
      <c r="P4199" s="0" t="s">
        <v>102</v>
      </c>
      <c r="Q4199" s="0" t="s">
        <v>102</v>
      </c>
      <c r="R4199" s="0" t="s">
        <v>113</v>
      </c>
      <c r="S4199" s="0" t="s">
        <v>21</v>
      </c>
      <c r="T4199" s="0" t="s">
        <v>104</v>
      </c>
      <c r="W4199" s="0" t="s">
        <v>105</v>
      </c>
    </row>
    <row r="4200" customFormat="false" ht="15" hidden="false" customHeight="false" outlineLevel="0" collapsed="false">
      <c r="A4200" s="0" t="s">
        <v>21</v>
      </c>
      <c r="B4200" s="0" t="s">
        <v>13351</v>
      </c>
      <c r="C4200" s="0" t="s">
        <v>97</v>
      </c>
      <c r="D4200" s="0" t="s">
        <v>13352</v>
      </c>
      <c r="E4200" s="0" t="s">
        <v>13353</v>
      </c>
      <c r="M4200" s="0" t="s">
        <v>136</v>
      </c>
      <c r="N4200" s="0" t="s">
        <v>124</v>
      </c>
      <c r="P4200" s="0" t="s">
        <v>102</v>
      </c>
      <c r="Q4200" s="0" t="s">
        <v>102</v>
      </c>
      <c r="R4200" s="0" t="s">
        <v>131</v>
      </c>
      <c r="S4200" s="0" t="s">
        <v>21</v>
      </c>
      <c r="T4200" s="0" t="s">
        <v>104</v>
      </c>
      <c r="W4200" s="0" t="s">
        <v>105</v>
      </c>
    </row>
    <row r="4201" customFormat="false" ht="15" hidden="false" customHeight="false" outlineLevel="0" collapsed="false">
      <c r="A4201" s="0" t="s">
        <v>21</v>
      </c>
      <c r="B4201" s="0" t="s">
        <v>13354</v>
      </c>
      <c r="C4201" s="0" t="s">
        <v>97</v>
      </c>
      <c r="D4201" s="0" t="s">
        <v>13355</v>
      </c>
      <c r="E4201" s="0" t="s">
        <v>13356</v>
      </c>
      <c r="M4201" s="0" t="s">
        <v>136</v>
      </c>
      <c r="N4201" s="0" t="s">
        <v>124</v>
      </c>
      <c r="P4201" s="0" t="s">
        <v>102</v>
      </c>
      <c r="Q4201" s="0" t="s">
        <v>102</v>
      </c>
      <c r="R4201" s="0" t="s">
        <v>131</v>
      </c>
      <c r="S4201" s="0" t="s">
        <v>21</v>
      </c>
      <c r="T4201" s="0" t="s">
        <v>104</v>
      </c>
      <c r="W4201" s="0" t="s">
        <v>105</v>
      </c>
    </row>
    <row r="4202" customFormat="false" ht="15" hidden="false" customHeight="false" outlineLevel="0" collapsed="false">
      <c r="A4202" s="0" t="s">
        <v>21</v>
      </c>
      <c r="B4202" s="0" t="s">
        <v>13357</v>
      </c>
      <c r="C4202" s="0" t="s">
        <v>97</v>
      </c>
      <c r="D4202" s="0" t="s">
        <v>13358</v>
      </c>
      <c r="E4202" s="0" t="s">
        <v>13359</v>
      </c>
      <c r="M4202" s="0" t="s">
        <v>136</v>
      </c>
      <c r="N4202" s="0" t="s">
        <v>124</v>
      </c>
      <c r="P4202" s="0" t="s">
        <v>102</v>
      </c>
      <c r="Q4202" s="0" t="s">
        <v>102</v>
      </c>
      <c r="R4202" s="0" t="s">
        <v>131</v>
      </c>
      <c r="S4202" s="0" t="s">
        <v>21</v>
      </c>
      <c r="T4202" s="0" t="s">
        <v>104</v>
      </c>
      <c r="W4202" s="0" t="s">
        <v>105</v>
      </c>
    </row>
    <row r="4203" customFormat="false" ht="15" hidden="false" customHeight="false" outlineLevel="0" collapsed="false">
      <c r="A4203" s="0" t="s">
        <v>21</v>
      </c>
      <c r="B4203" s="0" t="s">
        <v>13360</v>
      </c>
      <c r="C4203" s="0" t="s">
        <v>97</v>
      </c>
      <c r="D4203" s="0" t="s">
        <v>3557</v>
      </c>
      <c r="E4203" s="0" t="s">
        <v>13361</v>
      </c>
      <c r="M4203" s="0" t="s">
        <v>100</v>
      </c>
      <c r="N4203" s="0" t="s">
        <v>101</v>
      </c>
      <c r="P4203" s="0" t="s">
        <v>102</v>
      </c>
      <c r="Q4203" s="0" t="s">
        <v>102</v>
      </c>
      <c r="R4203" s="0" t="s">
        <v>144</v>
      </c>
      <c r="S4203" s="0" t="s">
        <v>21</v>
      </c>
      <c r="T4203" s="0" t="s">
        <v>104</v>
      </c>
      <c r="W4203" s="0" t="s">
        <v>105</v>
      </c>
    </row>
    <row r="4204" customFormat="false" ht="15" hidden="false" customHeight="false" outlineLevel="0" collapsed="false">
      <c r="A4204" s="0" t="s">
        <v>21</v>
      </c>
      <c r="B4204" s="0" t="s">
        <v>13362</v>
      </c>
      <c r="C4204" s="0" t="s">
        <v>97</v>
      </c>
      <c r="D4204" s="0" t="s">
        <v>13363</v>
      </c>
      <c r="E4204" s="0" t="s">
        <v>13364</v>
      </c>
      <c r="M4204" s="0" t="s">
        <v>136</v>
      </c>
      <c r="N4204" s="0" t="s">
        <v>124</v>
      </c>
      <c r="P4204" s="0" t="s">
        <v>102</v>
      </c>
      <c r="Q4204" s="0" t="s">
        <v>102</v>
      </c>
      <c r="R4204" s="0" t="s">
        <v>113</v>
      </c>
      <c r="S4204" s="0" t="s">
        <v>21</v>
      </c>
      <c r="T4204" s="0" t="s">
        <v>104</v>
      </c>
      <c r="W4204" s="0" t="s">
        <v>105</v>
      </c>
    </row>
    <row r="4205" customFormat="false" ht="15" hidden="false" customHeight="false" outlineLevel="0" collapsed="false">
      <c r="A4205" s="0" t="s">
        <v>21</v>
      </c>
      <c r="B4205" s="0" t="s">
        <v>13365</v>
      </c>
      <c r="C4205" s="0" t="s">
        <v>97</v>
      </c>
      <c r="D4205" s="0" t="s">
        <v>13366</v>
      </c>
      <c r="E4205" s="0" t="s">
        <v>13367</v>
      </c>
      <c r="M4205" s="0" t="s">
        <v>656</v>
      </c>
      <c r="N4205" s="0" t="s">
        <v>101</v>
      </c>
      <c r="P4205" s="0" t="s">
        <v>102</v>
      </c>
      <c r="Q4205" s="0" t="s">
        <v>102</v>
      </c>
      <c r="R4205" s="0" t="s">
        <v>113</v>
      </c>
      <c r="S4205" s="0" t="s">
        <v>21</v>
      </c>
      <c r="T4205" s="0" t="s">
        <v>104</v>
      </c>
      <c r="W4205" s="0" t="s">
        <v>105</v>
      </c>
    </row>
    <row r="4206" customFormat="false" ht="15" hidden="false" customHeight="false" outlineLevel="0" collapsed="false">
      <c r="A4206" s="0" t="s">
        <v>21</v>
      </c>
      <c r="B4206" s="0" t="s">
        <v>13368</v>
      </c>
      <c r="C4206" s="0" t="s">
        <v>395</v>
      </c>
      <c r="D4206" s="0" t="s">
        <v>2210</v>
      </c>
      <c r="E4206" s="0" t="s">
        <v>9571</v>
      </c>
      <c r="G4206" s="0" t="s">
        <v>2394</v>
      </c>
      <c r="H4206" s="0" t="s">
        <v>9572</v>
      </c>
      <c r="I4206" s="0" t="s">
        <v>9573</v>
      </c>
      <c r="J4206" s="0" t="s">
        <v>275</v>
      </c>
      <c r="K4206" s="0" t="s">
        <v>9574</v>
      </c>
      <c r="M4206" s="0" t="s">
        <v>598</v>
      </c>
      <c r="N4206" s="0" t="s">
        <v>124</v>
      </c>
      <c r="P4206" s="0" t="s">
        <v>102</v>
      </c>
      <c r="Q4206" s="0" t="s">
        <v>102</v>
      </c>
      <c r="R4206" s="0" t="s">
        <v>137</v>
      </c>
      <c r="S4206" s="0" t="s">
        <v>21</v>
      </c>
      <c r="T4206" s="0" t="s">
        <v>104</v>
      </c>
      <c r="W4206" s="0" t="s">
        <v>105</v>
      </c>
      <c r="X4206" s="0" t="s">
        <v>9575</v>
      </c>
      <c r="Y4206" s="0" t="s">
        <v>9576</v>
      </c>
      <c r="Z4206" s="0" t="s">
        <v>1147</v>
      </c>
    </row>
    <row r="4207" customFormat="false" ht="15" hidden="false" customHeight="false" outlineLevel="0" collapsed="false">
      <c r="A4207" s="0" t="s">
        <v>21</v>
      </c>
      <c r="B4207" s="0" t="s">
        <v>13369</v>
      </c>
      <c r="C4207" s="0" t="s">
        <v>97</v>
      </c>
      <c r="D4207" s="0" t="s">
        <v>13370</v>
      </c>
      <c r="E4207" s="0" t="s">
        <v>13371</v>
      </c>
      <c r="F4207" s="0" t="s">
        <v>13371</v>
      </c>
      <c r="M4207" s="0" t="s">
        <v>100</v>
      </c>
      <c r="N4207" s="0" t="s">
        <v>101</v>
      </c>
      <c r="P4207" s="0" t="s">
        <v>204</v>
      </c>
      <c r="Q4207" s="0" t="s">
        <v>204</v>
      </c>
      <c r="R4207" s="0" t="s">
        <v>399</v>
      </c>
      <c r="S4207" s="0" t="s">
        <v>21</v>
      </c>
      <c r="T4207" s="0" t="s">
        <v>104</v>
      </c>
      <c r="W4207" s="0" t="s">
        <v>105</v>
      </c>
    </row>
    <row r="4208" customFormat="false" ht="15" hidden="false" customHeight="false" outlineLevel="0" collapsed="false">
      <c r="A4208" s="0" t="s">
        <v>21</v>
      </c>
      <c r="B4208" s="0" t="s">
        <v>13372</v>
      </c>
      <c r="C4208" s="0" t="s">
        <v>200</v>
      </c>
      <c r="D4208" s="0" t="s">
        <v>13373</v>
      </c>
      <c r="E4208" s="0" t="s">
        <v>13374</v>
      </c>
      <c r="M4208" s="0" t="s">
        <v>3407</v>
      </c>
      <c r="N4208" s="0" t="s">
        <v>124</v>
      </c>
      <c r="P4208" s="0" t="s">
        <v>4272</v>
      </c>
      <c r="Q4208" s="0" t="s">
        <v>13375</v>
      </c>
      <c r="R4208" s="0" t="s">
        <v>13376</v>
      </c>
      <c r="S4208" s="0" t="s">
        <v>21</v>
      </c>
      <c r="T4208" s="0" t="s">
        <v>104</v>
      </c>
      <c r="W4208" s="0" t="s">
        <v>183</v>
      </c>
    </row>
    <row r="4209" customFormat="false" ht="15" hidden="false" customHeight="false" outlineLevel="0" collapsed="false">
      <c r="A4209" s="0" t="s">
        <v>21</v>
      </c>
      <c r="B4209" s="0" t="s">
        <v>13372</v>
      </c>
      <c r="C4209" s="0" t="s">
        <v>200</v>
      </c>
      <c r="D4209" s="0" t="s">
        <v>13373</v>
      </c>
      <c r="E4209" s="0" t="s">
        <v>13374</v>
      </c>
      <c r="M4209" s="0" t="s">
        <v>3407</v>
      </c>
      <c r="N4209" s="0" t="s">
        <v>124</v>
      </c>
      <c r="P4209" s="0" t="s">
        <v>130</v>
      </c>
      <c r="Q4209" s="0" t="s">
        <v>130</v>
      </c>
      <c r="R4209" s="0" t="s">
        <v>113</v>
      </c>
      <c r="S4209" s="0" t="s">
        <v>21</v>
      </c>
      <c r="T4209" s="0" t="s">
        <v>104</v>
      </c>
      <c r="W4209" s="0" t="s">
        <v>105</v>
      </c>
    </row>
    <row r="4210" customFormat="false" ht="15" hidden="false" customHeight="false" outlineLevel="0" collapsed="false">
      <c r="A4210" s="0" t="s">
        <v>21</v>
      </c>
      <c r="B4210" s="0" t="s">
        <v>13377</v>
      </c>
      <c r="C4210" s="0" t="s">
        <v>97</v>
      </c>
      <c r="D4210" s="0" t="s">
        <v>13378</v>
      </c>
      <c r="E4210" s="0" t="s">
        <v>13378</v>
      </c>
      <c r="M4210" s="0" t="s">
        <v>136</v>
      </c>
      <c r="N4210" s="0" t="s">
        <v>124</v>
      </c>
      <c r="P4210" s="0" t="s">
        <v>102</v>
      </c>
      <c r="Q4210" s="0" t="s">
        <v>102</v>
      </c>
      <c r="R4210" s="0" t="s">
        <v>131</v>
      </c>
      <c r="S4210" s="0" t="s">
        <v>21</v>
      </c>
      <c r="T4210" s="0" t="s">
        <v>104</v>
      </c>
      <c r="W4210" s="0" t="s">
        <v>105</v>
      </c>
    </row>
    <row r="4211" customFormat="false" ht="15" hidden="false" customHeight="false" outlineLevel="0" collapsed="false">
      <c r="A4211" s="0" t="s">
        <v>21</v>
      </c>
      <c r="B4211" s="0" t="s">
        <v>13379</v>
      </c>
      <c r="C4211" s="0" t="s">
        <v>5842</v>
      </c>
      <c r="D4211" s="0" t="s">
        <v>13380</v>
      </c>
      <c r="E4211" s="0" t="s">
        <v>13381</v>
      </c>
      <c r="G4211" s="0" t="s">
        <v>13382</v>
      </c>
      <c r="M4211" s="0" t="s">
        <v>143</v>
      </c>
      <c r="N4211" s="0" t="s">
        <v>124</v>
      </c>
      <c r="P4211" s="0" t="s">
        <v>102</v>
      </c>
      <c r="Q4211" s="0" t="s">
        <v>102</v>
      </c>
      <c r="R4211" s="0" t="s">
        <v>131</v>
      </c>
      <c r="S4211" s="0" t="s">
        <v>21</v>
      </c>
      <c r="T4211" s="0" t="s">
        <v>104</v>
      </c>
      <c r="W4211" s="0" t="s">
        <v>105</v>
      </c>
    </row>
    <row r="4212" customFormat="false" ht="15" hidden="false" customHeight="false" outlineLevel="0" collapsed="false">
      <c r="A4212" s="0" t="s">
        <v>21</v>
      </c>
      <c r="B4212" s="0" t="s">
        <v>13383</v>
      </c>
      <c r="C4212" s="0" t="s">
        <v>5842</v>
      </c>
      <c r="D4212" s="0" t="s">
        <v>13380</v>
      </c>
      <c r="E4212" s="0" t="s">
        <v>13381</v>
      </c>
      <c r="G4212" s="0" t="s">
        <v>13382</v>
      </c>
      <c r="M4212" s="0" t="s">
        <v>232</v>
      </c>
      <c r="N4212" s="0" t="s">
        <v>124</v>
      </c>
      <c r="P4212" s="0" t="s">
        <v>102</v>
      </c>
      <c r="Q4212" s="0" t="s">
        <v>102</v>
      </c>
      <c r="R4212" s="0" t="s">
        <v>131</v>
      </c>
      <c r="S4212" s="0" t="s">
        <v>21</v>
      </c>
      <c r="T4212" s="0" t="s">
        <v>104</v>
      </c>
      <c r="W4212" s="0" t="s">
        <v>105</v>
      </c>
    </row>
    <row r="4213" customFormat="false" ht="15" hidden="false" customHeight="false" outlineLevel="0" collapsed="false">
      <c r="A4213" s="0" t="s">
        <v>21</v>
      </c>
      <c r="B4213" s="0" t="s">
        <v>13384</v>
      </c>
      <c r="C4213" s="0" t="s">
        <v>5842</v>
      </c>
      <c r="D4213" s="0" t="s">
        <v>13380</v>
      </c>
      <c r="E4213" s="0" t="s">
        <v>13381</v>
      </c>
      <c r="G4213" s="0" t="s">
        <v>13382</v>
      </c>
      <c r="M4213" s="0" t="s">
        <v>208</v>
      </c>
      <c r="N4213" s="0" t="s">
        <v>124</v>
      </c>
      <c r="P4213" s="0" t="s">
        <v>102</v>
      </c>
      <c r="Q4213" s="0" t="s">
        <v>102</v>
      </c>
      <c r="R4213" s="0" t="s">
        <v>131</v>
      </c>
      <c r="S4213" s="0" t="s">
        <v>21</v>
      </c>
      <c r="T4213" s="0" t="s">
        <v>104</v>
      </c>
      <c r="W4213" s="0" t="s">
        <v>105</v>
      </c>
    </row>
    <row r="4214" customFormat="false" ht="28.35" hidden="false" customHeight="false" outlineLevel="0" collapsed="false">
      <c r="A4214" s="0" t="s">
        <v>21</v>
      </c>
      <c r="B4214" s="0" t="s">
        <v>13385</v>
      </c>
      <c r="C4214" s="0" t="s">
        <v>5842</v>
      </c>
      <c r="D4214" s="0" t="s">
        <v>13380</v>
      </c>
      <c r="E4214" s="0" t="s">
        <v>13381</v>
      </c>
      <c r="G4214" s="9" t="s">
        <v>13386</v>
      </c>
      <c r="M4214" s="0" t="s">
        <v>129</v>
      </c>
      <c r="N4214" s="0" t="s">
        <v>124</v>
      </c>
      <c r="P4214" s="0" t="s">
        <v>102</v>
      </c>
      <c r="Q4214" s="0" t="s">
        <v>102</v>
      </c>
      <c r="R4214" s="0" t="s">
        <v>131</v>
      </c>
      <c r="S4214" s="0" t="s">
        <v>21</v>
      </c>
      <c r="T4214" s="0" t="s">
        <v>104</v>
      </c>
      <c r="W4214" s="0" t="s">
        <v>105</v>
      </c>
    </row>
    <row r="4215" customFormat="false" ht="15" hidden="false" customHeight="false" outlineLevel="0" collapsed="false">
      <c r="A4215" s="0" t="s">
        <v>21</v>
      </c>
      <c r="B4215" s="0" t="s">
        <v>22</v>
      </c>
      <c r="C4215" s="0" t="s">
        <v>771</v>
      </c>
      <c r="D4215" s="0" t="s">
        <v>13387</v>
      </c>
      <c r="E4215" s="0" t="s">
        <v>23</v>
      </c>
      <c r="M4215" s="0" t="s">
        <v>156</v>
      </c>
      <c r="N4215" s="0" t="s">
        <v>124</v>
      </c>
      <c r="P4215" s="0" t="s">
        <v>102</v>
      </c>
      <c r="Q4215" s="0" t="s">
        <v>102</v>
      </c>
      <c r="R4215" s="0" t="s">
        <v>113</v>
      </c>
      <c r="S4215" s="0" t="s">
        <v>21</v>
      </c>
      <c r="T4215" s="0" t="s">
        <v>104</v>
      </c>
      <c r="W4215" s="0" t="s">
        <v>105</v>
      </c>
    </row>
    <row r="4216" customFormat="false" ht="15" hidden="false" customHeight="false" outlineLevel="0" collapsed="false">
      <c r="A4216" s="0" t="s">
        <v>21</v>
      </c>
      <c r="B4216" s="0" t="s">
        <v>22</v>
      </c>
      <c r="C4216" s="0" t="s">
        <v>771</v>
      </c>
      <c r="D4216" s="0" t="s">
        <v>13387</v>
      </c>
      <c r="E4216" s="0" t="s">
        <v>23</v>
      </c>
      <c r="M4216" s="0" t="s">
        <v>156</v>
      </c>
      <c r="N4216" s="0" t="s">
        <v>124</v>
      </c>
      <c r="P4216" s="0" t="s">
        <v>26</v>
      </c>
      <c r="Q4216" s="0" t="s">
        <v>26</v>
      </c>
      <c r="R4216" s="0" t="s">
        <v>26</v>
      </c>
      <c r="S4216" s="0" t="s">
        <v>21</v>
      </c>
      <c r="T4216" s="0" t="s">
        <v>104</v>
      </c>
      <c r="W4216" s="0" t="s">
        <v>183</v>
      </c>
    </row>
    <row r="4217" customFormat="false" ht="15" hidden="false" customHeight="false" outlineLevel="0" collapsed="false">
      <c r="A4217" s="0" t="s">
        <v>21</v>
      </c>
      <c r="B4217" s="0" t="s">
        <v>13388</v>
      </c>
      <c r="C4217" s="0" t="s">
        <v>771</v>
      </c>
      <c r="D4217" s="0" t="s">
        <v>13389</v>
      </c>
      <c r="E4217" s="0" t="s">
        <v>13390</v>
      </c>
      <c r="M4217" s="0" t="s">
        <v>136</v>
      </c>
      <c r="N4217" s="0" t="s">
        <v>124</v>
      </c>
      <c r="P4217" s="0" t="s">
        <v>102</v>
      </c>
      <c r="Q4217" s="0" t="s">
        <v>102</v>
      </c>
      <c r="R4217" s="0" t="s">
        <v>113</v>
      </c>
      <c r="S4217" s="0" t="s">
        <v>21</v>
      </c>
      <c r="T4217" s="0" t="s">
        <v>104</v>
      </c>
      <c r="W4217" s="0" t="s">
        <v>105</v>
      </c>
    </row>
    <row r="4218" customFormat="false" ht="15" hidden="false" customHeight="false" outlineLevel="0" collapsed="false">
      <c r="A4218" s="0" t="s">
        <v>21</v>
      </c>
      <c r="B4218" s="0" t="s">
        <v>13388</v>
      </c>
      <c r="C4218" s="0" t="s">
        <v>771</v>
      </c>
      <c r="D4218" s="0" t="s">
        <v>13389</v>
      </c>
      <c r="E4218" s="0" t="s">
        <v>13390</v>
      </c>
      <c r="M4218" s="0" t="s">
        <v>136</v>
      </c>
      <c r="N4218" s="0" t="s">
        <v>124</v>
      </c>
      <c r="P4218" s="0" t="s">
        <v>26</v>
      </c>
      <c r="Q4218" s="0" t="s">
        <v>26</v>
      </c>
      <c r="R4218" s="0" t="s">
        <v>26</v>
      </c>
      <c r="S4218" s="0" t="s">
        <v>21</v>
      </c>
      <c r="T4218" s="0" t="s">
        <v>104</v>
      </c>
      <c r="W4218" s="0" t="s">
        <v>183</v>
      </c>
    </row>
    <row r="4219" customFormat="false" ht="15" hidden="false" customHeight="false" outlineLevel="0" collapsed="false">
      <c r="A4219" s="0" t="s">
        <v>21</v>
      </c>
      <c r="B4219" s="0" t="s">
        <v>13391</v>
      </c>
      <c r="C4219" s="0" t="s">
        <v>771</v>
      </c>
      <c r="D4219" s="0" t="s">
        <v>13392</v>
      </c>
      <c r="E4219" s="0" t="s">
        <v>13393</v>
      </c>
      <c r="M4219" s="0" t="s">
        <v>232</v>
      </c>
      <c r="N4219" s="0" t="s">
        <v>124</v>
      </c>
      <c r="P4219" s="0" t="s">
        <v>233</v>
      </c>
      <c r="Q4219" s="0" t="s">
        <v>233</v>
      </c>
      <c r="R4219" s="0" t="s">
        <v>233</v>
      </c>
      <c r="S4219" s="0" t="s">
        <v>21</v>
      </c>
      <c r="T4219" s="0" t="s">
        <v>104</v>
      </c>
      <c r="W4219" s="0" t="s">
        <v>183</v>
      </c>
    </row>
    <row r="4220" customFormat="false" ht="15" hidden="false" customHeight="false" outlineLevel="0" collapsed="false">
      <c r="A4220" s="0" t="s">
        <v>21</v>
      </c>
      <c r="B4220" s="0" t="s">
        <v>13391</v>
      </c>
      <c r="C4220" s="0" t="s">
        <v>771</v>
      </c>
      <c r="D4220" s="0" t="s">
        <v>13392</v>
      </c>
      <c r="E4220" s="0" t="s">
        <v>13393</v>
      </c>
      <c r="M4220" s="0" t="s">
        <v>232</v>
      </c>
      <c r="N4220" s="0" t="s">
        <v>124</v>
      </c>
      <c r="P4220" s="0" t="s">
        <v>102</v>
      </c>
      <c r="Q4220" s="0" t="s">
        <v>102</v>
      </c>
      <c r="R4220" s="0" t="s">
        <v>234</v>
      </c>
      <c r="S4220" s="0" t="s">
        <v>21</v>
      </c>
      <c r="T4220" s="0" t="s">
        <v>104</v>
      </c>
      <c r="V4220" s="0" t="s">
        <v>235</v>
      </c>
      <c r="W4220" s="0" t="s">
        <v>105</v>
      </c>
    </row>
    <row r="4221" customFormat="false" ht="15" hidden="false" customHeight="false" outlineLevel="0" collapsed="false">
      <c r="A4221" s="0" t="s">
        <v>21</v>
      </c>
      <c r="B4221" s="0" t="s">
        <v>13391</v>
      </c>
      <c r="C4221" s="0" t="s">
        <v>771</v>
      </c>
      <c r="D4221" s="0" t="s">
        <v>13392</v>
      </c>
      <c r="E4221" s="0" t="s">
        <v>13393</v>
      </c>
      <c r="M4221" s="0" t="s">
        <v>232</v>
      </c>
      <c r="N4221" s="0" t="s">
        <v>124</v>
      </c>
      <c r="P4221" s="0" t="s">
        <v>26</v>
      </c>
      <c r="Q4221" s="0" t="s">
        <v>26</v>
      </c>
      <c r="R4221" s="0" t="s">
        <v>26</v>
      </c>
      <c r="S4221" s="0" t="s">
        <v>21</v>
      </c>
      <c r="T4221" s="0" t="s">
        <v>104</v>
      </c>
      <c r="W4221" s="0" t="s">
        <v>183</v>
      </c>
    </row>
    <row r="4222" customFormat="false" ht="15" hidden="false" customHeight="false" outlineLevel="0" collapsed="false">
      <c r="A4222" s="0" t="s">
        <v>21</v>
      </c>
      <c r="B4222" s="0" t="s">
        <v>13391</v>
      </c>
      <c r="C4222" s="0" t="s">
        <v>771</v>
      </c>
      <c r="D4222" s="0" t="s">
        <v>13392</v>
      </c>
      <c r="E4222" s="0" t="s">
        <v>13393</v>
      </c>
      <c r="M4222" s="0" t="s">
        <v>232</v>
      </c>
      <c r="N4222" s="0" t="s">
        <v>124</v>
      </c>
      <c r="P4222" s="0" t="s">
        <v>236</v>
      </c>
      <c r="Q4222" s="0" t="s">
        <v>236</v>
      </c>
      <c r="R4222" s="0" t="s">
        <v>237</v>
      </c>
      <c r="S4222" s="0" t="s">
        <v>21</v>
      </c>
      <c r="T4222" s="0" t="s">
        <v>104</v>
      </c>
      <c r="U4222" s="0" t="s">
        <v>238</v>
      </c>
      <c r="W4222" s="0" t="s">
        <v>105</v>
      </c>
    </row>
    <row r="4223" customFormat="false" ht="15" hidden="false" customHeight="false" outlineLevel="0" collapsed="false">
      <c r="A4223" s="0" t="s">
        <v>21</v>
      </c>
      <c r="B4223" s="0" t="s">
        <v>13394</v>
      </c>
      <c r="C4223" s="0" t="s">
        <v>771</v>
      </c>
      <c r="D4223" s="0" t="s">
        <v>229</v>
      </c>
      <c r="E4223" s="0" t="s">
        <v>229</v>
      </c>
      <c r="M4223" s="0" t="s">
        <v>136</v>
      </c>
      <c r="N4223" s="0" t="s">
        <v>124</v>
      </c>
      <c r="P4223" s="0" t="s">
        <v>233</v>
      </c>
      <c r="Q4223" s="0" t="s">
        <v>233</v>
      </c>
      <c r="R4223" s="0" t="s">
        <v>233</v>
      </c>
      <c r="S4223" s="0" t="s">
        <v>21</v>
      </c>
      <c r="T4223" s="0" t="s">
        <v>104</v>
      </c>
      <c r="W4223" s="0" t="s">
        <v>183</v>
      </c>
    </row>
    <row r="4224" customFormat="false" ht="15" hidden="false" customHeight="false" outlineLevel="0" collapsed="false">
      <c r="A4224" s="0" t="s">
        <v>21</v>
      </c>
      <c r="B4224" s="0" t="s">
        <v>13394</v>
      </c>
      <c r="C4224" s="0" t="s">
        <v>771</v>
      </c>
      <c r="D4224" s="0" t="s">
        <v>229</v>
      </c>
      <c r="E4224" s="0" t="s">
        <v>229</v>
      </c>
      <c r="M4224" s="0" t="s">
        <v>136</v>
      </c>
      <c r="N4224" s="0" t="s">
        <v>124</v>
      </c>
      <c r="P4224" s="0" t="s">
        <v>26</v>
      </c>
      <c r="Q4224" s="0" t="s">
        <v>26</v>
      </c>
      <c r="R4224" s="0" t="s">
        <v>26</v>
      </c>
      <c r="S4224" s="0" t="s">
        <v>21</v>
      </c>
      <c r="T4224" s="0" t="s">
        <v>104</v>
      </c>
      <c r="W4224" s="0" t="s">
        <v>183</v>
      </c>
    </row>
    <row r="4225" customFormat="false" ht="15" hidden="false" customHeight="false" outlineLevel="0" collapsed="false">
      <c r="A4225" s="0" t="s">
        <v>21</v>
      </c>
      <c r="B4225" s="0" t="s">
        <v>13394</v>
      </c>
      <c r="C4225" s="0" t="s">
        <v>771</v>
      </c>
      <c r="D4225" s="0" t="s">
        <v>229</v>
      </c>
      <c r="E4225" s="0" t="s">
        <v>229</v>
      </c>
      <c r="M4225" s="0" t="s">
        <v>136</v>
      </c>
      <c r="N4225" s="0" t="s">
        <v>124</v>
      </c>
      <c r="P4225" s="0" t="s">
        <v>236</v>
      </c>
      <c r="Q4225" s="0" t="s">
        <v>236</v>
      </c>
      <c r="R4225" s="0" t="s">
        <v>237</v>
      </c>
      <c r="S4225" s="0" t="s">
        <v>21</v>
      </c>
      <c r="T4225" s="0" t="s">
        <v>104</v>
      </c>
      <c r="W4225" s="0" t="s">
        <v>105</v>
      </c>
    </row>
    <row r="4226" customFormat="false" ht="15" hidden="false" customHeight="false" outlineLevel="0" collapsed="false">
      <c r="A4226" s="0" t="s">
        <v>21</v>
      </c>
      <c r="B4226" s="0" t="s">
        <v>13395</v>
      </c>
      <c r="C4226" s="0" t="s">
        <v>771</v>
      </c>
      <c r="D4226" s="0" t="s">
        <v>5874</v>
      </c>
      <c r="E4226" s="0" t="s">
        <v>13396</v>
      </c>
      <c r="M4226" s="0" t="s">
        <v>136</v>
      </c>
      <c r="N4226" s="0" t="s">
        <v>124</v>
      </c>
      <c r="P4226" s="0" t="s">
        <v>102</v>
      </c>
      <c r="Q4226" s="0" t="s">
        <v>102</v>
      </c>
      <c r="R4226" s="0" t="s">
        <v>113</v>
      </c>
      <c r="S4226" s="0" t="s">
        <v>21</v>
      </c>
      <c r="T4226" s="0" t="s">
        <v>104</v>
      </c>
      <c r="W4226" s="0" t="s">
        <v>105</v>
      </c>
    </row>
    <row r="4227" customFormat="false" ht="15" hidden="false" customHeight="false" outlineLevel="0" collapsed="false">
      <c r="A4227" s="0" t="s">
        <v>21</v>
      </c>
      <c r="B4227" s="0" t="s">
        <v>13395</v>
      </c>
      <c r="C4227" s="0" t="s">
        <v>771</v>
      </c>
      <c r="D4227" s="0" t="s">
        <v>5874</v>
      </c>
      <c r="E4227" s="0" t="s">
        <v>13396</v>
      </c>
      <c r="M4227" s="0" t="s">
        <v>136</v>
      </c>
      <c r="N4227" s="0" t="s">
        <v>124</v>
      </c>
      <c r="P4227" s="0" t="s">
        <v>26</v>
      </c>
      <c r="Q4227" s="0" t="s">
        <v>26</v>
      </c>
      <c r="R4227" s="0" t="s">
        <v>26</v>
      </c>
      <c r="S4227" s="0" t="s">
        <v>21</v>
      </c>
      <c r="T4227" s="0" t="s">
        <v>104</v>
      </c>
      <c r="W4227" s="0" t="s">
        <v>183</v>
      </c>
    </row>
    <row r="4228" customFormat="false" ht="15" hidden="false" customHeight="false" outlineLevel="0" collapsed="false">
      <c r="A4228" s="0" t="s">
        <v>21</v>
      </c>
      <c r="B4228" s="0" t="s">
        <v>13397</v>
      </c>
      <c r="C4228" s="0" t="s">
        <v>771</v>
      </c>
      <c r="D4228" s="0" t="s">
        <v>4118</v>
      </c>
      <c r="E4228" s="0" t="s">
        <v>13398</v>
      </c>
      <c r="M4228" s="0" t="s">
        <v>136</v>
      </c>
      <c r="N4228" s="0" t="s">
        <v>124</v>
      </c>
      <c r="P4228" s="0" t="s">
        <v>102</v>
      </c>
      <c r="Q4228" s="0" t="s">
        <v>102</v>
      </c>
      <c r="R4228" s="0" t="s">
        <v>113</v>
      </c>
      <c r="S4228" s="0" t="s">
        <v>21</v>
      </c>
      <c r="T4228" s="0" t="s">
        <v>104</v>
      </c>
      <c r="W4228" s="0" t="s">
        <v>105</v>
      </c>
    </row>
    <row r="4229" customFormat="false" ht="15" hidden="false" customHeight="false" outlineLevel="0" collapsed="false">
      <c r="A4229" s="0" t="s">
        <v>21</v>
      </c>
      <c r="B4229" s="0" t="s">
        <v>13397</v>
      </c>
      <c r="C4229" s="0" t="s">
        <v>771</v>
      </c>
      <c r="D4229" s="0" t="s">
        <v>4118</v>
      </c>
      <c r="E4229" s="0" t="s">
        <v>13398</v>
      </c>
      <c r="M4229" s="0" t="s">
        <v>136</v>
      </c>
      <c r="N4229" s="0" t="s">
        <v>124</v>
      </c>
      <c r="P4229" s="0" t="s">
        <v>26</v>
      </c>
      <c r="Q4229" s="0" t="s">
        <v>26</v>
      </c>
      <c r="R4229" s="0" t="s">
        <v>26</v>
      </c>
      <c r="S4229" s="0" t="s">
        <v>21</v>
      </c>
      <c r="T4229" s="0" t="s">
        <v>104</v>
      </c>
      <c r="W4229" s="0" t="s">
        <v>183</v>
      </c>
    </row>
    <row r="4230" customFormat="false" ht="15" hidden="false" customHeight="false" outlineLevel="0" collapsed="false">
      <c r="A4230" s="0" t="s">
        <v>21</v>
      </c>
      <c r="B4230" s="0" t="s">
        <v>13399</v>
      </c>
      <c r="C4230" s="0" t="s">
        <v>771</v>
      </c>
      <c r="D4230" s="0" t="s">
        <v>8617</v>
      </c>
      <c r="E4230" s="0" t="s">
        <v>13400</v>
      </c>
      <c r="M4230" s="0" t="s">
        <v>136</v>
      </c>
      <c r="N4230" s="0" t="s">
        <v>124</v>
      </c>
      <c r="P4230" s="0" t="s">
        <v>102</v>
      </c>
      <c r="Q4230" s="0" t="s">
        <v>102</v>
      </c>
      <c r="R4230" s="0" t="s">
        <v>144</v>
      </c>
      <c r="S4230" s="0" t="s">
        <v>21</v>
      </c>
      <c r="T4230" s="0" t="s">
        <v>104</v>
      </c>
      <c r="W4230" s="0" t="s">
        <v>105</v>
      </c>
    </row>
    <row r="4231" customFormat="false" ht="15" hidden="false" customHeight="false" outlineLevel="0" collapsed="false">
      <c r="A4231" s="0" t="s">
        <v>21</v>
      </c>
      <c r="B4231" s="0" t="s">
        <v>13399</v>
      </c>
      <c r="C4231" s="0" t="s">
        <v>771</v>
      </c>
      <c r="D4231" s="0" t="s">
        <v>8617</v>
      </c>
      <c r="E4231" s="0" t="s">
        <v>13400</v>
      </c>
      <c r="M4231" s="0" t="s">
        <v>136</v>
      </c>
      <c r="N4231" s="0" t="s">
        <v>124</v>
      </c>
      <c r="P4231" s="0" t="s">
        <v>26</v>
      </c>
      <c r="Q4231" s="0" t="s">
        <v>26</v>
      </c>
      <c r="R4231" s="0" t="s">
        <v>26</v>
      </c>
      <c r="S4231" s="0" t="s">
        <v>21</v>
      </c>
      <c r="T4231" s="0" t="s">
        <v>104</v>
      </c>
      <c r="W4231" s="0" t="s">
        <v>183</v>
      </c>
    </row>
    <row r="4232" customFormat="false" ht="15" hidden="false" customHeight="false" outlineLevel="0" collapsed="false">
      <c r="A4232" s="0" t="s">
        <v>21</v>
      </c>
      <c r="B4232" s="0" t="s">
        <v>33</v>
      </c>
      <c r="C4232" s="0" t="s">
        <v>771</v>
      </c>
      <c r="D4232" s="0" t="s">
        <v>4118</v>
      </c>
      <c r="E4232" s="0" t="s">
        <v>34</v>
      </c>
      <c r="M4232" s="0" t="s">
        <v>232</v>
      </c>
      <c r="N4232" s="0" t="s">
        <v>124</v>
      </c>
      <c r="P4232" s="0" t="s">
        <v>102</v>
      </c>
      <c r="Q4232" s="0" t="s">
        <v>102</v>
      </c>
      <c r="R4232" s="0" t="s">
        <v>113</v>
      </c>
      <c r="S4232" s="0" t="s">
        <v>21</v>
      </c>
      <c r="T4232" s="0" t="s">
        <v>104</v>
      </c>
      <c r="W4232" s="0" t="s">
        <v>105</v>
      </c>
    </row>
    <row r="4233" customFormat="false" ht="15" hidden="false" customHeight="false" outlineLevel="0" collapsed="false">
      <c r="A4233" s="0" t="s">
        <v>21</v>
      </c>
      <c r="B4233" s="0" t="s">
        <v>33</v>
      </c>
      <c r="C4233" s="0" t="s">
        <v>771</v>
      </c>
      <c r="D4233" s="0" t="s">
        <v>4118</v>
      </c>
      <c r="E4233" s="0" t="s">
        <v>34</v>
      </c>
      <c r="M4233" s="0" t="s">
        <v>232</v>
      </c>
      <c r="N4233" s="0" t="s">
        <v>124</v>
      </c>
      <c r="P4233" s="0" t="s">
        <v>26</v>
      </c>
      <c r="Q4233" s="0" t="s">
        <v>26</v>
      </c>
      <c r="R4233" s="0" t="s">
        <v>26</v>
      </c>
      <c r="S4233" s="0" t="s">
        <v>21</v>
      </c>
      <c r="T4233" s="0" t="s">
        <v>104</v>
      </c>
      <c r="W4233" s="0" t="s">
        <v>183</v>
      </c>
    </row>
    <row r="4234" customFormat="false" ht="15" hidden="false" customHeight="false" outlineLevel="0" collapsed="false">
      <c r="A4234" s="0" t="s">
        <v>21</v>
      </c>
      <c r="B4234" s="0" t="s">
        <v>13401</v>
      </c>
      <c r="C4234" s="0" t="s">
        <v>771</v>
      </c>
      <c r="D4234" s="0" t="s">
        <v>13402</v>
      </c>
      <c r="E4234" s="0" t="s">
        <v>13403</v>
      </c>
      <c r="M4234" s="0" t="s">
        <v>136</v>
      </c>
      <c r="N4234" s="0" t="s">
        <v>124</v>
      </c>
      <c r="P4234" s="0" t="s">
        <v>102</v>
      </c>
      <c r="Q4234" s="0" t="s">
        <v>102</v>
      </c>
      <c r="R4234" s="0" t="s">
        <v>137</v>
      </c>
      <c r="S4234" s="0" t="s">
        <v>21</v>
      </c>
      <c r="T4234" s="0" t="s">
        <v>104</v>
      </c>
      <c r="W4234" s="0" t="s">
        <v>105</v>
      </c>
    </row>
    <row r="4235" customFormat="false" ht="15" hidden="false" customHeight="false" outlineLevel="0" collapsed="false">
      <c r="A4235" s="0" t="s">
        <v>21</v>
      </c>
      <c r="B4235" s="0" t="s">
        <v>13401</v>
      </c>
      <c r="C4235" s="0" t="s">
        <v>771</v>
      </c>
      <c r="D4235" s="0" t="s">
        <v>13402</v>
      </c>
      <c r="E4235" s="0" t="s">
        <v>13403</v>
      </c>
      <c r="M4235" s="0" t="s">
        <v>136</v>
      </c>
      <c r="N4235" s="0" t="s">
        <v>124</v>
      </c>
      <c r="P4235" s="0" t="s">
        <v>26</v>
      </c>
      <c r="Q4235" s="0" t="s">
        <v>26</v>
      </c>
      <c r="R4235" s="0" t="s">
        <v>26</v>
      </c>
      <c r="S4235" s="0" t="s">
        <v>21</v>
      </c>
      <c r="T4235" s="0" t="s">
        <v>104</v>
      </c>
      <c r="W4235" s="0" t="s">
        <v>183</v>
      </c>
    </row>
    <row r="4236" customFormat="false" ht="15" hidden="false" customHeight="false" outlineLevel="0" collapsed="false">
      <c r="A4236" s="0" t="s">
        <v>21</v>
      </c>
      <c r="B4236" s="0" t="s">
        <v>13404</v>
      </c>
      <c r="C4236" s="0" t="s">
        <v>771</v>
      </c>
      <c r="D4236" s="0" t="s">
        <v>13405</v>
      </c>
      <c r="E4236" s="0" t="s">
        <v>13406</v>
      </c>
      <c r="M4236" s="0" t="s">
        <v>136</v>
      </c>
      <c r="N4236" s="0" t="s">
        <v>124</v>
      </c>
      <c r="P4236" s="0" t="s">
        <v>102</v>
      </c>
      <c r="Q4236" s="0" t="s">
        <v>102</v>
      </c>
      <c r="R4236" s="0" t="s">
        <v>144</v>
      </c>
      <c r="S4236" s="0" t="s">
        <v>21</v>
      </c>
      <c r="T4236" s="0" t="s">
        <v>104</v>
      </c>
      <c r="W4236" s="0" t="s">
        <v>105</v>
      </c>
    </row>
    <row r="4237" customFormat="false" ht="15" hidden="false" customHeight="false" outlineLevel="0" collapsed="false">
      <c r="A4237" s="0" t="s">
        <v>21</v>
      </c>
      <c r="B4237" s="0" t="s">
        <v>13404</v>
      </c>
      <c r="C4237" s="0" t="s">
        <v>771</v>
      </c>
      <c r="D4237" s="0" t="s">
        <v>13405</v>
      </c>
      <c r="E4237" s="0" t="s">
        <v>13406</v>
      </c>
      <c r="M4237" s="0" t="s">
        <v>136</v>
      </c>
      <c r="N4237" s="0" t="s">
        <v>124</v>
      </c>
      <c r="P4237" s="0" t="s">
        <v>26</v>
      </c>
      <c r="Q4237" s="0" t="s">
        <v>26</v>
      </c>
      <c r="R4237" s="0" t="s">
        <v>26</v>
      </c>
      <c r="S4237" s="0" t="s">
        <v>21</v>
      </c>
      <c r="T4237" s="0" t="s">
        <v>104</v>
      </c>
      <c r="W4237" s="0" t="s">
        <v>183</v>
      </c>
    </row>
    <row r="4238" customFormat="false" ht="15" hidden="false" customHeight="false" outlineLevel="0" collapsed="false">
      <c r="A4238" s="0" t="s">
        <v>21</v>
      </c>
      <c r="B4238" s="0" t="s">
        <v>13407</v>
      </c>
      <c r="C4238" s="0" t="s">
        <v>771</v>
      </c>
      <c r="D4238" s="0" t="s">
        <v>2005</v>
      </c>
      <c r="E4238" s="0" t="s">
        <v>2005</v>
      </c>
      <c r="M4238" s="0" t="s">
        <v>136</v>
      </c>
      <c r="N4238" s="0" t="s">
        <v>124</v>
      </c>
      <c r="P4238" s="0" t="s">
        <v>102</v>
      </c>
      <c r="Q4238" s="0" t="s">
        <v>102</v>
      </c>
      <c r="R4238" s="0" t="s">
        <v>137</v>
      </c>
      <c r="S4238" s="0" t="s">
        <v>21</v>
      </c>
      <c r="T4238" s="0" t="s">
        <v>104</v>
      </c>
      <c r="W4238" s="0" t="s">
        <v>105</v>
      </c>
    </row>
    <row r="4239" customFormat="false" ht="15" hidden="false" customHeight="false" outlineLevel="0" collapsed="false">
      <c r="A4239" s="0" t="s">
        <v>21</v>
      </c>
      <c r="B4239" s="0" t="s">
        <v>13407</v>
      </c>
      <c r="C4239" s="0" t="s">
        <v>771</v>
      </c>
      <c r="D4239" s="0" t="s">
        <v>2005</v>
      </c>
      <c r="E4239" s="0" t="s">
        <v>2005</v>
      </c>
      <c r="M4239" s="0" t="s">
        <v>136</v>
      </c>
      <c r="N4239" s="0" t="s">
        <v>124</v>
      </c>
      <c r="P4239" s="0" t="s">
        <v>26</v>
      </c>
      <c r="Q4239" s="0" t="s">
        <v>26</v>
      </c>
      <c r="R4239" s="0" t="s">
        <v>26</v>
      </c>
      <c r="S4239" s="0" t="s">
        <v>21</v>
      </c>
      <c r="T4239" s="0" t="s">
        <v>104</v>
      </c>
      <c r="W4239" s="0" t="s">
        <v>183</v>
      </c>
    </row>
    <row r="4240" customFormat="false" ht="15" hidden="false" customHeight="false" outlineLevel="0" collapsed="false">
      <c r="A4240" s="0" t="s">
        <v>21</v>
      </c>
      <c r="B4240" s="0" t="s">
        <v>13408</v>
      </c>
      <c r="C4240" s="0" t="s">
        <v>97</v>
      </c>
      <c r="D4240" s="0" t="s">
        <v>13409</v>
      </c>
      <c r="E4240" s="0" t="s">
        <v>13410</v>
      </c>
      <c r="M4240" s="0" t="s">
        <v>136</v>
      </c>
      <c r="N4240" s="0" t="s">
        <v>124</v>
      </c>
      <c r="P4240" s="0" t="s">
        <v>102</v>
      </c>
      <c r="Q4240" s="0" t="s">
        <v>102</v>
      </c>
      <c r="R4240" s="0" t="s">
        <v>131</v>
      </c>
      <c r="S4240" s="0" t="s">
        <v>21</v>
      </c>
      <c r="T4240" s="0" t="s">
        <v>104</v>
      </c>
      <c r="W4240" s="0" t="s">
        <v>105</v>
      </c>
    </row>
    <row r="4241" customFormat="false" ht="15" hidden="false" customHeight="false" outlineLevel="0" collapsed="false">
      <c r="A4241" s="0" t="s">
        <v>21</v>
      </c>
      <c r="B4241" s="0" t="s">
        <v>13408</v>
      </c>
      <c r="C4241" s="0" t="s">
        <v>97</v>
      </c>
      <c r="D4241" s="0" t="s">
        <v>13409</v>
      </c>
      <c r="E4241" s="0" t="s">
        <v>13410</v>
      </c>
      <c r="M4241" s="0" t="s">
        <v>136</v>
      </c>
      <c r="N4241" s="0" t="s">
        <v>124</v>
      </c>
      <c r="P4241" s="0" t="s">
        <v>26</v>
      </c>
      <c r="Q4241" s="0" t="s">
        <v>26</v>
      </c>
      <c r="R4241" s="0" t="s">
        <v>26</v>
      </c>
      <c r="S4241" s="0" t="s">
        <v>21</v>
      </c>
      <c r="T4241" s="0" t="s">
        <v>104</v>
      </c>
      <c r="W4241" s="0" t="s">
        <v>183</v>
      </c>
    </row>
    <row r="4242" customFormat="false" ht="15" hidden="false" customHeight="false" outlineLevel="0" collapsed="false">
      <c r="A4242" s="0" t="s">
        <v>21</v>
      </c>
      <c r="B4242" s="0" t="s">
        <v>37</v>
      </c>
      <c r="C4242" s="0" t="s">
        <v>771</v>
      </c>
      <c r="D4242" s="0" t="s">
        <v>13411</v>
      </c>
      <c r="E4242" s="0" t="s">
        <v>38</v>
      </c>
      <c r="M4242" s="0" t="s">
        <v>156</v>
      </c>
      <c r="N4242" s="0" t="s">
        <v>124</v>
      </c>
      <c r="P4242" s="0" t="s">
        <v>102</v>
      </c>
      <c r="Q4242" s="0" t="s">
        <v>102</v>
      </c>
      <c r="R4242" s="0" t="s">
        <v>144</v>
      </c>
      <c r="S4242" s="0" t="s">
        <v>21</v>
      </c>
      <c r="T4242" s="0" t="s">
        <v>104</v>
      </c>
      <c r="W4242" s="0" t="s">
        <v>105</v>
      </c>
    </row>
    <row r="4243" customFormat="false" ht="15" hidden="false" customHeight="false" outlineLevel="0" collapsed="false">
      <c r="A4243" s="0" t="s">
        <v>21</v>
      </c>
      <c r="B4243" s="0" t="s">
        <v>37</v>
      </c>
      <c r="C4243" s="0" t="s">
        <v>771</v>
      </c>
      <c r="D4243" s="0" t="s">
        <v>13411</v>
      </c>
      <c r="E4243" s="0" t="s">
        <v>38</v>
      </c>
      <c r="M4243" s="0" t="s">
        <v>156</v>
      </c>
      <c r="N4243" s="0" t="s">
        <v>124</v>
      </c>
      <c r="P4243" s="0" t="s">
        <v>26</v>
      </c>
      <c r="Q4243" s="0" t="s">
        <v>26</v>
      </c>
      <c r="R4243" s="0" t="s">
        <v>26</v>
      </c>
      <c r="S4243" s="0" t="s">
        <v>21</v>
      </c>
      <c r="T4243" s="0" t="s">
        <v>104</v>
      </c>
      <c r="W4243" s="0" t="s">
        <v>183</v>
      </c>
    </row>
    <row r="4244" customFormat="false" ht="15" hidden="false" customHeight="false" outlineLevel="0" collapsed="false">
      <c r="A4244" s="0" t="s">
        <v>21</v>
      </c>
      <c r="B4244" s="0" t="s">
        <v>13412</v>
      </c>
      <c r="C4244" s="0" t="s">
        <v>97</v>
      </c>
      <c r="D4244" s="0" t="s">
        <v>13413</v>
      </c>
      <c r="E4244" s="0" t="s">
        <v>13414</v>
      </c>
      <c r="M4244" s="0" t="s">
        <v>136</v>
      </c>
      <c r="N4244" s="0" t="s">
        <v>124</v>
      </c>
      <c r="P4244" s="0" t="s">
        <v>102</v>
      </c>
      <c r="Q4244" s="0" t="s">
        <v>102</v>
      </c>
      <c r="R4244" s="0" t="s">
        <v>804</v>
      </c>
      <c r="S4244" s="0" t="s">
        <v>21</v>
      </c>
      <c r="T4244" s="0" t="s">
        <v>104</v>
      </c>
      <c r="W4244" s="0" t="s">
        <v>105</v>
      </c>
    </row>
    <row r="4245" customFormat="false" ht="15" hidden="false" customHeight="false" outlineLevel="0" collapsed="false">
      <c r="A4245" s="0" t="s">
        <v>21</v>
      </c>
      <c r="B4245" s="0" t="s">
        <v>13412</v>
      </c>
      <c r="C4245" s="0" t="s">
        <v>97</v>
      </c>
      <c r="D4245" s="0" t="s">
        <v>13413</v>
      </c>
      <c r="E4245" s="0" t="s">
        <v>13414</v>
      </c>
      <c r="M4245" s="0" t="s">
        <v>136</v>
      </c>
      <c r="N4245" s="0" t="s">
        <v>124</v>
      </c>
      <c r="P4245" s="0" t="s">
        <v>26</v>
      </c>
      <c r="Q4245" s="0" t="s">
        <v>26</v>
      </c>
      <c r="R4245" s="0" t="s">
        <v>26</v>
      </c>
      <c r="S4245" s="0" t="s">
        <v>21</v>
      </c>
      <c r="T4245" s="0" t="s">
        <v>104</v>
      </c>
      <c r="W4245" s="0" t="s">
        <v>183</v>
      </c>
    </row>
    <row r="4246" customFormat="false" ht="15" hidden="false" customHeight="false" outlineLevel="0" collapsed="false">
      <c r="A4246" s="0" t="s">
        <v>21</v>
      </c>
      <c r="B4246" s="0" t="s">
        <v>41</v>
      </c>
      <c r="C4246" s="0" t="s">
        <v>771</v>
      </c>
      <c r="D4246" s="0" t="s">
        <v>503</v>
      </c>
      <c r="E4246" s="0" t="s">
        <v>42</v>
      </c>
      <c r="M4246" s="0" t="s">
        <v>156</v>
      </c>
      <c r="N4246" s="0" t="s">
        <v>124</v>
      </c>
      <c r="P4246" s="0" t="s">
        <v>102</v>
      </c>
      <c r="Q4246" s="0" t="s">
        <v>102</v>
      </c>
      <c r="R4246" s="0" t="s">
        <v>113</v>
      </c>
      <c r="S4246" s="0" t="s">
        <v>21</v>
      </c>
      <c r="T4246" s="0" t="s">
        <v>104</v>
      </c>
      <c r="W4246" s="0" t="s">
        <v>105</v>
      </c>
    </row>
    <row r="4247" customFormat="false" ht="15" hidden="false" customHeight="false" outlineLevel="0" collapsed="false">
      <c r="A4247" s="0" t="s">
        <v>21</v>
      </c>
      <c r="B4247" s="0" t="s">
        <v>41</v>
      </c>
      <c r="C4247" s="0" t="s">
        <v>771</v>
      </c>
      <c r="D4247" s="0" t="s">
        <v>503</v>
      </c>
      <c r="E4247" s="0" t="s">
        <v>42</v>
      </c>
      <c r="M4247" s="0" t="s">
        <v>156</v>
      </c>
      <c r="N4247" s="0" t="s">
        <v>124</v>
      </c>
      <c r="P4247" s="0" t="s">
        <v>26</v>
      </c>
      <c r="Q4247" s="0" t="s">
        <v>26</v>
      </c>
      <c r="R4247" s="0" t="s">
        <v>26</v>
      </c>
      <c r="S4247" s="0" t="s">
        <v>21</v>
      </c>
      <c r="T4247" s="0" t="s">
        <v>104</v>
      </c>
      <c r="W4247" s="0" t="s">
        <v>183</v>
      </c>
    </row>
    <row r="4248" customFormat="false" ht="15" hidden="false" customHeight="false" outlineLevel="0" collapsed="false">
      <c r="A4248" s="0" t="s">
        <v>21</v>
      </c>
      <c r="B4248" s="0" t="s">
        <v>13415</v>
      </c>
      <c r="C4248" s="0" t="s">
        <v>97</v>
      </c>
      <c r="D4248" s="0" t="s">
        <v>9784</v>
      </c>
      <c r="E4248" s="0" t="s">
        <v>9784</v>
      </c>
      <c r="M4248" s="0" t="s">
        <v>136</v>
      </c>
      <c r="N4248" s="0" t="s">
        <v>124</v>
      </c>
      <c r="P4248" s="0" t="s">
        <v>102</v>
      </c>
      <c r="Q4248" s="0" t="s">
        <v>102</v>
      </c>
      <c r="R4248" s="0" t="s">
        <v>131</v>
      </c>
      <c r="S4248" s="0" t="s">
        <v>21</v>
      </c>
      <c r="T4248" s="0" t="s">
        <v>104</v>
      </c>
      <c r="W4248" s="0" t="s">
        <v>105</v>
      </c>
    </row>
    <row r="4249" customFormat="false" ht="15" hidden="false" customHeight="false" outlineLevel="0" collapsed="false">
      <c r="A4249" s="0" t="s">
        <v>21</v>
      </c>
      <c r="B4249" s="0" t="s">
        <v>13416</v>
      </c>
      <c r="C4249" s="0" t="s">
        <v>771</v>
      </c>
      <c r="D4249" s="0" t="s">
        <v>13417</v>
      </c>
      <c r="E4249" s="0" t="s">
        <v>13418</v>
      </c>
      <c r="M4249" s="0" t="s">
        <v>136</v>
      </c>
      <c r="N4249" s="0" t="s">
        <v>124</v>
      </c>
      <c r="P4249" s="0" t="s">
        <v>102</v>
      </c>
      <c r="Q4249" s="0" t="s">
        <v>102</v>
      </c>
      <c r="R4249" s="0" t="s">
        <v>131</v>
      </c>
      <c r="S4249" s="0" t="s">
        <v>21</v>
      </c>
      <c r="T4249" s="0" t="s">
        <v>104</v>
      </c>
      <c r="W4249" s="0" t="s">
        <v>105</v>
      </c>
    </row>
    <row r="4250" customFormat="false" ht="15" hidden="false" customHeight="false" outlineLevel="0" collapsed="false">
      <c r="A4250" s="0" t="s">
        <v>21</v>
      </c>
      <c r="B4250" s="0" t="s">
        <v>13416</v>
      </c>
      <c r="C4250" s="0" t="s">
        <v>771</v>
      </c>
      <c r="D4250" s="0" t="s">
        <v>13417</v>
      </c>
      <c r="E4250" s="0" t="s">
        <v>13418</v>
      </c>
      <c r="M4250" s="0" t="s">
        <v>136</v>
      </c>
      <c r="N4250" s="0" t="s">
        <v>124</v>
      </c>
      <c r="P4250" s="0" t="s">
        <v>26</v>
      </c>
      <c r="Q4250" s="0" t="s">
        <v>26</v>
      </c>
      <c r="R4250" s="0" t="s">
        <v>26</v>
      </c>
      <c r="S4250" s="0" t="s">
        <v>21</v>
      </c>
      <c r="T4250" s="0" t="s">
        <v>104</v>
      </c>
      <c r="W4250" s="0" t="s">
        <v>183</v>
      </c>
    </row>
    <row r="4251" customFormat="false" ht="15" hidden="false" customHeight="false" outlineLevel="0" collapsed="false">
      <c r="A4251" s="0" t="s">
        <v>21</v>
      </c>
      <c r="B4251" s="0" t="s">
        <v>13419</v>
      </c>
      <c r="C4251" s="0" t="s">
        <v>771</v>
      </c>
      <c r="D4251" s="0" t="s">
        <v>13420</v>
      </c>
      <c r="E4251" s="0" t="s">
        <v>13421</v>
      </c>
      <c r="M4251" s="0" t="s">
        <v>136</v>
      </c>
      <c r="N4251" s="0" t="s">
        <v>124</v>
      </c>
      <c r="P4251" s="0" t="s">
        <v>102</v>
      </c>
      <c r="Q4251" s="0" t="s">
        <v>102</v>
      </c>
      <c r="R4251" s="0" t="s">
        <v>131</v>
      </c>
      <c r="S4251" s="0" t="s">
        <v>21</v>
      </c>
      <c r="T4251" s="0" t="s">
        <v>104</v>
      </c>
      <c r="W4251" s="0" t="s">
        <v>105</v>
      </c>
    </row>
    <row r="4252" customFormat="false" ht="15" hidden="false" customHeight="false" outlineLevel="0" collapsed="false">
      <c r="A4252" s="0" t="s">
        <v>21</v>
      </c>
      <c r="B4252" s="0" t="s">
        <v>13419</v>
      </c>
      <c r="C4252" s="0" t="s">
        <v>771</v>
      </c>
      <c r="D4252" s="0" t="s">
        <v>13420</v>
      </c>
      <c r="E4252" s="0" t="s">
        <v>13421</v>
      </c>
      <c r="M4252" s="0" t="s">
        <v>136</v>
      </c>
      <c r="N4252" s="0" t="s">
        <v>124</v>
      </c>
      <c r="P4252" s="0" t="s">
        <v>26</v>
      </c>
      <c r="Q4252" s="0" t="s">
        <v>26</v>
      </c>
      <c r="R4252" s="0" t="s">
        <v>26</v>
      </c>
      <c r="S4252" s="0" t="s">
        <v>21</v>
      </c>
      <c r="T4252" s="0" t="s">
        <v>104</v>
      </c>
      <c r="W4252" s="0" t="s">
        <v>183</v>
      </c>
    </row>
    <row r="4253" customFormat="false" ht="15" hidden="false" customHeight="false" outlineLevel="0" collapsed="false">
      <c r="A4253" s="0" t="s">
        <v>21</v>
      </c>
      <c r="B4253" s="0" t="s">
        <v>13422</v>
      </c>
      <c r="C4253" s="0" t="s">
        <v>97</v>
      </c>
      <c r="D4253" s="0" t="s">
        <v>13409</v>
      </c>
      <c r="E4253" s="0" t="s">
        <v>13409</v>
      </c>
      <c r="M4253" s="0" t="s">
        <v>136</v>
      </c>
      <c r="N4253" s="0" t="s">
        <v>124</v>
      </c>
      <c r="P4253" s="0" t="s">
        <v>102</v>
      </c>
      <c r="Q4253" s="0" t="s">
        <v>102</v>
      </c>
      <c r="R4253" s="0" t="s">
        <v>131</v>
      </c>
      <c r="S4253" s="0" t="s">
        <v>21</v>
      </c>
      <c r="T4253" s="0" t="s">
        <v>104</v>
      </c>
      <c r="W4253" s="0" t="s">
        <v>105</v>
      </c>
    </row>
    <row r="4254" customFormat="false" ht="15" hidden="false" customHeight="false" outlineLevel="0" collapsed="false">
      <c r="A4254" s="0" t="s">
        <v>21</v>
      </c>
      <c r="B4254" s="0" t="s">
        <v>13422</v>
      </c>
      <c r="C4254" s="0" t="s">
        <v>97</v>
      </c>
      <c r="D4254" s="0" t="s">
        <v>13409</v>
      </c>
      <c r="E4254" s="0" t="s">
        <v>13409</v>
      </c>
      <c r="M4254" s="0" t="s">
        <v>136</v>
      </c>
      <c r="N4254" s="0" t="s">
        <v>124</v>
      </c>
      <c r="P4254" s="0" t="s">
        <v>26</v>
      </c>
      <c r="Q4254" s="0" t="s">
        <v>26</v>
      </c>
      <c r="R4254" s="0" t="s">
        <v>26</v>
      </c>
      <c r="S4254" s="0" t="s">
        <v>21</v>
      </c>
      <c r="T4254" s="0" t="s">
        <v>104</v>
      </c>
      <c r="W4254" s="0" t="s">
        <v>183</v>
      </c>
    </row>
    <row r="4255" customFormat="false" ht="15" hidden="false" customHeight="false" outlineLevel="0" collapsed="false">
      <c r="A4255" s="0" t="s">
        <v>21</v>
      </c>
      <c r="B4255" s="0" t="s">
        <v>13423</v>
      </c>
      <c r="C4255" s="0" t="s">
        <v>97</v>
      </c>
      <c r="D4255" s="0" t="s">
        <v>13424</v>
      </c>
      <c r="E4255" s="0" t="s">
        <v>13424</v>
      </c>
      <c r="M4255" s="0" t="s">
        <v>136</v>
      </c>
      <c r="N4255" s="0" t="s">
        <v>124</v>
      </c>
      <c r="P4255" s="0" t="s">
        <v>102</v>
      </c>
      <c r="Q4255" s="0" t="s">
        <v>102</v>
      </c>
      <c r="R4255" s="0" t="s">
        <v>131</v>
      </c>
      <c r="S4255" s="0" t="s">
        <v>21</v>
      </c>
      <c r="T4255" s="0" t="s">
        <v>104</v>
      </c>
      <c r="W4255" s="0" t="s">
        <v>105</v>
      </c>
    </row>
    <row r="4256" customFormat="false" ht="15" hidden="false" customHeight="false" outlineLevel="0" collapsed="false">
      <c r="A4256" s="0" t="s">
        <v>21</v>
      </c>
      <c r="B4256" s="0" t="s">
        <v>13423</v>
      </c>
      <c r="C4256" s="0" t="s">
        <v>97</v>
      </c>
      <c r="D4256" s="0" t="s">
        <v>13424</v>
      </c>
      <c r="E4256" s="0" t="s">
        <v>13424</v>
      </c>
      <c r="M4256" s="0" t="s">
        <v>136</v>
      </c>
      <c r="N4256" s="0" t="s">
        <v>124</v>
      </c>
      <c r="P4256" s="0" t="s">
        <v>26</v>
      </c>
      <c r="Q4256" s="0" t="s">
        <v>26</v>
      </c>
      <c r="R4256" s="0" t="s">
        <v>26</v>
      </c>
      <c r="S4256" s="0" t="s">
        <v>21</v>
      </c>
      <c r="T4256" s="0" t="s">
        <v>104</v>
      </c>
      <c r="W4256" s="0" t="s">
        <v>183</v>
      </c>
    </row>
    <row r="4257" customFormat="false" ht="15" hidden="false" customHeight="false" outlineLevel="0" collapsed="false">
      <c r="A4257" s="0" t="s">
        <v>21</v>
      </c>
      <c r="B4257" s="0" t="s">
        <v>13425</v>
      </c>
      <c r="C4257" s="0" t="s">
        <v>97</v>
      </c>
      <c r="D4257" s="0" t="s">
        <v>8337</v>
      </c>
      <c r="E4257" s="0" t="s">
        <v>8337</v>
      </c>
      <c r="M4257" s="0" t="s">
        <v>136</v>
      </c>
      <c r="N4257" s="0" t="s">
        <v>124</v>
      </c>
      <c r="P4257" s="0" t="s">
        <v>102</v>
      </c>
      <c r="Q4257" s="0" t="s">
        <v>102</v>
      </c>
      <c r="R4257" s="0" t="s">
        <v>113</v>
      </c>
      <c r="S4257" s="0" t="s">
        <v>21</v>
      </c>
      <c r="T4257" s="0" t="s">
        <v>104</v>
      </c>
      <c r="W4257" s="0" t="s">
        <v>105</v>
      </c>
    </row>
    <row r="4258" customFormat="false" ht="15" hidden="false" customHeight="false" outlineLevel="0" collapsed="false">
      <c r="A4258" s="0" t="s">
        <v>21</v>
      </c>
      <c r="B4258" s="0" t="s">
        <v>13425</v>
      </c>
      <c r="C4258" s="0" t="s">
        <v>97</v>
      </c>
      <c r="D4258" s="0" t="s">
        <v>8337</v>
      </c>
      <c r="E4258" s="0" t="s">
        <v>8337</v>
      </c>
      <c r="M4258" s="0" t="s">
        <v>136</v>
      </c>
      <c r="N4258" s="0" t="s">
        <v>124</v>
      </c>
      <c r="P4258" s="0" t="s">
        <v>26</v>
      </c>
      <c r="Q4258" s="0" t="s">
        <v>26</v>
      </c>
      <c r="R4258" s="0" t="s">
        <v>26</v>
      </c>
      <c r="S4258" s="0" t="s">
        <v>21</v>
      </c>
      <c r="T4258" s="0" t="s">
        <v>104</v>
      </c>
      <c r="W4258" s="0" t="s">
        <v>183</v>
      </c>
    </row>
    <row r="4259" customFormat="false" ht="15" hidden="false" customHeight="false" outlineLevel="0" collapsed="false">
      <c r="A4259" s="0" t="s">
        <v>21</v>
      </c>
      <c r="B4259" s="0" t="s">
        <v>13426</v>
      </c>
      <c r="C4259" s="0" t="s">
        <v>771</v>
      </c>
      <c r="D4259" s="0" t="s">
        <v>8700</v>
      </c>
      <c r="E4259" s="0" t="s">
        <v>13427</v>
      </c>
      <c r="M4259" s="0" t="s">
        <v>136</v>
      </c>
      <c r="N4259" s="0" t="s">
        <v>124</v>
      </c>
      <c r="P4259" s="0" t="s">
        <v>102</v>
      </c>
      <c r="Q4259" s="0" t="s">
        <v>102</v>
      </c>
      <c r="R4259" s="0" t="s">
        <v>131</v>
      </c>
      <c r="S4259" s="0" t="s">
        <v>21</v>
      </c>
      <c r="T4259" s="0" t="s">
        <v>104</v>
      </c>
      <c r="W4259" s="0" t="s">
        <v>105</v>
      </c>
    </row>
    <row r="4260" customFormat="false" ht="15" hidden="false" customHeight="false" outlineLevel="0" collapsed="false">
      <c r="A4260" s="0" t="s">
        <v>21</v>
      </c>
      <c r="B4260" s="0" t="s">
        <v>13426</v>
      </c>
      <c r="C4260" s="0" t="s">
        <v>771</v>
      </c>
      <c r="D4260" s="0" t="s">
        <v>8700</v>
      </c>
      <c r="E4260" s="0" t="s">
        <v>13427</v>
      </c>
      <c r="M4260" s="0" t="s">
        <v>136</v>
      </c>
      <c r="N4260" s="0" t="s">
        <v>124</v>
      </c>
      <c r="P4260" s="0" t="s">
        <v>26</v>
      </c>
      <c r="Q4260" s="0" t="s">
        <v>26</v>
      </c>
      <c r="R4260" s="0" t="s">
        <v>26</v>
      </c>
      <c r="S4260" s="0" t="s">
        <v>21</v>
      </c>
      <c r="T4260" s="0" t="s">
        <v>104</v>
      </c>
      <c r="W4260" s="0" t="s">
        <v>183</v>
      </c>
    </row>
    <row r="4261" customFormat="false" ht="15" hidden="false" customHeight="false" outlineLevel="0" collapsed="false">
      <c r="A4261" s="0" t="s">
        <v>21</v>
      </c>
      <c r="B4261" s="0" t="s">
        <v>13428</v>
      </c>
      <c r="C4261" s="0" t="s">
        <v>771</v>
      </c>
      <c r="D4261" s="0" t="s">
        <v>13429</v>
      </c>
      <c r="E4261" s="0" t="s">
        <v>13430</v>
      </c>
      <c r="M4261" s="0" t="s">
        <v>136</v>
      </c>
      <c r="N4261" s="0" t="s">
        <v>124</v>
      </c>
      <c r="P4261" s="0" t="s">
        <v>102</v>
      </c>
      <c r="Q4261" s="0" t="s">
        <v>102</v>
      </c>
      <c r="R4261" s="0" t="s">
        <v>144</v>
      </c>
      <c r="S4261" s="0" t="s">
        <v>21</v>
      </c>
      <c r="T4261" s="0" t="s">
        <v>104</v>
      </c>
      <c r="W4261" s="0" t="s">
        <v>105</v>
      </c>
    </row>
    <row r="4262" customFormat="false" ht="15" hidden="false" customHeight="false" outlineLevel="0" collapsed="false">
      <c r="A4262" s="0" t="s">
        <v>21</v>
      </c>
      <c r="B4262" s="0" t="s">
        <v>13428</v>
      </c>
      <c r="C4262" s="0" t="s">
        <v>771</v>
      </c>
      <c r="D4262" s="0" t="s">
        <v>13429</v>
      </c>
      <c r="E4262" s="0" t="s">
        <v>13430</v>
      </c>
      <c r="M4262" s="0" t="s">
        <v>136</v>
      </c>
      <c r="N4262" s="0" t="s">
        <v>124</v>
      </c>
      <c r="P4262" s="0" t="s">
        <v>26</v>
      </c>
      <c r="Q4262" s="0" t="s">
        <v>26</v>
      </c>
      <c r="R4262" s="0" t="s">
        <v>26</v>
      </c>
      <c r="S4262" s="0" t="s">
        <v>21</v>
      </c>
      <c r="T4262" s="0" t="s">
        <v>104</v>
      </c>
      <c r="W4262" s="0" t="s">
        <v>183</v>
      </c>
    </row>
    <row r="4263" customFormat="false" ht="15" hidden="false" customHeight="false" outlineLevel="0" collapsed="false">
      <c r="A4263" s="0" t="s">
        <v>21</v>
      </c>
      <c r="B4263" s="0" t="s">
        <v>13431</v>
      </c>
      <c r="C4263" s="0" t="s">
        <v>771</v>
      </c>
      <c r="D4263" s="0" t="s">
        <v>695</v>
      </c>
      <c r="E4263" s="0" t="s">
        <v>13432</v>
      </c>
      <c r="M4263" s="0" t="s">
        <v>136</v>
      </c>
      <c r="N4263" s="0" t="s">
        <v>124</v>
      </c>
      <c r="P4263" s="0" t="s">
        <v>102</v>
      </c>
      <c r="Q4263" s="0" t="s">
        <v>102</v>
      </c>
      <c r="R4263" s="0" t="s">
        <v>113</v>
      </c>
      <c r="S4263" s="0" t="s">
        <v>21</v>
      </c>
      <c r="T4263" s="0" t="s">
        <v>104</v>
      </c>
      <c r="W4263" s="0" t="s">
        <v>105</v>
      </c>
    </row>
    <row r="4264" customFormat="false" ht="15" hidden="false" customHeight="false" outlineLevel="0" collapsed="false">
      <c r="A4264" s="0" t="s">
        <v>21</v>
      </c>
      <c r="B4264" s="0" t="s">
        <v>13431</v>
      </c>
      <c r="C4264" s="0" t="s">
        <v>771</v>
      </c>
      <c r="D4264" s="0" t="s">
        <v>695</v>
      </c>
      <c r="E4264" s="0" t="s">
        <v>13432</v>
      </c>
      <c r="M4264" s="0" t="s">
        <v>136</v>
      </c>
      <c r="N4264" s="0" t="s">
        <v>124</v>
      </c>
      <c r="P4264" s="0" t="s">
        <v>26</v>
      </c>
      <c r="Q4264" s="0" t="s">
        <v>26</v>
      </c>
      <c r="R4264" s="0" t="s">
        <v>26</v>
      </c>
      <c r="S4264" s="0" t="s">
        <v>21</v>
      </c>
      <c r="T4264" s="0" t="s">
        <v>104</v>
      </c>
      <c r="W4264" s="0" t="s">
        <v>183</v>
      </c>
    </row>
    <row r="4265" customFormat="false" ht="15" hidden="false" customHeight="false" outlineLevel="0" collapsed="false">
      <c r="A4265" s="0" t="s">
        <v>21</v>
      </c>
      <c r="B4265" s="0" t="s">
        <v>13433</v>
      </c>
      <c r="C4265" s="0" t="s">
        <v>771</v>
      </c>
      <c r="D4265" s="0" t="s">
        <v>13434</v>
      </c>
      <c r="E4265" s="0" t="s">
        <v>13435</v>
      </c>
      <c r="M4265" s="0" t="s">
        <v>136</v>
      </c>
      <c r="N4265" s="0" t="s">
        <v>124</v>
      </c>
      <c r="P4265" s="0" t="s">
        <v>102</v>
      </c>
      <c r="Q4265" s="0" t="s">
        <v>102</v>
      </c>
      <c r="R4265" s="0" t="s">
        <v>144</v>
      </c>
      <c r="S4265" s="0" t="s">
        <v>21</v>
      </c>
      <c r="T4265" s="0" t="s">
        <v>104</v>
      </c>
      <c r="W4265" s="0" t="s">
        <v>105</v>
      </c>
    </row>
    <row r="4266" customFormat="false" ht="15" hidden="false" customHeight="false" outlineLevel="0" collapsed="false">
      <c r="A4266" s="0" t="s">
        <v>21</v>
      </c>
      <c r="B4266" s="0" t="s">
        <v>13433</v>
      </c>
      <c r="C4266" s="0" t="s">
        <v>771</v>
      </c>
      <c r="D4266" s="0" t="s">
        <v>13434</v>
      </c>
      <c r="E4266" s="0" t="s">
        <v>13435</v>
      </c>
      <c r="M4266" s="0" t="s">
        <v>136</v>
      </c>
      <c r="N4266" s="0" t="s">
        <v>124</v>
      </c>
      <c r="P4266" s="0" t="s">
        <v>26</v>
      </c>
      <c r="Q4266" s="0" t="s">
        <v>26</v>
      </c>
      <c r="R4266" s="0" t="s">
        <v>26</v>
      </c>
      <c r="S4266" s="0" t="s">
        <v>21</v>
      </c>
      <c r="T4266" s="0" t="s">
        <v>104</v>
      </c>
      <c r="W4266" s="0" t="s">
        <v>183</v>
      </c>
    </row>
    <row r="4267" customFormat="false" ht="15" hidden="false" customHeight="false" outlineLevel="0" collapsed="false">
      <c r="A4267" s="0" t="s">
        <v>21</v>
      </c>
      <c r="B4267" s="0" t="s">
        <v>13436</v>
      </c>
      <c r="C4267" s="0" t="s">
        <v>771</v>
      </c>
      <c r="D4267" s="0" t="s">
        <v>13437</v>
      </c>
      <c r="E4267" s="0" t="s">
        <v>13438</v>
      </c>
      <c r="M4267" s="0" t="s">
        <v>136</v>
      </c>
      <c r="N4267" s="0" t="s">
        <v>124</v>
      </c>
      <c r="P4267" s="0" t="s">
        <v>102</v>
      </c>
      <c r="Q4267" s="0" t="s">
        <v>102</v>
      </c>
      <c r="R4267" s="0" t="s">
        <v>131</v>
      </c>
      <c r="S4267" s="0" t="s">
        <v>21</v>
      </c>
      <c r="T4267" s="0" t="s">
        <v>104</v>
      </c>
      <c r="W4267" s="0" t="s">
        <v>105</v>
      </c>
    </row>
    <row r="4268" customFormat="false" ht="15" hidden="false" customHeight="false" outlineLevel="0" collapsed="false">
      <c r="A4268" s="0" t="s">
        <v>21</v>
      </c>
      <c r="B4268" s="0" t="s">
        <v>13436</v>
      </c>
      <c r="C4268" s="0" t="s">
        <v>771</v>
      </c>
      <c r="D4268" s="0" t="s">
        <v>13437</v>
      </c>
      <c r="E4268" s="0" t="s">
        <v>13438</v>
      </c>
      <c r="M4268" s="0" t="s">
        <v>136</v>
      </c>
      <c r="N4268" s="0" t="s">
        <v>124</v>
      </c>
      <c r="P4268" s="0" t="s">
        <v>26</v>
      </c>
      <c r="Q4268" s="0" t="s">
        <v>26</v>
      </c>
      <c r="R4268" s="0" t="s">
        <v>26</v>
      </c>
      <c r="S4268" s="0" t="s">
        <v>21</v>
      </c>
      <c r="T4268" s="0" t="s">
        <v>104</v>
      </c>
      <c r="W4268" s="0" t="s">
        <v>183</v>
      </c>
    </row>
    <row r="4269" customFormat="false" ht="15" hidden="false" customHeight="false" outlineLevel="0" collapsed="false">
      <c r="A4269" s="0" t="s">
        <v>21</v>
      </c>
      <c r="B4269" s="0" t="s">
        <v>13439</v>
      </c>
      <c r="C4269" s="0" t="s">
        <v>771</v>
      </c>
      <c r="D4269" s="0" t="s">
        <v>13440</v>
      </c>
      <c r="E4269" s="0" t="s">
        <v>13441</v>
      </c>
      <c r="M4269" s="0" t="s">
        <v>136</v>
      </c>
      <c r="N4269" s="0" t="s">
        <v>124</v>
      </c>
      <c r="P4269" s="0" t="s">
        <v>102</v>
      </c>
      <c r="Q4269" s="0" t="s">
        <v>102</v>
      </c>
      <c r="R4269" s="0" t="s">
        <v>131</v>
      </c>
      <c r="S4269" s="0" t="s">
        <v>21</v>
      </c>
      <c r="T4269" s="0" t="s">
        <v>104</v>
      </c>
      <c r="W4269" s="0" t="s">
        <v>105</v>
      </c>
    </row>
    <row r="4270" customFormat="false" ht="15" hidden="false" customHeight="false" outlineLevel="0" collapsed="false">
      <c r="A4270" s="0" t="s">
        <v>21</v>
      </c>
      <c r="B4270" s="0" t="s">
        <v>13439</v>
      </c>
      <c r="C4270" s="0" t="s">
        <v>771</v>
      </c>
      <c r="D4270" s="0" t="s">
        <v>13440</v>
      </c>
      <c r="E4270" s="0" t="s">
        <v>13441</v>
      </c>
      <c r="M4270" s="0" t="s">
        <v>136</v>
      </c>
      <c r="N4270" s="0" t="s">
        <v>124</v>
      </c>
      <c r="P4270" s="0" t="s">
        <v>26</v>
      </c>
      <c r="Q4270" s="0" t="s">
        <v>26</v>
      </c>
      <c r="R4270" s="0" t="s">
        <v>26</v>
      </c>
      <c r="S4270" s="0" t="s">
        <v>21</v>
      </c>
      <c r="T4270" s="0" t="s">
        <v>104</v>
      </c>
      <c r="W4270" s="0" t="s">
        <v>183</v>
      </c>
    </row>
    <row r="4271" customFormat="false" ht="15" hidden="false" customHeight="false" outlineLevel="0" collapsed="false">
      <c r="A4271" s="0" t="s">
        <v>21</v>
      </c>
      <c r="B4271" s="0" t="s">
        <v>13442</v>
      </c>
      <c r="C4271" s="0" t="s">
        <v>771</v>
      </c>
      <c r="D4271" s="0" t="s">
        <v>13443</v>
      </c>
      <c r="E4271" s="0" t="s">
        <v>13441</v>
      </c>
      <c r="M4271" s="0" t="s">
        <v>136</v>
      </c>
      <c r="N4271" s="0" t="s">
        <v>124</v>
      </c>
      <c r="P4271" s="0" t="s">
        <v>102</v>
      </c>
      <c r="Q4271" s="0" t="s">
        <v>102</v>
      </c>
      <c r="R4271" s="0" t="s">
        <v>131</v>
      </c>
      <c r="S4271" s="0" t="s">
        <v>21</v>
      </c>
      <c r="T4271" s="0" t="s">
        <v>104</v>
      </c>
      <c r="W4271" s="0" t="s">
        <v>105</v>
      </c>
    </row>
    <row r="4272" customFormat="false" ht="15" hidden="false" customHeight="false" outlineLevel="0" collapsed="false">
      <c r="A4272" s="0" t="s">
        <v>21</v>
      </c>
      <c r="B4272" s="0" t="s">
        <v>13442</v>
      </c>
      <c r="C4272" s="0" t="s">
        <v>771</v>
      </c>
      <c r="D4272" s="0" t="s">
        <v>13443</v>
      </c>
      <c r="E4272" s="0" t="s">
        <v>13441</v>
      </c>
      <c r="M4272" s="0" t="s">
        <v>136</v>
      </c>
      <c r="N4272" s="0" t="s">
        <v>124</v>
      </c>
      <c r="P4272" s="0" t="s">
        <v>26</v>
      </c>
      <c r="Q4272" s="0" t="s">
        <v>26</v>
      </c>
      <c r="R4272" s="0" t="s">
        <v>26</v>
      </c>
      <c r="S4272" s="0" t="s">
        <v>21</v>
      </c>
      <c r="T4272" s="0" t="s">
        <v>104</v>
      </c>
      <c r="W4272" s="0" t="s">
        <v>183</v>
      </c>
    </row>
    <row r="4273" customFormat="false" ht="15" hidden="false" customHeight="false" outlineLevel="0" collapsed="false">
      <c r="A4273" s="0" t="s">
        <v>21</v>
      </c>
      <c r="B4273" s="0" t="s">
        <v>13444</v>
      </c>
      <c r="C4273" s="0" t="s">
        <v>97</v>
      </c>
      <c r="D4273" s="0" t="s">
        <v>13445</v>
      </c>
      <c r="E4273" s="0" t="s">
        <v>13445</v>
      </c>
      <c r="M4273" s="0" t="s">
        <v>136</v>
      </c>
      <c r="N4273" s="0" t="s">
        <v>124</v>
      </c>
      <c r="P4273" s="0" t="s">
        <v>102</v>
      </c>
      <c r="Q4273" s="0" t="s">
        <v>102</v>
      </c>
      <c r="R4273" s="0" t="s">
        <v>131</v>
      </c>
      <c r="S4273" s="0" t="s">
        <v>21</v>
      </c>
      <c r="T4273" s="0" t="s">
        <v>104</v>
      </c>
      <c r="W4273" s="0" t="s">
        <v>105</v>
      </c>
    </row>
    <row r="4274" customFormat="false" ht="15" hidden="false" customHeight="false" outlineLevel="0" collapsed="false">
      <c r="A4274" s="0" t="s">
        <v>21</v>
      </c>
      <c r="B4274" s="0" t="s">
        <v>13444</v>
      </c>
      <c r="C4274" s="0" t="s">
        <v>97</v>
      </c>
      <c r="D4274" s="0" t="s">
        <v>13445</v>
      </c>
      <c r="E4274" s="0" t="s">
        <v>13445</v>
      </c>
      <c r="M4274" s="0" t="s">
        <v>136</v>
      </c>
      <c r="N4274" s="0" t="s">
        <v>124</v>
      </c>
      <c r="P4274" s="0" t="s">
        <v>26</v>
      </c>
      <c r="Q4274" s="0" t="s">
        <v>26</v>
      </c>
      <c r="R4274" s="0" t="s">
        <v>26</v>
      </c>
      <c r="S4274" s="0" t="s">
        <v>21</v>
      </c>
      <c r="T4274" s="0" t="s">
        <v>104</v>
      </c>
      <c r="W4274" s="0" t="s">
        <v>183</v>
      </c>
    </row>
    <row r="4275" customFormat="false" ht="15" hidden="false" customHeight="false" outlineLevel="0" collapsed="false">
      <c r="A4275" s="0" t="s">
        <v>21</v>
      </c>
      <c r="B4275" s="0" t="s">
        <v>13446</v>
      </c>
      <c r="C4275" s="0" t="s">
        <v>771</v>
      </c>
      <c r="D4275" s="0" t="s">
        <v>8558</v>
      </c>
      <c r="E4275" s="0" t="s">
        <v>13447</v>
      </c>
      <c r="M4275" s="0" t="s">
        <v>136</v>
      </c>
      <c r="N4275" s="0" t="s">
        <v>124</v>
      </c>
      <c r="P4275" s="0" t="s">
        <v>102</v>
      </c>
      <c r="Q4275" s="0" t="s">
        <v>102</v>
      </c>
      <c r="R4275" s="0" t="s">
        <v>137</v>
      </c>
      <c r="S4275" s="0" t="s">
        <v>21</v>
      </c>
      <c r="T4275" s="0" t="s">
        <v>104</v>
      </c>
      <c r="W4275" s="0" t="s">
        <v>105</v>
      </c>
    </row>
    <row r="4276" customFormat="false" ht="15" hidden="false" customHeight="false" outlineLevel="0" collapsed="false">
      <c r="A4276" s="0" t="s">
        <v>21</v>
      </c>
      <c r="B4276" s="0" t="s">
        <v>13446</v>
      </c>
      <c r="C4276" s="0" t="s">
        <v>771</v>
      </c>
      <c r="D4276" s="0" t="s">
        <v>8558</v>
      </c>
      <c r="E4276" s="0" t="s">
        <v>13447</v>
      </c>
      <c r="M4276" s="0" t="s">
        <v>136</v>
      </c>
      <c r="N4276" s="0" t="s">
        <v>124</v>
      </c>
      <c r="P4276" s="0" t="s">
        <v>26</v>
      </c>
      <c r="Q4276" s="0" t="s">
        <v>26</v>
      </c>
      <c r="R4276" s="0" t="s">
        <v>26</v>
      </c>
      <c r="S4276" s="0" t="s">
        <v>21</v>
      </c>
      <c r="T4276" s="0" t="s">
        <v>104</v>
      </c>
      <c r="W4276" s="0" t="s">
        <v>183</v>
      </c>
    </row>
    <row r="4277" customFormat="false" ht="15" hidden="false" customHeight="false" outlineLevel="0" collapsed="false">
      <c r="A4277" s="0" t="s">
        <v>21</v>
      </c>
      <c r="B4277" s="0" t="s">
        <v>13448</v>
      </c>
      <c r="C4277" s="0" t="s">
        <v>771</v>
      </c>
      <c r="D4277" s="0" t="s">
        <v>9264</v>
      </c>
      <c r="E4277" s="0" t="s">
        <v>13449</v>
      </c>
      <c r="M4277" s="0" t="s">
        <v>136</v>
      </c>
      <c r="N4277" s="0" t="s">
        <v>124</v>
      </c>
      <c r="P4277" s="0" t="s">
        <v>102</v>
      </c>
      <c r="Q4277" s="0" t="s">
        <v>102</v>
      </c>
      <c r="R4277" s="0" t="s">
        <v>131</v>
      </c>
      <c r="S4277" s="0" t="s">
        <v>21</v>
      </c>
      <c r="T4277" s="0" t="s">
        <v>104</v>
      </c>
      <c r="W4277" s="0" t="s">
        <v>105</v>
      </c>
    </row>
    <row r="4278" customFormat="false" ht="15" hidden="false" customHeight="false" outlineLevel="0" collapsed="false">
      <c r="A4278" s="0" t="s">
        <v>21</v>
      </c>
      <c r="B4278" s="0" t="s">
        <v>13448</v>
      </c>
      <c r="C4278" s="0" t="s">
        <v>771</v>
      </c>
      <c r="D4278" s="0" t="s">
        <v>9264</v>
      </c>
      <c r="E4278" s="0" t="s">
        <v>13449</v>
      </c>
      <c r="M4278" s="0" t="s">
        <v>136</v>
      </c>
      <c r="N4278" s="0" t="s">
        <v>124</v>
      </c>
      <c r="P4278" s="0" t="s">
        <v>26</v>
      </c>
      <c r="Q4278" s="0" t="s">
        <v>26</v>
      </c>
      <c r="R4278" s="0" t="s">
        <v>26</v>
      </c>
      <c r="S4278" s="0" t="s">
        <v>21</v>
      </c>
      <c r="T4278" s="0" t="s">
        <v>104</v>
      </c>
      <c r="W4278" s="0" t="s">
        <v>183</v>
      </c>
    </row>
    <row r="4279" customFormat="false" ht="15" hidden="false" customHeight="false" outlineLevel="0" collapsed="false">
      <c r="A4279" s="0" t="s">
        <v>21</v>
      </c>
      <c r="B4279" s="0" t="s">
        <v>13450</v>
      </c>
      <c r="C4279" s="0" t="s">
        <v>97</v>
      </c>
      <c r="D4279" s="0" t="s">
        <v>13451</v>
      </c>
      <c r="E4279" s="0" t="s">
        <v>13452</v>
      </c>
      <c r="M4279" s="0" t="s">
        <v>136</v>
      </c>
      <c r="N4279" s="0" t="s">
        <v>124</v>
      </c>
      <c r="P4279" s="0" t="s">
        <v>102</v>
      </c>
      <c r="Q4279" s="0" t="s">
        <v>102</v>
      </c>
      <c r="R4279" s="0" t="s">
        <v>804</v>
      </c>
      <c r="S4279" s="0" t="s">
        <v>21</v>
      </c>
      <c r="T4279" s="0" t="s">
        <v>104</v>
      </c>
      <c r="W4279" s="0" t="s">
        <v>105</v>
      </c>
    </row>
    <row r="4280" customFormat="false" ht="15" hidden="false" customHeight="false" outlineLevel="0" collapsed="false">
      <c r="A4280" s="0" t="s">
        <v>21</v>
      </c>
      <c r="B4280" s="0" t="s">
        <v>13450</v>
      </c>
      <c r="C4280" s="0" t="s">
        <v>97</v>
      </c>
      <c r="D4280" s="0" t="s">
        <v>13451</v>
      </c>
      <c r="E4280" s="0" t="s">
        <v>13452</v>
      </c>
      <c r="M4280" s="0" t="s">
        <v>136</v>
      </c>
      <c r="N4280" s="0" t="s">
        <v>124</v>
      </c>
      <c r="P4280" s="0" t="s">
        <v>26</v>
      </c>
      <c r="Q4280" s="0" t="s">
        <v>26</v>
      </c>
      <c r="R4280" s="0" t="s">
        <v>26</v>
      </c>
      <c r="S4280" s="0" t="s">
        <v>21</v>
      </c>
      <c r="T4280" s="0" t="s">
        <v>104</v>
      </c>
      <c r="W4280" s="0" t="s">
        <v>183</v>
      </c>
    </row>
    <row r="4281" customFormat="false" ht="15" hidden="false" customHeight="false" outlineLevel="0" collapsed="false">
      <c r="A4281" s="0" t="s">
        <v>21</v>
      </c>
      <c r="B4281" s="0" t="s">
        <v>13453</v>
      </c>
      <c r="C4281" s="0" t="s">
        <v>771</v>
      </c>
      <c r="D4281" s="0" t="s">
        <v>13454</v>
      </c>
      <c r="E4281" s="0" t="s">
        <v>13455</v>
      </c>
      <c r="M4281" s="0" t="s">
        <v>136</v>
      </c>
      <c r="N4281" s="0" t="s">
        <v>124</v>
      </c>
      <c r="P4281" s="0" t="s">
        <v>102</v>
      </c>
      <c r="Q4281" s="0" t="s">
        <v>102</v>
      </c>
      <c r="R4281" s="0" t="s">
        <v>137</v>
      </c>
      <c r="S4281" s="0" t="s">
        <v>21</v>
      </c>
      <c r="T4281" s="0" t="s">
        <v>104</v>
      </c>
      <c r="W4281" s="0" t="s">
        <v>105</v>
      </c>
    </row>
    <row r="4282" customFormat="false" ht="15" hidden="false" customHeight="false" outlineLevel="0" collapsed="false">
      <c r="A4282" s="0" t="s">
        <v>21</v>
      </c>
      <c r="B4282" s="0" t="s">
        <v>13453</v>
      </c>
      <c r="C4282" s="0" t="s">
        <v>771</v>
      </c>
      <c r="D4282" s="0" t="s">
        <v>13454</v>
      </c>
      <c r="E4282" s="0" t="s">
        <v>13455</v>
      </c>
      <c r="M4282" s="0" t="s">
        <v>136</v>
      </c>
      <c r="N4282" s="0" t="s">
        <v>124</v>
      </c>
      <c r="P4282" s="0" t="s">
        <v>26</v>
      </c>
      <c r="Q4282" s="0" t="s">
        <v>26</v>
      </c>
      <c r="R4282" s="0" t="s">
        <v>26</v>
      </c>
      <c r="S4282" s="0" t="s">
        <v>21</v>
      </c>
      <c r="T4282" s="0" t="s">
        <v>104</v>
      </c>
      <c r="W4282" s="0" t="s">
        <v>183</v>
      </c>
    </row>
    <row r="4283" customFormat="false" ht="15" hidden="false" customHeight="false" outlineLevel="0" collapsed="false">
      <c r="A4283" s="0" t="s">
        <v>21</v>
      </c>
      <c r="B4283" s="0" t="s">
        <v>45</v>
      </c>
      <c r="C4283" s="0" t="s">
        <v>771</v>
      </c>
      <c r="D4283" s="0" t="s">
        <v>435</v>
      </c>
      <c r="E4283" s="0" t="s">
        <v>46</v>
      </c>
      <c r="M4283" s="0" t="s">
        <v>156</v>
      </c>
      <c r="N4283" s="0" t="s">
        <v>124</v>
      </c>
      <c r="P4283" s="0" t="s">
        <v>102</v>
      </c>
      <c r="Q4283" s="0" t="s">
        <v>102</v>
      </c>
      <c r="R4283" s="0" t="s">
        <v>113</v>
      </c>
      <c r="S4283" s="0" t="s">
        <v>21</v>
      </c>
      <c r="T4283" s="0" t="s">
        <v>104</v>
      </c>
      <c r="W4283" s="0" t="s">
        <v>105</v>
      </c>
    </row>
    <row r="4284" customFormat="false" ht="15" hidden="false" customHeight="false" outlineLevel="0" collapsed="false">
      <c r="A4284" s="0" t="s">
        <v>21</v>
      </c>
      <c r="B4284" s="0" t="s">
        <v>45</v>
      </c>
      <c r="C4284" s="0" t="s">
        <v>771</v>
      </c>
      <c r="D4284" s="0" t="s">
        <v>435</v>
      </c>
      <c r="E4284" s="0" t="s">
        <v>46</v>
      </c>
      <c r="M4284" s="0" t="s">
        <v>156</v>
      </c>
      <c r="N4284" s="0" t="s">
        <v>124</v>
      </c>
      <c r="P4284" s="0" t="s">
        <v>26</v>
      </c>
      <c r="Q4284" s="0" t="s">
        <v>26</v>
      </c>
      <c r="R4284" s="0" t="s">
        <v>26</v>
      </c>
      <c r="S4284" s="0" t="s">
        <v>21</v>
      </c>
      <c r="T4284" s="0" t="s">
        <v>104</v>
      </c>
      <c r="W4284" s="0" t="s">
        <v>183</v>
      </c>
    </row>
    <row r="4285" customFormat="false" ht="15" hidden="false" customHeight="false" outlineLevel="0" collapsed="false">
      <c r="A4285" s="0" t="s">
        <v>21</v>
      </c>
      <c r="B4285" s="0" t="s">
        <v>13456</v>
      </c>
      <c r="C4285" s="0" t="s">
        <v>97</v>
      </c>
      <c r="D4285" s="0" t="s">
        <v>13457</v>
      </c>
      <c r="E4285" s="0" t="s">
        <v>13457</v>
      </c>
      <c r="M4285" s="0" t="s">
        <v>136</v>
      </c>
      <c r="N4285" s="0" t="s">
        <v>124</v>
      </c>
      <c r="P4285" s="0" t="s">
        <v>102</v>
      </c>
      <c r="Q4285" s="0" t="s">
        <v>102</v>
      </c>
      <c r="R4285" s="0" t="s">
        <v>144</v>
      </c>
      <c r="S4285" s="0" t="s">
        <v>21</v>
      </c>
      <c r="T4285" s="0" t="s">
        <v>104</v>
      </c>
      <c r="W4285" s="0" t="s">
        <v>105</v>
      </c>
    </row>
    <row r="4286" customFormat="false" ht="15" hidden="false" customHeight="false" outlineLevel="0" collapsed="false">
      <c r="A4286" s="0" t="s">
        <v>21</v>
      </c>
      <c r="B4286" s="0" t="s">
        <v>13456</v>
      </c>
      <c r="C4286" s="0" t="s">
        <v>97</v>
      </c>
      <c r="D4286" s="0" t="s">
        <v>13457</v>
      </c>
      <c r="E4286" s="0" t="s">
        <v>13457</v>
      </c>
      <c r="M4286" s="0" t="s">
        <v>136</v>
      </c>
      <c r="N4286" s="0" t="s">
        <v>124</v>
      </c>
      <c r="P4286" s="0" t="s">
        <v>26</v>
      </c>
      <c r="Q4286" s="0" t="s">
        <v>26</v>
      </c>
      <c r="R4286" s="0" t="s">
        <v>26</v>
      </c>
      <c r="S4286" s="0" t="s">
        <v>21</v>
      </c>
      <c r="T4286" s="0" t="s">
        <v>104</v>
      </c>
      <c r="W4286" s="0" t="s">
        <v>183</v>
      </c>
    </row>
    <row r="4287" customFormat="false" ht="15" hidden="false" customHeight="false" outlineLevel="0" collapsed="false">
      <c r="A4287" s="0" t="s">
        <v>21</v>
      </c>
      <c r="B4287" s="0" t="s">
        <v>13458</v>
      </c>
      <c r="C4287" s="0" t="s">
        <v>771</v>
      </c>
      <c r="D4287" s="0" t="s">
        <v>3986</v>
      </c>
      <c r="E4287" s="0" t="s">
        <v>13459</v>
      </c>
      <c r="M4287" s="0" t="s">
        <v>136</v>
      </c>
      <c r="N4287" s="0" t="s">
        <v>124</v>
      </c>
      <c r="P4287" s="0" t="s">
        <v>102</v>
      </c>
      <c r="Q4287" s="0" t="s">
        <v>102</v>
      </c>
      <c r="R4287" s="0" t="s">
        <v>131</v>
      </c>
      <c r="S4287" s="0" t="s">
        <v>21</v>
      </c>
      <c r="T4287" s="0" t="s">
        <v>104</v>
      </c>
      <c r="W4287" s="0" t="s">
        <v>105</v>
      </c>
    </row>
    <row r="4288" customFormat="false" ht="15" hidden="false" customHeight="false" outlineLevel="0" collapsed="false">
      <c r="A4288" s="0" t="s">
        <v>21</v>
      </c>
      <c r="B4288" s="0" t="s">
        <v>13458</v>
      </c>
      <c r="C4288" s="0" t="s">
        <v>771</v>
      </c>
      <c r="D4288" s="0" t="s">
        <v>3986</v>
      </c>
      <c r="E4288" s="0" t="s">
        <v>13459</v>
      </c>
      <c r="M4288" s="0" t="s">
        <v>136</v>
      </c>
      <c r="N4288" s="0" t="s">
        <v>124</v>
      </c>
      <c r="P4288" s="0" t="s">
        <v>26</v>
      </c>
      <c r="Q4288" s="0" t="s">
        <v>26</v>
      </c>
      <c r="R4288" s="0" t="s">
        <v>26</v>
      </c>
      <c r="S4288" s="0" t="s">
        <v>21</v>
      </c>
      <c r="T4288" s="0" t="s">
        <v>104</v>
      </c>
      <c r="W4288" s="0" t="s">
        <v>183</v>
      </c>
    </row>
    <row r="4289" customFormat="false" ht="15" hidden="false" customHeight="false" outlineLevel="0" collapsed="false">
      <c r="A4289" s="0" t="s">
        <v>21</v>
      </c>
      <c r="B4289" s="0" t="s">
        <v>13460</v>
      </c>
      <c r="C4289" s="0" t="s">
        <v>97</v>
      </c>
      <c r="D4289" s="0" t="s">
        <v>13461</v>
      </c>
      <c r="E4289" s="0" t="s">
        <v>13461</v>
      </c>
      <c r="M4289" s="0" t="s">
        <v>136</v>
      </c>
      <c r="N4289" s="0" t="s">
        <v>124</v>
      </c>
      <c r="P4289" s="0" t="s">
        <v>102</v>
      </c>
      <c r="Q4289" s="0" t="s">
        <v>102</v>
      </c>
      <c r="R4289" s="0" t="s">
        <v>137</v>
      </c>
      <c r="S4289" s="0" t="s">
        <v>21</v>
      </c>
      <c r="T4289" s="0" t="s">
        <v>104</v>
      </c>
      <c r="W4289" s="0" t="s">
        <v>105</v>
      </c>
    </row>
    <row r="4290" customFormat="false" ht="15" hidden="false" customHeight="false" outlineLevel="0" collapsed="false">
      <c r="A4290" s="0" t="s">
        <v>21</v>
      </c>
      <c r="B4290" s="0" t="s">
        <v>13460</v>
      </c>
      <c r="C4290" s="0" t="s">
        <v>97</v>
      </c>
      <c r="D4290" s="0" t="s">
        <v>13461</v>
      </c>
      <c r="E4290" s="0" t="s">
        <v>13461</v>
      </c>
      <c r="M4290" s="0" t="s">
        <v>136</v>
      </c>
      <c r="N4290" s="0" t="s">
        <v>124</v>
      </c>
      <c r="P4290" s="0" t="s">
        <v>26</v>
      </c>
      <c r="Q4290" s="0" t="s">
        <v>26</v>
      </c>
      <c r="R4290" s="0" t="s">
        <v>26</v>
      </c>
      <c r="S4290" s="0" t="s">
        <v>21</v>
      </c>
      <c r="T4290" s="0" t="s">
        <v>104</v>
      </c>
      <c r="W4290" s="0" t="s">
        <v>183</v>
      </c>
    </row>
    <row r="4291" customFormat="false" ht="15" hidden="false" customHeight="false" outlineLevel="0" collapsed="false">
      <c r="A4291" s="0" t="s">
        <v>21</v>
      </c>
      <c r="B4291" s="0" t="s">
        <v>13462</v>
      </c>
      <c r="C4291" s="0" t="s">
        <v>97</v>
      </c>
      <c r="D4291" s="0" t="s">
        <v>13463</v>
      </c>
      <c r="E4291" s="0" t="s">
        <v>13463</v>
      </c>
      <c r="M4291" s="0" t="s">
        <v>136</v>
      </c>
      <c r="N4291" s="0" t="s">
        <v>124</v>
      </c>
      <c r="P4291" s="0" t="s">
        <v>102</v>
      </c>
      <c r="Q4291" s="0" t="s">
        <v>102</v>
      </c>
      <c r="R4291" s="0" t="s">
        <v>131</v>
      </c>
      <c r="S4291" s="0" t="s">
        <v>21</v>
      </c>
      <c r="T4291" s="0" t="s">
        <v>104</v>
      </c>
      <c r="W4291" s="0" t="s">
        <v>105</v>
      </c>
    </row>
    <row r="4292" customFormat="false" ht="15" hidden="false" customHeight="false" outlineLevel="0" collapsed="false">
      <c r="A4292" s="0" t="s">
        <v>21</v>
      </c>
      <c r="B4292" s="0" t="s">
        <v>13462</v>
      </c>
      <c r="C4292" s="0" t="s">
        <v>97</v>
      </c>
      <c r="D4292" s="0" t="s">
        <v>13463</v>
      </c>
      <c r="E4292" s="0" t="s">
        <v>13463</v>
      </c>
      <c r="M4292" s="0" t="s">
        <v>136</v>
      </c>
      <c r="N4292" s="0" t="s">
        <v>124</v>
      </c>
      <c r="P4292" s="0" t="s">
        <v>26</v>
      </c>
      <c r="Q4292" s="0" t="s">
        <v>26</v>
      </c>
      <c r="R4292" s="0" t="s">
        <v>26</v>
      </c>
      <c r="S4292" s="0" t="s">
        <v>21</v>
      </c>
      <c r="T4292" s="0" t="s">
        <v>104</v>
      </c>
      <c r="W4292" s="0" t="s">
        <v>183</v>
      </c>
    </row>
    <row r="4293" customFormat="false" ht="15" hidden="false" customHeight="false" outlineLevel="0" collapsed="false">
      <c r="A4293" s="0" t="s">
        <v>21</v>
      </c>
      <c r="B4293" s="0" t="s">
        <v>13464</v>
      </c>
      <c r="C4293" s="0" t="s">
        <v>771</v>
      </c>
      <c r="D4293" s="0" t="s">
        <v>13465</v>
      </c>
      <c r="E4293" s="0" t="s">
        <v>13466</v>
      </c>
      <c r="M4293" s="0" t="s">
        <v>136</v>
      </c>
      <c r="N4293" s="0" t="s">
        <v>124</v>
      </c>
      <c r="P4293" s="0" t="s">
        <v>102</v>
      </c>
      <c r="Q4293" s="0" t="s">
        <v>102</v>
      </c>
      <c r="R4293" s="0" t="s">
        <v>113</v>
      </c>
      <c r="S4293" s="0" t="s">
        <v>21</v>
      </c>
      <c r="T4293" s="0" t="s">
        <v>104</v>
      </c>
      <c r="W4293" s="0" t="s">
        <v>105</v>
      </c>
    </row>
    <row r="4294" customFormat="false" ht="15" hidden="false" customHeight="false" outlineLevel="0" collapsed="false">
      <c r="A4294" s="0" t="s">
        <v>21</v>
      </c>
      <c r="B4294" s="0" t="s">
        <v>13464</v>
      </c>
      <c r="C4294" s="0" t="s">
        <v>771</v>
      </c>
      <c r="D4294" s="0" t="s">
        <v>13465</v>
      </c>
      <c r="E4294" s="0" t="s">
        <v>13466</v>
      </c>
      <c r="M4294" s="0" t="s">
        <v>136</v>
      </c>
      <c r="N4294" s="0" t="s">
        <v>124</v>
      </c>
      <c r="P4294" s="0" t="s">
        <v>26</v>
      </c>
      <c r="Q4294" s="0" t="s">
        <v>26</v>
      </c>
      <c r="R4294" s="0" t="s">
        <v>26</v>
      </c>
      <c r="S4294" s="0" t="s">
        <v>21</v>
      </c>
      <c r="T4294" s="0" t="s">
        <v>104</v>
      </c>
      <c r="W4294" s="0" t="s">
        <v>183</v>
      </c>
    </row>
    <row r="4295" customFormat="false" ht="15" hidden="false" customHeight="false" outlineLevel="0" collapsed="false">
      <c r="A4295" s="0" t="s">
        <v>21</v>
      </c>
      <c r="B4295" s="0" t="s">
        <v>13467</v>
      </c>
      <c r="C4295" s="0" t="s">
        <v>771</v>
      </c>
      <c r="D4295" s="0" t="s">
        <v>13468</v>
      </c>
      <c r="E4295" s="0" t="s">
        <v>13469</v>
      </c>
      <c r="M4295" s="0" t="s">
        <v>136</v>
      </c>
      <c r="N4295" s="0" t="s">
        <v>124</v>
      </c>
      <c r="P4295" s="0" t="s">
        <v>102</v>
      </c>
      <c r="Q4295" s="0" t="s">
        <v>102</v>
      </c>
      <c r="R4295" s="0" t="s">
        <v>137</v>
      </c>
      <c r="S4295" s="0" t="s">
        <v>21</v>
      </c>
      <c r="T4295" s="0" t="s">
        <v>104</v>
      </c>
      <c r="W4295" s="0" t="s">
        <v>105</v>
      </c>
    </row>
    <row r="4296" customFormat="false" ht="15" hidden="false" customHeight="false" outlineLevel="0" collapsed="false">
      <c r="A4296" s="0" t="s">
        <v>21</v>
      </c>
      <c r="B4296" s="0" t="s">
        <v>13467</v>
      </c>
      <c r="C4296" s="0" t="s">
        <v>771</v>
      </c>
      <c r="D4296" s="0" t="s">
        <v>13468</v>
      </c>
      <c r="E4296" s="0" t="s">
        <v>13469</v>
      </c>
      <c r="M4296" s="0" t="s">
        <v>136</v>
      </c>
      <c r="N4296" s="0" t="s">
        <v>124</v>
      </c>
      <c r="P4296" s="0" t="s">
        <v>26</v>
      </c>
      <c r="Q4296" s="0" t="s">
        <v>26</v>
      </c>
      <c r="R4296" s="0" t="s">
        <v>26</v>
      </c>
      <c r="S4296" s="0" t="s">
        <v>21</v>
      </c>
      <c r="T4296" s="0" t="s">
        <v>104</v>
      </c>
      <c r="W4296" s="0" t="s">
        <v>183</v>
      </c>
    </row>
    <row r="4297" customFormat="false" ht="15" hidden="false" customHeight="false" outlineLevel="0" collapsed="false">
      <c r="A4297" s="0" t="s">
        <v>21</v>
      </c>
      <c r="B4297" s="0" t="s">
        <v>13470</v>
      </c>
      <c r="C4297" s="0" t="s">
        <v>110</v>
      </c>
      <c r="D4297" s="0" t="s">
        <v>13468</v>
      </c>
      <c r="E4297" s="0" t="s">
        <v>13471</v>
      </c>
      <c r="M4297" s="0" t="s">
        <v>136</v>
      </c>
      <c r="N4297" s="0" t="s">
        <v>124</v>
      </c>
      <c r="P4297" s="0" t="s">
        <v>102</v>
      </c>
      <c r="Q4297" s="0" t="s">
        <v>102</v>
      </c>
      <c r="R4297" s="0" t="s">
        <v>137</v>
      </c>
      <c r="S4297" s="0" t="s">
        <v>21</v>
      </c>
      <c r="T4297" s="0" t="s">
        <v>104</v>
      </c>
      <c r="W4297" s="0" t="s">
        <v>105</v>
      </c>
    </row>
    <row r="4298" customFormat="false" ht="15" hidden="false" customHeight="false" outlineLevel="0" collapsed="false">
      <c r="A4298" s="0" t="s">
        <v>21</v>
      </c>
      <c r="B4298" s="0" t="s">
        <v>13470</v>
      </c>
      <c r="C4298" s="0" t="s">
        <v>110</v>
      </c>
      <c r="D4298" s="0" t="s">
        <v>13468</v>
      </c>
      <c r="E4298" s="0" t="s">
        <v>13471</v>
      </c>
      <c r="M4298" s="0" t="s">
        <v>136</v>
      </c>
      <c r="N4298" s="0" t="s">
        <v>124</v>
      </c>
      <c r="P4298" s="0" t="s">
        <v>26</v>
      </c>
      <c r="Q4298" s="0" t="s">
        <v>26</v>
      </c>
      <c r="R4298" s="0" t="s">
        <v>26</v>
      </c>
      <c r="S4298" s="0" t="s">
        <v>21</v>
      </c>
      <c r="T4298" s="0" t="s">
        <v>104</v>
      </c>
      <c r="W4298" s="0" t="s">
        <v>183</v>
      </c>
    </row>
    <row r="4299" customFormat="false" ht="15" hidden="false" customHeight="false" outlineLevel="0" collapsed="false">
      <c r="A4299" s="0" t="s">
        <v>21</v>
      </c>
      <c r="B4299" s="0" t="s">
        <v>13472</v>
      </c>
      <c r="C4299" s="0" t="s">
        <v>97</v>
      </c>
      <c r="D4299" s="0" t="s">
        <v>13473</v>
      </c>
      <c r="E4299" s="0" t="s">
        <v>13474</v>
      </c>
      <c r="M4299" s="0" t="s">
        <v>136</v>
      </c>
      <c r="N4299" s="0" t="s">
        <v>124</v>
      </c>
      <c r="P4299" s="0" t="s">
        <v>102</v>
      </c>
      <c r="Q4299" s="0" t="s">
        <v>102</v>
      </c>
      <c r="R4299" s="0" t="s">
        <v>804</v>
      </c>
      <c r="S4299" s="0" t="s">
        <v>21</v>
      </c>
      <c r="T4299" s="0" t="s">
        <v>104</v>
      </c>
      <c r="W4299" s="0" t="s">
        <v>105</v>
      </c>
    </row>
    <row r="4300" customFormat="false" ht="15" hidden="false" customHeight="false" outlineLevel="0" collapsed="false">
      <c r="A4300" s="0" t="s">
        <v>21</v>
      </c>
      <c r="B4300" s="0" t="s">
        <v>13472</v>
      </c>
      <c r="C4300" s="0" t="s">
        <v>97</v>
      </c>
      <c r="D4300" s="0" t="s">
        <v>13473</v>
      </c>
      <c r="E4300" s="0" t="s">
        <v>13474</v>
      </c>
      <c r="M4300" s="0" t="s">
        <v>136</v>
      </c>
      <c r="N4300" s="0" t="s">
        <v>124</v>
      </c>
      <c r="P4300" s="0" t="s">
        <v>26</v>
      </c>
      <c r="Q4300" s="0" t="s">
        <v>26</v>
      </c>
      <c r="R4300" s="0" t="s">
        <v>26</v>
      </c>
      <c r="S4300" s="0" t="s">
        <v>21</v>
      </c>
      <c r="T4300" s="0" t="s">
        <v>104</v>
      </c>
      <c r="W4300" s="0" t="s">
        <v>183</v>
      </c>
    </row>
    <row r="4301" customFormat="false" ht="15" hidden="false" customHeight="false" outlineLevel="0" collapsed="false">
      <c r="A4301" s="0" t="s">
        <v>21</v>
      </c>
      <c r="B4301" s="0" t="s">
        <v>13475</v>
      </c>
      <c r="C4301" s="0" t="s">
        <v>97</v>
      </c>
      <c r="D4301" s="0" t="s">
        <v>13473</v>
      </c>
      <c r="E4301" s="0" t="s">
        <v>13473</v>
      </c>
      <c r="M4301" s="0" t="s">
        <v>136</v>
      </c>
      <c r="N4301" s="0" t="s">
        <v>124</v>
      </c>
      <c r="P4301" s="0" t="s">
        <v>102</v>
      </c>
      <c r="Q4301" s="0" t="s">
        <v>102</v>
      </c>
      <c r="R4301" s="0" t="s">
        <v>804</v>
      </c>
      <c r="S4301" s="0" t="s">
        <v>21</v>
      </c>
      <c r="T4301" s="0" t="s">
        <v>104</v>
      </c>
      <c r="W4301" s="0" t="s">
        <v>105</v>
      </c>
    </row>
    <row r="4302" customFormat="false" ht="15" hidden="false" customHeight="false" outlineLevel="0" collapsed="false">
      <c r="A4302" s="0" t="s">
        <v>21</v>
      </c>
      <c r="B4302" s="0" t="s">
        <v>13475</v>
      </c>
      <c r="C4302" s="0" t="s">
        <v>97</v>
      </c>
      <c r="D4302" s="0" t="s">
        <v>13473</v>
      </c>
      <c r="E4302" s="0" t="s">
        <v>13473</v>
      </c>
      <c r="M4302" s="0" t="s">
        <v>136</v>
      </c>
      <c r="N4302" s="0" t="s">
        <v>124</v>
      </c>
      <c r="P4302" s="0" t="s">
        <v>26</v>
      </c>
      <c r="Q4302" s="0" t="s">
        <v>26</v>
      </c>
      <c r="R4302" s="0" t="s">
        <v>26</v>
      </c>
      <c r="S4302" s="0" t="s">
        <v>21</v>
      </c>
      <c r="T4302" s="0" t="s">
        <v>104</v>
      </c>
      <c r="W4302" s="0" t="s">
        <v>183</v>
      </c>
    </row>
    <row r="4303" customFormat="false" ht="15" hidden="false" customHeight="false" outlineLevel="0" collapsed="false">
      <c r="A4303" s="0" t="s">
        <v>21</v>
      </c>
      <c r="B4303" s="0" t="s">
        <v>13476</v>
      </c>
      <c r="C4303" s="0" t="s">
        <v>97</v>
      </c>
      <c r="D4303" s="0" t="s">
        <v>13473</v>
      </c>
      <c r="E4303" s="0" t="s">
        <v>13477</v>
      </c>
      <c r="M4303" s="0" t="s">
        <v>136</v>
      </c>
      <c r="N4303" s="0" t="s">
        <v>124</v>
      </c>
      <c r="P4303" s="0" t="s">
        <v>102</v>
      </c>
      <c r="Q4303" s="0" t="s">
        <v>102</v>
      </c>
      <c r="R4303" s="0" t="s">
        <v>804</v>
      </c>
      <c r="S4303" s="0" t="s">
        <v>21</v>
      </c>
      <c r="T4303" s="0" t="s">
        <v>104</v>
      </c>
      <c r="W4303" s="0" t="s">
        <v>105</v>
      </c>
    </row>
    <row r="4304" customFormat="false" ht="15" hidden="false" customHeight="false" outlineLevel="0" collapsed="false">
      <c r="A4304" s="0" t="s">
        <v>21</v>
      </c>
      <c r="B4304" s="0" t="s">
        <v>13476</v>
      </c>
      <c r="C4304" s="0" t="s">
        <v>97</v>
      </c>
      <c r="D4304" s="0" t="s">
        <v>13473</v>
      </c>
      <c r="E4304" s="0" t="s">
        <v>13477</v>
      </c>
      <c r="M4304" s="0" t="s">
        <v>136</v>
      </c>
      <c r="N4304" s="0" t="s">
        <v>124</v>
      </c>
      <c r="P4304" s="0" t="s">
        <v>26</v>
      </c>
      <c r="Q4304" s="0" t="s">
        <v>26</v>
      </c>
      <c r="R4304" s="0" t="s">
        <v>26</v>
      </c>
      <c r="S4304" s="0" t="s">
        <v>21</v>
      </c>
      <c r="T4304" s="0" t="s">
        <v>104</v>
      </c>
      <c r="W4304" s="0" t="s">
        <v>183</v>
      </c>
    </row>
    <row r="4305" customFormat="false" ht="15" hidden="false" customHeight="false" outlineLevel="0" collapsed="false">
      <c r="A4305" s="0" t="s">
        <v>21</v>
      </c>
      <c r="B4305" s="0" t="s">
        <v>13478</v>
      </c>
      <c r="C4305" s="0" t="s">
        <v>97</v>
      </c>
      <c r="D4305" s="0" t="s">
        <v>13479</v>
      </c>
      <c r="E4305" s="0" t="s">
        <v>13479</v>
      </c>
      <c r="M4305" s="0" t="s">
        <v>136</v>
      </c>
      <c r="N4305" s="0" t="s">
        <v>124</v>
      </c>
      <c r="P4305" s="0" t="s">
        <v>102</v>
      </c>
      <c r="Q4305" s="0" t="s">
        <v>102</v>
      </c>
      <c r="R4305" s="0" t="s">
        <v>804</v>
      </c>
      <c r="S4305" s="0" t="s">
        <v>21</v>
      </c>
      <c r="T4305" s="0" t="s">
        <v>104</v>
      </c>
      <c r="W4305" s="0" t="s">
        <v>105</v>
      </c>
    </row>
    <row r="4306" customFormat="false" ht="15" hidden="false" customHeight="false" outlineLevel="0" collapsed="false">
      <c r="A4306" s="0" t="s">
        <v>21</v>
      </c>
      <c r="B4306" s="0" t="s">
        <v>13478</v>
      </c>
      <c r="C4306" s="0" t="s">
        <v>97</v>
      </c>
      <c r="D4306" s="0" t="s">
        <v>13479</v>
      </c>
      <c r="E4306" s="0" t="s">
        <v>13479</v>
      </c>
      <c r="M4306" s="0" t="s">
        <v>136</v>
      </c>
      <c r="N4306" s="0" t="s">
        <v>124</v>
      </c>
      <c r="P4306" s="0" t="s">
        <v>26</v>
      </c>
      <c r="Q4306" s="0" t="s">
        <v>26</v>
      </c>
      <c r="R4306" s="0" t="s">
        <v>26</v>
      </c>
      <c r="S4306" s="0" t="s">
        <v>21</v>
      </c>
      <c r="T4306" s="0" t="s">
        <v>104</v>
      </c>
      <c r="W4306" s="0" t="s">
        <v>183</v>
      </c>
    </row>
    <row r="4307" customFormat="false" ht="15" hidden="false" customHeight="false" outlineLevel="0" collapsed="false">
      <c r="A4307" s="0" t="s">
        <v>21</v>
      </c>
      <c r="B4307" s="0" t="s">
        <v>13480</v>
      </c>
      <c r="C4307" s="0" t="s">
        <v>97</v>
      </c>
      <c r="D4307" s="0" t="s">
        <v>13473</v>
      </c>
      <c r="E4307" s="0" t="s">
        <v>13481</v>
      </c>
      <c r="M4307" s="0" t="s">
        <v>136</v>
      </c>
      <c r="N4307" s="0" t="s">
        <v>124</v>
      </c>
      <c r="P4307" s="0" t="s">
        <v>102</v>
      </c>
      <c r="Q4307" s="0" t="s">
        <v>102</v>
      </c>
      <c r="R4307" s="0" t="s">
        <v>804</v>
      </c>
      <c r="S4307" s="0" t="s">
        <v>21</v>
      </c>
      <c r="T4307" s="0" t="s">
        <v>104</v>
      </c>
      <c r="W4307" s="0" t="s">
        <v>105</v>
      </c>
    </row>
    <row r="4308" customFormat="false" ht="15" hidden="false" customHeight="false" outlineLevel="0" collapsed="false">
      <c r="A4308" s="0" t="s">
        <v>21</v>
      </c>
      <c r="B4308" s="0" t="s">
        <v>13480</v>
      </c>
      <c r="C4308" s="0" t="s">
        <v>97</v>
      </c>
      <c r="D4308" s="0" t="s">
        <v>13473</v>
      </c>
      <c r="E4308" s="0" t="s">
        <v>13481</v>
      </c>
      <c r="M4308" s="0" t="s">
        <v>136</v>
      </c>
      <c r="N4308" s="0" t="s">
        <v>124</v>
      </c>
      <c r="P4308" s="0" t="s">
        <v>26</v>
      </c>
      <c r="Q4308" s="0" t="s">
        <v>26</v>
      </c>
      <c r="R4308" s="0" t="s">
        <v>26</v>
      </c>
      <c r="S4308" s="0" t="s">
        <v>21</v>
      </c>
      <c r="T4308" s="0" t="s">
        <v>104</v>
      </c>
      <c r="W4308" s="0" t="s">
        <v>183</v>
      </c>
    </row>
    <row r="4309" customFormat="false" ht="15" hidden="false" customHeight="false" outlineLevel="0" collapsed="false">
      <c r="A4309" s="0" t="s">
        <v>21</v>
      </c>
      <c r="B4309" s="0" t="s">
        <v>13482</v>
      </c>
      <c r="C4309" s="0" t="s">
        <v>110</v>
      </c>
      <c r="D4309" s="0" t="s">
        <v>4086</v>
      </c>
      <c r="E4309" s="0" t="s">
        <v>13483</v>
      </c>
      <c r="M4309" s="0" t="s">
        <v>136</v>
      </c>
      <c r="N4309" s="0" t="s">
        <v>124</v>
      </c>
      <c r="P4309" s="0" t="s">
        <v>102</v>
      </c>
      <c r="Q4309" s="0" t="s">
        <v>102</v>
      </c>
      <c r="R4309" s="0" t="s">
        <v>131</v>
      </c>
      <c r="S4309" s="0" t="s">
        <v>21</v>
      </c>
      <c r="T4309" s="0" t="s">
        <v>104</v>
      </c>
      <c r="W4309" s="0" t="s">
        <v>105</v>
      </c>
    </row>
    <row r="4310" customFormat="false" ht="15" hidden="false" customHeight="false" outlineLevel="0" collapsed="false">
      <c r="A4310" s="0" t="s">
        <v>21</v>
      </c>
      <c r="B4310" s="0" t="s">
        <v>13482</v>
      </c>
      <c r="C4310" s="0" t="s">
        <v>110</v>
      </c>
      <c r="D4310" s="0" t="s">
        <v>4086</v>
      </c>
      <c r="E4310" s="0" t="s">
        <v>13483</v>
      </c>
      <c r="M4310" s="0" t="s">
        <v>136</v>
      </c>
      <c r="N4310" s="0" t="s">
        <v>124</v>
      </c>
      <c r="P4310" s="0" t="s">
        <v>26</v>
      </c>
      <c r="Q4310" s="0" t="s">
        <v>26</v>
      </c>
      <c r="R4310" s="0" t="s">
        <v>26</v>
      </c>
      <c r="S4310" s="0" t="s">
        <v>21</v>
      </c>
      <c r="T4310" s="0" t="s">
        <v>104</v>
      </c>
      <c r="W4310" s="0" t="s">
        <v>183</v>
      </c>
    </row>
    <row r="4311" customFormat="false" ht="15" hidden="false" customHeight="false" outlineLevel="0" collapsed="false">
      <c r="A4311" s="0" t="s">
        <v>21</v>
      </c>
      <c r="B4311" s="0" t="s">
        <v>13484</v>
      </c>
      <c r="C4311" s="0" t="s">
        <v>771</v>
      </c>
      <c r="D4311" s="0" t="s">
        <v>13485</v>
      </c>
      <c r="E4311" s="0" t="s">
        <v>13486</v>
      </c>
      <c r="M4311" s="0" t="s">
        <v>136</v>
      </c>
      <c r="N4311" s="0" t="s">
        <v>124</v>
      </c>
      <c r="P4311" s="0" t="s">
        <v>102</v>
      </c>
      <c r="Q4311" s="0" t="s">
        <v>102</v>
      </c>
      <c r="R4311" s="0" t="s">
        <v>144</v>
      </c>
      <c r="S4311" s="0" t="s">
        <v>21</v>
      </c>
      <c r="T4311" s="0" t="s">
        <v>104</v>
      </c>
      <c r="W4311" s="0" t="s">
        <v>105</v>
      </c>
    </row>
    <row r="4312" customFormat="false" ht="15" hidden="false" customHeight="false" outlineLevel="0" collapsed="false">
      <c r="A4312" s="0" t="s">
        <v>21</v>
      </c>
      <c r="B4312" s="0" t="s">
        <v>13484</v>
      </c>
      <c r="C4312" s="0" t="s">
        <v>771</v>
      </c>
      <c r="D4312" s="0" t="s">
        <v>13485</v>
      </c>
      <c r="E4312" s="0" t="s">
        <v>13486</v>
      </c>
      <c r="M4312" s="0" t="s">
        <v>136</v>
      </c>
      <c r="N4312" s="0" t="s">
        <v>124</v>
      </c>
      <c r="P4312" s="0" t="s">
        <v>26</v>
      </c>
      <c r="Q4312" s="0" t="s">
        <v>26</v>
      </c>
      <c r="R4312" s="0" t="s">
        <v>26</v>
      </c>
      <c r="S4312" s="0" t="s">
        <v>21</v>
      </c>
      <c r="T4312" s="0" t="s">
        <v>104</v>
      </c>
      <c r="W4312" s="0" t="s">
        <v>183</v>
      </c>
    </row>
    <row r="4313" customFormat="false" ht="15" hidden="false" customHeight="false" outlineLevel="0" collapsed="false">
      <c r="A4313" s="0" t="s">
        <v>21</v>
      </c>
      <c r="B4313" s="0" t="s">
        <v>13487</v>
      </c>
      <c r="C4313" s="0" t="s">
        <v>771</v>
      </c>
      <c r="D4313" s="0" t="s">
        <v>13488</v>
      </c>
      <c r="E4313" s="0" t="s">
        <v>13489</v>
      </c>
      <c r="M4313" s="0" t="s">
        <v>136</v>
      </c>
      <c r="N4313" s="0" t="s">
        <v>124</v>
      </c>
      <c r="P4313" s="0" t="s">
        <v>102</v>
      </c>
      <c r="Q4313" s="0" t="s">
        <v>102</v>
      </c>
      <c r="R4313" s="0" t="s">
        <v>804</v>
      </c>
      <c r="S4313" s="0" t="s">
        <v>21</v>
      </c>
      <c r="T4313" s="0" t="s">
        <v>104</v>
      </c>
      <c r="W4313" s="0" t="s">
        <v>105</v>
      </c>
    </row>
    <row r="4314" customFormat="false" ht="15" hidden="false" customHeight="false" outlineLevel="0" collapsed="false">
      <c r="A4314" s="0" t="s">
        <v>21</v>
      </c>
      <c r="B4314" s="0" t="s">
        <v>13487</v>
      </c>
      <c r="C4314" s="0" t="s">
        <v>771</v>
      </c>
      <c r="D4314" s="0" t="s">
        <v>13488</v>
      </c>
      <c r="E4314" s="0" t="s">
        <v>13489</v>
      </c>
      <c r="M4314" s="0" t="s">
        <v>136</v>
      </c>
      <c r="N4314" s="0" t="s">
        <v>124</v>
      </c>
      <c r="P4314" s="0" t="s">
        <v>26</v>
      </c>
      <c r="Q4314" s="0" t="s">
        <v>26</v>
      </c>
      <c r="R4314" s="0" t="s">
        <v>26</v>
      </c>
      <c r="S4314" s="0" t="s">
        <v>21</v>
      </c>
      <c r="T4314" s="0" t="s">
        <v>104</v>
      </c>
      <c r="W4314" s="0" t="s">
        <v>183</v>
      </c>
    </row>
    <row r="4315" customFormat="false" ht="15" hidden="false" customHeight="false" outlineLevel="0" collapsed="false">
      <c r="A4315" s="0" t="s">
        <v>21</v>
      </c>
      <c r="B4315" s="0" t="s">
        <v>13490</v>
      </c>
      <c r="C4315" s="0" t="s">
        <v>771</v>
      </c>
      <c r="D4315" s="0" t="s">
        <v>13491</v>
      </c>
      <c r="E4315" s="0" t="s">
        <v>13492</v>
      </c>
      <c r="M4315" s="0" t="s">
        <v>136</v>
      </c>
      <c r="N4315" s="0" t="s">
        <v>124</v>
      </c>
      <c r="P4315" s="0" t="s">
        <v>102</v>
      </c>
      <c r="Q4315" s="0" t="s">
        <v>102</v>
      </c>
      <c r="R4315" s="0" t="s">
        <v>113</v>
      </c>
      <c r="S4315" s="0" t="s">
        <v>21</v>
      </c>
      <c r="T4315" s="0" t="s">
        <v>104</v>
      </c>
      <c r="W4315" s="0" t="s">
        <v>105</v>
      </c>
    </row>
    <row r="4316" customFormat="false" ht="15" hidden="false" customHeight="false" outlineLevel="0" collapsed="false">
      <c r="A4316" s="0" t="s">
        <v>21</v>
      </c>
      <c r="B4316" s="0" t="s">
        <v>13490</v>
      </c>
      <c r="C4316" s="0" t="s">
        <v>771</v>
      </c>
      <c r="D4316" s="0" t="s">
        <v>13491</v>
      </c>
      <c r="E4316" s="0" t="s">
        <v>13492</v>
      </c>
      <c r="M4316" s="0" t="s">
        <v>136</v>
      </c>
      <c r="N4316" s="0" t="s">
        <v>124</v>
      </c>
      <c r="P4316" s="0" t="s">
        <v>26</v>
      </c>
      <c r="Q4316" s="0" t="s">
        <v>26</v>
      </c>
      <c r="R4316" s="0" t="s">
        <v>26</v>
      </c>
      <c r="S4316" s="0" t="s">
        <v>21</v>
      </c>
      <c r="T4316" s="0" t="s">
        <v>104</v>
      </c>
      <c r="W4316" s="0" t="s">
        <v>183</v>
      </c>
    </row>
    <row r="4317" customFormat="false" ht="15" hidden="false" customHeight="false" outlineLevel="0" collapsed="false">
      <c r="A4317" s="0" t="s">
        <v>21</v>
      </c>
      <c r="B4317" s="0" t="s">
        <v>13493</v>
      </c>
      <c r="C4317" s="0" t="s">
        <v>771</v>
      </c>
      <c r="D4317" s="0" t="s">
        <v>13494</v>
      </c>
      <c r="E4317" s="0" t="s">
        <v>13495</v>
      </c>
      <c r="M4317" s="0" t="s">
        <v>136</v>
      </c>
      <c r="N4317" s="0" t="s">
        <v>124</v>
      </c>
      <c r="P4317" s="0" t="s">
        <v>102</v>
      </c>
      <c r="Q4317" s="0" t="s">
        <v>102</v>
      </c>
      <c r="R4317" s="0" t="s">
        <v>804</v>
      </c>
      <c r="S4317" s="0" t="s">
        <v>21</v>
      </c>
      <c r="T4317" s="0" t="s">
        <v>104</v>
      </c>
      <c r="W4317" s="0" t="s">
        <v>105</v>
      </c>
    </row>
    <row r="4318" customFormat="false" ht="15" hidden="false" customHeight="false" outlineLevel="0" collapsed="false">
      <c r="A4318" s="0" t="s">
        <v>21</v>
      </c>
      <c r="B4318" s="0" t="s">
        <v>13493</v>
      </c>
      <c r="C4318" s="0" t="s">
        <v>771</v>
      </c>
      <c r="D4318" s="0" t="s">
        <v>13494</v>
      </c>
      <c r="E4318" s="0" t="s">
        <v>13495</v>
      </c>
      <c r="M4318" s="0" t="s">
        <v>136</v>
      </c>
      <c r="N4318" s="0" t="s">
        <v>124</v>
      </c>
      <c r="P4318" s="0" t="s">
        <v>26</v>
      </c>
      <c r="Q4318" s="0" t="s">
        <v>26</v>
      </c>
      <c r="R4318" s="0" t="s">
        <v>26</v>
      </c>
      <c r="S4318" s="0" t="s">
        <v>21</v>
      </c>
      <c r="T4318" s="0" t="s">
        <v>104</v>
      </c>
      <c r="W4318" s="0" t="s">
        <v>183</v>
      </c>
    </row>
    <row r="4319" customFormat="false" ht="15" hidden="false" customHeight="false" outlineLevel="0" collapsed="false">
      <c r="A4319" s="0" t="s">
        <v>21</v>
      </c>
      <c r="B4319" s="0" t="s">
        <v>13496</v>
      </c>
      <c r="C4319" s="0" t="s">
        <v>771</v>
      </c>
      <c r="D4319" s="0" t="s">
        <v>13497</v>
      </c>
      <c r="E4319" s="0" t="s">
        <v>13498</v>
      </c>
      <c r="M4319" s="0" t="s">
        <v>136</v>
      </c>
      <c r="N4319" s="0" t="s">
        <v>124</v>
      </c>
      <c r="P4319" s="0" t="s">
        <v>102</v>
      </c>
      <c r="Q4319" s="0" t="s">
        <v>102</v>
      </c>
      <c r="R4319" s="0" t="s">
        <v>804</v>
      </c>
      <c r="S4319" s="0" t="s">
        <v>21</v>
      </c>
      <c r="T4319" s="0" t="s">
        <v>104</v>
      </c>
      <c r="W4319" s="0" t="s">
        <v>105</v>
      </c>
    </row>
    <row r="4320" customFormat="false" ht="15" hidden="false" customHeight="false" outlineLevel="0" collapsed="false">
      <c r="A4320" s="0" t="s">
        <v>21</v>
      </c>
      <c r="B4320" s="0" t="s">
        <v>13496</v>
      </c>
      <c r="C4320" s="0" t="s">
        <v>771</v>
      </c>
      <c r="D4320" s="0" t="s">
        <v>13497</v>
      </c>
      <c r="E4320" s="0" t="s">
        <v>13498</v>
      </c>
      <c r="M4320" s="0" t="s">
        <v>136</v>
      </c>
      <c r="N4320" s="0" t="s">
        <v>124</v>
      </c>
      <c r="P4320" s="0" t="s">
        <v>26</v>
      </c>
      <c r="Q4320" s="0" t="s">
        <v>26</v>
      </c>
      <c r="R4320" s="0" t="s">
        <v>26</v>
      </c>
      <c r="S4320" s="0" t="s">
        <v>21</v>
      </c>
      <c r="T4320" s="0" t="s">
        <v>104</v>
      </c>
      <c r="W4320" s="0" t="s">
        <v>183</v>
      </c>
    </row>
    <row r="4321" customFormat="false" ht="15" hidden="false" customHeight="false" outlineLevel="0" collapsed="false">
      <c r="A4321" s="0" t="s">
        <v>21</v>
      </c>
      <c r="B4321" s="0" t="s">
        <v>13499</v>
      </c>
      <c r="C4321" s="0" t="s">
        <v>97</v>
      </c>
      <c r="D4321" s="0" t="s">
        <v>13451</v>
      </c>
      <c r="E4321" s="0" t="s">
        <v>13451</v>
      </c>
      <c r="M4321" s="0" t="s">
        <v>136</v>
      </c>
      <c r="N4321" s="0" t="s">
        <v>124</v>
      </c>
      <c r="P4321" s="0" t="s">
        <v>102</v>
      </c>
      <c r="Q4321" s="0" t="s">
        <v>102</v>
      </c>
      <c r="R4321" s="0" t="s">
        <v>804</v>
      </c>
      <c r="S4321" s="0" t="s">
        <v>21</v>
      </c>
      <c r="T4321" s="0" t="s">
        <v>104</v>
      </c>
      <c r="W4321" s="0" t="s">
        <v>105</v>
      </c>
    </row>
    <row r="4322" customFormat="false" ht="15" hidden="false" customHeight="false" outlineLevel="0" collapsed="false">
      <c r="A4322" s="0" t="s">
        <v>21</v>
      </c>
      <c r="B4322" s="0" t="s">
        <v>13499</v>
      </c>
      <c r="C4322" s="0" t="s">
        <v>97</v>
      </c>
      <c r="D4322" s="0" t="s">
        <v>13451</v>
      </c>
      <c r="E4322" s="0" t="s">
        <v>13451</v>
      </c>
      <c r="M4322" s="0" t="s">
        <v>136</v>
      </c>
      <c r="N4322" s="0" t="s">
        <v>124</v>
      </c>
      <c r="P4322" s="0" t="s">
        <v>26</v>
      </c>
      <c r="Q4322" s="0" t="s">
        <v>26</v>
      </c>
      <c r="R4322" s="0" t="s">
        <v>26</v>
      </c>
      <c r="S4322" s="0" t="s">
        <v>21</v>
      </c>
      <c r="T4322" s="0" t="s">
        <v>104</v>
      </c>
      <c r="W4322" s="0" t="s">
        <v>183</v>
      </c>
    </row>
    <row r="4323" customFormat="false" ht="15" hidden="false" customHeight="false" outlineLevel="0" collapsed="false">
      <c r="A4323" s="0" t="s">
        <v>21</v>
      </c>
      <c r="B4323" s="0" t="s">
        <v>13500</v>
      </c>
      <c r="C4323" s="0" t="s">
        <v>771</v>
      </c>
      <c r="D4323" s="0" t="s">
        <v>2576</v>
      </c>
      <c r="E4323" s="0" t="s">
        <v>13501</v>
      </c>
      <c r="M4323" s="0" t="s">
        <v>136</v>
      </c>
      <c r="N4323" s="0" t="s">
        <v>124</v>
      </c>
      <c r="P4323" s="0" t="s">
        <v>102</v>
      </c>
      <c r="Q4323" s="0" t="s">
        <v>102</v>
      </c>
      <c r="R4323" s="0" t="s">
        <v>804</v>
      </c>
      <c r="S4323" s="0" t="s">
        <v>21</v>
      </c>
      <c r="T4323" s="0" t="s">
        <v>104</v>
      </c>
      <c r="W4323" s="0" t="s">
        <v>105</v>
      </c>
    </row>
    <row r="4324" customFormat="false" ht="15" hidden="false" customHeight="false" outlineLevel="0" collapsed="false">
      <c r="A4324" s="0" t="s">
        <v>21</v>
      </c>
      <c r="B4324" s="0" t="s">
        <v>13500</v>
      </c>
      <c r="C4324" s="0" t="s">
        <v>771</v>
      </c>
      <c r="D4324" s="0" t="s">
        <v>2576</v>
      </c>
      <c r="E4324" s="0" t="s">
        <v>13501</v>
      </c>
      <c r="M4324" s="0" t="s">
        <v>136</v>
      </c>
      <c r="N4324" s="0" t="s">
        <v>124</v>
      </c>
      <c r="P4324" s="0" t="s">
        <v>26</v>
      </c>
      <c r="Q4324" s="0" t="s">
        <v>26</v>
      </c>
      <c r="R4324" s="0" t="s">
        <v>26</v>
      </c>
      <c r="S4324" s="0" t="s">
        <v>21</v>
      </c>
      <c r="T4324" s="0" t="s">
        <v>104</v>
      </c>
      <c r="W4324" s="0" t="s">
        <v>183</v>
      </c>
    </row>
    <row r="4325" customFormat="false" ht="15" hidden="false" customHeight="false" outlineLevel="0" collapsed="false">
      <c r="A4325" s="0" t="s">
        <v>21</v>
      </c>
      <c r="B4325" s="0" t="s">
        <v>13502</v>
      </c>
      <c r="C4325" s="0" t="s">
        <v>771</v>
      </c>
      <c r="D4325" s="0" t="s">
        <v>13413</v>
      </c>
      <c r="E4325" s="0" t="s">
        <v>13503</v>
      </c>
      <c r="M4325" s="0" t="s">
        <v>136</v>
      </c>
      <c r="N4325" s="0" t="s">
        <v>124</v>
      </c>
      <c r="P4325" s="0" t="s">
        <v>102</v>
      </c>
      <c r="Q4325" s="0" t="s">
        <v>102</v>
      </c>
      <c r="R4325" s="0" t="s">
        <v>804</v>
      </c>
      <c r="S4325" s="0" t="s">
        <v>21</v>
      </c>
      <c r="T4325" s="0" t="s">
        <v>104</v>
      </c>
      <c r="W4325" s="0" t="s">
        <v>105</v>
      </c>
    </row>
    <row r="4326" customFormat="false" ht="15" hidden="false" customHeight="false" outlineLevel="0" collapsed="false">
      <c r="A4326" s="0" t="s">
        <v>21</v>
      </c>
      <c r="B4326" s="0" t="s">
        <v>13502</v>
      </c>
      <c r="C4326" s="0" t="s">
        <v>771</v>
      </c>
      <c r="D4326" s="0" t="s">
        <v>13413</v>
      </c>
      <c r="E4326" s="0" t="s">
        <v>13503</v>
      </c>
      <c r="M4326" s="0" t="s">
        <v>136</v>
      </c>
      <c r="N4326" s="0" t="s">
        <v>124</v>
      </c>
      <c r="P4326" s="0" t="s">
        <v>26</v>
      </c>
      <c r="Q4326" s="0" t="s">
        <v>26</v>
      </c>
      <c r="R4326" s="0" t="s">
        <v>26</v>
      </c>
      <c r="S4326" s="0" t="s">
        <v>21</v>
      </c>
      <c r="T4326" s="0" t="s">
        <v>104</v>
      </c>
      <c r="W4326" s="0" t="s">
        <v>183</v>
      </c>
    </row>
    <row r="4327" customFormat="false" ht="15" hidden="false" customHeight="false" outlineLevel="0" collapsed="false">
      <c r="A4327" s="0" t="s">
        <v>21</v>
      </c>
      <c r="B4327" s="0" t="s">
        <v>13504</v>
      </c>
      <c r="C4327" s="0" t="s">
        <v>771</v>
      </c>
      <c r="D4327" s="0" t="s">
        <v>9877</v>
      </c>
      <c r="E4327" s="0" t="s">
        <v>13505</v>
      </c>
      <c r="M4327" s="0" t="s">
        <v>136</v>
      </c>
      <c r="N4327" s="0" t="s">
        <v>124</v>
      </c>
      <c r="P4327" s="0" t="s">
        <v>102</v>
      </c>
      <c r="Q4327" s="0" t="s">
        <v>102</v>
      </c>
      <c r="R4327" s="0" t="s">
        <v>804</v>
      </c>
      <c r="S4327" s="0" t="s">
        <v>21</v>
      </c>
      <c r="T4327" s="0" t="s">
        <v>104</v>
      </c>
      <c r="W4327" s="0" t="s">
        <v>105</v>
      </c>
    </row>
    <row r="4328" customFormat="false" ht="15" hidden="false" customHeight="false" outlineLevel="0" collapsed="false">
      <c r="A4328" s="0" t="s">
        <v>21</v>
      </c>
      <c r="B4328" s="0" t="s">
        <v>13504</v>
      </c>
      <c r="C4328" s="0" t="s">
        <v>771</v>
      </c>
      <c r="D4328" s="0" t="s">
        <v>9877</v>
      </c>
      <c r="E4328" s="0" t="s">
        <v>13505</v>
      </c>
      <c r="M4328" s="0" t="s">
        <v>136</v>
      </c>
      <c r="N4328" s="0" t="s">
        <v>124</v>
      </c>
      <c r="P4328" s="0" t="s">
        <v>26</v>
      </c>
      <c r="Q4328" s="0" t="s">
        <v>26</v>
      </c>
      <c r="R4328" s="0" t="s">
        <v>26</v>
      </c>
      <c r="S4328" s="0" t="s">
        <v>21</v>
      </c>
      <c r="T4328" s="0" t="s">
        <v>104</v>
      </c>
      <c r="W4328" s="0" t="s">
        <v>183</v>
      </c>
    </row>
    <row r="4329" customFormat="false" ht="15" hidden="false" customHeight="false" outlineLevel="0" collapsed="false">
      <c r="A4329" s="0" t="s">
        <v>21</v>
      </c>
      <c r="B4329" s="0" t="s">
        <v>13506</v>
      </c>
      <c r="C4329" s="0" t="s">
        <v>771</v>
      </c>
      <c r="D4329" s="0" t="s">
        <v>10587</v>
      </c>
      <c r="E4329" s="0" t="s">
        <v>13507</v>
      </c>
      <c r="M4329" s="0" t="s">
        <v>136</v>
      </c>
      <c r="N4329" s="0" t="s">
        <v>124</v>
      </c>
      <c r="P4329" s="0" t="s">
        <v>102</v>
      </c>
      <c r="Q4329" s="0" t="s">
        <v>102</v>
      </c>
      <c r="R4329" s="0" t="s">
        <v>804</v>
      </c>
      <c r="S4329" s="0" t="s">
        <v>21</v>
      </c>
      <c r="T4329" s="0" t="s">
        <v>104</v>
      </c>
      <c r="W4329" s="0" t="s">
        <v>105</v>
      </c>
    </row>
    <row r="4330" customFormat="false" ht="15" hidden="false" customHeight="false" outlineLevel="0" collapsed="false">
      <c r="A4330" s="0" t="s">
        <v>21</v>
      </c>
      <c r="B4330" s="0" t="s">
        <v>13506</v>
      </c>
      <c r="C4330" s="0" t="s">
        <v>771</v>
      </c>
      <c r="D4330" s="0" t="s">
        <v>10587</v>
      </c>
      <c r="E4330" s="0" t="s">
        <v>13507</v>
      </c>
      <c r="M4330" s="0" t="s">
        <v>136</v>
      </c>
      <c r="N4330" s="0" t="s">
        <v>124</v>
      </c>
      <c r="P4330" s="0" t="s">
        <v>26</v>
      </c>
      <c r="Q4330" s="0" t="s">
        <v>26</v>
      </c>
      <c r="R4330" s="0" t="s">
        <v>26</v>
      </c>
      <c r="S4330" s="0" t="s">
        <v>21</v>
      </c>
      <c r="T4330" s="0" t="s">
        <v>104</v>
      </c>
      <c r="W4330" s="0" t="s">
        <v>183</v>
      </c>
    </row>
    <row r="4331" customFormat="false" ht="15" hidden="false" customHeight="false" outlineLevel="0" collapsed="false">
      <c r="A4331" s="0" t="s">
        <v>21</v>
      </c>
      <c r="B4331" s="0" t="s">
        <v>13508</v>
      </c>
      <c r="C4331" s="0" t="s">
        <v>771</v>
      </c>
      <c r="D4331" s="0" t="s">
        <v>2017</v>
      </c>
      <c r="E4331" s="0" t="s">
        <v>13489</v>
      </c>
      <c r="M4331" s="0" t="s">
        <v>136</v>
      </c>
      <c r="N4331" s="0" t="s">
        <v>124</v>
      </c>
      <c r="P4331" s="0" t="s">
        <v>102</v>
      </c>
      <c r="Q4331" s="0" t="s">
        <v>102</v>
      </c>
      <c r="R4331" s="0" t="s">
        <v>804</v>
      </c>
      <c r="S4331" s="0" t="s">
        <v>21</v>
      </c>
      <c r="T4331" s="0" t="s">
        <v>104</v>
      </c>
      <c r="W4331" s="0" t="s">
        <v>105</v>
      </c>
    </row>
    <row r="4332" customFormat="false" ht="15" hidden="false" customHeight="false" outlineLevel="0" collapsed="false">
      <c r="A4332" s="0" t="s">
        <v>21</v>
      </c>
      <c r="B4332" s="0" t="s">
        <v>13508</v>
      </c>
      <c r="C4332" s="0" t="s">
        <v>771</v>
      </c>
      <c r="D4332" s="0" t="s">
        <v>2017</v>
      </c>
      <c r="E4332" s="0" t="s">
        <v>13489</v>
      </c>
      <c r="M4332" s="0" t="s">
        <v>136</v>
      </c>
      <c r="N4332" s="0" t="s">
        <v>124</v>
      </c>
      <c r="P4332" s="0" t="s">
        <v>26</v>
      </c>
      <c r="Q4332" s="0" t="s">
        <v>26</v>
      </c>
      <c r="R4332" s="0" t="s">
        <v>26</v>
      </c>
      <c r="S4332" s="0" t="s">
        <v>21</v>
      </c>
      <c r="T4332" s="0" t="s">
        <v>104</v>
      </c>
      <c r="W4332" s="0" t="s">
        <v>183</v>
      </c>
    </row>
    <row r="4333" customFormat="false" ht="15" hidden="false" customHeight="false" outlineLevel="0" collapsed="false">
      <c r="A4333" s="0" t="s">
        <v>21</v>
      </c>
      <c r="B4333" s="0" t="s">
        <v>13509</v>
      </c>
      <c r="C4333" s="0" t="s">
        <v>771</v>
      </c>
      <c r="D4333" s="0" t="s">
        <v>13510</v>
      </c>
      <c r="E4333" s="0" t="s">
        <v>13511</v>
      </c>
      <c r="M4333" s="0" t="s">
        <v>136</v>
      </c>
      <c r="N4333" s="0" t="s">
        <v>124</v>
      </c>
      <c r="P4333" s="0" t="s">
        <v>102</v>
      </c>
      <c r="Q4333" s="0" t="s">
        <v>102</v>
      </c>
      <c r="R4333" s="0" t="s">
        <v>144</v>
      </c>
      <c r="S4333" s="0" t="s">
        <v>21</v>
      </c>
      <c r="T4333" s="0" t="s">
        <v>104</v>
      </c>
      <c r="W4333" s="0" t="s">
        <v>105</v>
      </c>
    </row>
    <row r="4334" customFormat="false" ht="15" hidden="false" customHeight="false" outlineLevel="0" collapsed="false">
      <c r="A4334" s="0" t="s">
        <v>21</v>
      </c>
      <c r="B4334" s="0" t="s">
        <v>13509</v>
      </c>
      <c r="C4334" s="0" t="s">
        <v>771</v>
      </c>
      <c r="D4334" s="0" t="s">
        <v>13510</v>
      </c>
      <c r="E4334" s="0" t="s">
        <v>13511</v>
      </c>
      <c r="M4334" s="0" t="s">
        <v>136</v>
      </c>
      <c r="N4334" s="0" t="s">
        <v>124</v>
      </c>
      <c r="P4334" s="0" t="s">
        <v>26</v>
      </c>
      <c r="Q4334" s="0" t="s">
        <v>26</v>
      </c>
      <c r="R4334" s="0" t="s">
        <v>26</v>
      </c>
      <c r="S4334" s="0" t="s">
        <v>21</v>
      </c>
      <c r="T4334" s="0" t="s">
        <v>104</v>
      </c>
      <c r="W4334" s="0" t="s">
        <v>183</v>
      </c>
    </row>
    <row r="4335" customFormat="false" ht="15" hidden="false" customHeight="false" outlineLevel="0" collapsed="false">
      <c r="A4335" s="0" t="s">
        <v>21</v>
      </c>
      <c r="B4335" s="0" t="s">
        <v>13512</v>
      </c>
      <c r="C4335" s="0" t="s">
        <v>110</v>
      </c>
      <c r="D4335" s="0" t="s">
        <v>13510</v>
      </c>
      <c r="E4335" s="0" t="s">
        <v>13513</v>
      </c>
      <c r="M4335" s="0" t="s">
        <v>136</v>
      </c>
      <c r="N4335" s="0" t="s">
        <v>124</v>
      </c>
      <c r="P4335" s="0" t="s">
        <v>102</v>
      </c>
      <c r="Q4335" s="0" t="s">
        <v>102</v>
      </c>
      <c r="R4335" s="0" t="s">
        <v>144</v>
      </c>
      <c r="S4335" s="0" t="s">
        <v>21</v>
      </c>
      <c r="T4335" s="0" t="s">
        <v>104</v>
      </c>
      <c r="W4335" s="0" t="s">
        <v>105</v>
      </c>
    </row>
    <row r="4336" customFormat="false" ht="15" hidden="false" customHeight="false" outlineLevel="0" collapsed="false">
      <c r="A4336" s="0" t="s">
        <v>21</v>
      </c>
      <c r="B4336" s="0" t="s">
        <v>13512</v>
      </c>
      <c r="C4336" s="0" t="s">
        <v>110</v>
      </c>
      <c r="D4336" s="0" t="s">
        <v>13510</v>
      </c>
      <c r="E4336" s="0" t="s">
        <v>13513</v>
      </c>
      <c r="M4336" s="0" t="s">
        <v>136</v>
      </c>
      <c r="N4336" s="0" t="s">
        <v>124</v>
      </c>
      <c r="P4336" s="0" t="s">
        <v>26</v>
      </c>
      <c r="Q4336" s="0" t="s">
        <v>26</v>
      </c>
      <c r="R4336" s="0" t="s">
        <v>26</v>
      </c>
      <c r="S4336" s="0" t="s">
        <v>21</v>
      </c>
      <c r="T4336" s="0" t="s">
        <v>104</v>
      </c>
      <c r="W4336" s="0" t="s">
        <v>183</v>
      </c>
    </row>
    <row r="4337" customFormat="false" ht="15" hidden="false" customHeight="false" outlineLevel="0" collapsed="false">
      <c r="A4337" s="0" t="s">
        <v>21</v>
      </c>
      <c r="B4337" s="0" t="s">
        <v>13514</v>
      </c>
      <c r="C4337" s="0" t="s">
        <v>97</v>
      </c>
      <c r="D4337" s="0" t="s">
        <v>5878</v>
      </c>
      <c r="E4337" s="0" t="s">
        <v>5878</v>
      </c>
      <c r="M4337" s="0" t="s">
        <v>136</v>
      </c>
      <c r="N4337" s="0" t="s">
        <v>124</v>
      </c>
      <c r="P4337" s="0" t="s">
        <v>102</v>
      </c>
      <c r="Q4337" s="0" t="s">
        <v>102</v>
      </c>
      <c r="R4337" s="0" t="s">
        <v>113</v>
      </c>
      <c r="S4337" s="0" t="s">
        <v>21</v>
      </c>
      <c r="T4337" s="0" t="s">
        <v>104</v>
      </c>
      <c r="W4337" s="0" t="s">
        <v>105</v>
      </c>
    </row>
    <row r="4338" customFormat="false" ht="15" hidden="false" customHeight="false" outlineLevel="0" collapsed="false">
      <c r="A4338" s="0" t="s">
        <v>21</v>
      </c>
      <c r="B4338" s="0" t="s">
        <v>13514</v>
      </c>
      <c r="C4338" s="0" t="s">
        <v>97</v>
      </c>
      <c r="D4338" s="0" t="s">
        <v>5878</v>
      </c>
      <c r="E4338" s="0" t="s">
        <v>5878</v>
      </c>
      <c r="M4338" s="0" t="s">
        <v>136</v>
      </c>
      <c r="N4338" s="0" t="s">
        <v>124</v>
      </c>
      <c r="P4338" s="0" t="s">
        <v>26</v>
      </c>
      <c r="Q4338" s="0" t="s">
        <v>26</v>
      </c>
      <c r="R4338" s="0" t="s">
        <v>26</v>
      </c>
      <c r="S4338" s="0" t="s">
        <v>21</v>
      </c>
      <c r="T4338" s="0" t="s">
        <v>104</v>
      </c>
      <c r="W4338" s="0" t="s">
        <v>183</v>
      </c>
    </row>
    <row r="4339" customFormat="false" ht="15" hidden="false" customHeight="false" outlineLevel="0" collapsed="false">
      <c r="A4339" s="0" t="s">
        <v>21</v>
      </c>
      <c r="B4339" s="0" t="s">
        <v>13515</v>
      </c>
      <c r="C4339" s="0" t="s">
        <v>771</v>
      </c>
      <c r="D4339" s="0" t="s">
        <v>13516</v>
      </c>
      <c r="E4339" s="0" t="s">
        <v>13517</v>
      </c>
      <c r="M4339" s="0" t="s">
        <v>136</v>
      </c>
      <c r="N4339" s="0" t="s">
        <v>124</v>
      </c>
      <c r="P4339" s="0" t="s">
        <v>102</v>
      </c>
      <c r="Q4339" s="0" t="s">
        <v>102</v>
      </c>
      <c r="R4339" s="0" t="s">
        <v>113</v>
      </c>
      <c r="S4339" s="0" t="s">
        <v>21</v>
      </c>
      <c r="T4339" s="0" t="s">
        <v>104</v>
      </c>
      <c r="W4339" s="0" t="s">
        <v>105</v>
      </c>
    </row>
    <row r="4340" customFormat="false" ht="15" hidden="false" customHeight="false" outlineLevel="0" collapsed="false">
      <c r="A4340" s="0" t="s">
        <v>21</v>
      </c>
      <c r="B4340" s="0" t="s">
        <v>13515</v>
      </c>
      <c r="C4340" s="0" t="s">
        <v>771</v>
      </c>
      <c r="D4340" s="0" t="s">
        <v>13516</v>
      </c>
      <c r="E4340" s="0" t="s">
        <v>13517</v>
      </c>
      <c r="M4340" s="0" t="s">
        <v>136</v>
      </c>
      <c r="N4340" s="0" t="s">
        <v>124</v>
      </c>
      <c r="P4340" s="0" t="s">
        <v>26</v>
      </c>
      <c r="Q4340" s="0" t="s">
        <v>26</v>
      </c>
      <c r="R4340" s="0" t="s">
        <v>26</v>
      </c>
      <c r="S4340" s="0" t="s">
        <v>21</v>
      </c>
      <c r="T4340" s="0" t="s">
        <v>104</v>
      </c>
      <c r="W4340" s="0" t="s">
        <v>183</v>
      </c>
    </row>
    <row r="4341" customFormat="false" ht="15" hidden="false" customHeight="false" outlineLevel="0" collapsed="false">
      <c r="A4341" s="0" t="s">
        <v>21</v>
      </c>
      <c r="B4341" s="0" t="s">
        <v>13518</v>
      </c>
      <c r="C4341" s="0" t="s">
        <v>771</v>
      </c>
      <c r="D4341" s="0" t="s">
        <v>13519</v>
      </c>
      <c r="E4341" s="0" t="s">
        <v>13520</v>
      </c>
      <c r="M4341" s="0" t="s">
        <v>136</v>
      </c>
      <c r="N4341" s="0" t="s">
        <v>124</v>
      </c>
      <c r="P4341" s="0" t="s">
        <v>102</v>
      </c>
      <c r="Q4341" s="0" t="s">
        <v>102</v>
      </c>
      <c r="R4341" s="0" t="s">
        <v>131</v>
      </c>
      <c r="S4341" s="0" t="s">
        <v>21</v>
      </c>
      <c r="T4341" s="0" t="s">
        <v>104</v>
      </c>
      <c r="W4341" s="0" t="s">
        <v>105</v>
      </c>
    </row>
    <row r="4342" customFormat="false" ht="15" hidden="false" customHeight="false" outlineLevel="0" collapsed="false">
      <c r="A4342" s="0" t="s">
        <v>21</v>
      </c>
      <c r="B4342" s="0" t="s">
        <v>13518</v>
      </c>
      <c r="C4342" s="0" t="s">
        <v>771</v>
      </c>
      <c r="D4342" s="0" t="s">
        <v>13519</v>
      </c>
      <c r="E4342" s="0" t="s">
        <v>13520</v>
      </c>
      <c r="M4342" s="0" t="s">
        <v>136</v>
      </c>
      <c r="N4342" s="0" t="s">
        <v>124</v>
      </c>
      <c r="P4342" s="0" t="s">
        <v>26</v>
      </c>
      <c r="Q4342" s="0" t="s">
        <v>26</v>
      </c>
      <c r="R4342" s="0" t="s">
        <v>26</v>
      </c>
      <c r="S4342" s="0" t="s">
        <v>21</v>
      </c>
      <c r="T4342" s="0" t="s">
        <v>104</v>
      </c>
      <c r="W4342" s="0" t="s">
        <v>183</v>
      </c>
    </row>
    <row r="4343" customFormat="false" ht="15" hidden="false" customHeight="false" outlineLevel="0" collapsed="false">
      <c r="A4343" s="0" t="s">
        <v>21</v>
      </c>
      <c r="B4343" s="0" t="s">
        <v>13521</v>
      </c>
      <c r="C4343" s="0" t="s">
        <v>771</v>
      </c>
      <c r="D4343" s="0" t="s">
        <v>13522</v>
      </c>
      <c r="E4343" s="0" t="s">
        <v>13523</v>
      </c>
      <c r="M4343" s="0" t="s">
        <v>136</v>
      </c>
      <c r="N4343" s="0" t="s">
        <v>124</v>
      </c>
      <c r="P4343" s="0" t="s">
        <v>102</v>
      </c>
      <c r="Q4343" s="0" t="s">
        <v>102</v>
      </c>
      <c r="R4343" s="0" t="s">
        <v>131</v>
      </c>
      <c r="S4343" s="0" t="s">
        <v>21</v>
      </c>
      <c r="T4343" s="0" t="s">
        <v>104</v>
      </c>
      <c r="W4343" s="0" t="s">
        <v>105</v>
      </c>
    </row>
    <row r="4344" customFormat="false" ht="15" hidden="false" customHeight="false" outlineLevel="0" collapsed="false">
      <c r="A4344" s="0" t="s">
        <v>21</v>
      </c>
      <c r="B4344" s="0" t="s">
        <v>13521</v>
      </c>
      <c r="C4344" s="0" t="s">
        <v>771</v>
      </c>
      <c r="D4344" s="0" t="s">
        <v>13522</v>
      </c>
      <c r="E4344" s="0" t="s">
        <v>13523</v>
      </c>
      <c r="M4344" s="0" t="s">
        <v>136</v>
      </c>
      <c r="N4344" s="0" t="s">
        <v>124</v>
      </c>
      <c r="P4344" s="0" t="s">
        <v>26</v>
      </c>
      <c r="Q4344" s="0" t="s">
        <v>26</v>
      </c>
      <c r="R4344" s="0" t="s">
        <v>26</v>
      </c>
      <c r="S4344" s="0" t="s">
        <v>21</v>
      </c>
      <c r="T4344" s="0" t="s">
        <v>104</v>
      </c>
      <c r="W4344" s="0" t="s">
        <v>183</v>
      </c>
    </row>
    <row r="4345" customFormat="false" ht="15" hidden="false" customHeight="false" outlineLevel="0" collapsed="false">
      <c r="A4345" s="0" t="s">
        <v>21</v>
      </c>
      <c r="B4345" s="0" t="s">
        <v>13524</v>
      </c>
      <c r="C4345" s="0" t="s">
        <v>97</v>
      </c>
      <c r="D4345" s="0" t="s">
        <v>13525</v>
      </c>
      <c r="E4345" s="0" t="s">
        <v>13525</v>
      </c>
      <c r="M4345" s="0" t="s">
        <v>136</v>
      </c>
      <c r="N4345" s="0" t="s">
        <v>124</v>
      </c>
      <c r="P4345" s="0" t="s">
        <v>102</v>
      </c>
      <c r="Q4345" s="0" t="s">
        <v>102</v>
      </c>
      <c r="R4345" s="0" t="s">
        <v>131</v>
      </c>
      <c r="S4345" s="0" t="s">
        <v>21</v>
      </c>
      <c r="T4345" s="0" t="s">
        <v>104</v>
      </c>
      <c r="W4345" s="0" t="s">
        <v>105</v>
      </c>
    </row>
    <row r="4346" customFormat="false" ht="15" hidden="false" customHeight="false" outlineLevel="0" collapsed="false">
      <c r="A4346" s="0" t="s">
        <v>21</v>
      </c>
      <c r="B4346" s="0" t="s">
        <v>13524</v>
      </c>
      <c r="C4346" s="0" t="s">
        <v>97</v>
      </c>
      <c r="D4346" s="0" t="s">
        <v>13525</v>
      </c>
      <c r="E4346" s="0" t="s">
        <v>13525</v>
      </c>
      <c r="M4346" s="0" t="s">
        <v>136</v>
      </c>
      <c r="N4346" s="0" t="s">
        <v>124</v>
      </c>
      <c r="P4346" s="0" t="s">
        <v>26</v>
      </c>
      <c r="Q4346" s="0" t="s">
        <v>26</v>
      </c>
      <c r="R4346" s="0" t="s">
        <v>26</v>
      </c>
      <c r="S4346" s="0" t="s">
        <v>21</v>
      </c>
      <c r="T4346" s="0" t="s">
        <v>104</v>
      </c>
      <c r="W4346" s="0" t="s">
        <v>183</v>
      </c>
    </row>
    <row r="4347" customFormat="false" ht="15" hidden="false" customHeight="false" outlineLevel="0" collapsed="false">
      <c r="A4347" s="0" t="s">
        <v>21</v>
      </c>
      <c r="B4347" s="0" t="s">
        <v>13526</v>
      </c>
      <c r="C4347" s="0" t="s">
        <v>97</v>
      </c>
      <c r="D4347" s="0" t="s">
        <v>13527</v>
      </c>
      <c r="E4347" s="0" t="s">
        <v>13527</v>
      </c>
      <c r="M4347" s="0" t="s">
        <v>136</v>
      </c>
      <c r="N4347" s="0" t="s">
        <v>124</v>
      </c>
      <c r="P4347" s="0" t="s">
        <v>102</v>
      </c>
      <c r="Q4347" s="0" t="s">
        <v>102</v>
      </c>
      <c r="R4347" s="0" t="s">
        <v>131</v>
      </c>
      <c r="S4347" s="0" t="s">
        <v>21</v>
      </c>
      <c r="T4347" s="0" t="s">
        <v>104</v>
      </c>
      <c r="W4347" s="0" t="s">
        <v>105</v>
      </c>
    </row>
    <row r="4348" customFormat="false" ht="15" hidden="false" customHeight="false" outlineLevel="0" collapsed="false">
      <c r="A4348" s="0" t="s">
        <v>21</v>
      </c>
      <c r="B4348" s="0" t="s">
        <v>13528</v>
      </c>
      <c r="C4348" s="0" t="s">
        <v>97</v>
      </c>
      <c r="D4348" s="0" t="s">
        <v>4062</v>
      </c>
      <c r="E4348" s="0" t="s">
        <v>4062</v>
      </c>
      <c r="M4348" s="0" t="s">
        <v>136</v>
      </c>
      <c r="N4348" s="0" t="s">
        <v>124</v>
      </c>
      <c r="P4348" s="0" t="s">
        <v>102</v>
      </c>
      <c r="Q4348" s="0" t="s">
        <v>102</v>
      </c>
      <c r="R4348" s="0" t="s">
        <v>113</v>
      </c>
      <c r="S4348" s="0" t="s">
        <v>21</v>
      </c>
      <c r="T4348" s="0" t="s">
        <v>104</v>
      </c>
      <c r="W4348" s="0" t="s">
        <v>105</v>
      </c>
    </row>
    <row r="4349" customFormat="false" ht="15" hidden="false" customHeight="false" outlineLevel="0" collapsed="false">
      <c r="A4349" s="0" t="s">
        <v>21</v>
      </c>
      <c r="B4349" s="0" t="s">
        <v>13528</v>
      </c>
      <c r="C4349" s="0" t="s">
        <v>97</v>
      </c>
      <c r="D4349" s="0" t="s">
        <v>4062</v>
      </c>
      <c r="E4349" s="0" t="s">
        <v>4062</v>
      </c>
      <c r="M4349" s="0" t="s">
        <v>136</v>
      </c>
      <c r="N4349" s="0" t="s">
        <v>124</v>
      </c>
      <c r="P4349" s="0" t="s">
        <v>26</v>
      </c>
      <c r="Q4349" s="0" t="s">
        <v>26</v>
      </c>
      <c r="R4349" s="0" t="s">
        <v>26</v>
      </c>
      <c r="S4349" s="0" t="s">
        <v>21</v>
      </c>
      <c r="T4349" s="0" t="s">
        <v>104</v>
      </c>
      <c r="W4349" s="0" t="s">
        <v>183</v>
      </c>
    </row>
    <row r="4350" customFormat="false" ht="15" hidden="false" customHeight="false" outlineLevel="0" collapsed="false">
      <c r="A4350" s="0" t="s">
        <v>21</v>
      </c>
      <c r="B4350" s="0" t="s">
        <v>13529</v>
      </c>
      <c r="C4350" s="0" t="s">
        <v>97</v>
      </c>
      <c r="D4350" s="0" t="s">
        <v>13530</v>
      </c>
      <c r="E4350" s="0" t="s">
        <v>13530</v>
      </c>
      <c r="M4350" s="0" t="s">
        <v>136</v>
      </c>
      <c r="N4350" s="0" t="s">
        <v>124</v>
      </c>
      <c r="P4350" s="0" t="s">
        <v>102</v>
      </c>
      <c r="Q4350" s="0" t="s">
        <v>102</v>
      </c>
      <c r="R4350" s="0" t="s">
        <v>113</v>
      </c>
      <c r="S4350" s="0" t="s">
        <v>21</v>
      </c>
      <c r="T4350" s="0" t="s">
        <v>104</v>
      </c>
      <c r="W4350" s="0" t="s">
        <v>105</v>
      </c>
    </row>
    <row r="4351" customFormat="false" ht="15" hidden="false" customHeight="false" outlineLevel="0" collapsed="false">
      <c r="A4351" s="0" t="s">
        <v>21</v>
      </c>
      <c r="B4351" s="0" t="s">
        <v>13529</v>
      </c>
      <c r="C4351" s="0" t="s">
        <v>97</v>
      </c>
      <c r="D4351" s="0" t="s">
        <v>13530</v>
      </c>
      <c r="E4351" s="0" t="s">
        <v>13530</v>
      </c>
      <c r="M4351" s="0" t="s">
        <v>136</v>
      </c>
      <c r="N4351" s="0" t="s">
        <v>124</v>
      </c>
      <c r="P4351" s="0" t="s">
        <v>26</v>
      </c>
      <c r="Q4351" s="0" t="s">
        <v>26</v>
      </c>
      <c r="R4351" s="0" t="s">
        <v>26</v>
      </c>
      <c r="S4351" s="0" t="s">
        <v>21</v>
      </c>
      <c r="T4351" s="0" t="s">
        <v>104</v>
      </c>
      <c r="W4351" s="0" t="s">
        <v>183</v>
      </c>
    </row>
    <row r="4352" customFormat="false" ht="15" hidden="false" customHeight="false" outlineLevel="0" collapsed="false">
      <c r="A4352" s="0" t="s">
        <v>21</v>
      </c>
      <c r="B4352" s="0" t="s">
        <v>13531</v>
      </c>
      <c r="C4352" s="0" t="s">
        <v>110</v>
      </c>
      <c r="D4352" s="0" t="s">
        <v>13532</v>
      </c>
      <c r="E4352" s="0" t="s">
        <v>13533</v>
      </c>
      <c r="M4352" s="0" t="s">
        <v>136</v>
      </c>
      <c r="N4352" s="0" t="s">
        <v>124</v>
      </c>
      <c r="P4352" s="0" t="s">
        <v>102</v>
      </c>
      <c r="Q4352" s="0" t="s">
        <v>102</v>
      </c>
      <c r="R4352" s="0" t="s">
        <v>131</v>
      </c>
      <c r="S4352" s="0" t="s">
        <v>21</v>
      </c>
      <c r="T4352" s="0" t="s">
        <v>104</v>
      </c>
      <c r="W4352" s="0" t="s">
        <v>105</v>
      </c>
    </row>
    <row r="4353" customFormat="false" ht="15" hidden="false" customHeight="false" outlineLevel="0" collapsed="false">
      <c r="A4353" s="0" t="s">
        <v>21</v>
      </c>
      <c r="B4353" s="0" t="s">
        <v>13531</v>
      </c>
      <c r="C4353" s="0" t="s">
        <v>110</v>
      </c>
      <c r="D4353" s="0" t="s">
        <v>13532</v>
      </c>
      <c r="E4353" s="0" t="s">
        <v>13533</v>
      </c>
      <c r="M4353" s="0" t="s">
        <v>136</v>
      </c>
      <c r="N4353" s="0" t="s">
        <v>124</v>
      </c>
      <c r="P4353" s="0" t="s">
        <v>26</v>
      </c>
      <c r="Q4353" s="0" t="s">
        <v>26</v>
      </c>
      <c r="R4353" s="0" t="s">
        <v>26</v>
      </c>
      <c r="S4353" s="0" t="s">
        <v>21</v>
      </c>
      <c r="T4353" s="0" t="s">
        <v>104</v>
      </c>
      <c r="W4353" s="0" t="s">
        <v>183</v>
      </c>
    </row>
    <row r="4354" customFormat="false" ht="15" hidden="false" customHeight="false" outlineLevel="0" collapsed="false">
      <c r="A4354" s="0" t="s">
        <v>21</v>
      </c>
      <c r="B4354" s="0" t="s">
        <v>13534</v>
      </c>
      <c r="C4354" s="0" t="s">
        <v>771</v>
      </c>
      <c r="D4354" s="0" t="s">
        <v>13532</v>
      </c>
      <c r="E4354" s="0" t="s">
        <v>13535</v>
      </c>
      <c r="M4354" s="0" t="s">
        <v>136</v>
      </c>
      <c r="N4354" s="0" t="s">
        <v>124</v>
      </c>
      <c r="P4354" s="0" t="s">
        <v>102</v>
      </c>
      <c r="Q4354" s="0" t="s">
        <v>102</v>
      </c>
      <c r="R4354" s="0" t="s">
        <v>131</v>
      </c>
      <c r="S4354" s="0" t="s">
        <v>21</v>
      </c>
      <c r="T4354" s="0" t="s">
        <v>104</v>
      </c>
      <c r="W4354" s="0" t="s">
        <v>105</v>
      </c>
    </row>
    <row r="4355" customFormat="false" ht="15" hidden="false" customHeight="false" outlineLevel="0" collapsed="false">
      <c r="A4355" s="0" t="s">
        <v>21</v>
      </c>
      <c r="B4355" s="0" t="s">
        <v>13534</v>
      </c>
      <c r="C4355" s="0" t="s">
        <v>771</v>
      </c>
      <c r="D4355" s="0" t="s">
        <v>13532</v>
      </c>
      <c r="E4355" s="0" t="s">
        <v>13535</v>
      </c>
      <c r="M4355" s="0" t="s">
        <v>136</v>
      </c>
      <c r="N4355" s="0" t="s">
        <v>124</v>
      </c>
      <c r="P4355" s="0" t="s">
        <v>26</v>
      </c>
      <c r="Q4355" s="0" t="s">
        <v>26</v>
      </c>
      <c r="R4355" s="0" t="s">
        <v>26</v>
      </c>
      <c r="S4355" s="0" t="s">
        <v>21</v>
      </c>
      <c r="T4355" s="0" t="s">
        <v>104</v>
      </c>
      <c r="W4355" s="0" t="s">
        <v>183</v>
      </c>
    </row>
    <row r="4356" customFormat="false" ht="15" hidden="false" customHeight="false" outlineLevel="0" collapsed="false">
      <c r="A4356" s="0" t="s">
        <v>21</v>
      </c>
      <c r="B4356" s="0" t="s">
        <v>13536</v>
      </c>
      <c r="C4356" s="0" t="s">
        <v>771</v>
      </c>
      <c r="D4356" s="0" t="s">
        <v>13537</v>
      </c>
      <c r="E4356" s="0" t="s">
        <v>13538</v>
      </c>
      <c r="M4356" s="0" t="s">
        <v>136</v>
      </c>
      <c r="N4356" s="0" t="s">
        <v>124</v>
      </c>
      <c r="P4356" s="0" t="s">
        <v>102</v>
      </c>
      <c r="Q4356" s="0" t="s">
        <v>102</v>
      </c>
      <c r="R4356" s="0" t="s">
        <v>131</v>
      </c>
      <c r="S4356" s="0" t="s">
        <v>21</v>
      </c>
      <c r="T4356" s="0" t="s">
        <v>104</v>
      </c>
      <c r="W4356" s="0" t="s">
        <v>105</v>
      </c>
    </row>
    <row r="4357" customFormat="false" ht="15" hidden="false" customHeight="false" outlineLevel="0" collapsed="false">
      <c r="A4357" s="0" t="s">
        <v>21</v>
      </c>
      <c r="B4357" s="0" t="s">
        <v>13536</v>
      </c>
      <c r="C4357" s="0" t="s">
        <v>771</v>
      </c>
      <c r="D4357" s="0" t="s">
        <v>13537</v>
      </c>
      <c r="E4357" s="0" t="s">
        <v>13538</v>
      </c>
      <c r="M4357" s="0" t="s">
        <v>136</v>
      </c>
      <c r="N4357" s="0" t="s">
        <v>124</v>
      </c>
      <c r="P4357" s="0" t="s">
        <v>26</v>
      </c>
      <c r="Q4357" s="0" t="s">
        <v>26</v>
      </c>
      <c r="R4357" s="0" t="s">
        <v>26</v>
      </c>
      <c r="S4357" s="0" t="s">
        <v>21</v>
      </c>
      <c r="T4357" s="0" t="s">
        <v>104</v>
      </c>
      <c r="W4357" s="0" t="s">
        <v>183</v>
      </c>
    </row>
    <row r="4358" customFormat="false" ht="15" hidden="false" customHeight="false" outlineLevel="0" collapsed="false">
      <c r="A4358" s="0" t="s">
        <v>21</v>
      </c>
      <c r="B4358" s="0" t="s">
        <v>13539</v>
      </c>
      <c r="C4358" s="0" t="s">
        <v>110</v>
      </c>
      <c r="D4358" s="0" t="s">
        <v>13537</v>
      </c>
      <c r="E4358" s="0" t="s">
        <v>13540</v>
      </c>
      <c r="M4358" s="0" t="s">
        <v>136</v>
      </c>
      <c r="N4358" s="0" t="s">
        <v>124</v>
      </c>
      <c r="P4358" s="0" t="s">
        <v>102</v>
      </c>
      <c r="Q4358" s="0" t="s">
        <v>102</v>
      </c>
      <c r="R4358" s="0" t="s">
        <v>131</v>
      </c>
      <c r="S4358" s="0" t="s">
        <v>21</v>
      </c>
      <c r="T4358" s="0" t="s">
        <v>104</v>
      </c>
      <c r="W4358" s="0" t="s">
        <v>105</v>
      </c>
    </row>
    <row r="4359" customFormat="false" ht="15" hidden="false" customHeight="false" outlineLevel="0" collapsed="false">
      <c r="A4359" s="0" t="s">
        <v>21</v>
      </c>
      <c r="B4359" s="0" t="s">
        <v>13539</v>
      </c>
      <c r="C4359" s="0" t="s">
        <v>110</v>
      </c>
      <c r="D4359" s="0" t="s">
        <v>13537</v>
      </c>
      <c r="E4359" s="0" t="s">
        <v>13540</v>
      </c>
      <c r="M4359" s="0" t="s">
        <v>136</v>
      </c>
      <c r="N4359" s="0" t="s">
        <v>124</v>
      </c>
      <c r="P4359" s="0" t="s">
        <v>26</v>
      </c>
      <c r="Q4359" s="0" t="s">
        <v>26</v>
      </c>
      <c r="R4359" s="0" t="s">
        <v>26</v>
      </c>
      <c r="S4359" s="0" t="s">
        <v>21</v>
      </c>
      <c r="T4359" s="0" t="s">
        <v>104</v>
      </c>
      <c r="W4359" s="0" t="s">
        <v>183</v>
      </c>
    </row>
    <row r="4360" customFormat="false" ht="15" hidden="false" customHeight="false" outlineLevel="0" collapsed="false">
      <c r="A4360" s="0" t="s">
        <v>21</v>
      </c>
      <c r="B4360" s="0" t="s">
        <v>13541</v>
      </c>
      <c r="C4360" s="0" t="s">
        <v>771</v>
      </c>
      <c r="D4360" s="0" t="s">
        <v>13542</v>
      </c>
      <c r="E4360" s="0" t="s">
        <v>13543</v>
      </c>
      <c r="M4360" s="0" t="s">
        <v>136</v>
      </c>
      <c r="N4360" s="0" t="s">
        <v>124</v>
      </c>
      <c r="P4360" s="0" t="s">
        <v>102</v>
      </c>
      <c r="Q4360" s="0" t="s">
        <v>102</v>
      </c>
      <c r="R4360" s="0" t="s">
        <v>131</v>
      </c>
      <c r="S4360" s="0" t="s">
        <v>21</v>
      </c>
      <c r="T4360" s="0" t="s">
        <v>104</v>
      </c>
      <c r="W4360" s="0" t="s">
        <v>105</v>
      </c>
    </row>
    <row r="4361" customFormat="false" ht="15" hidden="false" customHeight="false" outlineLevel="0" collapsed="false">
      <c r="A4361" s="0" t="s">
        <v>21</v>
      </c>
      <c r="B4361" s="0" t="s">
        <v>13541</v>
      </c>
      <c r="C4361" s="0" t="s">
        <v>771</v>
      </c>
      <c r="D4361" s="0" t="s">
        <v>13542</v>
      </c>
      <c r="E4361" s="0" t="s">
        <v>13543</v>
      </c>
      <c r="M4361" s="0" t="s">
        <v>136</v>
      </c>
      <c r="N4361" s="0" t="s">
        <v>124</v>
      </c>
      <c r="P4361" s="0" t="s">
        <v>26</v>
      </c>
      <c r="Q4361" s="0" t="s">
        <v>26</v>
      </c>
      <c r="R4361" s="0" t="s">
        <v>26</v>
      </c>
      <c r="S4361" s="0" t="s">
        <v>21</v>
      </c>
      <c r="T4361" s="0" t="s">
        <v>104</v>
      </c>
      <c r="W4361" s="0" t="s">
        <v>183</v>
      </c>
    </row>
    <row r="4362" customFormat="false" ht="15" hidden="false" customHeight="false" outlineLevel="0" collapsed="false">
      <c r="A4362" s="0" t="s">
        <v>21</v>
      </c>
      <c r="B4362" s="0" t="s">
        <v>13544</v>
      </c>
      <c r="C4362" s="0" t="s">
        <v>771</v>
      </c>
      <c r="D4362" s="0" t="s">
        <v>4029</v>
      </c>
      <c r="E4362" s="0" t="s">
        <v>13545</v>
      </c>
      <c r="M4362" s="0" t="s">
        <v>136</v>
      </c>
      <c r="N4362" s="0" t="s">
        <v>124</v>
      </c>
      <c r="P4362" s="0" t="s">
        <v>102</v>
      </c>
      <c r="Q4362" s="0" t="s">
        <v>102</v>
      </c>
      <c r="R4362" s="0" t="s">
        <v>131</v>
      </c>
      <c r="S4362" s="0" t="s">
        <v>21</v>
      </c>
      <c r="T4362" s="0" t="s">
        <v>104</v>
      </c>
      <c r="W4362" s="0" t="s">
        <v>105</v>
      </c>
    </row>
    <row r="4363" customFormat="false" ht="15" hidden="false" customHeight="false" outlineLevel="0" collapsed="false">
      <c r="A4363" s="0" t="s">
        <v>21</v>
      </c>
      <c r="B4363" s="0" t="s">
        <v>13544</v>
      </c>
      <c r="C4363" s="0" t="s">
        <v>771</v>
      </c>
      <c r="D4363" s="0" t="s">
        <v>4029</v>
      </c>
      <c r="E4363" s="0" t="s">
        <v>13545</v>
      </c>
      <c r="M4363" s="0" t="s">
        <v>136</v>
      </c>
      <c r="N4363" s="0" t="s">
        <v>124</v>
      </c>
      <c r="P4363" s="0" t="s">
        <v>26</v>
      </c>
      <c r="Q4363" s="0" t="s">
        <v>26</v>
      </c>
      <c r="R4363" s="0" t="s">
        <v>26</v>
      </c>
      <c r="S4363" s="0" t="s">
        <v>21</v>
      </c>
      <c r="T4363" s="0" t="s">
        <v>104</v>
      </c>
      <c r="W4363" s="0" t="s">
        <v>183</v>
      </c>
    </row>
    <row r="4364" customFormat="false" ht="15" hidden="false" customHeight="false" outlineLevel="0" collapsed="false">
      <c r="A4364" s="0" t="s">
        <v>21</v>
      </c>
      <c r="B4364" s="0" t="s">
        <v>13546</v>
      </c>
      <c r="C4364" s="0" t="s">
        <v>771</v>
      </c>
      <c r="D4364" s="0" t="s">
        <v>13516</v>
      </c>
      <c r="E4364" s="0" t="s">
        <v>13547</v>
      </c>
      <c r="M4364" s="0" t="s">
        <v>136</v>
      </c>
      <c r="N4364" s="0" t="s">
        <v>124</v>
      </c>
      <c r="P4364" s="0" t="s">
        <v>102</v>
      </c>
      <c r="Q4364" s="0" t="s">
        <v>102</v>
      </c>
      <c r="R4364" s="0" t="s">
        <v>113</v>
      </c>
      <c r="S4364" s="0" t="s">
        <v>21</v>
      </c>
      <c r="T4364" s="0" t="s">
        <v>104</v>
      </c>
      <c r="W4364" s="0" t="s">
        <v>105</v>
      </c>
    </row>
    <row r="4365" customFormat="false" ht="15" hidden="false" customHeight="false" outlineLevel="0" collapsed="false">
      <c r="A4365" s="0" t="s">
        <v>21</v>
      </c>
      <c r="B4365" s="0" t="s">
        <v>13546</v>
      </c>
      <c r="C4365" s="0" t="s">
        <v>771</v>
      </c>
      <c r="D4365" s="0" t="s">
        <v>13516</v>
      </c>
      <c r="E4365" s="0" t="s">
        <v>13547</v>
      </c>
      <c r="M4365" s="0" t="s">
        <v>136</v>
      </c>
      <c r="N4365" s="0" t="s">
        <v>124</v>
      </c>
      <c r="P4365" s="0" t="s">
        <v>26</v>
      </c>
      <c r="Q4365" s="0" t="s">
        <v>26</v>
      </c>
      <c r="R4365" s="0" t="s">
        <v>26</v>
      </c>
      <c r="S4365" s="0" t="s">
        <v>21</v>
      </c>
      <c r="T4365" s="0" t="s">
        <v>104</v>
      </c>
      <c r="W4365" s="0" t="s">
        <v>183</v>
      </c>
    </row>
    <row r="4366" customFormat="false" ht="15" hidden="false" customHeight="false" outlineLevel="0" collapsed="false">
      <c r="A4366" s="0" t="s">
        <v>21</v>
      </c>
      <c r="B4366" s="0" t="s">
        <v>13548</v>
      </c>
      <c r="C4366" s="0" t="s">
        <v>97</v>
      </c>
      <c r="D4366" s="0" t="s">
        <v>13549</v>
      </c>
      <c r="E4366" s="0" t="s">
        <v>13549</v>
      </c>
      <c r="M4366" s="0" t="s">
        <v>136</v>
      </c>
      <c r="N4366" s="0" t="s">
        <v>124</v>
      </c>
      <c r="P4366" s="0" t="s">
        <v>102</v>
      </c>
      <c r="Q4366" s="0" t="s">
        <v>102</v>
      </c>
      <c r="R4366" s="0" t="s">
        <v>131</v>
      </c>
      <c r="S4366" s="0" t="s">
        <v>21</v>
      </c>
      <c r="T4366" s="0" t="s">
        <v>104</v>
      </c>
      <c r="W4366" s="0" t="s">
        <v>105</v>
      </c>
    </row>
    <row r="4367" customFormat="false" ht="15" hidden="false" customHeight="false" outlineLevel="0" collapsed="false">
      <c r="A4367" s="0" t="s">
        <v>21</v>
      </c>
      <c r="B4367" s="0" t="s">
        <v>13548</v>
      </c>
      <c r="C4367" s="0" t="s">
        <v>97</v>
      </c>
      <c r="D4367" s="0" t="s">
        <v>13549</v>
      </c>
      <c r="E4367" s="0" t="s">
        <v>13549</v>
      </c>
      <c r="M4367" s="0" t="s">
        <v>136</v>
      </c>
      <c r="N4367" s="0" t="s">
        <v>124</v>
      </c>
      <c r="P4367" s="0" t="s">
        <v>26</v>
      </c>
      <c r="Q4367" s="0" t="s">
        <v>26</v>
      </c>
      <c r="R4367" s="0" t="s">
        <v>26</v>
      </c>
      <c r="S4367" s="0" t="s">
        <v>21</v>
      </c>
      <c r="T4367" s="0" t="s">
        <v>104</v>
      </c>
      <c r="W4367" s="0" t="s">
        <v>183</v>
      </c>
    </row>
    <row r="4368" customFormat="false" ht="15" hidden="false" customHeight="false" outlineLevel="0" collapsed="false">
      <c r="A4368" s="0" t="s">
        <v>21</v>
      </c>
      <c r="B4368" s="0" t="s">
        <v>13550</v>
      </c>
      <c r="C4368" s="0" t="s">
        <v>771</v>
      </c>
      <c r="D4368" s="0" t="s">
        <v>12641</v>
      </c>
      <c r="E4368" s="0" t="s">
        <v>13551</v>
      </c>
      <c r="M4368" s="0" t="s">
        <v>136</v>
      </c>
      <c r="N4368" s="0" t="s">
        <v>124</v>
      </c>
      <c r="P4368" s="0" t="s">
        <v>102</v>
      </c>
      <c r="Q4368" s="0" t="s">
        <v>102</v>
      </c>
      <c r="R4368" s="0" t="s">
        <v>131</v>
      </c>
      <c r="S4368" s="0" t="s">
        <v>21</v>
      </c>
      <c r="T4368" s="0" t="s">
        <v>104</v>
      </c>
      <c r="W4368" s="0" t="s">
        <v>105</v>
      </c>
    </row>
    <row r="4369" customFormat="false" ht="15" hidden="false" customHeight="false" outlineLevel="0" collapsed="false">
      <c r="A4369" s="0" t="s">
        <v>21</v>
      </c>
      <c r="B4369" s="0" t="s">
        <v>13550</v>
      </c>
      <c r="C4369" s="0" t="s">
        <v>771</v>
      </c>
      <c r="D4369" s="0" t="s">
        <v>12641</v>
      </c>
      <c r="E4369" s="0" t="s">
        <v>13551</v>
      </c>
      <c r="M4369" s="0" t="s">
        <v>136</v>
      </c>
      <c r="N4369" s="0" t="s">
        <v>124</v>
      </c>
      <c r="P4369" s="0" t="s">
        <v>26</v>
      </c>
      <c r="Q4369" s="0" t="s">
        <v>26</v>
      </c>
      <c r="R4369" s="0" t="s">
        <v>26</v>
      </c>
      <c r="S4369" s="0" t="s">
        <v>21</v>
      </c>
      <c r="T4369" s="0" t="s">
        <v>104</v>
      </c>
      <c r="W4369" s="0" t="s">
        <v>183</v>
      </c>
    </row>
    <row r="4370" customFormat="false" ht="15" hidden="false" customHeight="false" outlineLevel="0" collapsed="false">
      <c r="A4370" s="0" t="s">
        <v>21</v>
      </c>
      <c r="B4370" s="0" t="s">
        <v>13552</v>
      </c>
      <c r="C4370" s="0" t="s">
        <v>771</v>
      </c>
      <c r="D4370" s="0" t="s">
        <v>4198</v>
      </c>
      <c r="E4370" s="0" t="s">
        <v>13553</v>
      </c>
      <c r="M4370" s="0" t="s">
        <v>136</v>
      </c>
      <c r="N4370" s="0" t="s">
        <v>124</v>
      </c>
      <c r="P4370" s="0" t="s">
        <v>102</v>
      </c>
      <c r="Q4370" s="0" t="s">
        <v>102</v>
      </c>
      <c r="R4370" s="0" t="s">
        <v>131</v>
      </c>
      <c r="S4370" s="0" t="s">
        <v>21</v>
      </c>
      <c r="T4370" s="0" t="s">
        <v>104</v>
      </c>
      <c r="W4370" s="0" t="s">
        <v>105</v>
      </c>
    </row>
    <row r="4371" customFormat="false" ht="15" hidden="false" customHeight="false" outlineLevel="0" collapsed="false">
      <c r="A4371" s="0" t="s">
        <v>21</v>
      </c>
      <c r="B4371" s="0" t="s">
        <v>13552</v>
      </c>
      <c r="C4371" s="0" t="s">
        <v>771</v>
      </c>
      <c r="D4371" s="0" t="s">
        <v>4198</v>
      </c>
      <c r="E4371" s="0" t="s">
        <v>13553</v>
      </c>
      <c r="M4371" s="0" t="s">
        <v>136</v>
      </c>
      <c r="N4371" s="0" t="s">
        <v>124</v>
      </c>
      <c r="P4371" s="0" t="s">
        <v>26</v>
      </c>
      <c r="Q4371" s="0" t="s">
        <v>26</v>
      </c>
      <c r="R4371" s="0" t="s">
        <v>26</v>
      </c>
      <c r="S4371" s="0" t="s">
        <v>21</v>
      </c>
      <c r="T4371" s="0" t="s">
        <v>104</v>
      </c>
      <c r="W4371" s="0" t="s">
        <v>183</v>
      </c>
    </row>
    <row r="4372" customFormat="false" ht="15" hidden="false" customHeight="false" outlineLevel="0" collapsed="false">
      <c r="A4372" s="0" t="s">
        <v>21</v>
      </c>
      <c r="B4372" s="0" t="s">
        <v>13554</v>
      </c>
      <c r="C4372" s="0" t="s">
        <v>97</v>
      </c>
      <c r="D4372" s="0" t="s">
        <v>13555</v>
      </c>
      <c r="E4372" s="0" t="s">
        <v>13555</v>
      </c>
      <c r="M4372" s="0" t="s">
        <v>136</v>
      </c>
      <c r="N4372" s="0" t="s">
        <v>124</v>
      </c>
      <c r="P4372" s="0" t="s">
        <v>102</v>
      </c>
      <c r="Q4372" s="0" t="s">
        <v>102</v>
      </c>
      <c r="R4372" s="0" t="s">
        <v>131</v>
      </c>
      <c r="S4372" s="0" t="s">
        <v>21</v>
      </c>
      <c r="T4372" s="0" t="s">
        <v>104</v>
      </c>
      <c r="W4372" s="0" t="s">
        <v>105</v>
      </c>
    </row>
    <row r="4373" customFormat="false" ht="15" hidden="false" customHeight="false" outlineLevel="0" collapsed="false">
      <c r="A4373" s="0" t="s">
        <v>21</v>
      </c>
      <c r="B4373" s="0" t="s">
        <v>13556</v>
      </c>
      <c r="C4373" s="0" t="s">
        <v>97</v>
      </c>
      <c r="D4373" s="0" t="s">
        <v>13557</v>
      </c>
      <c r="E4373" s="0" t="s">
        <v>13558</v>
      </c>
      <c r="M4373" s="0" t="s">
        <v>136</v>
      </c>
      <c r="N4373" s="0" t="s">
        <v>124</v>
      </c>
      <c r="P4373" s="0" t="s">
        <v>102</v>
      </c>
      <c r="Q4373" s="0" t="s">
        <v>102</v>
      </c>
      <c r="R4373" s="0" t="s">
        <v>113</v>
      </c>
      <c r="S4373" s="0" t="s">
        <v>21</v>
      </c>
      <c r="T4373" s="0" t="s">
        <v>104</v>
      </c>
      <c r="W4373" s="0" t="s">
        <v>105</v>
      </c>
    </row>
    <row r="4374" customFormat="false" ht="15" hidden="false" customHeight="false" outlineLevel="0" collapsed="false">
      <c r="A4374" s="0" t="s">
        <v>21</v>
      </c>
      <c r="B4374" s="0" t="s">
        <v>13559</v>
      </c>
      <c r="C4374" s="0" t="s">
        <v>110</v>
      </c>
      <c r="D4374" s="0" t="s">
        <v>13560</v>
      </c>
      <c r="E4374" s="0" t="s">
        <v>13561</v>
      </c>
      <c r="F4374" s="0" t="s">
        <v>13562</v>
      </c>
      <c r="H4374" s="0" t="s">
        <v>13563</v>
      </c>
      <c r="I4374" s="0" t="s">
        <v>13559</v>
      </c>
      <c r="J4374" s="0" t="s">
        <v>254</v>
      </c>
      <c r="K4374" s="0" t="s">
        <v>13564</v>
      </c>
      <c r="L4374" s="0" t="s">
        <v>124</v>
      </c>
      <c r="M4374" s="0" t="s">
        <v>208</v>
      </c>
      <c r="N4374" s="0" t="s">
        <v>124</v>
      </c>
      <c r="P4374" s="0" t="s">
        <v>102</v>
      </c>
      <c r="Q4374" s="0" t="s">
        <v>102</v>
      </c>
      <c r="R4374" s="0" t="s">
        <v>131</v>
      </c>
      <c r="S4374" s="0" t="s">
        <v>21</v>
      </c>
      <c r="T4374" s="0" t="s">
        <v>104</v>
      </c>
      <c r="W4374" s="0" t="s">
        <v>105</v>
      </c>
      <c r="X4374" s="0" t="s">
        <v>13565</v>
      </c>
      <c r="Y4374" s="0" t="s">
        <v>13566</v>
      </c>
      <c r="Z4374" s="0" t="s">
        <v>13567</v>
      </c>
    </row>
    <row r="4375" customFormat="false" ht="15" hidden="false" customHeight="false" outlineLevel="0" collapsed="false">
      <c r="A4375" s="0" t="s">
        <v>21</v>
      </c>
      <c r="B4375" s="0" t="s">
        <v>13568</v>
      </c>
      <c r="C4375" s="0" t="s">
        <v>97</v>
      </c>
      <c r="D4375" s="0" t="s">
        <v>13569</v>
      </c>
      <c r="E4375" s="0" t="s">
        <v>13570</v>
      </c>
      <c r="M4375" s="0" t="s">
        <v>136</v>
      </c>
      <c r="N4375" s="0" t="s">
        <v>124</v>
      </c>
      <c r="P4375" s="0" t="s">
        <v>102</v>
      </c>
      <c r="Q4375" s="0" t="s">
        <v>102</v>
      </c>
      <c r="R4375" s="0" t="s">
        <v>131</v>
      </c>
      <c r="S4375" s="0" t="s">
        <v>21</v>
      </c>
      <c r="T4375" s="0" t="s">
        <v>104</v>
      </c>
      <c r="W4375" s="0" t="s">
        <v>105</v>
      </c>
    </row>
    <row r="4376" customFormat="false" ht="15" hidden="false" customHeight="false" outlineLevel="0" collapsed="false">
      <c r="A4376" s="0" t="s">
        <v>21</v>
      </c>
      <c r="B4376" s="0" t="s">
        <v>13571</v>
      </c>
      <c r="C4376" s="0" t="s">
        <v>97</v>
      </c>
      <c r="D4376" s="0" t="s">
        <v>13572</v>
      </c>
      <c r="E4376" s="0" t="s">
        <v>13573</v>
      </c>
      <c r="M4376" s="0" t="s">
        <v>136</v>
      </c>
      <c r="N4376" s="0" t="s">
        <v>124</v>
      </c>
      <c r="P4376" s="0" t="s">
        <v>102</v>
      </c>
      <c r="Q4376" s="0" t="s">
        <v>102</v>
      </c>
      <c r="R4376" s="0" t="s">
        <v>131</v>
      </c>
      <c r="S4376" s="0" t="s">
        <v>21</v>
      </c>
      <c r="T4376" s="0" t="s">
        <v>104</v>
      </c>
      <c r="W4376" s="0" t="s">
        <v>105</v>
      </c>
    </row>
    <row r="4377" customFormat="false" ht="15" hidden="false" customHeight="false" outlineLevel="0" collapsed="false">
      <c r="A4377" s="0" t="s">
        <v>21</v>
      </c>
      <c r="B4377" s="0" t="s">
        <v>13574</v>
      </c>
      <c r="C4377" s="0" t="s">
        <v>97</v>
      </c>
      <c r="D4377" s="0" t="s">
        <v>13575</v>
      </c>
      <c r="E4377" s="0" t="s">
        <v>13576</v>
      </c>
      <c r="H4377" s="0" t="s">
        <v>654</v>
      </c>
      <c r="I4377" s="0" t="s">
        <v>655</v>
      </c>
      <c r="J4377" s="0" t="s">
        <v>100</v>
      </c>
      <c r="K4377" s="0" t="s">
        <v>168</v>
      </c>
      <c r="L4377" s="0" t="s">
        <v>101</v>
      </c>
      <c r="M4377" s="0" t="s">
        <v>656</v>
      </c>
      <c r="N4377" s="0" t="s">
        <v>101</v>
      </c>
      <c r="P4377" s="0" t="s">
        <v>102</v>
      </c>
      <c r="Q4377" s="0" t="s">
        <v>102</v>
      </c>
      <c r="R4377" s="0" t="s">
        <v>113</v>
      </c>
      <c r="S4377" s="0" t="s">
        <v>21</v>
      </c>
      <c r="T4377" s="0" t="s">
        <v>104</v>
      </c>
      <c r="W4377" s="0" t="s">
        <v>105</v>
      </c>
      <c r="X4377" s="0" t="s">
        <v>658</v>
      </c>
      <c r="Y4377" s="0" t="s">
        <v>659</v>
      </c>
    </row>
    <row r="4378" customFormat="false" ht="15" hidden="false" customHeight="false" outlineLevel="0" collapsed="false">
      <c r="A4378" s="0" t="s">
        <v>21</v>
      </c>
      <c r="B4378" s="0" t="s">
        <v>13577</v>
      </c>
      <c r="C4378" s="0" t="s">
        <v>97</v>
      </c>
      <c r="D4378" s="0" t="s">
        <v>13578</v>
      </c>
      <c r="E4378" s="0" t="s">
        <v>13579</v>
      </c>
      <c r="M4378" s="0" t="s">
        <v>136</v>
      </c>
      <c r="N4378" s="0" t="s">
        <v>124</v>
      </c>
      <c r="P4378" s="0" t="s">
        <v>102</v>
      </c>
      <c r="Q4378" s="0" t="s">
        <v>102</v>
      </c>
      <c r="R4378" s="0" t="s">
        <v>113</v>
      </c>
      <c r="S4378" s="0" t="s">
        <v>21</v>
      </c>
      <c r="T4378" s="0" t="s">
        <v>104</v>
      </c>
      <c r="W4378" s="0" t="s">
        <v>105</v>
      </c>
    </row>
    <row r="4379" customFormat="false" ht="15" hidden="false" customHeight="false" outlineLevel="0" collapsed="false">
      <c r="A4379" s="0" t="s">
        <v>21</v>
      </c>
      <c r="B4379" s="0" t="s">
        <v>13580</v>
      </c>
      <c r="C4379" s="0" t="s">
        <v>97</v>
      </c>
      <c r="D4379" s="0" t="s">
        <v>8634</v>
      </c>
      <c r="E4379" s="0" t="s">
        <v>13581</v>
      </c>
      <c r="M4379" s="0" t="s">
        <v>136</v>
      </c>
      <c r="N4379" s="0" t="s">
        <v>124</v>
      </c>
      <c r="P4379" s="0" t="s">
        <v>102</v>
      </c>
      <c r="Q4379" s="0" t="s">
        <v>102</v>
      </c>
      <c r="R4379" s="0" t="s">
        <v>113</v>
      </c>
      <c r="S4379" s="0" t="s">
        <v>21</v>
      </c>
      <c r="T4379" s="0" t="s">
        <v>104</v>
      </c>
      <c r="W4379" s="0" t="s">
        <v>105</v>
      </c>
    </row>
    <row r="4380" customFormat="false" ht="15" hidden="false" customHeight="false" outlineLevel="0" collapsed="false">
      <c r="A4380" s="0" t="s">
        <v>21</v>
      </c>
      <c r="B4380" s="0" t="s">
        <v>13582</v>
      </c>
      <c r="C4380" s="0" t="s">
        <v>97</v>
      </c>
      <c r="D4380" s="0" t="s">
        <v>13583</v>
      </c>
      <c r="E4380" s="0" t="s">
        <v>13584</v>
      </c>
      <c r="M4380" s="0" t="s">
        <v>136</v>
      </c>
      <c r="N4380" s="0" t="s">
        <v>124</v>
      </c>
      <c r="P4380" s="0" t="s">
        <v>102</v>
      </c>
      <c r="Q4380" s="0" t="s">
        <v>102</v>
      </c>
      <c r="R4380" s="0" t="s">
        <v>113</v>
      </c>
      <c r="S4380" s="0" t="s">
        <v>21</v>
      </c>
      <c r="T4380" s="0" t="s">
        <v>104</v>
      </c>
      <c r="W4380" s="0" t="s">
        <v>105</v>
      </c>
    </row>
    <row r="4381" customFormat="false" ht="15" hidden="false" customHeight="false" outlineLevel="0" collapsed="false">
      <c r="A4381" s="0" t="s">
        <v>21</v>
      </c>
      <c r="B4381" s="0" t="s">
        <v>13585</v>
      </c>
      <c r="C4381" s="0" t="s">
        <v>97</v>
      </c>
      <c r="D4381" s="0" t="s">
        <v>13586</v>
      </c>
      <c r="E4381" s="0" t="s">
        <v>13587</v>
      </c>
      <c r="M4381" s="0" t="s">
        <v>136</v>
      </c>
      <c r="N4381" s="0" t="s">
        <v>124</v>
      </c>
      <c r="P4381" s="0" t="s">
        <v>102</v>
      </c>
      <c r="Q4381" s="0" t="s">
        <v>102</v>
      </c>
      <c r="R4381" s="0" t="s">
        <v>113</v>
      </c>
      <c r="S4381" s="0" t="s">
        <v>21</v>
      </c>
      <c r="T4381" s="0" t="s">
        <v>104</v>
      </c>
      <c r="W4381" s="0" t="s">
        <v>105</v>
      </c>
    </row>
    <row r="4382" customFormat="false" ht="15" hidden="false" customHeight="false" outlineLevel="0" collapsed="false">
      <c r="A4382" s="0" t="s">
        <v>21</v>
      </c>
      <c r="B4382" s="0" t="s">
        <v>13588</v>
      </c>
      <c r="C4382" s="0" t="s">
        <v>97</v>
      </c>
      <c r="D4382" s="0" t="s">
        <v>13589</v>
      </c>
      <c r="E4382" s="0" t="s">
        <v>13590</v>
      </c>
      <c r="M4382" s="0" t="s">
        <v>136</v>
      </c>
      <c r="N4382" s="0" t="s">
        <v>124</v>
      </c>
      <c r="P4382" s="0" t="s">
        <v>102</v>
      </c>
      <c r="Q4382" s="0" t="s">
        <v>102</v>
      </c>
      <c r="R4382" s="0" t="s">
        <v>144</v>
      </c>
      <c r="S4382" s="0" t="s">
        <v>21</v>
      </c>
      <c r="T4382" s="0" t="s">
        <v>104</v>
      </c>
      <c r="W4382" s="0" t="s">
        <v>105</v>
      </c>
    </row>
    <row r="4383" customFormat="false" ht="15" hidden="false" customHeight="false" outlineLevel="0" collapsed="false">
      <c r="A4383" s="0" t="s">
        <v>21</v>
      </c>
      <c r="B4383" s="0" t="s">
        <v>13591</v>
      </c>
      <c r="C4383" s="0" t="s">
        <v>97</v>
      </c>
      <c r="D4383" s="0" t="s">
        <v>13592</v>
      </c>
      <c r="E4383" s="0" t="s">
        <v>13593</v>
      </c>
      <c r="M4383" s="0" t="s">
        <v>136</v>
      </c>
      <c r="N4383" s="0" t="s">
        <v>124</v>
      </c>
      <c r="P4383" s="0" t="s">
        <v>102</v>
      </c>
      <c r="Q4383" s="0" t="s">
        <v>102</v>
      </c>
      <c r="R4383" s="0" t="s">
        <v>113</v>
      </c>
      <c r="S4383" s="0" t="s">
        <v>21</v>
      </c>
      <c r="T4383" s="0" t="s">
        <v>104</v>
      </c>
      <c r="W4383" s="0" t="s">
        <v>105</v>
      </c>
    </row>
    <row r="4384" customFormat="false" ht="15" hidden="false" customHeight="false" outlineLevel="0" collapsed="false">
      <c r="A4384" s="0" t="s">
        <v>21</v>
      </c>
      <c r="B4384" s="0" t="s">
        <v>13594</v>
      </c>
      <c r="C4384" s="0" t="s">
        <v>97</v>
      </c>
      <c r="D4384" s="0" t="s">
        <v>13595</v>
      </c>
      <c r="E4384" s="0" t="s">
        <v>13596</v>
      </c>
      <c r="M4384" s="0" t="s">
        <v>136</v>
      </c>
      <c r="N4384" s="0" t="s">
        <v>124</v>
      </c>
      <c r="P4384" s="0" t="s">
        <v>102</v>
      </c>
      <c r="Q4384" s="0" t="s">
        <v>102</v>
      </c>
      <c r="R4384" s="0" t="s">
        <v>113</v>
      </c>
      <c r="S4384" s="0" t="s">
        <v>21</v>
      </c>
      <c r="T4384" s="0" t="s">
        <v>104</v>
      </c>
      <c r="W4384" s="0" t="s">
        <v>105</v>
      </c>
    </row>
    <row r="4385" customFormat="false" ht="15" hidden="false" customHeight="false" outlineLevel="0" collapsed="false">
      <c r="A4385" s="0" t="s">
        <v>21</v>
      </c>
      <c r="B4385" s="0" t="s">
        <v>13597</v>
      </c>
      <c r="C4385" s="0" t="s">
        <v>97</v>
      </c>
      <c r="D4385" s="0" t="s">
        <v>13598</v>
      </c>
      <c r="E4385" s="0" t="s">
        <v>13599</v>
      </c>
      <c r="M4385" s="0" t="s">
        <v>656</v>
      </c>
      <c r="N4385" s="0" t="s">
        <v>101</v>
      </c>
      <c r="P4385" s="0" t="s">
        <v>102</v>
      </c>
      <c r="Q4385" s="0" t="s">
        <v>102</v>
      </c>
      <c r="R4385" s="0" t="s">
        <v>113</v>
      </c>
      <c r="S4385" s="0" t="s">
        <v>21</v>
      </c>
      <c r="T4385" s="0" t="s">
        <v>104</v>
      </c>
      <c r="W4385" s="0" t="s">
        <v>105</v>
      </c>
    </row>
    <row r="4386" customFormat="false" ht="15" hidden="false" customHeight="false" outlineLevel="0" collapsed="false">
      <c r="A4386" s="0" t="s">
        <v>21</v>
      </c>
      <c r="B4386" s="0" t="s">
        <v>13600</v>
      </c>
      <c r="C4386" s="0" t="s">
        <v>97</v>
      </c>
      <c r="D4386" s="0" t="s">
        <v>13601</v>
      </c>
      <c r="E4386" s="0" t="s">
        <v>13602</v>
      </c>
      <c r="F4386" s="0" t="s">
        <v>13602</v>
      </c>
      <c r="G4386" s="0" t="s">
        <v>13603</v>
      </c>
      <c r="M4386" s="0" t="s">
        <v>456</v>
      </c>
      <c r="N4386" s="0" t="s">
        <v>101</v>
      </c>
      <c r="P4386" s="0" t="s">
        <v>102</v>
      </c>
      <c r="Q4386" s="0" t="s">
        <v>102</v>
      </c>
      <c r="R4386" s="0" t="s">
        <v>144</v>
      </c>
      <c r="S4386" s="0" t="s">
        <v>21</v>
      </c>
      <c r="T4386" s="0" t="s">
        <v>104</v>
      </c>
      <c r="W4386" s="0" t="s">
        <v>105</v>
      </c>
    </row>
    <row r="4387" customFormat="false" ht="15" hidden="false" customHeight="false" outlineLevel="0" collapsed="false">
      <c r="A4387" s="0" t="s">
        <v>21</v>
      </c>
      <c r="B4387" s="0" t="s">
        <v>13604</v>
      </c>
      <c r="C4387" s="0" t="s">
        <v>97</v>
      </c>
      <c r="D4387" s="0" t="s">
        <v>13605</v>
      </c>
      <c r="E4387" s="0" t="s">
        <v>13606</v>
      </c>
      <c r="M4387" s="0" t="s">
        <v>136</v>
      </c>
      <c r="N4387" s="0" t="s">
        <v>124</v>
      </c>
      <c r="P4387" s="0" t="s">
        <v>102</v>
      </c>
      <c r="Q4387" s="0" t="s">
        <v>102</v>
      </c>
      <c r="R4387" s="0" t="s">
        <v>113</v>
      </c>
      <c r="S4387" s="0" t="s">
        <v>21</v>
      </c>
      <c r="T4387" s="0" t="s">
        <v>104</v>
      </c>
      <c r="W4387" s="0" t="s">
        <v>105</v>
      </c>
    </row>
    <row r="4388" customFormat="false" ht="15" hidden="false" customHeight="false" outlineLevel="0" collapsed="false">
      <c r="A4388" s="0" t="s">
        <v>21</v>
      </c>
      <c r="B4388" s="0" t="s">
        <v>13607</v>
      </c>
      <c r="C4388" s="0" t="s">
        <v>97</v>
      </c>
      <c r="D4388" s="0" t="s">
        <v>13608</v>
      </c>
      <c r="E4388" s="0" t="s">
        <v>13609</v>
      </c>
      <c r="H4388" s="0" t="s">
        <v>654</v>
      </c>
      <c r="I4388" s="0" t="s">
        <v>655</v>
      </c>
      <c r="J4388" s="0" t="s">
        <v>100</v>
      </c>
      <c r="K4388" s="0" t="s">
        <v>168</v>
      </c>
      <c r="L4388" s="0" t="s">
        <v>101</v>
      </c>
      <c r="M4388" s="0" t="s">
        <v>656</v>
      </c>
      <c r="N4388" s="0" t="s">
        <v>101</v>
      </c>
      <c r="P4388" s="0" t="s">
        <v>102</v>
      </c>
      <c r="Q4388" s="0" t="s">
        <v>102</v>
      </c>
      <c r="R4388" s="0" t="s">
        <v>113</v>
      </c>
      <c r="S4388" s="0" t="s">
        <v>21</v>
      </c>
      <c r="T4388" s="0" t="s">
        <v>104</v>
      </c>
      <c r="W4388" s="0" t="s">
        <v>105</v>
      </c>
      <c r="X4388" s="0" t="s">
        <v>658</v>
      </c>
      <c r="Y4388" s="0" t="s">
        <v>659</v>
      </c>
    </row>
    <row r="4389" customFormat="false" ht="15" hidden="false" customHeight="false" outlineLevel="0" collapsed="false">
      <c r="A4389" s="0" t="s">
        <v>21</v>
      </c>
      <c r="B4389" s="0" t="s">
        <v>13610</v>
      </c>
      <c r="C4389" s="0" t="s">
        <v>661</v>
      </c>
      <c r="D4389" s="0" t="s">
        <v>5974</v>
      </c>
      <c r="E4389" s="0" t="s">
        <v>13611</v>
      </c>
      <c r="G4389" s="0" t="s">
        <v>13612</v>
      </c>
      <c r="M4389" s="0" t="s">
        <v>456</v>
      </c>
      <c r="N4389" s="0" t="s">
        <v>101</v>
      </c>
      <c r="P4389" s="0" t="s">
        <v>12429</v>
      </c>
      <c r="Q4389" s="0" t="s">
        <v>12429</v>
      </c>
      <c r="R4389" s="0" t="s">
        <v>12429</v>
      </c>
      <c r="S4389" s="0" t="s">
        <v>21</v>
      </c>
      <c r="T4389" s="0" t="s">
        <v>104</v>
      </c>
      <c r="W4389" s="0" t="s">
        <v>183</v>
      </c>
    </row>
    <row r="4390" customFormat="false" ht="15" hidden="false" customHeight="false" outlineLevel="0" collapsed="false">
      <c r="A4390" s="0" t="s">
        <v>21</v>
      </c>
      <c r="B4390" s="0" t="s">
        <v>13610</v>
      </c>
      <c r="C4390" s="0" t="s">
        <v>661</v>
      </c>
      <c r="D4390" s="0" t="s">
        <v>5974</v>
      </c>
      <c r="E4390" s="0" t="s">
        <v>13611</v>
      </c>
      <c r="G4390" s="0" t="s">
        <v>13612</v>
      </c>
      <c r="M4390" s="0" t="s">
        <v>456</v>
      </c>
      <c r="N4390" s="0" t="s">
        <v>101</v>
      </c>
      <c r="P4390" s="0" t="s">
        <v>130</v>
      </c>
      <c r="Q4390" s="0" t="s">
        <v>130</v>
      </c>
      <c r="R4390" s="0" t="s">
        <v>113</v>
      </c>
      <c r="S4390" s="0" t="s">
        <v>21</v>
      </c>
      <c r="T4390" s="0" t="s">
        <v>104</v>
      </c>
      <c r="W4390" s="0" t="s">
        <v>105</v>
      </c>
    </row>
    <row r="4391" customFormat="false" ht="15" hidden="false" customHeight="false" outlineLevel="0" collapsed="false">
      <c r="A4391" s="0" t="s">
        <v>21</v>
      </c>
      <c r="B4391" s="0" t="s">
        <v>13613</v>
      </c>
      <c r="C4391" s="0" t="s">
        <v>97</v>
      </c>
      <c r="D4391" s="0" t="s">
        <v>13614</v>
      </c>
      <c r="E4391" s="0" t="s">
        <v>13615</v>
      </c>
      <c r="M4391" s="0" t="s">
        <v>136</v>
      </c>
      <c r="N4391" s="0" t="s">
        <v>124</v>
      </c>
      <c r="P4391" s="0" t="s">
        <v>102</v>
      </c>
      <c r="Q4391" s="0" t="s">
        <v>102</v>
      </c>
      <c r="R4391" s="0" t="s">
        <v>113</v>
      </c>
      <c r="S4391" s="0" t="s">
        <v>21</v>
      </c>
      <c r="T4391" s="0" t="s">
        <v>104</v>
      </c>
      <c r="W4391" s="0" t="s">
        <v>105</v>
      </c>
    </row>
    <row r="4392" customFormat="false" ht="15" hidden="false" customHeight="false" outlineLevel="0" collapsed="false">
      <c r="A4392" s="0" t="s">
        <v>21</v>
      </c>
      <c r="B4392" s="0" t="s">
        <v>13616</v>
      </c>
      <c r="C4392" s="0" t="s">
        <v>97</v>
      </c>
      <c r="D4392" s="0" t="s">
        <v>13617</v>
      </c>
      <c r="E4392" s="0" t="s">
        <v>13618</v>
      </c>
      <c r="M4392" s="0" t="s">
        <v>136</v>
      </c>
      <c r="N4392" s="0" t="s">
        <v>124</v>
      </c>
      <c r="P4392" s="0" t="s">
        <v>102</v>
      </c>
      <c r="Q4392" s="0" t="s">
        <v>102</v>
      </c>
      <c r="R4392" s="0" t="s">
        <v>144</v>
      </c>
      <c r="S4392" s="0" t="s">
        <v>21</v>
      </c>
      <c r="T4392" s="0" t="s">
        <v>104</v>
      </c>
      <c r="W4392" s="0" t="s">
        <v>105</v>
      </c>
    </row>
    <row r="4393" customFormat="false" ht="15" hidden="false" customHeight="false" outlineLevel="0" collapsed="false">
      <c r="A4393" s="0" t="s">
        <v>21</v>
      </c>
      <c r="B4393" s="0" t="s">
        <v>13619</v>
      </c>
      <c r="C4393" s="0" t="s">
        <v>97</v>
      </c>
      <c r="D4393" s="0" t="s">
        <v>13620</v>
      </c>
      <c r="E4393" s="0" t="s">
        <v>13621</v>
      </c>
      <c r="M4393" s="0" t="s">
        <v>136</v>
      </c>
      <c r="N4393" s="0" t="s">
        <v>124</v>
      </c>
      <c r="P4393" s="0" t="s">
        <v>102</v>
      </c>
      <c r="Q4393" s="0" t="s">
        <v>102</v>
      </c>
      <c r="R4393" s="0" t="s">
        <v>144</v>
      </c>
      <c r="S4393" s="0" t="s">
        <v>21</v>
      </c>
      <c r="T4393" s="0" t="s">
        <v>104</v>
      </c>
      <c r="W4393" s="0" t="s">
        <v>105</v>
      </c>
    </row>
    <row r="4394" customFormat="false" ht="15" hidden="false" customHeight="false" outlineLevel="0" collapsed="false">
      <c r="A4394" s="0" t="s">
        <v>21</v>
      </c>
      <c r="B4394" s="0" t="s">
        <v>13622</v>
      </c>
      <c r="C4394" s="0" t="s">
        <v>97</v>
      </c>
      <c r="D4394" s="0" t="s">
        <v>13623</v>
      </c>
      <c r="E4394" s="0" t="s">
        <v>13624</v>
      </c>
      <c r="M4394" s="0" t="s">
        <v>136</v>
      </c>
      <c r="N4394" s="0" t="s">
        <v>124</v>
      </c>
      <c r="P4394" s="0" t="s">
        <v>102</v>
      </c>
      <c r="Q4394" s="0" t="s">
        <v>102</v>
      </c>
      <c r="R4394" s="0" t="s">
        <v>144</v>
      </c>
      <c r="S4394" s="0" t="s">
        <v>21</v>
      </c>
      <c r="T4394" s="0" t="s">
        <v>104</v>
      </c>
      <c r="W4394" s="0" t="s">
        <v>105</v>
      </c>
    </row>
    <row r="4395" customFormat="false" ht="15" hidden="false" customHeight="false" outlineLevel="0" collapsed="false">
      <c r="A4395" s="0" t="s">
        <v>21</v>
      </c>
      <c r="B4395" s="0" t="s">
        <v>13625</v>
      </c>
      <c r="C4395" s="0" t="s">
        <v>97</v>
      </c>
      <c r="D4395" s="0" t="s">
        <v>13626</v>
      </c>
      <c r="E4395" s="0" t="s">
        <v>13627</v>
      </c>
      <c r="M4395" s="0" t="s">
        <v>136</v>
      </c>
      <c r="N4395" s="0" t="s">
        <v>124</v>
      </c>
      <c r="P4395" s="0" t="s">
        <v>102</v>
      </c>
      <c r="Q4395" s="0" t="s">
        <v>102</v>
      </c>
      <c r="R4395" s="0" t="s">
        <v>144</v>
      </c>
      <c r="S4395" s="0" t="s">
        <v>21</v>
      </c>
      <c r="T4395" s="0" t="s">
        <v>104</v>
      </c>
      <c r="W4395" s="0" t="s">
        <v>105</v>
      </c>
    </row>
    <row r="4396" customFormat="false" ht="15" hidden="false" customHeight="false" outlineLevel="0" collapsed="false">
      <c r="A4396" s="0" t="s">
        <v>21</v>
      </c>
      <c r="B4396" s="0" t="s">
        <v>13628</v>
      </c>
      <c r="C4396" s="0" t="s">
        <v>97</v>
      </c>
      <c r="D4396" s="0" t="s">
        <v>13629</v>
      </c>
      <c r="E4396" s="0" t="s">
        <v>13630</v>
      </c>
      <c r="M4396" s="0" t="s">
        <v>136</v>
      </c>
      <c r="N4396" s="0" t="s">
        <v>124</v>
      </c>
      <c r="P4396" s="0" t="s">
        <v>102</v>
      </c>
      <c r="Q4396" s="0" t="s">
        <v>102</v>
      </c>
      <c r="R4396" s="0" t="s">
        <v>144</v>
      </c>
      <c r="S4396" s="0" t="s">
        <v>21</v>
      </c>
      <c r="T4396" s="0" t="s">
        <v>104</v>
      </c>
      <c r="W4396" s="0" t="s">
        <v>105</v>
      </c>
    </row>
    <row r="4397" customFormat="false" ht="15" hidden="false" customHeight="false" outlineLevel="0" collapsed="false">
      <c r="A4397" s="0" t="s">
        <v>21</v>
      </c>
      <c r="B4397" s="0" t="s">
        <v>13631</v>
      </c>
      <c r="C4397" s="0" t="s">
        <v>174</v>
      </c>
      <c r="D4397" s="0" t="s">
        <v>13632</v>
      </c>
      <c r="E4397" s="0" t="s">
        <v>13633</v>
      </c>
      <c r="M4397" s="0" t="s">
        <v>511</v>
      </c>
      <c r="N4397" s="0" t="s">
        <v>101</v>
      </c>
      <c r="P4397" s="0" t="s">
        <v>102</v>
      </c>
      <c r="Q4397" s="0" t="s">
        <v>102</v>
      </c>
      <c r="R4397" s="0" t="s">
        <v>131</v>
      </c>
      <c r="S4397" s="0" t="s">
        <v>21</v>
      </c>
      <c r="T4397" s="0" t="s">
        <v>104</v>
      </c>
      <c r="U4397" s="0" t="s">
        <v>8785</v>
      </c>
      <c r="W4397" s="0" t="s">
        <v>105</v>
      </c>
    </row>
    <row r="4398" customFormat="false" ht="15" hidden="false" customHeight="false" outlineLevel="0" collapsed="false">
      <c r="A4398" s="0" t="s">
        <v>21</v>
      </c>
      <c r="B4398" s="0" t="s">
        <v>13634</v>
      </c>
      <c r="C4398" s="0" t="s">
        <v>139</v>
      </c>
      <c r="D4398" s="0" t="s">
        <v>13635</v>
      </c>
      <c r="E4398" s="0" t="s">
        <v>13636</v>
      </c>
      <c r="F4398" s="0" t="s">
        <v>13637</v>
      </c>
      <c r="G4398" s="0" t="s">
        <v>13638</v>
      </c>
      <c r="H4398" s="0" t="s">
        <v>13639</v>
      </c>
      <c r="I4398" s="0" t="s">
        <v>2131</v>
      </c>
      <c r="J4398" s="0" t="s">
        <v>254</v>
      </c>
      <c r="K4398" s="0" t="s">
        <v>331</v>
      </c>
      <c r="L4398" s="0" t="s">
        <v>124</v>
      </c>
      <c r="M4398" s="0" t="s">
        <v>208</v>
      </c>
      <c r="N4398" s="0" t="s">
        <v>124</v>
      </c>
      <c r="P4398" s="0" t="s">
        <v>102</v>
      </c>
      <c r="Q4398" s="0" t="s">
        <v>102</v>
      </c>
      <c r="R4398" s="0" t="s">
        <v>131</v>
      </c>
      <c r="S4398" s="0" t="s">
        <v>21</v>
      </c>
      <c r="T4398" s="0" t="s">
        <v>104</v>
      </c>
      <c r="W4398" s="0" t="s">
        <v>105</v>
      </c>
      <c r="X4398" s="0" t="s">
        <v>13640</v>
      </c>
      <c r="Y4398" s="0" t="s">
        <v>13641</v>
      </c>
      <c r="Z4398" s="0" t="s">
        <v>195</v>
      </c>
    </row>
    <row r="4399" customFormat="false" ht="15" hidden="false" customHeight="false" outlineLevel="0" collapsed="false">
      <c r="A4399" s="0" t="s">
        <v>21</v>
      </c>
      <c r="B4399" s="0" t="s">
        <v>13642</v>
      </c>
      <c r="C4399" s="0" t="s">
        <v>97</v>
      </c>
      <c r="D4399" s="0" t="s">
        <v>13643</v>
      </c>
      <c r="E4399" s="0" t="s">
        <v>13644</v>
      </c>
      <c r="M4399" s="0" t="s">
        <v>136</v>
      </c>
      <c r="N4399" s="0" t="s">
        <v>124</v>
      </c>
      <c r="P4399" s="0" t="s">
        <v>102</v>
      </c>
      <c r="Q4399" s="0" t="s">
        <v>102</v>
      </c>
      <c r="R4399" s="0" t="s">
        <v>131</v>
      </c>
      <c r="S4399" s="0" t="s">
        <v>21</v>
      </c>
      <c r="T4399" s="0" t="s">
        <v>104</v>
      </c>
      <c r="W4399" s="0" t="s">
        <v>105</v>
      </c>
    </row>
    <row r="4400" customFormat="false" ht="15" hidden="false" customHeight="false" outlineLevel="0" collapsed="false">
      <c r="A4400" s="0" t="s">
        <v>21</v>
      </c>
      <c r="B4400" s="0" t="s">
        <v>13645</v>
      </c>
      <c r="C4400" s="0" t="s">
        <v>97</v>
      </c>
      <c r="D4400" s="0" t="s">
        <v>13646</v>
      </c>
      <c r="E4400" s="0" t="s">
        <v>13647</v>
      </c>
      <c r="M4400" s="0" t="s">
        <v>136</v>
      </c>
      <c r="N4400" s="0" t="s">
        <v>124</v>
      </c>
      <c r="P4400" s="0" t="s">
        <v>102</v>
      </c>
      <c r="Q4400" s="0" t="s">
        <v>102</v>
      </c>
      <c r="R4400" s="0" t="s">
        <v>131</v>
      </c>
      <c r="S4400" s="0" t="s">
        <v>21</v>
      </c>
      <c r="T4400" s="0" t="s">
        <v>104</v>
      </c>
      <c r="W4400" s="0" t="s">
        <v>105</v>
      </c>
    </row>
    <row r="4401" customFormat="false" ht="15" hidden="false" customHeight="false" outlineLevel="0" collapsed="false">
      <c r="A4401" s="0" t="s">
        <v>21</v>
      </c>
      <c r="B4401" s="0" t="s">
        <v>13648</v>
      </c>
      <c r="C4401" s="0" t="s">
        <v>97</v>
      </c>
      <c r="D4401" s="0" t="s">
        <v>13649</v>
      </c>
      <c r="E4401" s="0" t="s">
        <v>13650</v>
      </c>
      <c r="M4401" s="0" t="s">
        <v>100</v>
      </c>
      <c r="N4401" s="0" t="s">
        <v>101</v>
      </c>
      <c r="P4401" s="0" t="s">
        <v>102</v>
      </c>
      <c r="Q4401" s="0" t="s">
        <v>102</v>
      </c>
      <c r="R4401" s="0" t="s">
        <v>13651</v>
      </c>
      <c r="S4401" s="0" t="s">
        <v>21</v>
      </c>
      <c r="T4401" s="0" t="s">
        <v>104</v>
      </c>
      <c r="W4401" s="0" t="s">
        <v>105</v>
      </c>
    </row>
    <row r="4402" customFormat="false" ht="15" hidden="false" customHeight="false" outlineLevel="0" collapsed="false">
      <c r="A4402" s="0" t="s">
        <v>21</v>
      </c>
      <c r="B4402" s="0" t="s">
        <v>13652</v>
      </c>
      <c r="C4402" s="0" t="s">
        <v>97</v>
      </c>
      <c r="D4402" s="0" t="s">
        <v>13653</v>
      </c>
      <c r="E4402" s="0" t="s">
        <v>13654</v>
      </c>
      <c r="H4402" s="0" t="s">
        <v>654</v>
      </c>
      <c r="I4402" s="0" t="s">
        <v>655</v>
      </c>
      <c r="J4402" s="0" t="s">
        <v>100</v>
      </c>
      <c r="K4402" s="0" t="s">
        <v>168</v>
      </c>
      <c r="L4402" s="0" t="s">
        <v>101</v>
      </c>
      <c r="M4402" s="0" t="s">
        <v>656</v>
      </c>
      <c r="N4402" s="0" t="s">
        <v>101</v>
      </c>
      <c r="P4402" s="0" t="s">
        <v>102</v>
      </c>
      <c r="Q4402" s="0" t="s">
        <v>102</v>
      </c>
      <c r="R4402" s="0" t="s">
        <v>144</v>
      </c>
      <c r="S4402" s="0" t="s">
        <v>21</v>
      </c>
      <c r="T4402" s="0" t="s">
        <v>104</v>
      </c>
      <c r="W4402" s="0" t="s">
        <v>105</v>
      </c>
      <c r="X4402" s="0" t="s">
        <v>658</v>
      </c>
      <c r="Y4402" s="0" t="s">
        <v>659</v>
      </c>
    </row>
    <row r="4403" customFormat="false" ht="15" hidden="false" customHeight="false" outlineLevel="0" collapsed="false">
      <c r="A4403" s="0" t="s">
        <v>21</v>
      </c>
      <c r="B4403" s="0" t="s">
        <v>13655</v>
      </c>
      <c r="C4403" s="0" t="s">
        <v>97</v>
      </c>
      <c r="D4403" s="0" t="s">
        <v>5835</v>
      </c>
      <c r="E4403" s="0" t="s">
        <v>13656</v>
      </c>
      <c r="M4403" s="0" t="s">
        <v>656</v>
      </c>
      <c r="N4403" s="0" t="s">
        <v>101</v>
      </c>
      <c r="P4403" s="0" t="s">
        <v>102</v>
      </c>
      <c r="Q4403" s="0" t="s">
        <v>102</v>
      </c>
      <c r="R4403" s="0" t="s">
        <v>113</v>
      </c>
      <c r="S4403" s="0" t="s">
        <v>21</v>
      </c>
      <c r="T4403" s="0" t="s">
        <v>104</v>
      </c>
      <c r="W4403" s="0" t="s">
        <v>105</v>
      </c>
    </row>
    <row r="4404" customFormat="false" ht="15" hidden="false" customHeight="false" outlineLevel="0" collapsed="false">
      <c r="A4404" s="0" t="s">
        <v>21</v>
      </c>
      <c r="B4404" s="0" t="s">
        <v>13657</v>
      </c>
      <c r="C4404" s="0" t="s">
        <v>97</v>
      </c>
      <c r="D4404" s="0" t="s">
        <v>13658</v>
      </c>
      <c r="E4404" s="0" t="s">
        <v>13659</v>
      </c>
      <c r="M4404" s="0" t="s">
        <v>136</v>
      </c>
      <c r="N4404" s="0" t="s">
        <v>124</v>
      </c>
      <c r="P4404" s="0" t="s">
        <v>102</v>
      </c>
      <c r="Q4404" s="0" t="s">
        <v>102</v>
      </c>
      <c r="R4404" s="0" t="s">
        <v>144</v>
      </c>
      <c r="S4404" s="0" t="s">
        <v>21</v>
      </c>
      <c r="T4404" s="0" t="s">
        <v>104</v>
      </c>
      <c r="W4404" s="0" t="s">
        <v>105</v>
      </c>
    </row>
    <row r="4405" customFormat="false" ht="15" hidden="false" customHeight="false" outlineLevel="0" collapsed="false">
      <c r="A4405" s="0" t="s">
        <v>21</v>
      </c>
      <c r="B4405" s="0" t="s">
        <v>13660</v>
      </c>
      <c r="C4405" s="0" t="s">
        <v>4295</v>
      </c>
      <c r="M4405" s="0" t="s">
        <v>13661</v>
      </c>
      <c r="N4405" s="0" t="s">
        <v>124</v>
      </c>
      <c r="P4405" s="0" t="s">
        <v>130</v>
      </c>
      <c r="Q4405" s="0" t="s">
        <v>130</v>
      </c>
      <c r="R4405" s="0" t="s">
        <v>144</v>
      </c>
      <c r="S4405" s="0" t="s">
        <v>21</v>
      </c>
      <c r="T4405" s="0" t="s">
        <v>104</v>
      </c>
      <c r="W4405" s="0" t="s">
        <v>105</v>
      </c>
    </row>
    <row r="4406" customFormat="false" ht="15" hidden="false" customHeight="false" outlineLevel="0" collapsed="false">
      <c r="A4406" s="0" t="s">
        <v>21</v>
      </c>
      <c r="B4406" s="0" t="s">
        <v>13662</v>
      </c>
      <c r="C4406" s="0" t="s">
        <v>97</v>
      </c>
      <c r="D4406" s="0" t="s">
        <v>13663</v>
      </c>
      <c r="E4406" s="0" t="s">
        <v>13664</v>
      </c>
      <c r="M4406" s="0" t="s">
        <v>136</v>
      </c>
      <c r="N4406" s="0" t="s">
        <v>124</v>
      </c>
      <c r="P4406" s="0" t="s">
        <v>102</v>
      </c>
      <c r="Q4406" s="0" t="s">
        <v>102</v>
      </c>
      <c r="R4406" s="0" t="s">
        <v>113</v>
      </c>
      <c r="S4406" s="0" t="s">
        <v>21</v>
      </c>
      <c r="T4406" s="0" t="s">
        <v>104</v>
      </c>
      <c r="W4406" s="0" t="s">
        <v>105</v>
      </c>
    </row>
    <row r="4407" customFormat="false" ht="15" hidden="false" customHeight="false" outlineLevel="0" collapsed="false">
      <c r="A4407" s="0" t="s">
        <v>21</v>
      </c>
      <c r="B4407" s="0" t="s">
        <v>13665</v>
      </c>
      <c r="C4407" s="0" t="s">
        <v>97</v>
      </c>
      <c r="D4407" s="0" t="s">
        <v>13666</v>
      </c>
      <c r="E4407" s="0" t="s">
        <v>13667</v>
      </c>
      <c r="M4407" s="0" t="s">
        <v>136</v>
      </c>
      <c r="N4407" s="0" t="s">
        <v>124</v>
      </c>
      <c r="P4407" s="0" t="s">
        <v>102</v>
      </c>
      <c r="Q4407" s="0" t="s">
        <v>102</v>
      </c>
      <c r="R4407" s="0" t="s">
        <v>113</v>
      </c>
      <c r="S4407" s="0" t="s">
        <v>21</v>
      </c>
      <c r="T4407" s="0" t="s">
        <v>104</v>
      </c>
      <c r="W4407" s="0" t="s">
        <v>105</v>
      </c>
    </row>
    <row r="4408" customFormat="false" ht="15" hidden="false" customHeight="false" outlineLevel="0" collapsed="false">
      <c r="A4408" s="0" t="s">
        <v>21</v>
      </c>
      <c r="B4408" s="0" t="s">
        <v>13668</v>
      </c>
      <c r="C4408" s="0" t="s">
        <v>110</v>
      </c>
      <c r="D4408" s="0" t="s">
        <v>6440</v>
      </c>
      <c r="E4408" s="0" t="s">
        <v>6441</v>
      </c>
      <c r="G4408" s="0" t="s">
        <v>13669</v>
      </c>
      <c r="M4408" s="0" t="s">
        <v>591</v>
      </c>
      <c r="N4408" s="0" t="s">
        <v>124</v>
      </c>
      <c r="P4408" s="0" t="s">
        <v>102</v>
      </c>
      <c r="Q4408" s="0" t="s">
        <v>102</v>
      </c>
      <c r="R4408" s="0" t="s">
        <v>113</v>
      </c>
      <c r="S4408" s="0" t="s">
        <v>21</v>
      </c>
      <c r="T4408" s="0" t="s">
        <v>104</v>
      </c>
      <c r="W4408" s="0" t="s">
        <v>105</v>
      </c>
    </row>
    <row r="4409" customFormat="false" ht="15" hidden="false" customHeight="false" outlineLevel="0" collapsed="false">
      <c r="A4409" s="0" t="s">
        <v>21</v>
      </c>
      <c r="B4409" s="0" t="s">
        <v>13670</v>
      </c>
      <c r="C4409" s="0" t="s">
        <v>110</v>
      </c>
      <c r="D4409" s="0" t="s">
        <v>10793</v>
      </c>
      <c r="E4409" s="0" t="s">
        <v>10793</v>
      </c>
      <c r="G4409" s="0" t="s">
        <v>4266</v>
      </c>
      <c r="H4409" s="0" t="s">
        <v>13671</v>
      </c>
      <c r="I4409" s="0" t="s">
        <v>13672</v>
      </c>
      <c r="J4409" s="0" t="s">
        <v>157</v>
      </c>
      <c r="K4409" s="0" t="s">
        <v>13673</v>
      </c>
      <c r="L4409" s="0" t="s">
        <v>124</v>
      </c>
      <c r="M4409" s="0" t="s">
        <v>232</v>
      </c>
      <c r="N4409" s="0" t="s">
        <v>124</v>
      </c>
      <c r="P4409" s="0" t="s">
        <v>102</v>
      </c>
      <c r="Q4409" s="0" t="s">
        <v>102</v>
      </c>
      <c r="R4409" s="0" t="s">
        <v>113</v>
      </c>
      <c r="S4409" s="0" t="s">
        <v>21</v>
      </c>
      <c r="T4409" s="0" t="s">
        <v>104</v>
      </c>
      <c r="W4409" s="0" t="s">
        <v>105</v>
      </c>
      <c r="X4409" s="0" t="s">
        <v>4270</v>
      </c>
      <c r="Y4409" s="0" t="s">
        <v>4271</v>
      </c>
      <c r="Z4409" s="0" t="s">
        <v>134</v>
      </c>
    </row>
    <row r="4410" customFormat="false" ht="15" hidden="false" customHeight="false" outlineLevel="0" collapsed="false">
      <c r="A4410" s="0" t="s">
        <v>21</v>
      </c>
      <c r="B4410" s="0" t="s">
        <v>13670</v>
      </c>
      <c r="C4410" s="0" t="s">
        <v>110</v>
      </c>
      <c r="D4410" s="0" t="s">
        <v>10793</v>
      </c>
      <c r="E4410" s="0" t="s">
        <v>10793</v>
      </c>
      <c r="G4410" s="0" t="s">
        <v>4266</v>
      </c>
      <c r="H4410" s="0" t="s">
        <v>13671</v>
      </c>
      <c r="I4410" s="0" t="s">
        <v>13672</v>
      </c>
      <c r="J4410" s="0" t="s">
        <v>157</v>
      </c>
      <c r="K4410" s="0" t="s">
        <v>13673</v>
      </c>
      <c r="L4410" s="0" t="s">
        <v>124</v>
      </c>
      <c r="M4410" s="0" t="s">
        <v>232</v>
      </c>
      <c r="N4410" s="0" t="s">
        <v>124</v>
      </c>
      <c r="P4410" s="0" t="s">
        <v>4272</v>
      </c>
      <c r="Q4410" s="0" t="s">
        <v>4273</v>
      </c>
      <c r="R4410" s="0" t="s">
        <v>4274</v>
      </c>
      <c r="S4410" s="0" t="s">
        <v>21</v>
      </c>
      <c r="T4410" s="0" t="s">
        <v>104</v>
      </c>
      <c r="W4410" s="0" t="s">
        <v>183</v>
      </c>
      <c r="X4410" s="0" t="s">
        <v>4270</v>
      </c>
      <c r="Y4410" s="0" t="s">
        <v>4271</v>
      </c>
      <c r="Z4410" s="0" t="s">
        <v>134</v>
      </c>
    </row>
    <row r="4411" customFormat="false" ht="41.75" hidden="false" customHeight="false" outlineLevel="0" collapsed="false">
      <c r="A4411" s="0" t="s">
        <v>21</v>
      </c>
      <c r="B4411" s="0" t="s">
        <v>13674</v>
      </c>
      <c r="C4411" s="0" t="s">
        <v>110</v>
      </c>
      <c r="D4411" s="0" t="s">
        <v>7578</v>
      </c>
      <c r="E4411" s="0" t="s">
        <v>7579</v>
      </c>
      <c r="G4411" s="9" t="s">
        <v>13675</v>
      </c>
      <c r="H4411" s="0" t="s">
        <v>13676</v>
      </c>
      <c r="I4411" s="0" t="s">
        <v>13677</v>
      </c>
      <c r="K4411" s="0" t="s">
        <v>6437</v>
      </c>
      <c r="M4411" s="0" t="s">
        <v>6438</v>
      </c>
      <c r="N4411" s="0" t="s">
        <v>124</v>
      </c>
      <c r="P4411" s="0" t="s">
        <v>379</v>
      </c>
      <c r="Q4411" s="0" t="s">
        <v>379</v>
      </c>
      <c r="R4411" s="0" t="s">
        <v>379</v>
      </c>
      <c r="S4411" s="0" t="s">
        <v>21</v>
      </c>
      <c r="T4411" s="0" t="s">
        <v>104</v>
      </c>
      <c r="W4411" s="0" t="s">
        <v>183</v>
      </c>
    </row>
    <row r="4412" customFormat="false" ht="41.75" hidden="false" customHeight="false" outlineLevel="0" collapsed="false">
      <c r="A4412" s="0" t="s">
        <v>21</v>
      </c>
      <c r="B4412" s="0" t="s">
        <v>13674</v>
      </c>
      <c r="C4412" s="0" t="s">
        <v>110</v>
      </c>
      <c r="D4412" s="0" t="s">
        <v>7578</v>
      </c>
      <c r="E4412" s="0" t="s">
        <v>7579</v>
      </c>
      <c r="G4412" s="9" t="s">
        <v>13675</v>
      </c>
      <c r="H4412" s="0" t="s">
        <v>13676</v>
      </c>
      <c r="I4412" s="0" t="s">
        <v>13677</v>
      </c>
      <c r="K4412" s="0" t="s">
        <v>6437</v>
      </c>
      <c r="M4412" s="0" t="s">
        <v>6438</v>
      </c>
      <c r="N4412" s="0" t="s">
        <v>124</v>
      </c>
      <c r="P4412" s="0" t="s">
        <v>102</v>
      </c>
      <c r="Q4412" s="0" t="s">
        <v>102</v>
      </c>
      <c r="R4412" s="0" t="s">
        <v>113</v>
      </c>
      <c r="S4412" s="0" t="s">
        <v>21</v>
      </c>
      <c r="T4412" s="0" t="s">
        <v>104</v>
      </c>
      <c r="W4412" s="0" t="s">
        <v>105</v>
      </c>
    </row>
    <row r="4413" customFormat="false" ht="41.75" hidden="false" customHeight="false" outlineLevel="0" collapsed="false">
      <c r="A4413" s="0" t="s">
        <v>21</v>
      </c>
      <c r="B4413" s="0" t="s">
        <v>13674</v>
      </c>
      <c r="C4413" s="0" t="s">
        <v>110</v>
      </c>
      <c r="D4413" s="0" t="s">
        <v>7578</v>
      </c>
      <c r="E4413" s="0" t="s">
        <v>7579</v>
      </c>
      <c r="G4413" s="9" t="s">
        <v>13675</v>
      </c>
      <c r="H4413" s="0" t="s">
        <v>13676</v>
      </c>
      <c r="I4413" s="0" t="s">
        <v>13677</v>
      </c>
      <c r="K4413" s="0" t="s">
        <v>6437</v>
      </c>
      <c r="M4413" s="0" t="s">
        <v>6438</v>
      </c>
      <c r="N4413" s="0" t="s">
        <v>124</v>
      </c>
      <c r="P4413" s="0" t="s">
        <v>4272</v>
      </c>
      <c r="Q4413" s="0" t="s">
        <v>4273</v>
      </c>
      <c r="R4413" s="0" t="s">
        <v>4274</v>
      </c>
      <c r="S4413" s="0" t="s">
        <v>21</v>
      </c>
      <c r="T4413" s="0" t="s">
        <v>104</v>
      </c>
      <c r="W4413" s="0" t="s">
        <v>183</v>
      </c>
    </row>
    <row r="4414" customFormat="false" ht="15" hidden="false" customHeight="false" outlineLevel="0" collapsed="false">
      <c r="A4414" s="0" t="s">
        <v>21</v>
      </c>
      <c r="B4414" s="0" t="s">
        <v>13678</v>
      </c>
      <c r="C4414" s="0" t="s">
        <v>110</v>
      </c>
      <c r="D4414" s="0" t="s">
        <v>13679</v>
      </c>
      <c r="E4414" s="0" t="s">
        <v>13679</v>
      </c>
      <c r="G4414" s="0" t="s">
        <v>4266</v>
      </c>
      <c r="H4414" s="0" t="s">
        <v>13680</v>
      </c>
      <c r="I4414" s="0" t="s">
        <v>13681</v>
      </c>
      <c r="J4414" s="0" t="s">
        <v>157</v>
      </c>
      <c r="K4414" s="0" t="s">
        <v>13650</v>
      </c>
      <c r="L4414" s="0" t="s">
        <v>124</v>
      </c>
      <c r="M4414" s="0" t="s">
        <v>232</v>
      </c>
      <c r="N4414" s="0" t="s">
        <v>124</v>
      </c>
      <c r="P4414" s="0" t="s">
        <v>102</v>
      </c>
      <c r="Q4414" s="0" t="s">
        <v>102</v>
      </c>
      <c r="R4414" s="0" t="s">
        <v>113</v>
      </c>
      <c r="S4414" s="0" t="s">
        <v>21</v>
      </c>
      <c r="T4414" s="0" t="s">
        <v>104</v>
      </c>
      <c r="W4414" s="0" t="s">
        <v>105</v>
      </c>
      <c r="X4414" s="0" t="s">
        <v>4270</v>
      </c>
      <c r="Y4414" s="0" t="s">
        <v>4271</v>
      </c>
      <c r="Z4414" s="0" t="s">
        <v>134</v>
      </c>
    </row>
    <row r="4415" customFormat="false" ht="15" hidden="false" customHeight="false" outlineLevel="0" collapsed="false">
      <c r="A4415" s="0" t="s">
        <v>21</v>
      </c>
      <c r="B4415" s="0" t="s">
        <v>13678</v>
      </c>
      <c r="C4415" s="0" t="s">
        <v>110</v>
      </c>
      <c r="D4415" s="0" t="s">
        <v>13679</v>
      </c>
      <c r="E4415" s="0" t="s">
        <v>13679</v>
      </c>
      <c r="G4415" s="0" t="s">
        <v>4266</v>
      </c>
      <c r="H4415" s="0" t="s">
        <v>13680</v>
      </c>
      <c r="I4415" s="0" t="s">
        <v>13681</v>
      </c>
      <c r="J4415" s="0" t="s">
        <v>157</v>
      </c>
      <c r="K4415" s="0" t="s">
        <v>13650</v>
      </c>
      <c r="L4415" s="0" t="s">
        <v>124</v>
      </c>
      <c r="M4415" s="0" t="s">
        <v>232</v>
      </c>
      <c r="N4415" s="0" t="s">
        <v>124</v>
      </c>
      <c r="P4415" s="0" t="s">
        <v>4272</v>
      </c>
      <c r="Q4415" s="0" t="s">
        <v>4273</v>
      </c>
      <c r="R4415" s="0" t="s">
        <v>4274</v>
      </c>
      <c r="S4415" s="0" t="s">
        <v>21</v>
      </c>
      <c r="T4415" s="0" t="s">
        <v>104</v>
      </c>
      <c r="W4415" s="0" t="s">
        <v>183</v>
      </c>
      <c r="X4415" s="0" t="s">
        <v>4270</v>
      </c>
      <c r="Y4415" s="0" t="s">
        <v>4271</v>
      </c>
      <c r="Z4415" s="0" t="s">
        <v>134</v>
      </c>
    </row>
    <row r="4416" customFormat="false" ht="15" hidden="false" customHeight="false" outlineLevel="0" collapsed="false">
      <c r="A4416" s="0" t="s">
        <v>21</v>
      </c>
      <c r="B4416" s="0" t="s">
        <v>13682</v>
      </c>
      <c r="C4416" s="0" t="s">
        <v>110</v>
      </c>
      <c r="D4416" s="0" t="s">
        <v>13683</v>
      </c>
      <c r="E4416" s="0" t="s">
        <v>13683</v>
      </c>
      <c r="G4416" s="0" t="s">
        <v>4266</v>
      </c>
      <c r="H4416" s="0" t="s">
        <v>10796</v>
      </c>
      <c r="I4416" s="0" t="s">
        <v>10797</v>
      </c>
      <c r="J4416" s="0" t="s">
        <v>157</v>
      </c>
      <c r="K4416" s="0" t="s">
        <v>10798</v>
      </c>
      <c r="L4416" s="0" t="s">
        <v>124</v>
      </c>
      <c r="M4416" s="0" t="s">
        <v>232</v>
      </c>
      <c r="N4416" s="0" t="s">
        <v>124</v>
      </c>
      <c r="P4416" s="0" t="s">
        <v>102</v>
      </c>
      <c r="Q4416" s="0" t="s">
        <v>102</v>
      </c>
      <c r="R4416" s="0" t="s">
        <v>113</v>
      </c>
      <c r="S4416" s="0" t="s">
        <v>21</v>
      </c>
      <c r="T4416" s="0" t="s">
        <v>104</v>
      </c>
      <c r="W4416" s="0" t="s">
        <v>105</v>
      </c>
      <c r="X4416" s="0" t="s">
        <v>4270</v>
      </c>
      <c r="Y4416" s="0" t="s">
        <v>4271</v>
      </c>
      <c r="Z4416" s="0" t="s">
        <v>134</v>
      </c>
    </row>
    <row r="4417" customFormat="false" ht="15" hidden="false" customHeight="false" outlineLevel="0" collapsed="false">
      <c r="A4417" s="0" t="s">
        <v>21</v>
      </c>
      <c r="B4417" s="0" t="s">
        <v>13682</v>
      </c>
      <c r="C4417" s="0" t="s">
        <v>110</v>
      </c>
      <c r="D4417" s="0" t="s">
        <v>13683</v>
      </c>
      <c r="E4417" s="0" t="s">
        <v>13683</v>
      </c>
      <c r="G4417" s="0" t="s">
        <v>4266</v>
      </c>
      <c r="H4417" s="0" t="s">
        <v>10796</v>
      </c>
      <c r="I4417" s="0" t="s">
        <v>10797</v>
      </c>
      <c r="J4417" s="0" t="s">
        <v>157</v>
      </c>
      <c r="K4417" s="0" t="s">
        <v>10798</v>
      </c>
      <c r="L4417" s="0" t="s">
        <v>124</v>
      </c>
      <c r="M4417" s="0" t="s">
        <v>232</v>
      </c>
      <c r="N4417" s="0" t="s">
        <v>124</v>
      </c>
      <c r="P4417" s="0" t="s">
        <v>4272</v>
      </c>
      <c r="Q4417" s="0" t="s">
        <v>4273</v>
      </c>
      <c r="R4417" s="0" t="s">
        <v>4274</v>
      </c>
      <c r="S4417" s="0" t="s">
        <v>21</v>
      </c>
      <c r="T4417" s="0" t="s">
        <v>104</v>
      </c>
      <c r="W4417" s="0" t="s">
        <v>183</v>
      </c>
      <c r="X4417" s="0" t="s">
        <v>4270</v>
      </c>
      <c r="Y4417" s="0" t="s">
        <v>4271</v>
      </c>
      <c r="Z4417" s="0" t="s">
        <v>134</v>
      </c>
    </row>
    <row r="4418" customFormat="false" ht="15" hidden="false" customHeight="false" outlineLevel="0" collapsed="false">
      <c r="A4418" s="0" t="s">
        <v>21</v>
      </c>
      <c r="B4418" s="0" t="s">
        <v>13684</v>
      </c>
      <c r="C4418" s="0" t="s">
        <v>110</v>
      </c>
      <c r="D4418" s="0" t="s">
        <v>13685</v>
      </c>
      <c r="E4418" s="0" t="s">
        <v>13686</v>
      </c>
      <c r="G4418" s="0" t="s">
        <v>13687</v>
      </c>
      <c r="H4418" s="0" t="s">
        <v>13688</v>
      </c>
      <c r="I4418" s="0" t="s">
        <v>13212</v>
      </c>
      <c r="J4418" s="0" t="s">
        <v>254</v>
      </c>
      <c r="K4418" s="0" t="s">
        <v>757</v>
      </c>
      <c r="L4418" s="0" t="s">
        <v>124</v>
      </c>
      <c r="M4418" s="0" t="s">
        <v>208</v>
      </c>
      <c r="N4418" s="0" t="s">
        <v>124</v>
      </c>
      <c r="P4418" s="0" t="s">
        <v>102</v>
      </c>
      <c r="Q4418" s="0" t="s">
        <v>102</v>
      </c>
      <c r="R4418" s="0" t="s">
        <v>113</v>
      </c>
      <c r="S4418" s="0" t="s">
        <v>21</v>
      </c>
      <c r="T4418" s="0" t="s">
        <v>104</v>
      </c>
      <c r="W4418" s="0" t="s">
        <v>105</v>
      </c>
      <c r="X4418" s="0" t="s">
        <v>13689</v>
      </c>
      <c r="Y4418" s="0" t="s">
        <v>13690</v>
      </c>
      <c r="Z4418" s="0" t="s">
        <v>134</v>
      </c>
    </row>
    <row r="4419" customFormat="false" ht="15" hidden="false" customHeight="false" outlineLevel="0" collapsed="false">
      <c r="A4419" s="0" t="s">
        <v>21</v>
      </c>
      <c r="B4419" s="0" t="s">
        <v>13691</v>
      </c>
      <c r="C4419" s="0" t="s">
        <v>372</v>
      </c>
      <c r="D4419" s="0" t="s">
        <v>13692</v>
      </c>
      <c r="E4419" s="0" t="s">
        <v>13693</v>
      </c>
      <c r="H4419" s="0" t="s">
        <v>13694</v>
      </c>
      <c r="I4419" s="0" t="s">
        <v>13695</v>
      </c>
      <c r="J4419" s="0" t="s">
        <v>254</v>
      </c>
      <c r="K4419" s="0" t="s">
        <v>13696</v>
      </c>
      <c r="L4419" s="0" t="s">
        <v>124</v>
      </c>
      <c r="M4419" s="0" t="s">
        <v>208</v>
      </c>
      <c r="N4419" s="0" t="s">
        <v>124</v>
      </c>
      <c r="P4419" s="0" t="s">
        <v>379</v>
      </c>
      <c r="Q4419" s="0" t="s">
        <v>379</v>
      </c>
      <c r="R4419" s="0" t="s">
        <v>379</v>
      </c>
      <c r="S4419" s="0" t="s">
        <v>21</v>
      </c>
      <c r="T4419" s="0" t="s">
        <v>104</v>
      </c>
      <c r="W4419" s="0" t="s">
        <v>183</v>
      </c>
      <c r="X4419" s="0" t="s">
        <v>13697</v>
      </c>
      <c r="Y4419" s="0" t="s">
        <v>13698</v>
      </c>
      <c r="Z4419" s="0" t="s">
        <v>382</v>
      </c>
    </row>
    <row r="4420" customFormat="false" ht="15" hidden="false" customHeight="false" outlineLevel="0" collapsed="false">
      <c r="A4420" s="0" t="s">
        <v>21</v>
      </c>
      <c r="B4420" s="0" t="s">
        <v>13691</v>
      </c>
      <c r="C4420" s="0" t="s">
        <v>372</v>
      </c>
      <c r="D4420" s="0" t="s">
        <v>13692</v>
      </c>
      <c r="E4420" s="0" t="s">
        <v>13693</v>
      </c>
      <c r="H4420" s="0" t="s">
        <v>13694</v>
      </c>
      <c r="I4420" s="0" t="s">
        <v>13695</v>
      </c>
      <c r="J4420" s="0" t="s">
        <v>254</v>
      </c>
      <c r="K4420" s="0" t="s">
        <v>13696</v>
      </c>
      <c r="L4420" s="0" t="s">
        <v>124</v>
      </c>
      <c r="M4420" s="0" t="s">
        <v>208</v>
      </c>
      <c r="N4420" s="0" t="s">
        <v>124</v>
      </c>
      <c r="P4420" s="0" t="s">
        <v>102</v>
      </c>
      <c r="Q4420" s="0" t="s">
        <v>102</v>
      </c>
      <c r="R4420" s="0" t="s">
        <v>113</v>
      </c>
      <c r="S4420" s="0" t="s">
        <v>21</v>
      </c>
      <c r="T4420" s="0" t="s">
        <v>104</v>
      </c>
      <c r="W4420" s="0" t="s">
        <v>105</v>
      </c>
      <c r="X4420" s="0" t="s">
        <v>13697</v>
      </c>
      <c r="Y4420" s="0" t="s">
        <v>13698</v>
      </c>
      <c r="Z4420" s="0" t="s">
        <v>382</v>
      </c>
    </row>
    <row r="4421" customFormat="false" ht="15" hidden="false" customHeight="false" outlineLevel="0" collapsed="false">
      <c r="A4421" s="0" t="s">
        <v>21</v>
      </c>
      <c r="B4421" s="0" t="s">
        <v>13699</v>
      </c>
      <c r="C4421" s="0" t="s">
        <v>110</v>
      </c>
      <c r="D4421" s="0" t="s">
        <v>13700</v>
      </c>
      <c r="E4421" s="0" t="s">
        <v>13701</v>
      </c>
      <c r="H4421" s="0" t="s">
        <v>13702</v>
      </c>
      <c r="I4421" s="0" t="s">
        <v>13703</v>
      </c>
      <c r="J4421" s="0" t="s">
        <v>254</v>
      </c>
      <c r="K4421" s="0" t="s">
        <v>13704</v>
      </c>
      <c r="L4421" s="0" t="s">
        <v>124</v>
      </c>
      <c r="M4421" s="0" t="s">
        <v>208</v>
      </c>
      <c r="N4421" s="0" t="s">
        <v>124</v>
      </c>
      <c r="P4421" s="0" t="s">
        <v>102</v>
      </c>
      <c r="Q4421" s="0" t="s">
        <v>102</v>
      </c>
      <c r="R4421" s="0" t="s">
        <v>113</v>
      </c>
      <c r="S4421" s="0" t="s">
        <v>21</v>
      </c>
      <c r="T4421" s="0" t="s">
        <v>104</v>
      </c>
      <c r="W4421" s="0" t="s">
        <v>105</v>
      </c>
      <c r="X4421" s="0" t="s">
        <v>13705</v>
      </c>
      <c r="Y4421" s="0" t="s">
        <v>13706</v>
      </c>
      <c r="Z4421" s="0" t="s">
        <v>382</v>
      </c>
    </row>
    <row r="4422" customFormat="false" ht="15" hidden="false" customHeight="false" outlineLevel="0" collapsed="false">
      <c r="A4422" s="0" t="s">
        <v>21</v>
      </c>
      <c r="B4422" s="0" t="s">
        <v>13707</v>
      </c>
      <c r="C4422" s="0" t="s">
        <v>97</v>
      </c>
      <c r="D4422" s="0" t="s">
        <v>13708</v>
      </c>
      <c r="E4422" s="0" t="s">
        <v>13709</v>
      </c>
      <c r="M4422" s="0" t="s">
        <v>136</v>
      </c>
      <c r="N4422" s="0" t="s">
        <v>124</v>
      </c>
      <c r="P4422" s="0" t="s">
        <v>102</v>
      </c>
      <c r="Q4422" s="0" t="s">
        <v>102</v>
      </c>
      <c r="R4422" s="0" t="s">
        <v>113</v>
      </c>
      <c r="S4422" s="0" t="s">
        <v>21</v>
      </c>
      <c r="T4422" s="0" t="s">
        <v>104</v>
      </c>
      <c r="W4422" s="0" t="s">
        <v>105</v>
      </c>
    </row>
    <row r="4423" customFormat="false" ht="15" hidden="false" customHeight="false" outlineLevel="0" collapsed="false">
      <c r="A4423" s="0" t="s">
        <v>21</v>
      </c>
      <c r="B4423" s="0" t="s">
        <v>13710</v>
      </c>
      <c r="C4423" s="0" t="s">
        <v>97</v>
      </c>
      <c r="D4423" s="0" t="s">
        <v>13711</v>
      </c>
      <c r="E4423" s="0" t="s">
        <v>13712</v>
      </c>
      <c r="M4423" s="0" t="s">
        <v>136</v>
      </c>
      <c r="N4423" s="0" t="s">
        <v>124</v>
      </c>
      <c r="P4423" s="0" t="s">
        <v>102</v>
      </c>
      <c r="Q4423" s="0" t="s">
        <v>102</v>
      </c>
      <c r="R4423" s="0" t="s">
        <v>131</v>
      </c>
      <c r="S4423" s="0" t="s">
        <v>21</v>
      </c>
      <c r="T4423" s="0" t="s">
        <v>104</v>
      </c>
      <c r="W4423" s="0" t="s">
        <v>105</v>
      </c>
    </row>
    <row r="4424" customFormat="false" ht="15" hidden="false" customHeight="false" outlineLevel="0" collapsed="false">
      <c r="A4424" s="0" t="s">
        <v>21</v>
      </c>
      <c r="B4424" s="0" t="s">
        <v>13713</v>
      </c>
      <c r="C4424" s="0" t="s">
        <v>97</v>
      </c>
      <c r="D4424" s="0" t="s">
        <v>13714</v>
      </c>
      <c r="E4424" s="0" t="s">
        <v>13715</v>
      </c>
      <c r="M4424" s="0" t="s">
        <v>136</v>
      </c>
      <c r="N4424" s="0" t="s">
        <v>124</v>
      </c>
      <c r="P4424" s="0" t="s">
        <v>102</v>
      </c>
      <c r="Q4424" s="0" t="s">
        <v>102</v>
      </c>
      <c r="R4424" s="0" t="s">
        <v>131</v>
      </c>
      <c r="S4424" s="0" t="s">
        <v>21</v>
      </c>
      <c r="T4424" s="0" t="s">
        <v>104</v>
      </c>
      <c r="W4424" s="0" t="s">
        <v>105</v>
      </c>
    </row>
    <row r="4425" customFormat="false" ht="15" hidden="false" customHeight="false" outlineLevel="0" collapsed="false">
      <c r="A4425" s="0" t="s">
        <v>21</v>
      </c>
      <c r="B4425" s="0" t="s">
        <v>13716</v>
      </c>
      <c r="C4425" s="0" t="s">
        <v>97</v>
      </c>
      <c r="D4425" s="0" t="s">
        <v>13717</v>
      </c>
      <c r="E4425" s="0" t="s">
        <v>13718</v>
      </c>
      <c r="H4425" s="0" t="s">
        <v>654</v>
      </c>
      <c r="I4425" s="0" t="s">
        <v>655</v>
      </c>
      <c r="J4425" s="0" t="s">
        <v>100</v>
      </c>
      <c r="K4425" s="0" t="s">
        <v>168</v>
      </c>
      <c r="L4425" s="0" t="s">
        <v>101</v>
      </c>
      <c r="M4425" s="0" t="s">
        <v>656</v>
      </c>
      <c r="N4425" s="0" t="s">
        <v>101</v>
      </c>
      <c r="P4425" s="0" t="s">
        <v>102</v>
      </c>
      <c r="Q4425" s="0" t="s">
        <v>102</v>
      </c>
      <c r="R4425" s="0" t="s">
        <v>113</v>
      </c>
      <c r="S4425" s="0" t="s">
        <v>21</v>
      </c>
      <c r="T4425" s="0" t="s">
        <v>104</v>
      </c>
      <c r="W4425" s="0" t="s">
        <v>105</v>
      </c>
      <c r="X4425" s="0" t="s">
        <v>658</v>
      </c>
      <c r="Y4425" s="0" t="s">
        <v>659</v>
      </c>
    </row>
    <row r="4426" customFormat="false" ht="15" hidden="false" customHeight="false" outlineLevel="0" collapsed="false">
      <c r="A4426" s="0" t="s">
        <v>21</v>
      </c>
      <c r="B4426" s="0" t="s">
        <v>5692</v>
      </c>
      <c r="C4426" s="0" t="s">
        <v>97</v>
      </c>
      <c r="D4426" s="0" t="s">
        <v>13719</v>
      </c>
      <c r="E4426" s="0" t="s">
        <v>13720</v>
      </c>
      <c r="M4426" s="0" t="s">
        <v>136</v>
      </c>
      <c r="N4426" s="0" t="s">
        <v>124</v>
      </c>
      <c r="P4426" s="0" t="s">
        <v>102</v>
      </c>
      <c r="Q4426" s="0" t="s">
        <v>102</v>
      </c>
      <c r="R4426" s="0" t="s">
        <v>131</v>
      </c>
      <c r="S4426" s="0" t="s">
        <v>21</v>
      </c>
      <c r="T4426" s="0" t="s">
        <v>104</v>
      </c>
      <c r="W4426" s="0" t="s">
        <v>105</v>
      </c>
    </row>
    <row r="4427" customFormat="false" ht="15" hidden="false" customHeight="false" outlineLevel="0" collapsed="false">
      <c r="A4427" s="0" t="s">
        <v>21</v>
      </c>
      <c r="B4427" s="0" t="s">
        <v>13721</v>
      </c>
      <c r="C4427" s="0" t="s">
        <v>97</v>
      </c>
      <c r="D4427" s="0" t="s">
        <v>13722</v>
      </c>
      <c r="E4427" s="0" t="s">
        <v>13723</v>
      </c>
      <c r="M4427" s="0" t="s">
        <v>136</v>
      </c>
      <c r="N4427" s="0" t="s">
        <v>124</v>
      </c>
      <c r="P4427" s="0" t="s">
        <v>102</v>
      </c>
      <c r="Q4427" s="0" t="s">
        <v>102</v>
      </c>
      <c r="R4427" s="0" t="s">
        <v>131</v>
      </c>
      <c r="S4427" s="0" t="s">
        <v>21</v>
      </c>
      <c r="T4427" s="0" t="s">
        <v>104</v>
      </c>
      <c r="W4427" s="0" t="s">
        <v>105</v>
      </c>
    </row>
    <row r="4428" customFormat="false" ht="15" hidden="false" customHeight="false" outlineLevel="0" collapsed="false">
      <c r="A4428" s="0" t="s">
        <v>21</v>
      </c>
      <c r="B4428" s="0" t="s">
        <v>13724</v>
      </c>
      <c r="C4428" s="0" t="s">
        <v>97</v>
      </c>
      <c r="D4428" s="0" t="s">
        <v>13725</v>
      </c>
      <c r="E4428" s="0" t="s">
        <v>13726</v>
      </c>
      <c r="M4428" s="0" t="s">
        <v>136</v>
      </c>
      <c r="N4428" s="0" t="s">
        <v>124</v>
      </c>
      <c r="P4428" s="0" t="s">
        <v>102</v>
      </c>
      <c r="Q4428" s="0" t="s">
        <v>102</v>
      </c>
      <c r="R4428" s="0" t="s">
        <v>113</v>
      </c>
      <c r="S4428" s="0" t="s">
        <v>21</v>
      </c>
      <c r="T4428" s="0" t="s">
        <v>104</v>
      </c>
      <c r="W4428" s="0" t="s">
        <v>105</v>
      </c>
    </row>
    <row r="4429" customFormat="false" ht="15" hidden="false" customHeight="false" outlineLevel="0" collapsed="false">
      <c r="A4429" s="0" t="s">
        <v>21</v>
      </c>
      <c r="B4429" s="0" t="s">
        <v>13727</v>
      </c>
      <c r="C4429" s="0" t="s">
        <v>97</v>
      </c>
      <c r="D4429" s="0" t="s">
        <v>13728</v>
      </c>
      <c r="E4429" s="0" t="s">
        <v>13728</v>
      </c>
      <c r="M4429" s="0" t="s">
        <v>442</v>
      </c>
      <c r="N4429" s="0" t="s">
        <v>101</v>
      </c>
      <c r="P4429" s="0" t="s">
        <v>102</v>
      </c>
      <c r="Q4429" s="0" t="s">
        <v>102</v>
      </c>
      <c r="R4429" s="0" t="s">
        <v>131</v>
      </c>
      <c r="S4429" s="0" t="s">
        <v>21</v>
      </c>
      <c r="T4429" s="0" t="s">
        <v>104</v>
      </c>
      <c r="W4429" s="0" t="s">
        <v>105</v>
      </c>
    </row>
    <row r="4430" customFormat="false" ht="15" hidden="false" customHeight="false" outlineLevel="0" collapsed="false">
      <c r="A4430" s="0" t="s">
        <v>21</v>
      </c>
      <c r="B4430" s="0" t="s">
        <v>13729</v>
      </c>
      <c r="C4430" s="0" t="s">
        <v>97</v>
      </c>
      <c r="D4430" s="0" t="s">
        <v>13730</v>
      </c>
      <c r="E4430" s="0" t="s">
        <v>13730</v>
      </c>
      <c r="M4430" s="0" t="s">
        <v>136</v>
      </c>
      <c r="N4430" s="0" t="s">
        <v>124</v>
      </c>
      <c r="P4430" s="0" t="s">
        <v>102</v>
      </c>
      <c r="Q4430" s="0" t="s">
        <v>102</v>
      </c>
      <c r="R4430" s="0" t="s">
        <v>144</v>
      </c>
      <c r="S4430" s="0" t="s">
        <v>21</v>
      </c>
      <c r="T4430" s="0" t="s">
        <v>104</v>
      </c>
      <c r="W4430" s="0" t="s">
        <v>105</v>
      </c>
    </row>
    <row r="4431" customFormat="false" ht="15" hidden="false" customHeight="false" outlineLevel="0" collapsed="false">
      <c r="A4431" s="0" t="s">
        <v>21</v>
      </c>
      <c r="B4431" s="0" t="s">
        <v>13731</v>
      </c>
      <c r="C4431" s="0" t="s">
        <v>97</v>
      </c>
      <c r="D4431" s="0" t="s">
        <v>13732</v>
      </c>
      <c r="E4431" s="0" t="s">
        <v>13732</v>
      </c>
      <c r="M4431" s="0" t="s">
        <v>136</v>
      </c>
      <c r="N4431" s="0" t="s">
        <v>124</v>
      </c>
      <c r="P4431" s="0" t="s">
        <v>102</v>
      </c>
      <c r="Q4431" s="0" t="s">
        <v>102</v>
      </c>
      <c r="R4431" s="0" t="s">
        <v>144</v>
      </c>
      <c r="S4431" s="0" t="s">
        <v>21</v>
      </c>
      <c r="T4431" s="0" t="s">
        <v>104</v>
      </c>
      <c r="W4431" s="0" t="s">
        <v>105</v>
      </c>
    </row>
    <row r="4432" customFormat="false" ht="15" hidden="false" customHeight="false" outlineLevel="0" collapsed="false">
      <c r="A4432" s="0" t="s">
        <v>21</v>
      </c>
      <c r="B4432" s="0" t="s">
        <v>13733</v>
      </c>
      <c r="C4432" s="0" t="s">
        <v>97</v>
      </c>
      <c r="M4432" s="0" t="s">
        <v>136</v>
      </c>
      <c r="N4432" s="0" t="s">
        <v>124</v>
      </c>
      <c r="P4432" s="0" t="s">
        <v>13734</v>
      </c>
      <c r="Q4432" s="0" t="s">
        <v>13734</v>
      </c>
      <c r="R4432" s="0" t="s">
        <v>13734</v>
      </c>
      <c r="S4432" s="0" t="s">
        <v>21</v>
      </c>
      <c r="T4432" s="0" t="s">
        <v>104</v>
      </c>
      <c r="W4432" s="0" t="s">
        <v>183</v>
      </c>
    </row>
    <row r="4433" customFormat="false" ht="15" hidden="false" customHeight="false" outlineLevel="0" collapsed="false">
      <c r="A4433" s="0" t="s">
        <v>21</v>
      </c>
      <c r="B4433" s="0" t="s">
        <v>13733</v>
      </c>
      <c r="C4433" s="0" t="s">
        <v>97</v>
      </c>
      <c r="M4433" s="0" t="s">
        <v>136</v>
      </c>
      <c r="N4433" s="0" t="s">
        <v>124</v>
      </c>
      <c r="P4433" s="0" t="s">
        <v>130</v>
      </c>
      <c r="Q4433" s="0" t="s">
        <v>130</v>
      </c>
      <c r="R4433" s="0" t="s">
        <v>137</v>
      </c>
      <c r="S4433" s="0" t="s">
        <v>21</v>
      </c>
      <c r="T4433" s="0" t="s">
        <v>104</v>
      </c>
      <c r="W4433" s="0" t="s">
        <v>105</v>
      </c>
    </row>
    <row r="4434" customFormat="false" ht="15" hidden="false" customHeight="false" outlineLevel="0" collapsed="false">
      <c r="A4434" s="0" t="s">
        <v>21</v>
      </c>
      <c r="B4434" s="0" t="s">
        <v>13735</v>
      </c>
      <c r="C4434" s="0" t="s">
        <v>97</v>
      </c>
      <c r="M4434" s="0" t="s">
        <v>136</v>
      </c>
      <c r="N4434" s="0" t="s">
        <v>124</v>
      </c>
      <c r="P4434" s="0" t="s">
        <v>13734</v>
      </c>
      <c r="Q4434" s="0" t="s">
        <v>13734</v>
      </c>
      <c r="R4434" s="0" t="s">
        <v>13734</v>
      </c>
      <c r="S4434" s="0" t="s">
        <v>21</v>
      </c>
      <c r="T4434" s="0" t="s">
        <v>104</v>
      </c>
      <c r="W4434" s="0" t="s">
        <v>183</v>
      </c>
    </row>
    <row r="4435" customFormat="false" ht="15" hidden="false" customHeight="false" outlineLevel="0" collapsed="false">
      <c r="A4435" s="0" t="s">
        <v>21</v>
      </c>
      <c r="B4435" s="0" t="s">
        <v>13735</v>
      </c>
      <c r="C4435" s="0" t="s">
        <v>97</v>
      </c>
      <c r="M4435" s="0" t="s">
        <v>136</v>
      </c>
      <c r="N4435" s="0" t="s">
        <v>124</v>
      </c>
      <c r="P4435" s="0" t="s">
        <v>130</v>
      </c>
      <c r="Q4435" s="0" t="s">
        <v>130</v>
      </c>
      <c r="R4435" s="0" t="s">
        <v>137</v>
      </c>
      <c r="S4435" s="0" t="s">
        <v>21</v>
      </c>
      <c r="T4435" s="0" t="s">
        <v>104</v>
      </c>
      <c r="W4435" s="0" t="s">
        <v>105</v>
      </c>
    </row>
    <row r="4436" customFormat="false" ht="15" hidden="false" customHeight="false" outlineLevel="0" collapsed="false">
      <c r="A4436" s="0" t="s">
        <v>21</v>
      </c>
      <c r="B4436" s="0" t="s">
        <v>13736</v>
      </c>
      <c r="C4436" s="0" t="s">
        <v>97</v>
      </c>
      <c r="M4436" s="0" t="s">
        <v>136</v>
      </c>
      <c r="N4436" s="0" t="s">
        <v>124</v>
      </c>
      <c r="P4436" s="0" t="s">
        <v>13734</v>
      </c>
      <c r="Q4436" s="0" t="s">
        <v>13734</v>
      </c>
      <c r="R4436" s="0" t="s">
        <v>13734</v>
      </c>
      <c r="S4436" s="0" t="s">
        <v>21</v>
      </c>
      <c r="T4436" s="0" t="s">
        <v>104</v>
      </c>
      <c r="W4436" s="0" t="s">
        <v>183</v>
      </c>
    </row>
    <row r="4437" customFormat="false" ht="15" hidden="false" customHeight="false" outlineLevel="0" collapsed="false">
      <c r="A4437" s="0" t="s">
        <v>21</v>
      </c>
      <c r="B4437" s="0" t="s">
        <v>13736</v>
      </c>
      <c r="C4437" s="0" t="s">
        <v>97</v>
      </c>
      <c r="M4437" s="0" t="s">
        <v>136</v>
      </c>
      <c r="N4437" s="0" t="s">
        <v>124</v>
      </c>
      <c r="P4437" s="0" t="s">
        <v>130</v>
      </c>
      <c r="Q4437" s="0" t="s">
        <v>130</v>
      </c>
      <c r="R4437" s="0" t="s">
        <v>137</v>
      </c>
      <c r="S4437" s="0" t="s">
        <v>21</v>
      </c>
      <c r="T4437" s="0" t="s">
        <v>104</v>
      </c>
      <c r="W4437" s="0" t="s">
        <v>105</v>
      </c>
    </row>
    <row r="4438" customFormat="false" ht="15" hidden="false" customHeight="false" outlineLevel="0" collapsed="false">
      <c r="A4438" s="0" t="s">
        <v>21</v>
      </c>
      <c r="B4438" s="0" t="s">
        <v>13737</v>
      </c>
      <c r="C4438" s="0" t="s">
        <v>97</v>
      </c>
      <c r="M4438" s="0" t="s">
        <v>136</v>
      </c>
      <c r="N4438" s="0" t="s">
        <v>124</v>
      </c>
      <c r="P4438" s="0" t="s">
        <v>13734</v>
      </c>
      <c r="Q4438" s="0" t="s">
        <v>13734</v>
      </c>
      <c r="R4438" s="0" t="s">
        <v>13734</v>
      </c>
      <c r="S4438" s="0" t="s">
        <v>21</v>
      </c>
      <c r="T4438" s="0" t="s">
        <v>104</v>
      </c>
      <c r="W4438" s="0" t="s">
        <v>183</v>
      </c>
    </row>
    <row r="4439" customFormat="false" ht="15" hidden="false" customHeight="false" outlineLevel="0" collapsed="false">
      <c r="A4439" s="0" t="s">
        <v>21</v>
      </c>
      <c r="B4439" s="0" t="s">
        <v>13737</v>
      </c>
      <c r="C4439" s="0" t="s">
        <v>97</v>
      </c>
      <c r="M4439" s="0" t="s">
        <v>136</v>
      </c>
      <c r="N4439" s="0" t="s">
        <v>124</v>
      </c>
      <c r="P4439" s="0" t="s">
        <v>130</v>
      </c>
      <c r="Q4439" s="0" t="s">
        <v>130</v>
      </c>
      <c r="R4439" s="0" t="s">
        <v>137</v>
      </c>
      <c r="S4439" s="0" t="s">
        <v>21</v>
      </c>
      <c r="T4439" s="0" t="s">
        <v>104</v>
      </c>
      <c r="W4439" s="0" t="s">
        <v>105</v>
      </c>
    </row>
    <row r="4440" customFormat="false" ht="15" hidden="false" customHeight="false" outlineLevel="0" collapsed="false">
      <c r="A4440" s="0" t="s">
        <v>21</v>
      </c>
      <c r="B4440" s="0" t="s">
        <v>13738</v>
      </c>
      <c r="C4440" s="0" t="s">
        <v>97</v>
      </c>
      <c r="M4440" s="0" t="s">
        <v>136</v>
      </c>
      <c r="N4440" s="0" t="s">
        <v>124</v>
      </c>
      <c r="P4440" s="0" t="s">
        <v>13734</v>
      </c>
      <c r="Q4440" s="0" t="s">
        <v>13734</v>
      </c>
      <c r="R4440" s="0" t="s">
        <v>13734</v>
      </c>
      <c r="S4440" s="0" t="s">
        <v>21</v>
      </c>
      <c r="T4440" s="0" t="s">
        <v>104</v>
      </c>
      <c r="W4440" s="0" t="s">
        <v>183</v>
      </c>
    </row>
    <row r="4441" customFormat="false" ht="15" hidden="false" customHeight="false" outlineLevel="0" collapsed="false">
      <c r="A4441" s="0" t="s">
        <v>21</v>
      </c>
      <c r="B4441" s="0" t="s">
        <v>13738</v>
      </c>
      <c r="C4441" s="0" t="s">
        <v>97</v>
      </c>
      <c r="M4441" s="0" t="s">
        <v>136</v>
      </c>
      <c r="N4441" s="0" t="s">
        <v>124</v>
      </c>
      <c r="P4441" s="0" t="s">
        <v>130</v>
      </c>
      <c r="Q4441" s="0" t="s">
        <v>130</v>
      </c>
      <c r="R4441" s="0" t="s">
        <v>137</v>
      </c>
      <c r="S4441" s="0" t="s">
        <v>21</v>
      </c>
      <c r="T4441" s="0" t="s">
        <v>104</v>
      </c>
      <c r="W4441" s="0" t="s">
        <v>105</v>
      </c>
    </row>
    <row r="4442" customFormat="false" ht="15" hidden="false" customHeight="false" outlineLevel="0" collapsed="false">
      <c r="A4442" s="0" t="s">
        <v>21</v>
      </c>
      <c r="B4442" s="0" t="s">
        <v>13739</v>
      </c>
      <c r="C4442" s="0" t="s">
        <v>97</v>
      </c>
      <c r="M4442" s="0" t="s">
        <v>136</v>
      </c>
      <c r="N4442" s="0" t="s">
        <v>124</v>
      </c>
      <c r="P4442" s="0" t="s">
        <v>13734</v>
      </c>
      <c r="Q4442" s="0" t="s">
        <v>13734</v>
      </c>
      <c r="R4442" s="0" t="s">
        <v>13734</v>
      </c>
      <c r="S4442" s="0" t="s">
        <v>21</v>
      </c>
      <c r="T4442" s="0" t="s">
        <v>104</v>
      </c>
      <c r="W4442" s="0" t="s">
        <v>183</v>
      </c>
    </row>
    <row r="4443" customFormat="false" ht="15" hidden="false" customHeight="false" outlineLevel="0" collapsed="false">
      <c r="A4443" s="0" t="s">
        <v>21</v>
      </c>
      <c r="B4443" s="0" t="s">
        <v>13739</v>
      </c>
      <c r="C4443" s="0" t="s">
        <v>97</v>
      </c>
      <c r="M4443" s="0" t="s">
        <v>136</v>
      </c>
      <c r="N4443" s="0" t="s">
        <v>124</v>
      </c>
      <c r="P4443" s="0" t="s">
        <v>130</v>
      </c>
      <c r="Q4443" s="0" t="s">
        <v>130</v>
      </c>
      <c r="R4443" s="0" t="s">
        <v>137</v>
      </c>
      <c r="S4443" s="0" t="s">
        <v>21</v>
      </c>
      <c r="T4443" s="0" t="s">
        <v>104</v>
      </c>
      <c r="W4443" s="0" t="s">
        <v>105</v>
      </c>
    </row>
    <row r="4444" customFormat="false" ht="15" hidden="false" customHeight="false" outlineLevel="0" collapsed="false">
      <c r="A4444" s="0" t="s">
        <v>21</v>
      </c>
      <c r="B4444" s="0" t="s">
        <v>13740</v>
      </c>
      <c r="C4444" s="0" t="s">
        <v>97</v>
      </c>
      <c r="M4444" s="0" t="s">
        <v>136</v>
      </c>
      <c r="N4444" s="0" t="s">
        <v>124</v>
      </c>
      <c r="P4444" s="0" t="s">
        <v>13734</v>
      </c>
      <c r="Q4444" s="0" t="s">
        <v>13734</v>
      </c>
      <c r="R4444" s="0" t="s">
        <v>13734</v>
      </c>
      <c r="S4444" s="0" t="s">
        <v>21</v>
      </c>
      <c r="T4444" s="0" t="s">
        <v>104</v>
      </c>
      <c r="W4444" s="0" t="s">
        <v>183</v>
      </c>
    </row>
    <row r="4445" customFormat="false" ht="15" hidden="false" customHeight="false" outlineLevel="0" collapsed="false">
      <c r="A4445" s="0" t="s">
        <v>21</v>
      </c>
      <c r="B4445" s="0" t="s">
        <v>13740</v>
      </c>
      <c r="C4445" s="0" t="s">
        <v>97</v>
      </c>
      <c r="M4445" s="0" t="s">
        <v>136</v>
      </c>
      <c r="N4445" s="0" t="s">
        <v>124</v>
      </c>
      <c r="P4445" s="0" t="s">
        <v>130</v>
      </c>
      <c r="Q4445" s="0" t="s">
        <v>130</v>
      </c>
      <c r="R4445" s="0" t="s">
        <v>137</v>
      </c>
      <c r="S4445" s="0" t="s">
        <v>21</v>
      </c>
      <c r="T4445" s="0" t="s">
        <v>104</v>
      </c>
      <c r="W4445" s="0" t="s">
        <v>105</v>
      </c>
    </row>
    <row r="4446" customFormat="false" ht="15" hidden="false" customHeight="false" outlineLevel="0" collapsed="false">
      <c r="A4446" s="0" t="s">
        <v>21</v>
      </c>
      <c r="B4446" s="0" t="s">
        <v>13741</v>
      </c>
      <c r="C4446" s="0" t="s">
        <v>97</v>
      </c>
      <c r="M4446" s="0" t="s">
        <v>136</v>
      </c>
      <c r="N4446" s="0" t="s">
        <v>124</v>
      </c>
      <c r="P4446" s="0" t="s">
        <v>13734</v>
      </c>
      <c r="Q4446" s="0" t="s">
        <v>13734</v>
      </c>
      <c r="R4446" s="0" t="s">
        <v>13734</v>
      </c>
      <c r="S4446" s="0" t="s">
        <v>21</v>
      </c>
      <c r="T4446" s="0" t="s">
        <v>104</v>
      </c>
      <c r="W4446" s="0" t="s">
        <v>183</v>
      </c>
    </row>
    <row r="4447" customFormat="false" ht="15" hidden="false" customHeight="false" outlineLevel="0" collapsed="false">
      <c r="A4447" s="0" t="s">
        <v>21</v>
      </c>
      <c r="B4447" s="0" t="s">
        <v>13741</v>
      </c>
      <c r="C4447" s="0" t="s">
        <v>97</v>
      </c>
      <c r="M4447" s="0" t="s">
        <v>136</v>
      </c>
      <c r="N4447" s="0" t="s">
        <v>124</v>
      </c>
      <c r="P4447" s="0" t="s">
        <v>130</v>
      </c>
      <c r="Q4447" s="0" t="s">
        <v>130</v>
      </c>
      <c r="R4447" s="0" t="s">
        <v>137</v>
      </c>
      <c r="S4447" s="0" t="s">
        <v>21</v>
      </c>
      <c r="T4447" s="0" t="s">
        <v>104</v>
      </c>
      <c r="W4447" s="0" t="s">
        <v>105</v>
      </c>
    </row>
    <row r="4448" customFormat="false" ht="15" hidden="false" customHeight="false" outlineLevel="0" collapsed="false">
      <c r="A4448" s="0" t="s">
        <v>21</v>
      </c>
      <c r="B4448" s="0" t="s">
        <v>13742</v>
      </c>
      <c r="C4448" s="0" t="s">
        <v>97</v>
      </c>
      <c r="M4448" s="0" t="s">
        <v>136</v>
      </c>
      <c r="N4448" s="0" t="s">
        <v>124</v>
      </c>
      <c r="P4448" s="0" t="s">
        <v>13734</v>
      </c>
      <c r="Q4448" s="0" t="s">
        <v>13734</v>
      </c>
      <c r="R4448" s="0" t="s">
        <v>13734</v>
      </c>
      <c r="S4448" s="0" t="s">
        <v>21</v>
      </c>
      <c r="T4448" s="0" t="s">
        <v>104</v>
      </c>
      <c r="W4448" s="0" t="s">
        <v>183</v>
      </c>
    </row>
    <row r="4449" customFormat="false" ht="15" hidden="false" customHeight="false" outlineLevel="0" collapsed="false">
      <c r="A4449" s="0" t="s">
        <v>21</v>
      </c>
      <c r="B4449" s="0" t="s">
        <v>13742</v>
      </c>
      <c r="C4449" s="0" t="s">
        <v>97</v>
      </c>
      <c r="M4449" s="0" t="s">
        <v>136</v>
      </c>
      <c r="N4449" s="0" t="s">
        <v>124</v>
      </c>
      <c r="P4449" s="0" t="s">
        <v>130</v>
      </c>
      <c r="Q4449" s="0" t="s">
        <v>130</v>
      </c>
      <c r="R4449" s="0" t="s">
        <v>137</v>
      </c>
      <c r="S4449" s="0" t="s">
        <v>21</v>
      </c>
      <c r="T4449" s="0" t="s">
        <v>104</v>
      </c>
      <c r="W4449" s="0" t="s">
        <v>105</v>
      </c>
    </row>
    <row r="4450" customFormat="false" ht="15" hidden="false" customHeight="false" outlineLevel="0" collapsed="false">
      <c r="A4450" s="0" t="s">
        <v>21</v>
      </c>
      <c r="B4450" s="0" t="s">
        <v>13743</v>
      </c>
      <c r="C4450" s="0" t="s">
        <v>97</v>
      </c>
      <c r="M4450" s="0" t="s">
        <v>136</v>
      </c>
      <c r="N4450" s="0" t="s">
        <v>124</v>
      </c>
      <c r="P4450" s="0" t="s">
        <v>13734</v>
      </c>
      <c r="Q4450" s="0" t="s">
        <v>13734</v>
      </c>
      <c r="R4450" s="0" t="s">
        <v>13734</v>
      </c>
      <c r="S4450" s="0" t="s">
        <v>21</v>
      </c>
      <c r="T4450" s="0" t="s">
        <v>104</v>
      </c>
      <c r="W4450" s="0" t="s">
        <v>183</v>
      </c>
    </row>
    <row r="4451" customFormat="false" ht="15" hidden="false" customHeight="false" outlineLevel="0" collapsed="false">
      <c r="A4451" s="0" t="s">
        <v>21</v>
      </c>
      <c r="B4451" s="0" t="s">
        <v>13743</v>
      </c>
      <c r="C4451" s="0" t="s">
        <v>97</v>
      </c>
      <c r="M4451" s="0" t="s">
        <v>136</v>
      </c>
      <c r="N4451" s="0" t="s">
        <v>124</v>
      </c>
      <c r="P4451" s="0" t="s">
        <v>130</v>
      </c>
      <c r="Q4451" s="0" t="s">
        <v>130</v>
      </c>
      <c r="R4451" s="0" t="s">
        <v>137</v>
      </c>
      <c r="S4451" s="0" t="s">
        <v>21</v>
      </c>
      <c r="T4451" s="0" t="s">
        <v>104</v>
      </c>
      <c r="W4451" s="0" t="s">
        <v>105</v>
      </c>
    </row>
    <row r="4452" customFormat="false" ht="15" hidden="false" customHeight="false" outlineLevel="0" collapsed="false">
      <c r="A4452" s="0" t="s">
        <v>21</v>
      </c>
      <c r="B4452" s="0" t="s">
        <v>13744</v>
      </c>
      <c r="C4452" s="0" t="s">
        <v>97</v>
      </c>
      <c r="M4452" s="0" t="s">
        <v>136</v>
      </c>
      <c r="N4452" s="0" t="s">
        <v>124</v>
      </c>
      <c r="P4452" s="0" t="s">
        <v>13734</v>
      </c>
      <c r="Q4452" s="0" t="s">
        <v>13734</v>
      </c>
      <c r="R4452" s="0" t="s">
        <v>13734</v>
      </c>
      <c r="S4452" s="0" t="s">
        <v>21</v>
      </c>
      <c r="T4452" s="0" t="s">
        <v>104</v>
      </c>
      <c r="W4452" s="0" t="s">
        <v>183</v>
      </c>
    </row>
    <row r="4453" customFormat="false" ht="15" hidden="false" customHeight="false" outlineLevel="0" collapsed="false">
      <c r="A4453" s="0" t="s">
        <v>21</v>
      </c>
      <c r="B4453" s="0" t="s">
        <v>13744</v>
      </c>
      <c r="C4453" s="0" t="s">
        <v>97</v>
      </c>
      <c r="M4453" s="0" t="s">
        <v>136</v>
      </c>
      <c r="N4453" s="0" t="s">
        <v>124</v>
      </c>
      <c r="P4453" s="0" t="s">
        <v>130</v>
      </c>
      <c r="Q4453" s="0" t="s">
        <v>130</v>
      </c>
      <c r="R4453" s="0" t="s">
        <v>137</v>
      </c>
      <c r="S4453" s="0" t="s">
        <v>21</v>
      </c>
      <c r="T4453" s="0" t="s">
        <v>104</v>
      </c>
      <c r="W4453" s="0" t="s">
        <v>105</v>
      </c>
    </row>
    <row r="4454" customFormat="false" ht="15" hidden="false" customHeight="false" outlineLevel="0" collapsed="false">
      <c r="A4454" s="0" t="s">
        <v>21</v>
      </c>
      <c r="B4454" s="0" t="s">
        <v>13745</v>
      </c>
      <c r="C4454" s="0" t="s">
        <v>97</v>
      </c>
      <c r="M4454" s="0" t="s">
        <v>136</v>
      </c>
      <c r="N4454" s="0" t="s">
        <v>124</v>
      </c>
      <c r="P4454" s="0" t="s">
        <v>13734</v>
      </c>
      <c r="Q4454" s="0" t="s">
        <v>13734</v>
      </c>
      <c r="R4454" s="0" t="s">
        <v>13734</v>
      </c>
      <c r="S4454" s="0" t="s">
        <v>21</v>
      </c>
      <c r="T4454" s="0" t="s">
        <v>104</v>
      </c>
      <c r="W4454" s="0" t="s">
        <v>183</v>
      </c>
    </row>
    <row r="4455" customFormat="false" ht="15" hidden="false" customHeight="false" outlineLevel="0" collapsed="false">
      <c r="A4455" s="0" t="s">
        <v>21</v>
      </c>
      <c r="B4455" s="0" t="s">
        <v>13745</v>
      </c>
      <c r="C4455" s="0" t="s">
        <v>97</v>
      </c>
      <c r="M4455" s="0" t="s">
        <v>136</v>
      </c>
      <c r="N4455" s="0" t="s">
        <v>124</v>
      </c>
      <c r="P4455" s="0" t="s">
        <v>130</v>
      </c>
      <c r="Q4455" s="0" t="s">
        <v>130</v>
      </c>
      <c r="R4455" s="0" t="s">
        <v>137</v>
      </c>
      <c r="S4455" s="0" t="s">
        <v>21</v>
      </c>
      <c r="T4455" s="0" t="s">
        <v>104</v>
      </c>
      <c r="W4455" s="0" t="s">
        <v>105</v>
      </c>
    </row>
    <row r="4456" customFormat="false" ht="15" hidden="false" customHeight="false" outlineLevel="0" collapsed="false">
      <c r="A4456" s="0" t="s">
        <v>21</v>
      </c>
      <c r="B4456" s="0" t="s">
        <v>13746</v>
      </c>
      <c r="C4456" s="0" t="s">
        <v>97</v>
      </c>
      <c r="M4456" s="0" t="s">
        <v>136</v>
      </c>
      <c r="N4456" s="0" t="s">
        <v>124</v>
      </c>
      <c r="P4456" s="0" t="s">
        <v>13734</v>
      </c>
      <c r="Q4456" s="0" t="s">
        <v>13734</v>
      </c>
      <c r="R4456" s="0" t="s">
        <v>13734</v>
      </c>
      <c r="S4456" s="0" t="s">
        <v>21</v>
      </c>
      <c r="T4456" s="0" t="s">
        <v>104</v>
      </c>
      <c r="W4456" s="0" t="s">
        <v>183</v>
      </c>
    </row>
    <row r="4457" customFormat="false" ht="15" hidden="false" customHeight="false" outlineLevel="0" collapsed="false">
      <c r="A4457" s="0" t="s">
        <v>21</v>
      </c>
      <c r="B4457" s="0" t="s">
        <v>13746</v>
      </c>
      <c r="C4457" s="0" t="s">
        <v>97</v>
      </c>
      <c r="M4457" s="0" t="s">
        <v>136</v>
      </c>
      <c r="N4457" s="0" t="s">
        <v>124</v>
      </c>
      <c r="P4457" s="0" t="s">
        <v>130</v>
      </c>
      <c r="Q4457" s="0" t="s">
        <v>130</v>
      </c>
      <c r="R4457" s="0" t="s">
        <v>137</v>
      </c>
      <c r="S4457" s="0" t="s">
        <v>21</v>
      </c>
      <c r="T4457" s="0" t="s">
        <v>104</v>
      </c>
      <c r="W4457" s="0" t="s">
        <v>105</v>
      </c>
    </row>
    <row r="4458" customFormat="false" ht="15" hidden="false" customHeight="false" outlineLevel="0" collapsed="false">
      <c r="A4458" s="0" t="s">
        <v>21</v>
      </c>
      <c r="B4458" s="0" t="s">
        <v>13747</v>
      </c>
      <c r="C4458" s="0" t="s">
        <v>97</v>
      </c>
      <c r="M4458" s="0" t="s">
        <v>136</v>
      </c>
      <c r="N4458" s="0" t="s">
        <v>124</v>
      </c>
      <c r="P4458" s="0" t="s">
        <v>13734</v>
      </c>
      <c r="Q4458" s="0" t="s">
        <v>13734</v>
      </c>
      <c r="R4458" s="0" t="s">
        <v>13734</v>
      </c>
      <c r="S4458" s="0" t="s">
        <v>21</v>
      </c>
      <c r="T4458" s="0" t="s">
        <v>104</v>
      </c>
      <c r="W4458" s="0" t="s">
        <v>183</v>
      </c>
    </row>
    <row r="4459" customFormat="false" ht="15" hidden="false" customHeight="false" outlineLevel="0" collapsed="false">
      <c r="A4459" s="0" t="s">
        <v>21</v>
      </c>
      <c r="B4459" s="0" t="s">
        <v>13747</v>
      </c>
      <c r="C4459" s="0" t="s">
        <v>97</v>
      </c>
      <c r="M4459" s="0" t="s">
        <v>136</v>
      </c>
      <c r="N4459" s="0" t="s">
        <v>124</v>
      </c>
      <c r="P4459" s="0" t="s">
        <v>130</v>
      </c>
      <c r="Q4459" s="0" t="s">
        <v>130</v>
      </c>
      <c r="R4459" s="0" t="s">
        <v>137</v>
      </c>
      <c r="S4459" s="0" t="s">
        <v>21</v>
      </c>
      <c r="T4459" s="0" t="s">
        <v>104</v>
      </c>
      <c r="W4459" s="0" t="s">
        <v>105</v>
      </c>
    </row>
    <row r="4460" customFormat="false" ht="15" hidden="false" customHeight="false" outlineLevel="0" collapsed="false">
      <c r="A4460" s="0" t="s">
        <v>21</v>
      </c>
      <c r="B4460" s="0" t="s">
        <v>13748</v>
      </c>
      <c r="C4460" s="0" t="s">
        <v>97</v>
      </c>
      <c r="M4460" s="0" t="s">
        <v>136</v>
      </c>
      <c r="N4460" s="0" t="s">
        <v>124</v>
      </c>
      <c r="P4460" s="0" t="s">
        <v>13734</v>
      </c>
      <c r="Q4460" s="0" t="s">
        <v>13734</v>
      </c>
      <c r="R4460" s="0" t="s">
        <v>13734</v>
      </c>
      <c r="S4460" s="0" t="s">
        <v>21</v>
      </c>
      <c r="T4460" s="0" t="s">
        <v>104</v>
      </c>
      <c r="W4460" s="0" t="s">
        <v>183</v>
      </c>
    </row>
    <row r="4461" customFormat="false" ht="15" hidden="false" customHeight="false" outlineLevel="0" collapsed="false">
      <c r="A4461" s="0" t="s">
        <v>21</v>
      </c>
      <c r="B4461" s="0" t="s">
        <v>13748</v>
      </c>
      <c r="C4461" s="0" t="s">
        <v>97</v>
      </c>
      <c r="M4461" s="0" t="s">
        <v>136</v>
      </c>
      <c r="N4461" s="0" t="s">
        <v>124</v>
      </c>
      <c r="P4461" s="0" t="s">
        <v>130</v>
      </c>
      <c r="Q4461" s="0" t="s">
        <v>130</v>
      </c>
      <c r="R4461" s="0" t="s">
        <v>137</v>
      </c>
      <c r="S4461" s="0" t="s">
        <v>21</v>
      </c>
      <c r="T4461" s="0" t="s">
        <v>104</v>
      </c>
      <c r="W4461" s="0" t="s">
        <v>105</v>
      </c>
    </row>
    <row r="4462" customFormat="false" ht="15" hidden="false" customHeight="false" outlineLevel="0" collapsed="false">
      <c r="A4462" s="0" t="s">
        <v>21</v>
      </c>
      <c r="B4462" s="0" t="s">
        <v>13749</v>
      </c>
      <c r="C4462" s="0" t="s">
        <v>97</v>
      </c>
      <c r="M4462" s="0" t="s">
        <v>136</v>
      </c>
      <c r="N4462" s="0" t="s">
        <v>124</v>
      </c>
      <c r="P4462" s="0" t="s">
        <v>13734</v>
      </c>
      <c r="Q4462" s="0" t="s">
        <v>13734</v>
      </c>
      <c r="R4462" s="0" t="s">
        <v>13734</v>
      </c>
      <c r="S4462" s="0" t="s">
        <v>21</v>
      </c>
      <c r="T4462" s="0" t="s">
        <v>104</v>
      </c>
      <c r="W4462" s="0" t="s">
        <v>183</v>
      </c>
    </row>
    <row r="4463" customFormat="false" ht="15" hidden="false" customHeight="false" outlineLevel="0" collapsed="false">
      <c r="A4463" s="0" t="s">
        <v>21</v>
      </c>
      <c r="B4463" s="0" t="s">
        <v>13749</v>
      </c>
      <c r="C4463" s="0" t="s">
        <v>97</v>
      </c>
      <c r="M4463" s="0" t="s">
        <v>136</v>
      </c>
      <c r="N4463" s="0" t="s">
        <v>124</v>
      </c>
      <c r="P4463" s="0" t="s">
        <v>130</v>
      </c>
      <c r="Q4463" s="0" t="s">
        <v>130</v>
      </c>
      <c r="R4463" s="0" t="s">
        <v>137</v>
      </c>
      <c r="S4463" s="0" t="s">
        <v>21</v>
      </c>
      <c r="T4463" s="0" t="s">
        <v>104</v>
      </c>
      <c r="W4463" s="0" t="s">
        <v>105</v>
      </c>
    </row>
    <row r="4464" customFormat="false" ht="15" hidden="false" customHeight="false" outlineLevel="0" collapsed="false">
      <c r="A4464" s="0" t="s">
        <v>21</v>
      </c>
      <c r="B4464" s="0" t="s">
        <v>13750</v>
      </c>
      <c r="C4464" s="0" t="s">
        <v>97</v>
      </c>
      <c r="M4464" s="0" t="s">
        <v>136</v>
      </c>
      <c r="N4464" s="0" t="s">
        <v>124</v>
      </c>
      <c r="P4464" s="0" t="s">
        <v>13734</v>
      </c>
      <c r="Q4464" s="0" t="s">
        <v>13734</v>
      </c>
      <c r="R4464" s="0" t="s">
        <v>13734</v>
      </c>
      <c r="S4464" s="0" t="s">
        <v>21</v>
      </c>
      <c r="T4464" s="0" t="s">
        <v>104</v>
      </c>
      <c r="W4464" s="0" t="s">
        <v>183</v>
      </c>
    </row>
    <row r="4465" customFormat="false" ht="15" hidden="false" customHeight="false" outlineLevel="0" collapsed="false">
      <c r="A4465" s="0" t="s">
        <v>21</v>
      </c>
      <c r="B4465" s="0" t="s">
        <v>13750</v>
      </c>
      <c r="C4465" s="0" t="s">
        <v>97</v>
      </c>
      <c r="M4465" s="0" t="s">
        <v>136</v>
      </c>
      <c r="N4465" s="0" t="s">
        <v>124</v>
      </c>
      <c r="P4465" s="0" t="s">
        <v>130</v>
      </c>
      <c r="Q4465" s="0" t="s">
        <v>130</v>
      </c>
      <c r="R4465" s="0" t="s">
        <v>137</v>
      </c>
      <c r="S4465" s="0" t="s">
        <v>21</v>
      </c>
      <c r="T4465" s="0" t="s">
        <v>104</v>
      </c>
      <c r="W4465" s="0" t="s">
        <v>105</v>
      </c>
    </row>
    <row r="4466" customFormat="false" ht="15" hidden="false" customHeight="false" outlineLevel="0" collapsed="false">
      <c r="A4466" s="0" t="s">
        <v>21</v>
      </c>
      <c r="B4466" s="0" t="s">
        <v>13751</v>
      </c>
      <c r="C4466" s="0" t="s">
        <v>97</v>
      </c>
      <c r="M4466" s="0" t="s">
        <v>136</v>
      </c>
      <c r="N4466" s="0" t="s">
        <v>124</v>
      </c>
      <c r="P4466" s="0" t="s">
        <v>13734</v>
      </c>
      <c r="Q4466" s="0" t="s">
        <v>13734</v>
      </c>
      <c r="R4466" s="0" t="s">
        <v>13734</v>
      </c>
      <c r="S4466" s="0" t="s">
        <v>21</v>
      </c>
      <c r="T4466" s="0" t="s">
        <v>104</v>
      </c>
      <c r="W4466" s="0" t="s">
        <v>183</v>
      </c>
    </row>
    <row r="4467" customFormat="false" ht="15" hidden="false" customHeight="false" outlineLevel="0" collapsed="false">
      <c r="A4467" s="0" t="s">
        <v>21</v>
      </c>
      <c r="B4467" s="0" t="s">
        <v>13751</v>
      </c>
      <c r="C4467" s="0" t="s">
        <v>97</v>
      </c>
      <c r="M4467" s="0" t="s">
        <v>136</v>
      </c>
      <c r="N4467" s="0" t="s">
        <v>124</v>
      </c>
      <c r="P4467" s="0" t="s">
        <v>130</v>
      </c>
      <c r="Q4467" s="0" t="s">
        <v>130</v>
      </c>
      <c r="R4467" s="0" t="s">
        <v>137</v>
      </c>
      <c r="S4467" s="0" t="s">
        <v>21</v>
      </c>
      <c r="T4467" s="0" t="s">
        <v>104</v>
      </c>
      <c r="W4467" s="0" t="s">
        <v>105</v>
      </c>
    </row>
    <row r="4468" customFormat="false" ht="15" hidden="false" customHeight="false" outlineLevel="0" collapsed="false">
      <c r="A4468" s="0" t="s">
        <v>21</v>
      </c>
      <c r="B4468" s="0" t="s">
        <v>13752</v>
      </c>
      <c r="C4468" s="0" t="s">
        <v>97</v>
      </c>
      <c r="M4468" s="0" t="s">
        <v>136</v>
      </c>
      <c r="N4468" s="0" t="s">
        <v>124</v>
      </c>
      <c r="P4468" s="0" t="s">
        <v>13734</v>
      </c>
      <c r="Q4468" s="0" t="s">
        <v>13734</v>
      </c>
      <c r="R4468" s="0" t="s">
        <v>13734</v>
      </c>
      <c r="S4468" s="0" t="s">
        <v>21</v>
      </c>
      <c r="T4468" s="0" t="s">
        <v>104</v>
      </c>
      <c r="W4468" s="0" t="s">
        <v>183</v>
      </c>
    </row>
    <row r="4469" customFormat="false" ht="15" hidden="false" customHeight="false" outlineLevel="0" collapsed="false">
      <c r="A4469" s="0" t="s">
        <v>21</v>
      </c>
      <c r="B4469" s="0" t="s">
        <v>13752</v>
      </c>
      <c r="C4469" s="0" t="s">
        <v>97</v>
      </c>
      <c r="M4469" s="0" t="s">
        <v>136</v>
      </c>
      <c r="N4469" s="0" t="s">
        <v>124</v>
      </c>
      <c r="P4469" s="0" t="s">
        <v>130</v>
      </c>
      <c r="Q4469" s="0" t="s">
        <v>130</v>
      </c>
      <c r="R4469" s="0" t="s">
        <v>137</v>
      </c>
      <c r="S4469" s="0" t="s">
        <v>21</v>
      </c>
      <c r="T4469" s="0" t="s">
        <v>104</v>
      </c>
      <c r="W4469" s="0" t="s">
        <v>105</v>
      </c>
    </row>
    <row r="4470" customFormat="false" ht="15" hidden="false" customHeight="false" outlineLevel="0" collapsed="false">
      <c r="A4470" s="0" t="s">
        <v>21</v>
      </c>
      <c r="B4470" s="0" t="s">
        <v>13753</v>
      </c>
      <c r="C4470" s="0" t="s">
        <v>97</v>
      </c>
      <c r="M4470" s="0" t="s">
        <v>136</v>
      </c>
      <c r="N4470" s="0" t="s">
        <v>124</v>
      </c>
      <c r="P4470" s="0" t="s">
        <v>13734</v>
      </c>
      <c r="Q4470" s="0" t="s">
        <v>13734</v>
      </c>
      <c r="R4470" s="0" t="s">
        <v>13734</v>
      </c>
      <c r="S4470" s="0" t="s">
        <v>21</v>
      </c>
      <c r="T4470" s="0" t="s">
        <v>104</v>
      </c>
      <c r="W4470" s="0" t="s">
        <v>183</v>
      </c>
    </row>
    <row r="4471" customFormat="false" ht="15" hidden="false" customHeight="false" outlineLevel="0" collapsed="false">
      <c r="A4471" s="0" t="s">
        <v>21</v>
      </c>
      <c r="B4471" s="0" t="s">
        <v>13753</v>
      </c>
      <c r="C4471" s="0" t="s">
        <v>97</v>
      </c>
      <c r="M4471" s="0" t="s">
        <v>136</v>
      </c>
      <c r="N4471" s="0" t="s">
        <v>124</v>
      </c>
      <c r="P4471" s="0" t="s">
        <v>130</v>
      </c>
      <c r="Q4471" s="0" t="s">
        <v>130</v>
      </c>
      <c r="R4471" s="0" t="s">
        <v>137</v>
      </c>
      <c r="S4471" s="0" t="s">
        <v>21</v>
      </c>
      <c r="T4471" s="0" t="s">
        <v>104</v>
      </c>
      <c r="W4471" s="0" t="s">
        <v>105</v>
      </c>
    </row>
    <row r="4472" customFormat="false" ht="15" hidden="false" customHeight="false" outlineLevel="0" collapsed="false">
      <c r="A4472" s="0" t="s">
        <v>21</v>
      </c>
      <c r="B4472" s="0" t="s">
        <v>13754</v>
      </c>
      <c r="C4472" s="0" t="s">
        <v>97</v>
      </c>
      <c r="M4472" s="0" t="s">
        <v>136</v>
      </c>
      <c r="N4472" s="0" t="s">
        <v>124</v>
      </c>
      <c r="P4472" s="0" t="s">
        <v>13734</v>
      </c>
      <c r="Q4472" s="0" t="s">
        <v>13734</v>
      </c>
      <c r="R4472" s="0" t="s">
        <v>13734</v>
      </c>
      <c r="S4472" s="0" t="s">
        <v>21</v>
      </c>
      <c r="T4472" s="0" t="s">
        <v>104</v>
      </c>
      <c r="W4472" s="0" t="s">
        <v>183</v>
      </c>
    </row>
    <row r="4473" customFormat="false" ht="15" hidden="false" customHeight="false" outlineLevel="0" collapsed="false">
      <c r="A4473" s="0" t="s">
        <v>21</v>
      </c>
      <c r="B4473" s="0" t="s">
        <v>13754</v>
      </c>
      <c r="C4473" s="0" t="s">
        <v>97</v>
      </c>
      <c r="M4473" s="0" t="s">
        <v>136</v>
      </c>
      <c r="N4473" s="0" t="s">
        <v>124</v>
      </c>
      <c r="P4473" s="0" t="s">
        <v>130</v>
      </c>
      <c r="Q4473" s="0" t="s">
        <v>130</v>
      </c>
      <c r="R4473" s="0" t="s">
        <v>137</v>
      </c>
      <c r="S4473" s="0" t="s">
        <v>21</v>
      </c>
      <c r="T4473" s="0" t="s">
        <v>104</v>
      </c>
      <c r="W4473" s="0" t="s">
        <v>105</v>
      </c>
    </row>
    <row r="4474" customFormat="false" ht="15" hidden="false" customHeight="false" outlineLevel="0" collapsed="false">
      <c r="A4474" s="0" t="s">
        <v>21</v>
      </c>
      <c r="B4474" s="0" t="s">
        <v>13755</v>
      </c>
      <c r="C4474" s="0" t="s">
        <v>97</v>
      </c>
      <c r="M4474" s="0" t="s">
        <v>136</v>
      </c>
      <c r="N4474" s="0" t="s">
        <v>124</v>
      </c>
      <c r="P4474" s="0" t="s">
        <v>13734</v>
      </c>
      <c r="Q4474" s="0" t="s">
        <v>13734</v>
      </c>
      <c r="R4474" s="0" t="s">
        <v>13734</v>
      </c>
      <c r="S4474" s="0" t="s">
        <v>21</v>
      </c>
      <c r="T4474" s="0" t="s">
        <v>104</v>
      </c>
      <c r="W4474" s="0" t="s">
        <v>183</v>
      </c>
    </row>
    <row r="4475" customFormat="false" ht="15" hidden="false" customHeight="false" outlineLevel="0" collapsed="false">
      <c r="A4475" s="0" t="s">
        <v>21</v>
      </c>
      <c r="B4475" s="0" t="s">
        <v>13755</v>
      </c>
      <c r="C4475" s="0" t="s">
        <v>97</v>
      </c>
      <c r="M4475" s="0" t="s">
        <v>136</v>
      </c>
      <c r="N4475" s="0" t="s">
        <v>124</v>
      </c>
      <c r="P4475" s="0" t="s">
        <v>130</v>
      </c>
      <c r="Q4475" s="0" t="s">
        <v>130</v>
      </c>
      <c r="R4475" s="0" t="s">
        <v>137</v>
      </c>
      <c r="S4475" s="0" t="s">
        <v>21</v>
      </c>
      <c r="T4475" s="0" t="s">
        <v>104</v>
      </c>
      <c r="W4475" s="0" t="s">
        <v>105</v>
      </c>
    </row>
    <row r="4476" customFormat="false" ht="15" hidden="false" customHeight="false" outlineLevel="0" collapsed="false">
      <c r="A4476" s="0" t="s">
        <v>21</v>
      </c>
      <c r="B4476" s="0" t="s">
        <v>13756</v>
      </c>
      <c r="C4476" s="0" t="s">
        <v>97</v>
      </c>
      <c r="M4476" s="0" t="s">
        <v>136</v>
      </c>
      <c r="N4476" s="0" t="s">
        <v>124</v>
      </c>
      <c r="P4476" s="0" t="s">
        <v>13734</v>
      </c>
      <c r="Q4476" s="0" t="s">
        <v>13734</v>
      </c>
      <c r="R4476" s="0" t="s">
        <v>13734</v>
      </c>
      <c r="S4476" s="0" t="s">
        <v>21</v>
      </c>
      <c r="T4476" s="0" t="s">
        <v>104</v>
      </c>
      <c r="W4476" s="0" t="s">
        <v>183</v>
      </c>
    </row>
    <row r="4477" customFormat="false" ht="15" hidden="false" customHeight="false" outlineLevel="0" collapsed="false">
      <c r="A4477" s="0" t="s">
        <v>21</v>
      </c>
      <c r="B4477" s="0" t="s">
        <v>13756</v>
      </c>
      <c r="C4477" s="0" t="s">
        <v>97</v>
      </c>
      <c r="M4477" s="0" t="s">
        <v>136</v>
      </c>
      <c r="N4477" s="0" t="s">
        <v>124</v>
      </c>
      <c r="P4477" s="0" t="s">
        <v>130</v>
      </c>
      <c r="Q4477" s="0" t="s">
        <v>130</v>
      </c>
      <c r="R4477" s="0" t="s">
        <v>137</v>
      </c>
      <c r="S4477" s="0" t="s">
        <v>21</v>
      </c>
      <c r="T4477" s="0" t="s">
        <v>104</v>
      </c>
      <c r="W4477" s="0" t="s">
        <v>105</v>
      </c>
    </row>
    <row r="4478" customFormat="false" ht="15" hidden="false" customHeight="false" outlineLevel="0" collapsed="false">
      <c r="A4478" s="0" t="s">
        <v>21</v>
      </c>
      <c r="B4478" s="0" t="s">
        <v>13757</v>
      </c>
      <c r="C4478" s="0" t="s">
        <v>97</v>
      </c>
      <c r="M4478" s="0" t="s">
        <v>136</v>
      </c>
      <c r="N4478" s="0" t="s">
        <v>124</v>
      </c>
      <c r="P4478" s="0" t="s">
        <v>13734</v>
      </c>
      <c r="Q4478" s="0" t="s">
        <v>13734</v>
      </c>
      <c r="R4478" s="0" t="s">
        <v>13734</v>
      </c>
      <c r="S4478" s="0" t="s">
        <v>21</v>
      </c>
      <c r="T4478" s="0" t="s">
        <v>104</v>
      </c>
      <c r="W4478" s="0" t="s">
        <v>183</v>
      </c>
    </row>
    <row r="4479" customFormat="false" ht="15" hidden="false" customHeight="false" outlineLevel="0" collapsed="false">
      <c r="A4479" s="0" t="s">
        <v>21</v>
      </c>
      <c r="B4479" s="0" t="s">
        <v>13757</v>
      </c>
      <c r="C4479" s="0" t="s">
        <v>97</v>
      </c>
      <c r="M4479" s="0" t="s">
        <v>136</v>
      </c>
      <c r="N4479" s="0" t="s">
        <v>124</v>
      </c>
      <c r="P4479" s="0" t="s">
        <v>130</v>
      </c>
      <c r="Q4479" s="0" t="s">
        <v>130</v>
      </c>
      <c r="R4479" s="0" t="s">
        <v>137</v>
      </c>
      <c r="S4479" s="0" t="s">
        <v>21</v>
      </c>
      <c r="T4479" s="0" t="s">
        <v>104</v>
      </c>
      <c r="W4479" s="0" t="s">
        <v>105</v>
      </c>
    </row>
    <row r="4480" customFormat="false" ht="15" hidden="false" customHeight="false" outlineLevel="0" collapsed="false">
      <c r="A4480" s="0" t="s">
        <v>21</v>
      </c>
      <c r="B4480" s="0" t="s">
        <v>13758</v>
      </c>
      <c r="C4480" s="0" t="s">
        <v>97</v>
      </c>
      <c r="M4480" s="0" t="s">
        <v>136</v>
      </c>
      <c r="N4480" s="0" t="s">
        <v>124</v>
      </c>
      <c r="P4480" s="0" t="s">
        <v>13734</v>
      </c>
      <c r="Q4480" s="0" t="s">
        <v>13734</v>
      </c>
      <c r="R4480" s="0" t="s">
        <v>13734</v>
      </c>
      <c r="S4480" s="0" t="s">
        <v>21</v>
      </c>
      <c r="T4480" s="0" t="s">
        <v>104</v>
      </c>
      <c r="W4480" s="0" t="s">
        <v>183</v>
      </c>
    </row>
    <row r="4481" customFormat="false" ht="15" hidden="false" customHeight="false" outlineLevel="0" collapsed="false">
      <c r="A4481" s="0" t="s">
        <v>21</v>
      </c>
      <c r="B4481" s="0" t="s">
        <v>13758</v>
      </c>
      <c r="C4481" s="0" t="s">
        <v>97</v>
      </c>
      <c r="M4481" s="0" t="s">
        <v>136</v>
      </c>
      <c r="N4481" s="0" t="s">
        <v>124</v>
      </c>
      <c r="P4481" s="0" t="s">
        <v>130</v>
      </c>
      <c r="Q4481" s="0" t="s">
        <v>130</v>
      </c>
      <c r="R4481" s="0" t="s">
        <v>137</v>
      </c>
      <c r="S4481" s="0" t="s">
        <v>21</v>
      </c>
      <c r="T4481" s="0" t="s">
        <v>104</v>
      </c>
      <c r="W4481" s="0" t="s">
        <v>105</v>
      </c>
    </row>
    <row r="4482" customFormat="false" ht="15" hidden="false" customHeight="false" outlineLevel="0" collapsed="false">
      <c r="A4482" s="0" t="s">
        <v>21</v>
      </c>
      <c r="B4482" s="0" t="s">
        <v>13759</v>
      </c>
      <c r="C4482" s="0" t="s">
        <v>97</v>
      </c>
      <c r="M4482" s="0" t="s">
        <v>136</v>
      </c>
      <c r="N4482" s="0" t="s">
        <v>124</v>
      </c>
      <c r="P4482" s="0" t="s">
        <v>13734</v>
      </c>
      <c r="Q4482" s="0" t="s">
        <v>13734</v>
      </c>
      <c r="R4482" s="0" t="s">
        <v>13734</v>
      </c>
      <c r="S4482" s="0" t="s">
        <v>21</v>
      </c>
      <c r="T4482" s="0" t="s">
        <v>104</v>
      </c>
      <c r="W4482" s="0" t="s">
        <v>183</v>
      </c>
    </row>
    <row r="4483" customFormat="false" ht="15" hidden="false" customHeight="false" outlineLevel="0" collapsed="false">
      <c r="A4483" s="0" t="s">
        <v>21</v>
      </c>
      <c r="B4483" s="0" t="s">
        <v>13759</v>
      </c>
      <c r="C4483" s="0" t="s">
        <v>97</v>
      </c>
      <c r="M4483" s="0" t="s">
        <v>136</v>
      </c>
      <c r="N4483" s="0" t="s">
        <v>124</v>
      </c>
      <c r="P4483" s="0" t="s">
        <v>130</v>
      </c>
      <c r="Q4483" s="0" t="s">
        <v>130</v>
      </c>
      <c r="R4483" s="0" t="s">
        <v>137</v>
      </c>
      <c r="S4483" s="0" t="s">
        <v>21</v>
      </c>
      <c r="T4483" s="0" t="s">
        <v>104</v>
      </c>
      <c r="W4483" s="0" t="s">
        <v>105</v>
      </c>
    </row>
    <row r="4484" customFormat="false" ht="15" hidden="false" customHeight="false" outlineLevel="0" collapsed="false">
      <c r="A4484" s="0" t="s">
        <v>21</v>
      </c>
      <c r="B4484" s="0" t="s">
        <v>13760</v>
      </c>
      <c r="C4484" s="0" t="s">
        <v>97</v>
      </c>
      <c r="M4484" s="0" t="s">
        <v>136</v>
      </c>
      <c r="N4484" s="0" t="s">
        <v>124</v>
      </c>
      <c r="P4484" s="0" t="s">
        <v>13734</v>
      </c>
      <c r="Q4484" s="0" t="s">
        <v>13734</v>
      </c>
      <c r="R4484" s="0" t="s">
        <v>13734</v>
      </c>
      <c r="S4484" s="0" t="s">
        <v>21</v>
      </c>
      <c r="T4484" s="0" t="s">
        <v>104</v>
      </c>
      <c r="W4484" s="0" t="s">
        <v>183</v>
      </c>
    </row>
    <row r="4485" customFormat="false" ht="15" hidden="false" customHeight="false" outlineLevel="0" collapsed="false">
      <c r="A4485" s="0" t="s">
        <v>21</v>
      </c>
      <c r="B4485" s="0" t="s">
        <v>13760</v>
      </c>
      <c r="C4485" s="0" t="s">
        <v>97</v>
      </c>
      <c r="M4485" s="0" t="s">
        <v>136</v>
      </c>
      <c r="N4485" s="0" t="s">
        <v>124</v>
      </c>
      <c r="P4485" s="0" t="s">
        <v>130</v>
      </c>
      <c r="Q4485" s="0" t="s">
        <v>130</v>
      </c>
      <c r="R4485" s="0" t="s">
        <v>137</v>
      </c>
      <c r="S4485" s="0" t="s">
        <v>21</v>
      </c>
      <c r="T4485" s="0" t="s">
        <v>104</v>
      </c>
      <c r="W4485" s="0" t="s">
        <v>105</v>
      </c>
    </row>
    <row r="4486" customFormat="false" ht="15" hidden="false" customHeight="false" outlineLevel="0" collapsed="false">
      <c r="A4486" s="0" t="s">
        <v>21</v>
      </c>
      <c r="B4486" s="0" t="s">
        <v>13761</v>
      </c>
      <c r="C4486" s="0" t="s">
        <v>97</v>
      </c>
      <c r="M4486" s="0" t="s">
        <v>136</v>
      </c>
      <c r="N4486" s="0" t="s">
        <v>124</v>
      </c>
      <c r="P4486" s="0" t="s">
        <v>13734</v>
      </c>
      <c r="Q4486" s="0" t="s">
        <v>13734</v>
      </c>
      <c r="R4486" s="0" t="s">
        <v>13734</v>
      </c>
      <c r="S4486" s="0" t="s">
        <v>21</v>
      </c>
      <c r="T4486" s="0" t="s">
        <v>104</v>
      </c>
      <c r="W4486" s="0" t="s">
        <v>183</v>
      </c>
    </row>
    <row r="4487" customFormat="false" ht="15" hidden="false" customHeight="false" outlineLevel="0" collapsed="false">
      <c r="A4487" s="0" t="s">
        <v>21</v>
      </c>
      <c r="B4487" s="0" t="s">
        <v>13761</v>
      </c>
      <c r="C4487" s="0" t="s">
        <v>97</v>
      </c>
      <c r="M4487" s="0" t="s">
        <v>136</v>
      </c>
      <c r="N4487" s="0" t="s">
        <v>124</v>
      </c>
      <c r="P4487" s="0" t="s">
        <v>130</v>
      </c>
      <c r="Q4487" s="0" t="s">
        <v>130</v>
      </c>
      <c r="R4487" s="0" t="s">
        <v>137</v>
      </c>
      <c r="S4487" s="0" t="s">
        <v>21</v>
      </c>
      <c r="T4487" s="0" t="s">
        <v>104</v>
      </c>
      <c r="W4487" s="0" t="s">
        <v>105</v>
      </c>
    </row>
    <row r="4488" customFormat="false" ht="15" hidden="false" customHeight="false" outlineLevel="0" collapsed="false">
      <c r="A4488" s="0" t="s">
        <v>21</v>
      </c>
      <c r="B4488" s="0" t="s">
        <v>13762</v>
      </c>
      <c r="C4488" s="0" t="s">
        <v>97</v>
      </c>
      <c r="M4488" s="0" t="s">
        <v>136</v>
      </c>
      <c r="N4488" s="0" t="s">
        <v>124</v>
      </c>
      <c r="P4488" s="0" t="s">
        <v>13734</v>
      </c>
      <c r="Q4488" s="0" t="s">
        <v>13734</v>
      </c>
      <c r="R4488" s="0" t="s">
        <v>13734</v>
      </c>
      <c r="S4488" s="0" t="s">
        <v>21</v>
      </c>
      <c r="T4488" s="0" t="s">
        <v>104</v>
      </c>
      <c r="W4488" s="0" t="s">
        <v>183</v>
      </c>
    </row>
    <row r="4489" customFormat="false" ht="15" hidden="false" customHeight="false" outlineLevel="0" collapsed="false">
      <c r="A4489" s="0" t="s">
        <v>21</v>
      </c>
      <c r="B4489" s="0" t="s">
        <v>13762</v>
      </c>
      <c r="C4489" s="0" t="s">
        <v>97</v>
      </c>
      <c r="M4489" s="0" t="s">
        <v>136</v>
      </c>
      <c r="N4489" s="0" t="s">
        <v>124</v>
      </c>
      <c r="P4489" s="0" t="s">
        <v>130</v>
      </c>
      <c r="Q4489" s="0" t="s">
        <v>130</v>
      </c>
      <c r="R4489" s="0" t="s">
        <v>137</v>
      </c>
      <c r="S4489" s="0" t="s">
        <v>21</v>
      </c>
      <c r="T4489" s="0" t="s">
        <v>104</v>
      </c>
      <c r="W4489" s="0" t="s">
        <v>105</v>
      </c>
    </row>
    <row r="4490" customFormat="false" ht="15" hidden="false" customHeight="false" outlineLevel="0" collapsed="false">
      <c r="A4490" s="0" t="s">
        <v>21</v>
      </c>
      <c r="B4490" s="0" t="s">
        <v>13763</v>
      </c>
      <c r="C4490" s="0" t="s">
        <v>97</v>
      </c>
      <c r="M4490" s="0" t="s">
        <v>136</v>
      </c>
      <c r="N4490" s="0" t="s">
        <v>124</v>
      </c>
      <c r="P4490" s="0" t="s">
        <v>13734</v>
      </c>
      <c r="Q4490" s="0" t="s">
        <v>13734</v>
      </c>
      <c r="R4490" s="0" t="s">
        <v>13734</v>
      </c>
      <c r="S4490" s="0" t="s">
        <v>21</v>
      </c>
      <c r="T4490" s="0" t="s">
        <v>104</v>
      </c>
      <c r="W4490" s="0" t="s">
        <v>183</v>
      </c>
    </row>
    <row r="4491" customFormat="false" ht="15" hidden="false" customHeight="false" outlineLevel="0" collapsed="false">
      <c r="A4491" s="0" t="s">
        <v>21</v>
      </c>
      <c r="B4491" s="0" t="s">
        <v>13763</v>
      </c>
      <c r="C4491" s="0" t="s">
        <v>97</v>
      </c>
      <c r="M4491" s="0" t="s">
        <v>136</v>
      </c>
      <c r="N4491" s="0" t="s">
        <v>124</v>
      </c>
      <c r="P4491" s="0" t="s">
        <v>130</v>
      </c>
      <c r="Q4491" s="0" t="s">
        <v>130</v>
      </c>
      <c r="R4491" s="0" t="s">
        <v>137</v>
      </c>
      <c r="S4491" s="0" t="s">
        <v>21</v>
      </c>
      <c r="T4491" s="0" t="s">
        <v>104</v>
      </c>
      <c r="W4491" s="0" t="s">
        <v>105</v>
      </c>
    </row>
    <row r="4492" customFormat="false" ht="15" hidden="false" customHeight="false" outlineLevel="0" collapsed="false">
      <c r="A4492" s="0" t="s">
        <v>21</v>
      </c>
      <c r="B4492" s="0" t="s">
        <v>13764</v>
      </c>
      <c r="C4492" s="0" t="s">
        <v>97</v>
      </c>
      <c r="M4492" s="0" t="s">
        <v>136</v>
      </c>
      <c r="N4492" s="0" t="s">
        <v>124</v>
      </c>
      <c r="P4492" s="0" t="s">
        <v>13734</v>
      </c>
      <c r="Q4492" s="0" t="s">
        <v>13734</v>
      </c>
      <c r="R4492" s="0" t="s">
        <v>13734</v>
      </c>
      <c r="S4492" s="0" t="s">
        <v>21</v>
      </c>
      <c r="T4492" s="0" t="s">
        <v>104</v>
      </c>
      <c r="W4492" s="0" t="s">
        <v>183</v>
      </c>
    </row>
    <row r="4493" customFormat="false" ht="15" hidden="false" customHeight="false" outlineLevel="0" collapsed="false">
      <c r="A4493" s="0" t="s">
        <v>21</v>
      </c>
      <c r="B4493" s="0" t="s">
        <v>13764</v>
      </c>
      <c r="C4493" s="0" t="s">
        <v>97</v>
      </c>
      <c r="M4493" s="0" t="s">
        <v>136</v>
      </c>
      <c r="N4493" s="0" t="s">
        <v>124</v>
      </c>
      <c r="P4493" s="0" t="s">
        <v>130</v>
      </c>
      <c r="Q4493" s="0" t="s">
        <v>130</v>
      </c>
      <c r="R4493" s="0" t="s">
        <v>137</v>
      </c>
      <c r="S4493" s="0" t="s">
        <v>21</v>
      </c>
      <c r="T4493" s="0" t="s">
        <v>104</v>
      </c>
      <c r="W4493" s="0" t="s">
        <v>105</v>
      </c>
    </row>
    <row r="4494" customFormat="false" ht="15" hidden="false" customHeight="false" outlineLevel="0" collapsed="false">
      <c r="A4494" s="0" t="s">
        <v>21</v>
      </c>
      <c r="B4494" s="0" t="s">
        <v>13765</v>
      </c>
      <c r="C4494" s="0" t="s">
        <v>97</v>
      </c>
      <c r="M4494" s="0" t="s">
        <v>136</v>
      </c>
      <c r="N4494" s="0" t="s">
        <v>124</v>
      </c>
      <c r="P4494" s="0" t="s">
        <v>13734</v>
      </c>
      <c r="Q4494" s="0" t="s">
        <v>13734</v>
      </c>
      <c r="R4494" s="0" t="s">
        <v>13734</v>
      </c>
      <c r="S4494" s="0" t="s">
        <v>21</v>
      </c>
      <c r="T4494" s="0" t="s">
        <v>104</v>
      </c>
      <c r="W4494" s="0" t="s">
        <v>183</v>
      </c>
    </row>
    <row r="4495" customFormat="false" ht="15" hidden="false" customHeight="false" outlineLevel="0" collapsed="false">
      <c r="A4495" s="0" t="s">
        <v>21</v>
      </c>
      <c r="B4495" s="0" t="s">
        <v>13765</v>
      </c>
      <c r="C4495" s="0" t="s">
        <v>97</v>
      </c>
      <c r="M4495" s="0" t="s">
        <v>136</v>
      </c>
      <c r="N4495" s="0" t="s">
        <v>124</v>
      </c>
      <c r="P4495" s="0" t="s">
        <v>130</v>
      </c>
      <c r="Q4495" s="0" t="s">
        <v>130</v>
      </c>
      <c r="R4495" s="0" t="s">
        <v>137</v>
      </c>
      <c r="S4495" s="0" t="s">
        <v>21</v>
      </c>
      <c r="T4495" s="0" t="s">
        <v>104</v>
      </c>
      <c r="W4495" s="0" t="s">
        <v>105</v>
      </c>
    </row>
    <row r="4496" customFormat="false" ht="15" hidden="false" customHeight="false" outlineLevel="0" collapsed="false">
      <c r="A4496" s="0" t="s">
        <v>21</v>
      </c>
      <c r="B4496" s="0" t="s">
        <v>13766</v>
      </c>
      <c r="C4496" s="0" t="s">
        <v>97</v>
      </c>
      <c r="M4496" s="0" t="s">
        <v>136</v>
      </c>
      <c r="N4496" s="0" t="s">
        <v>124</v>
      </c>
      <c r="P4496" s="0" t="s">
        <v>13734</v>
      </c>
      <c r="Q4496" s="0" t="s">
        <v>13734</v>
      </c>
      <c r="R4496" s="0" t="s">
        <v>13734</v>
      </c>
      <c r="S4496" s="0" t="s">
        <v>21</v>
      </c>
      <c r="T4496" s="0" t="s">
        <v>104</v>
      </c>
      <c r="W4496" s="0" t="s">
        <v>183</v>
      </c>
    </row>
    <row r="4497" customFormat="false" ht="15" hidden="false" customHeight="false" outlineLevel="0" collapsed="false">
      <c r="A4497" s="0" t="s">
        <v>21</v>
      </c>
      <c r="B4497" s="0" t="s">
        <v>13766</v>
      </c>
      <c r="C4497" s="0" t="s">
        <v>97</v>
      </c>
      <c r="M4497" s="0" t="s">
        <v>136</v>
      </c>
      <c r="N4497" s="0" t="s">
        <v>124</v>
      </c>
      <c r="P4497" s="0" t="s">
        <v>130</v>
      </c>
      <c r="Q4497" s="0" t="s">
        <v>130</v>
      </c>
      <c r="R4497" s="0" t="s">
        <v>137</v>
      </c>
      <c r="S4497" s="0" t="s">
        <v>21</v>
      </c>
      <c r="T4497" s="0" t="s">
        <v>104</v>
      </c>
      <c r="W4497" s="0" t="s">
        <v>105</v>
      </c>
    </row>
    <row r="4498" customFormat="false" ht="15" hidden="false" customHeight="false" outlineLevel="0" collapsed="false">
      <c r="A4498" s="0" t="s">
        <v>21</v>
      </c>
      <c r="B4498" s="0" t="s">
        <v>13767</v>
      </c>
      <c r="C4498" s="0" t="s">
        <v>97</v>
      </c>
      <c r="M4498" s="0" t="s">
        <v>136</v>
      </c>
      <c r="N4498" s="0" t="s">
        <v>124</v>
      </c>
      <c r="P4498" s="0" t="s">
        <v>13734</v>
      </c>
      <c r="Q4498" s="0" t="s">
        <v>13734</v>
      </c>
      <c r="R4498" s="0" t="s">
        <v>13734</v>
      </c>
      <c r="S4498" s="0" t="s">
        <v>21</v>
      </c>
      <c r="T4498" s="0" t="s">
        <v>104</v>
      </c>
      <c r="W4498" s="0" t="s">
        <v>183</v>
      </c>
    </row>
    <row r="4499" customFormat="false" ht="15" hidden="false" customHeight="false" outlineLevel="0" collapsed="false">
      <c r="A4499" s="0" t="s">
        <v>21</v>
      </c>
      <c r="B4499" s="0" t="s">
        <v>13767</v>
      </c>
      <c r="C4499" s="0" t="s">
        <v>97</v>
      </c>
      <c r="M4499" s="0" t="s">
        <v>136</v>
      </c>
      <c r="N4499" s="0" t="s">
        <v>124</v>
      </c>
      <c r="P4499" s="0" t="s">
        <v>130</v>
      </c>
      <c r="Q4499" s="0" t="s">
        <v>130</v>
      </c>
      <c r="R4499" s="0" t="s">
        <v>137</v>
      </c>
      <c r="S4499" s="0" t="s">
        <v>21</v>
      </c>
      <c r="T4499" s="0" t="s">
        <v>104</v>
      </c>
      <c r="W4499" s="0" t="s">
        <v>105</v>
      </c>
    </row>
    <row r="4500" customFormat="false" ht="15" hidden="false" customHeight="false" outlineLevel="0" collapsed="false">
      <c r="A4500" s="0" t="s">
        <v>21</v>
      </c>
      <c r="B4500" s="0" t="s">
        <v>13768</v>
      </c>
      <c r="C4500" s="0" t="s">
        <v>97</v>
      </c>
      <c r="M4500" s="0" t="s">
        <v>136</v>
      </c>
      <c r="N4500" s="0" t="s">
        <v>124</v>
      </c>
      <c r="P4500" s="0" t="s">
        <v>13734</v>
      </c>
      <c r="Q4500" s="0" t="s">
        <v>13734</v>
      </c>
      <c r="R4500" s="0" t="s">
        <v>13734</v>
      </c>
      <c r="S4500" s="0" t="s">
        <v>21</v>
      </c>
      <c r="T4500" s="0" t="s">
        <v>104</v>
      </c>
      <c r="W4500" s="0" t="s">
        <v>183</v>
      </c>
    </row>
    <row r="4501" customFormat="false" ht="15" hidden="false" customHeight="false" outlineLevel="0" collapsed="false">
      <c r="A4501" s="0" t="s">
        <v>21</v>
      </c>
      <c r="B4501" s="0" t="s">
        <v>13768</v>
      </c>
      <c r="C4501" s="0" t="s">
        <v>97</v>
      </c>
      <c r="M4501" s="0" t="s">
        <v>136</v>
      </c>
      <c r="N4501" s="0" t="s">
        <v>124</v>
      </c>
      <c r="P4501" s="0" t="s">
        <v>130</v>
      </c>
      <c r="Q4501" s="0" t="s">
        <v>130</v>
      </c>
      <c r="R4501" s="0" t="s">
        <v>137</v>
      </c>
      <c r="S4501" s="0" t="s">
        <v>21</v>
      </c>
      <c r="T4501" s="0" t="s">
        <v>104</v>
      </c>
      <c r="W4501" s="0" t="s">
        <v>105</v>
      </c>
    </row>
    <row r="4502" customFormat="false" ht="15" hidden="false" customHeight="false" outlineLevel="0" collapsed="false">
      <c r="A4502" s="0" t="s">
        <v>21</v>
      </c>
      <c r="B4502" s="0" t="s">
        <v>13769</v>
      </c>
      <c r="C4502" s="0" t="s">
        <v>97</v>
      </c>
      <c r="M4502" s="0" t="s">
        <v>136</v>
      </c>
      <c r="N4502" s="0" t="s">
        <v>124</v>
      </c>
      <c r="P4502" s="0" t="s">
        <v>13734</v>
      </c>
      <c r="Q4502" s="0" t="s">
        <v>13734</v>
      </c>
      <c r="R4502" s="0" t="s">
        <v>13734</v>
      </c>
      <c r="S4502" s="0" t="s">
        <v>21</v>
      </c>
      <c r="T4502" s="0" t="s">
        <v>104</v>
      </c>
      <c r="W4502" s="0" t="s">
        <v>183</v>
      </c>
    </row>
    <row r="4503" customFormat="false" ht="15" hidden="false" customHeight="false" outlineLevel="0" collapsed="false">
      <c r="A4503" s="0" t="s">
        <v>21</v>
      </c>
      <c r="B4503" s="0" t="s">
        <v>13769</v>
      </c>
      <c r="C4503" s="0" t="s">
        <v>97</v>
      </c>
      <c r="M4503" s="0" t="s">
        <v>136</v>
      </c>
      <c r="N4503" s="0" t="s">
        <v>124</v>
      </c>
      <c r="P4503" s="0" t="s">
        <v>130</v>
      </c>
      <c r="Q4503" s="0" t="s">
        <v>130</v>
      </c>
      <c r="R4503" s="0" t="s">
        <v>137</v>
      </c>
      <c r="S4503" s="0" t="s">
        <v>21</v>
      </c>
      <c r="T4503" s="0" t="s">
        <v>104</v>
      </c>
      <c r="W4503" s="0" t="s">
        <v>105</v>
      </c>
    </row>
    <row r="4504" customFormat="false" ht="15" hidden="false" customHeight="false" outlineLevel="0" collapsed="false">
      <c r="A4504" s="0" t="s">
        <v>21</v>
      </c>
      <c r="B4504" s="0" t="s">
        <v>13770</v>
      </c>
      <c r="C4504" s="0" t="s">
        <v>97</v>
      </c>
      <c r="M4504" s="0" t="s">
        <v>136</v>
      </c>
      <c r="N4504" s="0" t="s">
        <v>124</v>
      </c>
      <c r="P4504" s="0" t="s">
        <v>13734</v>
      </c>
      <c r="Q4504" s="0" t="s">
        <v>13734</v>
      </c>
      <c r="R4504" s="0" t="s">
        <v>13734</v>
      </c>
      <c r="S4504" s="0" t="s">
        <v>21</v>
      </c>
      <c r="T4504" s="0" t="s">
        <v>104</v>
      </c>
      <c r="W4504" s="0" t="s">
        <v>183</v>
      </c>
    </row>
    <row r="4505" customFormat="false" ht="15" hidden="false" customHeight="false" outlineLevel="0" collapsed="false">
      <c r="A4505" s="0" t="s">
        <v>21</v>
      </c>
      <c r="B4505" s="0" t="s">
        <v>13770</v>
      </c>
      <c r="C4505" s="0" t="s">
        <v>97</v>
      </c>
      <c r="M4505" s="0" t="s">
        <v>136</v>
      </c>
      <c r="N4505" s="0" t="s">
        <v>124</v>
      </c>
      <c r="P4505" s="0" t="s">
        <v>130</v>
      </c>
      <c r="Q4505" s="0" t="s">
        <v>130</v>
      </c>
      <c r="R4505" s="0" t="s">
        <v>137</v>
      </c>
      <c r="S4505" s="0" t="s">
        <v>21</v>
      </c>
      <c r="T4505" s="0" t="s">
        <v>104</v>
      </c>
      <c r="W4505" s="0" t="s">
        <v>105</v>
      </c>
    </row>
    <row r="4506" customFormat="false" ht="15" hidden="false" customHeight="false" outlineLevel="0" collapsed="false">
      <c r="A4506" s="0" t="s">
        <v>21</v>
      </c>
      <c r="B4506" s="0" t="s">
        <v>13771</v>
      </c>
      <c r="C4506" s="0" t="s">
        <v>97</v>
      </c>
      <c r="M4506" s="0" t="s">
        <v>136</v>
      </c>
      <c r="N4506" s="0" t="s">
        <v>124</v>
      </c>
      <c r="P4506" s="0" t="s">
        <v>13734</v>
      </c>
      <c r="Q4506" s="0" t="s">
        <v>13734</v>
      </c>
      <c r="R4506" s="0" t="s">
        <v>13734</v>
      </c>
      <c r="S4506" s="0" t="s">
        <v>21</v>
      </c>
      <c r="T4506" s="0" t="s">
        <v>104</v>
      </c>
      <c r="W4506" s="0" t="s">
        <v>183</v>
      </c>
    </row>
    <row r="4507" customFormat="false" ht="15" hidden="false" customHeight="false" outlineLevel="0" collapsed="false">
      <c r="A4507" s="0" t="s">
        <v>21</v>
      </c>
      <c r="B4507" s="0" t="s">
        <v>13771</v>
      </c>
      <c r="C4507" s="0" t="s">
        <v>97</v>
      </c>
      <c r="M4507" s="0" t="s">
        <v>136</v>
      </c>
      <c r="N4507" s="0" t="s">
        <v>124</v>
      </c>
      <c r="P4507" s="0" t="s">
        <v>130</v>
      </c>
      <c r="Q4507" s="0" t="s">
        <v>130</v>
      </c>
      <c r="R4507" s="0" t="s">
        <v>137</v>
      </c>
      <c r="S4507" s="0" t="s">
        <v>21</v>
      </c>
      <c r="T4507" s="0" t="s">
        <v>104</v>
      </c>
      <c r="W4507" s="0" t="s">
        <v>105</v>
      </c>
    </row>
    <row r="4508" customFormat="false" ht="15" hidden="false" customHeight="false" outlineLevel="0" collapsed="false">
      <c r="A4508" s="0" t="s">
        <v>21</v>
      </c>
      <c r="B4508" s="0" t="s">
        <v>13772</v>
      </c>
      <c r="C4508" s="0" t="s">
        <v>97</v>
      </c>
      <c r="M4508" s="0" t="s">
        <v>136</v>
      </c>
      <c r="N4508" s="0" t="s">
        <v>124</v>
      </c>
      <c r="P4508" s="0" t="s">
        <v>13734</v>
      </c>
      <c r="Q4508" s="0" t="s">
        <v>13734</v>
      </c>
      <c r="R4508" s="0" t="s">
        <v>13734</v>
      </c>
      <c r="S4508" s="0" t="s">
        <v>21</v>
      </c>
      <c r="T4508" s="0" t="s">
        <v>104</v>
      </c>
      <c r="W4508" s="0" t="s">
        <v>183</v>
      </c>
    </row>
    <row r="4509" customFormat="false" ht="15" hidden="false" customHeight="false" outlineLevel="0" collapsed="false">
      <c r="A4509" s="0" t="s">
        <v>21</v>
      </c>
      <c r="B4509" s="0" t="s">
        <v>13772</v>
      </c>
      <c r="C4509" s="0" t="s">
        <v>97</v>
      </c>
      <c r="M4509" s="0" t="s">
        <v>136</v>
      </c>
      <c r="N4509" s="0" t="s">
        <v>124</v>
      </c>
      <c r="P4509" s="0" t="s">
        <v>130</v>
      </c>
      <c r="Q4509" s="0" t="s">
        <v>130</v>
      </c>
      <c r="R4509" s="0" t="s">
        <v>137</v>
      </c>
      <c r="S4509" s="0" t="s">
        <v>21</v>
      </c>
      <c r="T4509" s="0" t="s">
        <v>104</v>
      </c>
      <c r="W4509" s="0" t="s">
        <v>105</v>
      </c>
    </row>
    <row r="4510" customFormat="false" ht="15" hidden="false" customHeight="false" outlineLevel="0" collapsed="false">
      <c r="A4510" s="0" t="s">
        <v>21</v>
      </c>
      <c r="B4510" s="0" t="s">
        <v>13773</v>
      </c>
      <c r="C4510" s="0" t="s">
        <v>97</v>
      </c>
      <c r="M4510" s="0" t="s">
        <v>136</v>
      </c>
      <c r="N4510" s="0" t="s">
        <v>124</v>
      </c>
      <c r="P4510" s="0" t="s">
        <v>13734</v>
      </c>
      <c r="Q4510" s="0" t="s">
        <v>13734</v>
      </c>
      <c r="R4510" s="0" t="s">
        <v>13734</v>
      </c>
      <c r="S4510" s="0" t="s">
        <v>21</v>
      </c>
      <c r="T4510" s="0" t="s">
        <v>104</v>
      </c>
      <c r="W4510" s="0" t="s">
        <v>183</v>
      </c>
    </row>
    <row r="4511" customFormat="false" ht="15" hidden="false" customHeight="false" outlineLevel="0" collapsed="false">
      <c r="A4511" s="0" t="s">
        <v>21</v>
      </c>
      <c r="B4511" s="0" t="s">
        <v>13773</v>
      </c>
      <c r="C4511" s="0" t="s">
        <v>97</v>
      </c>
      <c r="M4511" s="0" t="s">
        <v>136</v>
      </c>
      <c r="N4511" s="0" t="s">
        <v>124</v>
      </c>
      <c r="P4511" s="0" t="s">
        <v>130</v>
      </c>
      <c r="Q4511" s="0" t="s">
        <v>130</v>
      </c>
      <c r="R4511" s="0" t="s">
        <v>137</v>
      </c>
      <c r="S4511" s="0" t="s">
        <v>21</v>
      </c>
      <c r="T4511" s="0" t="s">
        <v>104</v>
      </c>
      <c r="W4511" s="0" t="s">
        <v>105</v>
      </c>
    </row>
    <row r="4512" customFormat="false" ht="15" hidden="false" customHeight="false" outlineLevel="0" collapsed="false">
      <c r="A4512" s="0" t="s">
        <v>21</v>
      </c>
      <c r="B4512" s="0" t="s">
        <v>13774</v>
      </c>
      <c r="C4512" s="0" t="s">
        <v>97</v>
      </c>
      <c r="M4512" s="0" t="s">
        <v>136</v>
      </c>
      <c r="N4512" s="0" t="s">
        <v>124</v>
      </c>
      <c r="P4512" s="0" t="s">
        <v>13734</v>
      </c>
      <c r="Q4512" s="0" t="s">
        <v>13734</v>
      </c>
      <c r="R4512" s="0" t="s">
        <v>13734</v>
      </c>
      <c r="S4512" s="0" t="s">
        <v>21</v>
      </c>
      <c r="T4512" s="0" t="s">
        <v>104</v>
      </c>
      <c r="W4512" s="0" t="s">
        <v>183</v>
      </c>
    </row>
    <row r="4513" customFormat="false" ht="15" hidden="false" customHeight="false" outlineLevel="0" collapsed="false">
      <c r="A4513" s="0" t="s">
        <v>21</v>
      </c>
      <c r="B4513" s="0" t="s">
        <v>13774</v>
      </c>
      <c r="C4513" s="0" t="s">
        <v>97</v>
      </c>
      <c r="M4513" s="0" t="s">
        <v>136</v>
      </c>
      <c r="N4513" s="0" t="s">
        <v>124</v>
      </c>
      <c r="P4513" s="0" t="s">
        <v>130</v>
      </c>
      <c r="Q4513" s="0" t="s">
        <v>130</v>
      </c>
      <c r="R4513" s="0" t="s">
        <v>137</v>
      </c>
      <c r="S4513" s="0" t="s">
        <v>21</v>
      </c>
      <c r="T4513" s="0" t="s">
        <v>104</v>
      </c>
      <c r="W4513" s="0" t="s">
        <v>105</v>
      </c>
    </row>
    <row r="4514" customFormat="false" ht="15" hidden="false" customHeight="false" outlineLevel="0" collapsed="false">
      <c r="A4514" s="0" t="s">
        <v>21</v>
      </c>
      <c r="B4514" s="0" t="s">
        <v>13775</v>
      </c>
      <c r="C4514" s="0" t="s">
        <v>97</v>
      </c>
      <c r="M4514" s="0" t="s">
        <v>136</v>
      </c>
      <c r="N4514" s="0" t="s">
        <v>124</v>
      </c>
      <c r="P4514" s="0" t="s">
        <v>13734</v>
      </c>
      <c r="Q4514" s="0" t="s">
        <v>13734</v>
      </c>
      <c r="R4514" s="0" t="s">
        <v>13734</v>
      </c>
      <c r="S4514" s="0" t="s">
        <v>21</v>
      </c>
      <c r="T4514" s="0" t="s">
        <v>104</v>
      </c>
      <c r="W4514" s="0" t="s">
        <v>183</v>
      </c>
    </row>
    <row r="4515" customFormat="false" ht="15" hidden="false" customHeight="false" outlineLevel="0" collapsed="false">
      <c r="A4515" s="0" t="s">
        <v>21</v>
      </c>
      <c r="B4515" s="0" t="s">
        <v>13775</v>
      </c>
      <c r="C4515" s="0" t="s">
        <v>97</v>
      </c>
      <c r="M4515" s="0" t="s">
        <v>136</v>
      </c>
      <c r="N4515" s="0" t="s">
        <v>124</v>
      </c>
      <c r="P4515" s="0" t="s">
        <v>130</v>
      </c>
      <c r="Q4515" s="0" t="s">
        <v>130</v>
      </c>
      <c r="R4515" s="0" t="s">
        <v>137</v>
      </c>
      <c r="S4515" s="0" t="s">
        <v>21</v>
      </c>
      <c r="T4515" s="0" t="s">
        <v>104</v>
      </c>
      <c r="W4515" s="0" t="s">
        <v>105</v>
      </c>
    </row>
    <row r="4516" customFormat="false" ht="15" hidden="false" customHeight="false" outlineLevel="0" collapsed="false">
      <c r="A4516" s="0" t="s">
        <v>21</v>
      </c>
      <c r="B4516" s="0" t="s">
        <v>13776</v>
      </c>
      <c r="C4516" s="0" t="s">
        <v>97</v>
      </c>
      <c r="M4516" s="0" t="s">
        <v>136</v>
      </c>
      <c r="N4516" s="0" t="s">
        <v>124</v>
      </c>
      <c r="P4516" s="0" t="s">
        <v>13734</v>
      </c>
      <c r="Q4516" s="0" t="s">
        <v>13734</v>
      </c>
      <c r="R4516" s="0" t="s">
        <v>13734</v>
      </c>
      <c r="S4516" s="0" t="s">
        <v>21</v>
      </c>
      <c r="T4516" s="0" t="s">
        <v>104</v>
      </c>
      <c r="W4516" s="0" t="s">
        <v>183</v>
      </c>
    </row>
    <row r="4517" customFormat="false" ht="15" hidden="false" customHeight="false" outlineLevel="0" collapsed="false">
      <c r="A4517" s="0" t="s">
        <v>21</v>
      </c>
      <c r="B4517" s="0" t="s">
        <v>13776</v>
      </c>
      <c r="C4517" s="0" t="s">
        <v>97</v>
      </c>
      <c r="M4517" s="0" t="s">
        <v>136</v>
      </c>
      <c r="N4517" s="0" t="s">
        <v>124</v>
      </c>
      <c r="P4517" s="0" t="s">
        <v>130</v>
      </c>
      <c r="Q4517" s="0" t="s">
        <v>130</v>
      </c>
      <c r="R4517" s="0" t="s">
        <v>137</v>
      </c>
      <c r="S4517" s="0" t="s">
        <v>21</v>
      </c>
      <c r="T4517" s="0" t="s">
        <v>104</v>
      </c>
      <c r="W4517" s="0" t="s">
        <v>105</v>
      </c>
    </row>
    <row r="4518" customFormat="false" ht="15" hidden="false" customHeight="false" outlineLevel="0" collapsed="false">
      <c r="A4518" s="0" t="s">
        <v>21</v>
      </c>
      <c r="B4518" s="0" t="s">
        <v>13777</v>
      </c>
      <c r="C4518" s="0" t="s">
        <v>97</v>
      </c>
      <c r="M4518" s="0" t="s">
        <v>136</v>
      </c>
      <c r="N4518" s="0" t="s">
        <v>124</v>
      </c>
      <c r="P4518" s="0" t="s">
        <v>13734</v>
      </c>
      <c r="Q4518" s="0" t="s">
        <v>13734</v>
      </c>
      <c r="R4518" s="0" t="s">
        <v>13734</v>
      </c>
      <c r="S4518" s="0" t="s">
        <v>21</v>
      </c>
      <c r="T4518" s="0" t="s">
        <v>104</v>
      </c>
      <c r="W4518" s="0" t="s">
        <v>183</v>
      </c>
    </row>
    <row r="4519" customFormat="false" ht="15" hidden="false" customHeight="false" outlineLevel="0" collapsed="false">
      <c r="A4519" s="0" t="s">
        <v>21</v>
      </c>
      <c r="B4519" s="0" t="s">
        <v>13777</v>
      </c>
      <c r="C4519" s="0" t="s">
        <v>97</v>
      </c>
      <c r="M4519" s="0" t="s">
        <v>136</v>
      </c>
      <c r="N4519" s="0" t="s">
        <v>124</v>
      </c>
      <c r="P4519" s="0" t="s">
        <v>130</v>
      </c>
      <c r="Q4519" s="0" t="s">
        <v>130</v>
      </c>
      <c r="R4519" s="0" t="s">
        <v>137</v>
      </c>
      <c r="S4519" s="0" t="s">
        <v>21</v>
      </c>
      <c r="T4519" s="0" t="s">
        <v>104</v>
      </c>
      <c r="W4519" s="0" t="s">
        <v>105</v>
      </c>
    </row>
    <row r="4520" customFormat="false" ht="15" hidden="false" customHeight="false" outlineLevel="0" collapsed="false">
      <c r="A4520" s="0" t="s">
        <v>21</v>
      </c>
      <c r="B4520" s="0" t="s">
        <v>13778</v>
      </c>
      <c r="C4520" s="0" t="s">
        <v>97</v>
      </c>
      <c r="M4520" s="0" t="s">
        <v>136</v>
      </c>
      <c r="N4520" s="0" t="s">
        <v>124</v>
      </c>
      <c r="P4520" s="0" t="s">
        <v>13734</v>
      </c>
      <c r="Q4520" s="0" t="s">
        <v>13734</v>
      </c>
      <c r="R4520" s="0" t="s">
        <v>13734</v>
      </c>
      <c r="S4520" s="0" t="s">
        <v>21</v>
      </c>
      <c r="T4520" s="0" t="s">
        <v>104</v>
      </c>
      <c r="W4520" s="0" t="s">
        <v>183</v>
      </c>
    </row>
    <row r="4521" customFormat="false" ht="15" hidden="false" customHeight="false" outlineLevel="0" collapsed="false">
      <c r="A4521" s="0" t="s">
        <v>21</v>
      </c>
      <c r="B4521" s="0" t="s">
        <v>13778</v>
      </c>
      <c r="C4521" s="0" t="s">
        <v>97</v>
      </c>
      <c r="M4521" s="0" t="s">
        <v>136</v>
      </c>
      <c r="N4521" s="0" t="s">
        <v>124</v>
      </c>
      <c r="P4521" s="0" t="s">
        <v>130</v>
      </c>
      <c r="Q4521" s="0" t="s">
        <v>130</v>
      </c>
      <c r="R4521" s="0" t="s">
        <v>137</v>
      </c>
      <c r="S4521" s="0" t="s">
        <v>21</v>
      </c>
      <c r="T4521" s="0" t="s">
        <v>104</v>
      </c>
      <c r="W4521" s="0" t="s">
        <v>105</v>
      </c>
    </row>
    <row r="4522" customFormat="false" ht="15" hidden="false" customHeight="false" outlineLevel="0" collapsed="false">
      <c r="A4522" s="0" t="s">
        <v>21</v>
      </c>
      <c r="B4522" s="0" t="s">
        <v>13779</v>
      </c>
      <c r="C4522" s="0" t="s">
        <v>97</v>
      </c>
      <c r="M4522" s="0" t="s">
        <v>136</v>
      </c>
      <c r="N4522" s="0" t="s">
        <v>124</v>
      </c>
      <c r="P4522" s="0" t="s">
        <v>13734</v>
      </c>
      <c r="Q4522" s="0" t="s">
        <v>13734</v>
      </c>
      <c r="R4522" s="0" t="s">
        <v>13734</v>
      </c>
      <c r="S4522" s="0" t="s">
        <v>21</v>
      </c>
      <c r="T4522" s="0" t="s">
        <v>104</v>
      </c>
      <c r="W4522" s="0" t="s">
        <v>183</v>
      </c>
    </row>
    <row r="4523" customFormat="false" ht="15" hidden="false" customHeight="false" outlineLevel="0" collapsed="false">
      <c r="A4523" s="0" t="s">
        <v>21</v>
      </c>
      <c r="B4523" s="0" t="s">
        <v>13779</v>
      </c>
      <c r="C4523" s="0" t="s">
        <v>97</v>
      </c>
      <c r="M4523" s="0" t="s">
        <v>136</v>
      </c>
      <c r="N4523" s="0" t="s">
        <v>124</v>
      </c>
      <c r="P4523" s="0" t="s">
        <v>130</v>
      </c>
      <c r="Q4523" s="0" t="s">
        <v>130</v>
      </c>
      <c r="R4523" s="0" t="s">
        <v>137</v>
      </c>
      <c r="S4523" s="0" t="s">
        <v>21</v>
      </c>
      <c r="T4523" s="0" t="s">
        <v>104</v>
      </c>
      <c r="W4523" s="0" t="s">
        <v>105</v>
      </c>
    </row>
    <row r="4524" customFormat="false" ht="15" hidden="false" customHeight="false" outlineLevel="0" collapsed="false">
      <c r="A4524" s="0" t="s">
        <v>21</v>
      </c>
      <c r="B4524" s="0" t="s">
        <v>13780</v>
      </c>
      <c r="C4524" s="0" t="s">
        <v>97</v>
      </c>
      <c r="M4524" s="0" t="s">
        <v>136</v>
      </c>
      <c r="N4524" s="0" t="s">
        <v>124</v>
      </c>
      <c r="P4524" s="0" t="s">
        <v>13734</v>
      </c>
      <c r="Q4524" s="0" t="s">
        <v>13734</v>
      </c>
      <c r="R4524" s="0" t="s">
        <v>13734</v>
      </c>
      <c r="S4524" s="0" t="s">
        <v>21</v>
      </c>
      <c r="T4524" s="0" t="s">
        <v>104</v>
      </c>
      <c r="W4524" s="0" t="s">
        <v>183</v>
      </c>
    </row>
    <row r="4525" customFormat="false" ht="15" hidden="false" customHeight="false" outlineLevel="0" collapsed="false">
      <c r="A4525" s="0" t="s">
        <v>21</v>
      </c>
      <c r="B4525" s="0" t="s">
        <v>13780</v>
      </c>
      <c r="C4525" s="0" t="s">
        <v>97</v>
      </c>
      <c r="M4525" s="0" t="s">
        <v>136</v>
      </c>
      <c r="N4525" s="0" t="s">
        <v>124</v>
      </c>
      <c r="P4525" s="0" t="s">
        <v>130</v>
      </c>
      <c r="Q4525" s="0" t="s">
        <v>130</v>
      </c>
      <c r="R4525" s="0" t="s">
        <v>137</v>
      </c>
      <c r="S4525" s="0" t="s">
        <v>21</v>
      </c>
      <c r="T4525" s="0" t="s">
        <v>104</v>
      </c>
      <c r="W4525" s="0" t="s">
        <v>105</v>
      </c>
    </row>
    <row r="4526" customFormat="false" ht="15" hidden="false" customHeight="false" outlineLevel="0" collapsed="false">
      <c r="A4526" s="0" t="s">
        <v>21</v>
      </c>
      <c r="B4526" s="0" t="s">
        <v>13781</v>
      </c>
      <c r="C4526" s="0" t="s">
        <v>97</v>
      </c>
      <c r="M4526" s="0" t="s">
        <v>136</v>
      </c>
      <c r="N4526" s="0" t="s">
        <v>124</v>
      </c>
      <c r="P4526" s="0" t="s">
        <v>13734</v>
      </c>
      <c r="Q4526" s="0" t="s">
        <v>13734</v>
      </c>
      <c r="R4526" s="0" t="s">
        <v>13734</v>
      </c>
      <c r="S4526" s="0" t="s">
        <v>21</v>
      </c>
      <c r="T4526" s="0" t="s">
        <v>104</v>
      </c>
      <c r="W4526" s="0" t="s">
        <v>183</v>
      </c>
    </row>
    <row r="4527" customFormat="false" ht="15" hidden="false" customHeight="false" outlineLevel="0" collapsed="false">
      <c r="A4527" s="0" t="s">
        <v>21</v>
      </c>
      <c r="B4527" s="0" t="s">
        <v>13781</v>
      </c>
      <c r="C4527" s="0" t="s">
        <v>97</v>
      </c>
      <c r="M4527" s="0" t="s">
        <v>136</v>
      </c>
      <c r="N4527" s="0" t="s">
        <v>124</v>
      </c>
      <c r="P4527" s="0" t="s">
        <v>130</v>
      </c>
      <c r="Q4527" s="0" t="s">
        <v>130</v>
      </c>
      <c r="R4527" s="0" t="s">
        <v>137</v>
      </c>
      <c r="S4527" s="0" t="s">
        <v>21</v>
      </c>
      <c r="T4527" s="0" t="s">
        <v>104</v>
      </c>
      <c r="W4527" s="0" t="s">
        <v>105</v>
      </c>
    </row>
    <row r="4528" customFormat="false" ht="15" hidden="false" customHeight="false" outlineLevel="0" collapsed="false">
      <c r="A4528" s="0" t="s">
        <v>21</v>
      </c>
      <c r="B4528" s="0" t="s">
        <v>13782</v>
      </c>
      <c r="C4528" s="0" t="s">
        <v>97</v>
      </c>
      <c r="M4528" s="0" t="s">
        <v>136</v>
      </c>
      <c r="N4528" s="0" t="s">
        <v>124</v>
      </c>
      <c r="P4528" s="0" t="s">
        <v>13734</v>
      </c>
      <c r="Q4528" s="0" t="s">
        <v>13734</v>
      </c>
      <c r="R4528" s="0" t="s">
        <v>13734</v>
      </c>
      <c r="S4528" s="0" t="s">
        <v>21</v>
      </c>
      <c r="T4528" s="0" t="s">
        <v>104</v>
      </c>
      <c r="W4528" s="0" t="s">
        <v>183</v>
      </c>
    </row>
    <row r="4529" customFormat="false" ht="15" hidden="false" customHeight="false" outlineLevel="0" collapsed="false">
      <c r="A4529" s="0" t="s">
        <v>21</v>
      </c>
      <c r="B4529" s="0" t="s">
        <v>13782</v>
      </c>
      <c r="C4529" s="0" t="s">
        <v>97</v>
      </c>
      <c r="M4529" s="0" t="s">
        <v>136</v>
      </c>
      <c r="N4529" s="0" t="s">
        <v>124</v>
      </c>
      <c r="P4529" s="0" t="s">
        <v>130</v>
      </c>
      <c r="Q4529" s="0" t="s">
        <v>130</v>
      </c>
      <c r="R4529" s="0" t="s">
        <v>137</v>
      </c>
      <c r="S4529" s="0" t="s">
        <v>21</v>
      </c>
      <c r="T4529" s="0" t="s">
        <v>104</v>
      </c>
      <c r="W4529" s="0" t="s">
        <v>105</v>
      </c>
    </row>
    <row r="4530" customFormat="false" ht="15" hidden="false" customHeight="false" outlineLevel="0" collapsed="false">
      <c r="A4530" s="0" t="s">
        <v>21</v>
      </c>
      <c r="B4530" s="0" t="s">
        <v>13783</v>
      </c>
      <c r="C4530" s="0" t="s">
        <v>97</v>
      </c>
      <c r="M4530" s="0" t="s">
        <v>136</v>
      </c>
      <c r="N4530" s="0" t="s">
        <v>124</v>
      </c>
      <c r="P4530" s="0" t="s">
        <v>13734</v>
      </c>
      <c r="Q4530" s="0" t="s">
        <v>13734</v>
      </c>
      <c r="R4530" s="0" t="s">
        <v>13734</v>
      </c>
      <c r="S4530" s="0" t="s">
        <v>21</v>
      </c>
      <c r="T4530" s="0" t="s">
        <v>104</v>
      </c>
      <c r="W4530" s="0" t="s">
        <v>183</v>
      </c>
    </row>
    <row r="4531" customFormat="false" ht="15" hidden="false" customHeight="false" outlineLevel="0" collapsed="false">
      <c r="A4531" s="0" t="s">
        <v>21</v>
      </c>
      <c r="B4531" s="0" t="s">
        <v>13783</v>
      </c>
      <c r="C4531" s="0" t="s">
        <v>97</v>
      </c>
      <c r="M4531" s="0" t="s">
        <v>136</v>
      </c>
      <c r="N4531" s="0" t="s">
        <v>124</v>
      </c>
      <c r="P4531" s="0" t="s">
        <v>130</v>
      </c>
      <c r="Q4531" s="0" t="s">
        <v>130</v>
      </c>
      <c r="R4531" s="0" t="s">
        <v>137</v>
      </c>
      <c r="S4531" s="0" t="s">
        <v>21</v>
      </c>
      <c r="T4531" s="0" t="s">
        <v>104</v>
      </c>
      <c r="W4531" s="0" t="s">
        <v>105</v>
      </c>
    </row>
    <row r="4532" customFormat="false" ht="15" hidden="false" customHeight="false" outlineLevel="0" collapsed="false">
      <c r="A4532" s="0" t="s">
        <v>21</v>
      </c>
      <c r="B4532" s="0" t="s">
        <v>13784</v>
      </c>
      <c r="C4532" s="0" t="s">
        <v>97</v>
      </c>
      <c r="M4532" s="0" t="s">
        <v>136</v>
      </c>
      <c r="N4532" s="0" t="s">
        <v>124</v>
      </c>
      <c r="P4532" s="0" t="s">
        <v>13734</v>
      </c>
      <c r="Q4532" s="0" t="s">
        <v>13734</v>
      </c>
      <c r="R4532" s="0" t="s">
        <v>13734</v>
      </c>
      <c r="S4532" s="0" t="s">
        <v>21</v>
      </c>
      <c r="T4532" s="0" t="s">
        <v>104</v>
      </c>
      <c r="W4532" s="0" t="s">
        <v>183</v>
      </c>
    </row>
    <row r="4533" customFormat="false" ht="15" hidden="false" customHeight="false" outlineLevel="0" collapsed="false">
      <c r="A4533" s="0" t="s">
        <v>21</v>
      </c>
      <c r="B4533" s="0" t="s">
        <v>13784</v>
      </c>
      <c r="C4533" s="0" t="s">
        <v>97</v>
      </c>
      <c r="M4533" s="0" t="s">
        <v>136</v>
      </c>
      <c r="N4533" s="0" t="s">
        <v>124</v>
      </c>
      <c r="P4533" s="0" t="s">
        <v>130</v>
      </c>
      <c r="Q4533" s="0" t="s">
        <v>130</v>
      </c>
      <c r="R4533" s="0" t="s">
        <v>137</v>
      </c>
      <c r="S4533" s="0" t="s">
        <v>21</v>
      </c>
      <c r="T4533" s="0" t="s">
        <v>104</v>
      </c>
      <c r="W4533" s="0" t="s">
        <v>105</v>
      </c>
    </row>
    <row r="4534" customFormat="false" ht="15" hidden="false" customHeight="false" outlineLevel="0" collapsed="false">
      <c r="A4534" s="0" t="s">
        <v>21</v>
      </c>
      <c r="B4534" s="0" t="s">
        <v>13785</v>
      </c>
      <c r="C4534" s="0" t="s">
        <v>97</v>
      </c>
      <c r="M4534" s="0" t="s">
        <v>136</v>
      </c>
      <c r="N4534" s="0" t="s">
        <v>124</v>
      </c>
      <c r="P4534" s="0" t="s">
        <v>13734</v>
      </c>
      <c r="Q4534" s="0" t="s">
        <v>13734</v>
      </c>
      <c r="R4534" s="0" t="s">
        <v>13734</v>
      </c>
      <c r="S4534" s="0" t="s">
        <v>21</v>
      </c>
      <c r="T4534" s="0" t="s">
        <v>104</v>
      </c>
      <c r="W4534" s="0" t="s">
        <v>183</v>
      </c>
    </row>
    <row r="4535" customFormat="false" ht="15" hidden="false" customHeight="false" outlineLevel="0" collapsed="false">
      <c r="A4535" s="0" t="s">
        <v>21</v>
      </c>
      <c r="B4535" s="0" t="s">
        <v>13785</v>
      </c>
      <c r="C4535" s="0" t="s">
        <v>97</v>
      </c>
      <c r="M4535" s="0" t="s">
        <v>136</v>
      </c>
      <c r="N4535" s="0" t="s">
        <v>124</v>
      </c>
      <c r="P4535" s="0" t="s">
        <v>130</v>
      </c>
      <c r="Q4535" s="0" t="s">
        <v>130</v>
      </c>
      <c r="R4535" s="0" t="s">
        <v>137</v>
      </c>
      <c r="S4535" s="0" t="s">
        <v>21</v>
      </c>
      <c r="T4535" s="0" t="s">
        <v>104</v>
      </c>
      <c r="W4535" s="0" t="s">
        <v>105</v>
      </c>
    </row>
    <row r="4536" customFormat="false" ht="15" hidden="false" customHeight="false" outlineLevel="0" collapsed="false">
      <c r="A4536" s="0" t="s">
        <v>21</v>
      </c>
      <c r="B4536" s="0" t="s">
        <v>13786</v>
      </c>
      <c r="C4536" s="0" t="s">
        <v>97</v>
      </c>
      <c r="M4536" s="0" t="s">
        <v>136</v>
      </c>
      <c r="N4536" s="0" t="s">
        <v>124</v>
      </c>
      <c r="P4536" s="0" t="s">
        <v>13734</v>
      </c>
      <c r="Q4536" s="0" t="s">
        <v>13734</v>
      </c>
      <c r="R4536" s="0" t="s">
        <v>13734</v>
      </c>
      <c r="S4536" s="0" t="s">
        <v>21</v>
      </c>
      <c r="T4536" s="0" t="s">
        <v>104</v>
      </c>
      <c r="W4536" s="0" t="s">
        <v>183</v>
      </c>
    </row>
    <row r="4537" customFormat="false" ht="15" hidden="false" customHeight="false" outlineLevel="0" collapsed="false">
      <c r="A4537" s="0" t="s">
        <v>21</v>
      </c>
      <c r="B4537" s="0" t="s">
        <v>13786</v>
      </c>
      <c r="C4537" s="0" t="s">
        <v>97</v>
      </c>
      <c r="M4537" s="0" t="s">
        <v>136</v>
      </c>
      <c r="N4537" s="0" t="s">
        <v>124</v>
      </c>
      <c r="P4537" s="0" t="s">
        <v>130</v>
      </c>
      <c r="Q4537" s="0" t="s">
        <v>130</v>
      </c>
      <c r="R4537" s="0" t="s">
        <v>137</v>
      </c>
      <c r="S4537" s="0" t="s">
        <v>21</v>
      </c>
      <c r="T4537" s="0" t="s">
        <v>104</v>
      </c>
      <c r="W4537" s="0" t="s">
        <v>105</v>
      </c>
    </row>
    <row r="4538" customFormat="false" ht="15" hidden="false" customHeight="false" outlineLevel="0" collapsed="false">
      <c r="A4538" s="0" t="s">
        <v>21</v>
      </c>
      <c r="B4538" s="0" t="s">
        <v>13787</v>
      </c>
      <c r="C4538" s="0" t="s">
        <v>97</v>
      </c>
      <c r="M4538" s="0" t="s">
        <v>136</v>
      </c>
      <c r="N4538" s="0" t="s">
        <v>124</v>
      </c>
      <c r="P4538" s="0" t="s">
        <v>13734</v>
      </c>
      <c r="Q4538" s="0" t="s">
        <v>13734</v>
      </c>
      <c r="R4538" s="0" t="s">
        <v>13734</v>
      </c>
      <c r="S4538" s="0" t="s">
        <v>21</v>
      </c>
      <c r="T4538" s="0" t="s">
        <v>104</v>
      </c>
      <c r="W4538" s="0" t="s">
        <v>183</v>
      </c>
    </row>
    <row r="4539" customFormat="false" ht="15" hidden="false" customHeight="false" outlineLevel="0" collapsed="false">
      <c r="A4539" s="0" t="s">
        <v>21</v>
      </c>
      <c r="B4539" s="0" t="s">
        <v>13787</v>
      </c>
      <c r="C4539" s="0" t="s">
        <v>97</v>
      </c>
      <c r="M4539" s="0" t="s">
        <v>136</v>
      </c>
      <c r="N4539" s="0" t="s">
        <v>124</v>
      </c>
      <c r="P4539" s="0" t="s">
        <v>130</v>
      </c>
      <c r="Q4539" s="0" t="s">
        <v>130</v>
      </c>
      <c r="R4539" s="0" t="s">
        <v>137</v>
      </c>
      <c r="S4539" s="0" t="s">
        <v>21</v>
      </c>
      <c r="T4539" s="0" t="s">
        <v>104</v>
      </c>
      <c r="W4539" s="0" t="s">
        <v>105</v>
      </c>
    </row>
    <row r="4540" customFormat="false" ht="15" hidden="false" customHeight="false" outlineLevel="0" collapsed="false">
      <c r="A4540" s="0" t="s">
        <v>21</v>
      </c>
      <c r="B4540" s="0" t="s">
        <v>13788</v>
      </c>
      <c r="C4540" s="0" t="s">
        <v>97</v>
      </c>
      <c r="M4540" s="0" t="s">
        <v>136</v>
      </c>
      <c r="N4540" s="0" t="s">
        <v>124</v>
      </c>
      <c r="P4540" s="0" t="s">
        <v>13734</v>
      </c>
      <c r="Q4540" s="0" t="s">
        <v>13734</v>
      </c>
      <c r="R4540" s="0" t="s">
        <v>13734</v>
      </c>
      <c r="S4540" s="0" t="s">
        <v>21</v>
      </c>
      <c r="T4540" s="0" t="s">
        <v>104</v>
      </c>
      <c r="W4540" s="0" t="s">
        <v>183</v>
      </c>
    </row>
    <row r="4541" customFormat="false" ht="15" hidden="false" customHeight="false" outlineLevel="0" collapsed="false">
      <c r="A4541" s="0" t="s">
        <v>21</v>
      </c>
      <c r="B4541" s="0" t="s">
        <v>13788</v>
      </c>
      <c r="C4541" s="0" t="s">
        <v>97</v>
      </c>
      <c r="M4541" s="0" t="s">
        <v>136</v>
      </c>
      <c r="N4541" s="0" t="s">
        <v>124</v>
      </c>
      <c r="P4541" s="0" t="s">
        <v>130</v>
      </c>
      <c r="Q4541" s="0" t="s">
        <v>130</v>
      </c>
      <c r="R4541" s="0" t="s">
        <v>137</v>
      </c>
      <c r="S4541" s="0" t="s">
        <v>21</v>
      </c>
      <c r="T4541" s="0" t="s">
        <v>104</v>
      </c>
      <c r="W4541" s="0" t="s">
        <v>105</v>
      </c>
    </row>
    <row r="4542" customFormat="false" ht="15" hidden="false" customHeight="false" outlineLevel="0" collapsed="false">
      <c r="A4542" s="0" t="s">
        <v>21</v>
      </c>
      <c r="B4542" s="0" t="s">
        <v>13789</v>
      </c>
      <c r="C4542" s="0" t="s">
        <v>97</v>
      </c>
      <c r="M4542" s="0" t="s">
        <v>136</v>
      </c>
      <c r="N4542" s="0" t="s">
        <v>124</v>
      </c>
      <c r="P4542" s="0" t="s">
        <v>13734</v>
      </c>
      <c r="Q4542" s="0" t="s">
        <v>13734</v>
      </c>
      <c r="R4542" s="0" t="s">
        <v>13734</v>
      </c>
      <c r="S4542" s="0" t="s">
        <v>21</v>
      </c>
      <c r="T4542" s="0" t="s">
        <v>104</v>
      </c>
      <c r="W4542" s="0" t="s">
        <v>183</v>
      </c>
    </row>
    <row r="4543" customFormat="false" ht="15" hidden="false" customHeight="false" outlineLevel="0" collapsed="false">
      <c r="A4543" s="0" t="s">
        <v>21</v>
      </c>
      <c r="B4543" s="0" t="s">
        <v>13789</v>
      </c>
      <c r="C4543" s="0" t="s">
        <v>97</v>
      </c>
      <c r="M4543" s="0" t="s">
        <v>136</v>
      </c>
      <c r="N4543" s="0" t="s">
        <v>124</v>
      </c>
      <c r="P4543" s="0" t="s">
        <v>130</v>
      </c>
      <c r="Q4543" s="0" t="s">
        <v>130</v>
      </c>
      <c r="R4543" s="0" t="s">
        <v>137</v>
      </c>
      <c r="S4543" s="0" t="s">
        <v>21</v>
      </c>
      <c r="T4543" s="0" t="s">
        <v>104</v>
      </c>
      <c r="W4543" s="0" t="s">
        <v>105</v>
      </c>
    </row>
    <row r="4544" customFormat="false" ht="15" hidden="false" customHeight="false" outlineLevel="0" collapsed="false">
      <c r="A4544" s="0" t="s">
        <v>21</v>
      </c>
      <c r="B4544" s="0" t="s">
        <v>13790</v>
      </c>
      <c r="C4544" s="0" t="s">
        <v>97</v>
      </c>
      <c r="M4544" s="0" t="s">
        <v>136</v>
      </c>
      <c r="N4544" s="0" t="s">
        <v>124</v>
      </c>
      <c r="P4544" s="0" t="s">
        <v>13734</v>
      </c>
      <c r="Q4544" s="0" t="s">
        <v>13734</v>
      </c>
      <c r="R4544" s="0" t="s">
        <v>13734</v>
      </c>
      <c r="S4544" s="0" t="s">
        <v>21</v>
      </c>
      <c r="T4544" s="0" t="s">
        <v>104</v>
      </c>
      <c r="W4544" s="0" t="s">
        <v>183</v>
      </c>
    </row>
    <row r="4545" customFormat="false" ht="15" hidden="false" customHeight="false" outlineLevel="0" collapsed="false">
      <c r="A4545" s="0" t="s">
        <v>21</v>
      </c>
      <c r="B4545" s="0" t="s">
        <v>13790</v>
      </c>
      <c r="C4545" s="0" t="s">
        <v>97</v>
      </c>
      <c r="M4545" s="0" t="s">
        <v>136</v>
      </c>
      <c r="N4545" s="0" t="s">
        <v>124</v>
      </c>
      <c r="P4545" s="0" t="s">
        <v>130</v>
      </c>
      <c r="Q4545" s="0" t="s">
        <v>130</v>
      </c>
      <c r="R4545" s="0" t="s">
        <v>137</v>
      </c>
      <c r="S4545" s="0" t="s">
        <v>21</v>
      </c>
      <c r="T4545" s="0" t="s">
        <v>104</v>
      </c>
      <c r="W4545" s="0" t="s">
        <v>105</v>
      </c>
    </row>
    <row r="4546" customFormat="false" ht="15" hidden="false" customHeight="false" outlineLevel="0" collapsed="false">
      <c r="A4546" s="0" t="s">
        <v>21</v>
      </c>
      <c r="B4546" s="0" t="s">
        <v>13791</v>
      </c>
      <c r="C4546" s="0" t="s">
        <v>97</v>
      </c>
      <c r="M4546" s="0" t="s">
        <v>136</v>
      </c>
      <c r="N4546" s="0" t="s">
        <v>124</v>
      </c>
      <c r="P4546" s="0" t="s">
        <v>13734</v>
      </c>
      <c r="Q4546" s="0" t="s">
        <v>13734</v>
      </c>
      <c r="R4546" s="0" t="s">
        <v>13734</v>
      </c>
      <c r="S4546" s="0" t="s">
        <v>21</v>
      </c>
      <c r="T4546" s="0" t="s">
        <v>104</v>
      </c>
      <c r="W4546" s="0" t="s">
        <v>183</v>
      </c>
    </row>
    <row r="4547" customFormat="false" ht="15" hidden="false" customHeight="false" outlineLevel="0" collapsed="false">
      <c r="A4547" s="0" t="s">
        <v>21</v>
      </c>
      <c r="B4547" s="0" t="s">
        <v>13791</v>
      </c>
      <c r="C4547" s="0" t="s">
        <v>97</v>
      </c>
      <c r="M4547" s="0" t="s">
        <v>136</v>
      </c>
      <c r="N4547" s="0" t="s">
        <v>124</v>
      </c>
      <c r="P4547" s="0" t="s">
        <v>130</v>
      </c>
      <c r="Q4547" s="0" t="s">
        <v>130</v>
      </c>
      <c r="R4547" s="0" t="s">
        <v>137</v>
      </c>
      <c r="S4547" s="0" t="s">
        <v>21</v>
      </c>
      <c r="T4547" s="0" t="s">
        <v>104</v>
      </c>
      <c r="W4547" s="0" t="s">
        <v>105</v>
      </c>
    </row>
    <row r="4548" customFormat="false" ht="15" hidden="false" customHeight="false" outlineLevel="0" collapsed="false">
      <c r="A4548" s="0" t="s">
        <v>21</v>
      </c>
      <c r="B4548" s="0" t="s">
        <v>13792</v>
      </c>
      <c r="C4548" s="0" t="s">
        <v>97</v>
      </c>
      <c r="M4548" s="0" t="s">
        <v>136</v>
      </c>
      <c r="N4548" s="0" t="s">
        <v>124</v>
      </c>
      <c r="P4548" s="0" t="s">
        <v>13734</v>
      </c>
      <c r="Q4548" s="0" t="s">
        <v>13734</v>
      </c>
      <c r="R4548" s="0" t="s">
        <v>13734</v>
      </c>
      <c r="S4548" s="0" t="s">
        <v>21</v>
      </c>
      <c r="T4548" s="0" t="s">
        <v>104</v>
      </c>
      <c r="W4548" s="0" t="s">
        <v>183</v>
      </c>
    </row>
    <row r="4549" customFormat="false" ht="15" hidden="false" customHeight="false" outlineLevel="0" collapsed="false">
      <c r="A4549" s="0" t="s">
        <v>21</v>
      </c>
      <c r="B4549" s="0" t="s">
        <v>13792</v>
      </c>
      <c r="C4549" s="0" t="s">
        <v>97</v>
      </c>
      <c r="M4549" s="0" t="s">
        <v>136</v>
      </c>
      <c r="N4549" s="0" t="s">
        <v>124</v>
      </c>
      <c r="P4549" s="0" t="s">
        <v>130</v>
      </c>
      <c r="Q4549" s="0" t="s">
        <v>130</v>
      </c>
      <c r="R4549" s="0" t="s">
        <v>137</v>
      </c>
      <c r="S4549" s="0" t="s">
        <v>21</v>
      </c>
      <c r="T4549" s="0" t="s">
        <v>104</v>
      </c>
      <c r="W4549" s="0" t="s">
        <v>105</v>
      </c>
    </row>
    <row r="4550" customFormat="false" ht="15" hidden="false" customHeight="false" outlineLevel="0" collapsed="false">
      <c r="A4550" s="0" t="s">
        <v>21</v>
      </c>
      <c r="B4550" s="0" t="s">
        <v>13793</v>
      </c>
      <c r="C4550" s="0" t="s">
        <v>97</v>
      </c>
      <c r="M4550" s="0" t="s">
        <v>136</v>
      </c>
      <c r="N4550" s="0" t="s">
        <v>124</v>
      </c>
      <c r="P4550" s="0" t="s">
        <v>13734</v>
      </c>
      <c r="Q4550" s="0" t="s">
        <v>13734</v>
      </c>
      <c r="R4550" s="0" t="s">
        <v>13734</v>
      </c>
      <c r="S4550" s="0" t="s">
        <v>21</v>
      </c>
      <c r="T4550" s="0" t="s">
        <v>104</v>
      </c>
      <c r="W4550" s="0" t="s">
        <v>183</v>
      </c>
    </row>
    <row r="4551" customFormat="false" ht="15" hidden="false" customHeight="false" outlineLevel="0" collapsed="false">
      <c r="A4551" s="0" t="s">
        <v>21</v>
      </c>
      <c r="B4551" s="0" t="s">
        <v>13793</v>
      </c>
      <c r="C4551" s="0" t="s">
        <v>97</v>
      </c>
      <c r="M4551" s="0" t="s">
        <v>136</v>
      </c>
      <c r="N4551" s="0" t="s">
        <v>124</v>
      </c>
      <c r="P4551" s="0" t="s">
        <v>130</v>
      </c>
      <c r="Q4551" s="0" t="s">
        <v>130</v>
      </c>
      <c r="R4551" s="0" t="s">
        <v>137</v>
      </c>
      <c r="S4551" s="0" t="s">
        <v>21</v>
      </c>
      <c r="T4551" s="0" t="s">
        <v>104</v>
      </c>
      <c r="W4551" s="0" t="s">
        <v>105</v>
      </c>
    </row>
    <row r="4552" customFormat="false" ht="15" hidden="false" customHeight="false" outlineLevel="0" collapsed="false">
      <c r="A4552" s="0" t="s">
        <v>21</v>
      </c>
      <c r="B4552" s="0" t="s">
        <v>13794</v>
      </c>
      <c r="C4552" s="0" t="s">
        <v>97</v>
      </c>
      <c r="M4552" s="0" t="s">
        <v>136</v>
      </c>
      <c r="N4552" s="0" t="s">
        <v>124</v>
      </c>
      <c r="P4552" s="0" t="s">
        <v>13734</v>
      </c>
      <c r="Q4552" s="0" t="s">
        <v>13734</v>
      </c>
      <c r="R4552" s="0" t="s">
        <v>13734</v>
      </c>
      <c r="S4552" s="0" t="s">
        <v>21</v>
      </c>
      <c r="T4552" s="0" t="s">
        <v>104</v>
      </c>
      <c r="W4552" s="0" t="s">
        <v>183</v>
      </c>
    </row>
    <row r="4553" customFormat="false" ht="15" hidden="false" customHeight="false" outlineLevel="0" collapsed="false">
      <c r="A4553" s="0" t="s">
        <v>21</v>
      </c>
      <c r="B4553" s="0" t="s">
        <v>13794</v>
      </c>
      <c r="C4553" s="0" t="s">
        <v>97</v>
      </c>
      <c r="M4553" s="0" t="s">
        <v>136</v>
      </c>
      <c r="N4553" s="0" t="s">
        <v>124</v>
      </c>
      <c r="P4553" s="0" t="s">
        <v>130</v>
      </c>
      <c r="Q4553" s="0" t="s">
        <v>130</v>
      </c>
      <c r="R4553" s="0" t="s">
        <v>137</v>
      </c>
      <c r="S4553" s="0" t="s">
        <v>21</v>
      </c>
      <c r="T4553" s="0" t="s">
        <v>104</v>
      </c>
      <c r="W4553" s="0" t="s">
        <v>105</v>
      </c>
    </row>
    <row r="4554" customFormat="false" ht="15" hidden="false" customHeight="false" outlineLevel="0" collapsed="false">
      <c r="A4554" s="0" t="s">
        <v>21</v>
      </c>
      <c r="B4554" s="0" t="s">
        <v>13795</v>
      </c>
      <c r="C4554" s="0" t="s">
        <v>97</v>
      </c>
      <c r="M4554" s="0" t="s">
        <v>136</v>
      </c>
      <c r="N4554" s="0" t="s">
        <v>124</v>
      </c>
      <c r="P4554" s="0" t="s">
        <v>13734</v>
      </c>
      <c r="Q4554" s="0" t="s">
        <v>13734</v>
      </c>
      <c r="R4554" s="0" t="s">
        <v>13734</v>
      </c>
      <c r="S4554" s="0" t="s">
        <v>21</v>
      </c>
      <c r="T4554" s="0" t="s">
        <v>104</v>
      </c>
      <c r="W4554" s="0" t="s">
        <v>183</v>
      </c>
    </row>
    <row r="4555" customFormat="false" ht="15" hidden="false" customHeight="false" outlineLevel="0" collapsed="false">
      <c r="A4555" s="0" t="s">
        <v>21</v>
      </c>
      <c r="B4555" s="0" t="s">
        <v>13795</v>
      </c>
      <c r="C4555" s="0" t="s">
        <v>97</v>
      </c>
      <c r="M4555" s="0" t="s">
        <v>136</v>
      </c>
      <c r="N4555" s="0" t="s">
        <v>124</v>
      </c>
      <c r="P4555" s="0" t="s">
        <v>130</v>
      </c>
      <c r="Q4555" s="0" t="s">
        <v>130</v>
      </c>
      <c r="R4555" s="0" t="s">
        <v>137</v>
      </c>
      <c r="S4555" s="0" t="s">
        <v>21</v>
      </c>
      <c r="T4555" s="0" t="s">
        <v>104</v>
      </c>
      <c r="W4555" s="0" t="s">
        <v>105</v>
      </c>
    </row>
    <row r="4556" customFormat="false" ht="15" hidden="false" customHeight="false" outlineLevel="0" collapsed="false">
      <c r="A4556" s="0" t="s">
        <v>21</v>
      </c>
      <c r="B4556" s="0" t="s">
        <v>13796</v>
      </c>
      <c r="C4556" s="0" t="s">
        <v>97</v>
      </c>
      <c r="M4556" s="0" t="s">
        <v>136</v>
      </c>
      <c r="N4556" s="0" t="s">
        <v>124</v>
      </c>
      <c r="P4556" s="0" t="s">
        <v>13734</v>
      </c>
      <c r="Q4556" s="0" t="s">
        <v>13734</v>
      </c>
      <c r="R4556" s="0" t="s">
        <v>13734</v>
      </c>
      <c r="S4556" s="0" t="s">
        <v>21</v>
      </c>
      <c r="T4556" s="0" t="s">
        <v>104</v>
      </c>
      <c r="W4556" s="0" t="s">
        <v>183</v>
      </c>
    </row>
    <row r="4557" customFormat="false" ht="15" hidden="false" customHeight="false" outlineLevel="0" collapsed="false">
      <c r="A4557" s="0" t="s">
        <v>21</v>
      </c>
      <c r="B4557" s="0" t="s">
        <v>13796</v>
      </c>
      <c r="C4557" s="0" t="s">
        <v>97</v>
      </c>
      <c r="M4557" s="0" t="s">
        <v>136</v>
      </c>
      <c r="N4557" s="0" t="s">
        <v>124</v>
      </c>
      <c r="P4557" s="0" t="s">
        <v>130</v>
      </c>
      <c r="Q4557" s="0" t="s">
        <v>130</v>
      </c>
      <c r="R4557" s="0" t="s">
        <v>137</v>
      </c>
      <c r="S4557" s="0" t="s">
        <v>21</v>
      </c>
      <c r="T4557" s="0" t="s">
        <v>104</v>
      </c>
      <c r="W4557" s="0" t="s">
        <v>105</v>
      </c>
    </row>
    <row r="4558" customFormat="false" ht="15" hidden="false" customHeight="false" outlineLevel="0" collapsed="false">
      <c r="A4558" s="0" t="s">
        <v>21</v>
      </c>
      <c r="B4558" s="0" t="s">
        <v>13797</v>
      </c>
      <c r="C4558" s="0" t="s">
        <v>97</v>
      </c>
      <c r="M4558" s="0" t="s">
        <v>136</v>
      </c>
      <c r="N4558" s="0" t="s">
        <v>124</v>
      </c>
      <c r="P4558" s="0" t="s">
        <v>13734</v>
      </c>
      <c r="Q4558" s="0" t="s">
        <v>13734</v>
      </c>
      <c r="R4558" s="0" t="s">
        <v>13734</v>
      </c>
      <c r="S4558" s="0" t="s">
        <v>21</v>
      </c>
      <c r="T4558" s="0" t="s">
        <v>104</v>
      </c>
      <c r="W4558" s="0" t="s">
        <v>183</v>
      </c>
    </row>
    <row r="4559" customFormat="false" ht="15" hidden="false" customHeight="false" outlineLevel="0" collapsed="false">
      <c r="A4559" s="0" t="s">
        <v>21</v>
      </c>
      <c r="B4559" s="0" t="s">
        <v>13797</v>
      </c>
      <c r="C4559" s="0" t="s">
        <v>97</v>
      </c>
      <c r="M4559" s="0" t="s">
        <v>136</v>
      </c>
      <c r="N4559" s="0" t="s">
        <v>124</v>
      </c>
      <c r="P4559" s="0" t="s">
        <v>130</v>
      </c>
      <c r="Q4559" s="0" t="s">
        <v>130</v>
      </c>
      <c r="R4559" s="0" t="s">
        <v>137</v>
      </c>
      <c r="S4559" s="0" t="s">
        <v>21</v>
      </c>
      <c r="T4559" s="0" t="s">
        <v>104</v>
      </c>
      <c r="W4559" s="0" t="s">
        <v>105</v>
      </c>
    </row>
    <row r="4560" customFormat="false" ht="15" hidden="false" customHeight="false" outlineLevel="0" collapsed="false">
      <c r="A4560" s="0" t="s">
        <v>21</v>
      </c>
      <c r="B4560" s="0" t="s">
        <v>13798</v>
      </c>
      <c r="C4560" s="0" t="s">
        <v>97</v>
      </c>
      <c r="M4560" s="0" t="s">
        <v>136</v>
      </c>
      <c r="N4560" s="0" t="s">
        <v>124</v>
      </c>
      <c r="P4560" s="0" t="s">
        <v>13734</v>
      </c>
      <c r="Q4560" s="0" t="s">
        <v>13734</v>
      </c>
      <c r="R4560" s="0" t="s">
        <v>13734</v>
      </c>
      <c r="S4560" s="0" t="s">
        <v>21</v>
      </c>
      <c r="T4560" s="0" t="s">
        <v>104</v>
      </c>
      <c r="W4560" s="0" t="s">
        <v>183</v>
      </c>
    </row>
    <row r="4561" customFormat="false" ht="15" hidden="false" customHeight="false" outlineLevel="0" collapsed="false">
      <c r="A4561" s="0" t="s">
        <v>21</v>
      </c>
      <c r="B4561" s="0" t="s">
        <v>13798</v>
      </c>
      <c r="C4561" s="0" t="s">
        <v>97</v>
      </c>
      <c r="M4561" s="0" t="s">
        <v>136</v>
      </c>
      <c r="N4561" s="0" t="s">
        <v>124</v>
      </c>
      <c r="P4561" s="0" t="s">
        <v>130</v>
      </c>
      <c r="Q4561" s="0" t="s">
        <v>130</v>
      </c>
      <c r="R4561" s="0" t="s">
        <v>137</v>
      </c>
      <c r="S4561" s="0" t="s">
        <v>21</v>
      </c>
      <c r="T4561" s="0" t="s">
        <v>104</v>
      </c>
      <c r="W4561" s="0" t="s">
        <v>105</v>
      </c>
    </row>
    <row r="4562" customFormat="false" ht="15" hidden="false" customHeight="false" outlineLevel="0" collapsed="false">
      <c r="A4562" s="0" t="s">
        <v>21</v>
      </c>
      <c r="B4562" s="0" t="s">
        <v>13799</v>
      </c>
      <c r="C4562" s="0" t="s">
        <v>97</v>
      </c>
      <c r="M4562" s="0" t="s">
        <v>136</v>
      </c>
      <c r="N4562" s="0" t="s">
        <v>124</v>
      </c>
      <c r="P4562" s="0" t="s">
        <v>13734</v>
      </c>
      <c r="Q4562" s="0" t="s">
        <v>13734</v>
      </c>
      <c r="R4562" s="0" t="s">
        <v>13734</v>
      </c>
      <c r="S4562" s="0" t="s">
        <v>21</v>
      </c>
      <c r="T4562" s="0" t="s">
        <v>104</v>
      </c>
      <c r="W4562" s="0" t="s">
        <v>183</v>
      </c>
    </row>
    <row r="4563" customFormat="false" ht="15" hidden="false" customHeight="false" outlineLevel="0" collapsed="false">
      <c r="A4563" s="0" t="s">
        <v>21</v>
      </c>
      <c r="B4563" s="0" t="s">
        <v>13799</v>
      </c>
      <c r="C4563" s="0" t="s">
        <v>97</v>
      </c>
      <c r="M4563" s="0" t="s">
        <v>136</v>
      </c>
      <c r="N4563" s="0" t="s">
        <v>124</v>
      </c>
      <c r="P4563" s="0" t="s">
        <v>130</v>
      </c>
      <c r="Q4563" s="0" t="s">
        <v>130</v>
      </c>
      <c r="R4563" s="0" t="s">
        <v>137</v>
      </c>
      <c r="S4563" s="0" t="s">
        <v>21</v>
      </c>
      <c r="T4563" s="0" t="s">
        <v>104</v>
      </c>
      <c r="W4563" s="0" t="s">
        <v>105</v>
      </c>
    </row>
    <row r="4564" customFormat="false" ht="15" hidden="false" customHeight="false" outlineLevel="0" collapsed="false">
      <c r="A4564" s="0" t="s">
        <v>21</v>
      </c>
      <c r="B4564" s="0" t="s">
        <v>13800</v>
      </c>
      <c r="C4564" s="0" t="s">
        <v>97</v>
      </c>
      <c r="M4564" s="0" t="s">
        <v>136</v>
      </c>
      <c r="N4564" s="0" t="s">
        <v>124</v>
      </c>
      <c r="P4564" s="0" t="s">
        <v>13734</v>
      </c>
      <c r="Q4564" s="0" t="s">
        <v>13734</v>
      </c>
      <c r="R4564" s="0" t="s">
        <v>13734</v>
      </c>
      <c r="S4564" s="0" t="s">
        <v>21</v>
      </c>
      <c r="T4564" s="0" t="s">
        <v>104</v>
      </c>
      <c r="W4564" s="0" t="s">
        <v>183</v>
      </c>
    </row>
    <row r="4565" customFormat="false" ht="15" hidden="false" customHeight="false" outlineLevel="0" collapsed="false">
      <c r="A4565" s="0" t="s">
        <v>21</v>
      </c>
      <c r="B4565" s="0" t="s">
        <v>13800</v>
      </c>
      <c r="C4565" s="0" t="s">
        <v>97</v>
      </c>
      <c r="M4565" s="0" t="s">
        <v>136</v>
      </c>
      <c r="N4565" s="0" t="s">
        <v>124</v>
      </c>
      <c r="P4565" s="0" t="s">
        <v>130</v>
      </c>
      <c r="Q4565" s="0" t="s">
        <v>130</v>
      </c>
      <c r="R4565" s="0" t="s">
        <v>137</v>
      </c>
      <c r="S4565" s="0" t="s">
        <v>21</v>
      </c>
      <c r="T4565" s="0" t="s">
        <v>104</v>
      </c>
      <c r="W4565" s="0" t="s">
        <v>105</v>
      </c>
    </row>
    <row r="4566" customFormat="false" ht="15" hidden="false" customHeight="false" outlineLevel="0" collapsed="false">
      <c r="A4566" s="0" t="s">
        <v>21</v>
      </c>
      <c r="B4566" s="0" t="s">
        <v>13801</v>
      </c>
      <c r="C4566" s="0" t="s">
        <v>97</v>
      </c>
      <c r="M4566" s="0" t="s">
        <v>136</v>
      </c>
      <c r="N4566" s="0" t="s">
        <v>124</v>
      </c>
      <c r="P4566" s="0" t="s">
        <v>13734</v>
      </c>
      <c r="Q4566" s="0" t="s">
        <v>13734</v>
      </c>
      <c r="R4566" s="0" t="s">
        <v>13734</v>
      </c>
      <c r="S4566" s="0" t="s">
        <v>21</v>
      </c>
      <c r="T4566" s="0" t="s">
        <v>104</v>
      </c>
      <c r="W4566" s="0" t="s">
        <v>183</v>
      </c>
    </row>
    <row r="4567" customFormat="false" ht="15" hidden="false" customHeight="false" outlineLevel="0" collapsed="false">
      <c r="A4567" s="0" t="s">
        <v>21</v>
      </c>
      <c r="B4567" s="0" t="s">
        <v>13801</v>
      </c>
      <c r="C4567" s="0" t="s">
        <v>97</v>
      </c>
      <c r="M4567" s="0" t="s">
        <v>136</v>
      </c>
      <c r="N4567" s="0" t="s">
        <v>124</v>
      </c>
      <c r="P4567" s="0" t="s">
        <v>130</v>
      </c>
      <c r="Q4567" s="0" t="s">
        <v>130</v>
      </c>
      <c r="R4567" s="0" t="s">
        <v>137</v>
      </c>
      <c r="S4567" s="0" t="s">
        <v>21</v>
      </c>
      <c r="T4567" s="0" t="s">
        <v>104</v>
      </c>
      <c r="W4567" s="0" t="s">
        <v>105</v>
      </c>
    </row>
    <row r="4568" customFormat="false" ht="15" hidden="false" customHeight="false" outlineLevel="0" collapsed="false">
      <c r="A4568" s="0" t="s">
        <v>21</v>
      </c>
      <c r="B4568" s="0" t="s">
        <v>13802</v>
      </c>
      <c r="C4568" s="0" t="s">
        <v>97</v>
      </c>
      <c r="M4568" s="0" t="s">
        <v>136</v>
      </c>
      <c r="N4568" s="0" t="s">
        <v>124</v>
      </c>
      <c r="P4568" s="0" t="s">
        <v>13734</v>
      </c>
      <c r="Q4568" s="0" t="s">
        <v>13734</v>
      </c>
      <c r="R4568" s="0" t="s">
        <v>13734</v>
      </c>
      <c r="S4568" s="0" t="s">
        <v>21</v>
      </c>
      <c r="T4568" s="0" t="s">
        <v>104</v>
      </c>
      <c r="W4568" s="0" t="s">
        <v>183</v>
      </c>
    </row>
    <row r="4569" customFormat="false" ht="15" hidden="false" customHeight="false" outlineLevel="0" collapsed="false">
      <c r="A4569" s="0" t="s">
        <v>21</v>
      </c>
      <c r="B4569" s="0" t="s">
        <v>13802</v>
      </c>
      <c r="C4569" s="0" t="s">
        <v>97</v>
      </c>
      <c r="M4569" s="0" t="s">
        <v>136</v>
      </c>
      <c r="N4569" s="0" t="s">
        <v>124</v>
      </c>
      <c r="P4569" s="0" t="s">
        <v>130</v>
      </c>
      <c r="Q4569" s="0" t="s">
        <v>130</v>
      </c>
      <c r="R4569" s="0" t="s">
        <v>137</v>
      </c>
      <c r="S4569" s="0" t="s">
        <v>21</v>
      </c>
      <c r="T4569" s="0" t="s">
        <v>104</v>
      </c>
      <c r="W4569" s="0" t="s">
        <v>105</v>
      </c>
    </row>
    <row r="4570" customFormat="false" ht="15" hidden="false" customHeight="false" outlineLevel="0" collapsed="false">
      <c r="A4570" s="0" t="s">
        <v>21</v>
      </c>
      <c r="B4570" s="0" t="s">
        <v>13803</v>
      </c>
      <c r="C4570" s="0" t="s">
        <v>97</v>
      </c>
      <c r="M4570" s="0" t="s">
        <v>136</v>
      </c>
      <c r="N4570" s="0" t="s">
        <v>124</v>
      </c>
      <c r="P4570" s="0" t="s">
        <v>13734</v>
      </c>
      <c r="Q4570" s="0" t="s">
        <v>13734</v>
      </c>
      <c r="R4570" s="0" t="s">
        <v>13734</v>
      </c>
      <c r="S4570" s="0" t="s">
        <v>21</v>
      </c>
      <c r="T4570" s="0" t="s">
        <v>104</v>
      </c>
      <c r="W4570" s="0" t="s">
        <v>183</v>
      </c>
    </row>
    <row r="4571" customFormat="false" ht="15" hidden="false" customHeight="false" outlineLevel="0" collapsed="false">
      <c r="A4571" s="0" t="s">
        <v>21</v>
      </c>
      <c r="B4571" s="0" t="s">
        <v>13803</v>
      </c>
      <c r="C4571" s="0" t="s">
        <v>97</v>
      </c>
      <c r="M4571" s="0" t="s">
        <v>136</v>
      </c>
      <c r="N4571" s="0" t="s">
        <v>124</v>
      </c>
      <c r="P4571" s="0" t="s">
        <v>130</v>
      </c>
      <c r="Q4571" s="0" t="s">
        <v>130</v>
      </c>
      <c r="R4571" s="0" t="s">
        <v>137</v>
      </c>
      <c r="S4571" s="0" t="s">
        <v>21</v>
      </c>
      <c r="T4571" s="0" t="s">
        <v>104</v>
      </c>
      <c r="W4571" s="0" t="s">
        <v>105</v>
      </c>
    </row>
    <row r="4572" customFormat="false" ht="15" hidden="false" customHeight="false" outlineLevel="0" collapsed="false">
      <c r="A4572" s="0" t="s">
        <v>21</v>
      </c>
      <c r="B4572" s="0" t="s">
        <v>13804</v>
      </c>
      <c r="C4572" s="0" t="s">
        <v>97</v>
      </c>
      <c r="M4572" s="0" t="s">
        <v>136</v>
      </c>
      <c r="N4572" s="0" t="s">
        <v>124</v>
      </c>
      <c r="P4572" s="0" t="s">
        <v>13734</v>
      </c>
      <c r="Q4572" s="0" t="s">
        <v>13734</v>
      </c>
      <c r="R4572" s="0" t="s">
        <v>13734</v>
      </c>
      <c r="S4572" s="0" t="s">
        <v>21</v>
      </c>
      <c r="T4572" s="0" t="s">
        <v>104</v>
      </c>
      <c r="W4572" s="0" t="s">
        <v>183</v>
      </c>
    </row>
    <row r="4573" customFormat="false" ht="15" hidden="false" customHeight="false" outlineLevel="0" collapsed="false">
      <c r="A4573" s="0" t="s">
        <v>21</v>
      </c>
      <c r="B4573" s="0" t="s">
        <v>13804</v>
      </c>
      <c r="C4573" s="0" t="s">
        <v>97</v>
      </c>
      <c r="M4573" s="0" t="s">
        <v>136</v>
      </c>
      <c r="N4573" s="0" t="s">
        <v>124</v>
      </c>
      <c r="P4573" s="0" t="s">
        <v>130</v>
      </c>
      <c r="Q4573" s="0" t="s">
        <v>130</v>
      </c>
      <c r="R4573" s="0" t="s">
        <v>137</v>
      </c>
      <c r="S4573" s="0" t="s">
        <v>21</v>
      </c>
      <c r="T4573" s="0" t="s">
        <v>104</v>
      </c>
      <c r="W4573" s="0" t="s">
        <v>105</v>
      </c>
    </row>
    <row r="4574" customFormat="false" ht="15" hidden="false" customHeight="false" outlineLevel="0" collapsed="false">
      <c r="A4574" s="0" t="s">
        <v>21</v>
      </c>
      <c r="B4574" s="0" t="s">
        <v>13805</v>
      </c>
      <c r="C4574" s="0" t="s">
        <v>97</v>
      </c>
      <c r="M4574" s="0" t="s">
        <v>136</v>
      </c>
      <c r="N4574" s="0" t="s">
        <v>124</v>
      </c>
      <c r="P4574" s="0" t="s">
        <v>13734</v>
      </c>
      <c r="Q4574" s="0" t="s">
        <v>13734</v>
      </c>
      <c r="R4574" s="0" t="s">
        <v>13734</v>
      </c>
      <c r="S4574" s="0" t="s">
        <v>21</v>
      </c>
      <c r="T4574" s="0" t="s">
        <v>104</v>
      </c>
      <c r="W4574" s="0" t="s">
        <v>183</v>
      </c>
    </row>
    <row r="4575" customFormat="false" ht="15" hidden="false" customHeight="false" outlineLevel="0" collapsed="false">
      <c r="A4575" s="0" t="s">
        <v>21</v>
      </c>
      <c r="B4575" s="0" t="s">
        <v>13805</v>
      </c>
      <c r="C4575" s="0" t="s">
        <v>97</v>
      </c>
      <c r="M4575" s="0" t="s">
        <v>136</v>
      </c>
      <c r="N4575" s="0" t="s">
        <v>124</v>
      </c>
      <c r="P4575" s="0" t="s">
        <v>130</v>
      </c>
      <c r="Q4575" s="0" t="s">
        <v>130</v>
      </c>
      <c r="R4575" s="0" t="s">
        <v>137</v>
      </c>
      <c r="S4575" s="0" t="s">
        <v>21</v>
      </c>
      <c r="T4575" s="0" t="s">
        <v>104</v>
      </c>
      <c r="W4575" s="0" t="s">
        <v>105</v>
      </c>
    </row>
    <row r="4576" customFormat="false" ht="15" hidden="false" customHeight="false" outlineLevel="0" collapsed="false">
      <c r="A4576" s="0" t="s">
        <v>21</v>
      </c>
      <c r="B4576" s="0" t="s">
        <v>13806</v>
      </c>
      <c r="C4576" s="0" t="s">
        <v>97</v>
      </c>
      <c r="M4576" s="0" t="s">
        <v>136</v>
      </c>
      <c r="N4576" s="0" t="s">
        <v>124</v>
      </c>
      <c r="P4576" s="0" t="s">
        <v>13734</v>
      </c>
      <c r="Q4576" s="0" t="s">
        <v>13734</v>
      </c>
      <c r="R4576" s="0" t="s">
        <v>13734</v>
      </c>
      <c r="S4576" s="0" t="s">
        <v>21</v>
      </c>
      <c r="T4576" s="0" t="s">
        <v>104</v>
      </c>
      <c r="W4576" s="0" t="s">
        <v>183</v>
      </c>
    </row>
    <row r="4577" customFormat="false" ht="15" hidden="false" customHeight="false" outlineLevel="0" collapsed="false">
      <c r="A4577" s="0" t="s">
        <v>21</v>
      </c>
      <c r="B4577" s="0" t="s">
        <v>13806</v>
      </c>
      <c r="C4577" s="0" t="s">
        <v>97</v>
      </c>
      <c r="M4577" s="0" t="s">
        <v>136</v>
      </c>
      <c r="N4577" s="0" t="s">
        <v>124</v>
      </c>
      <c r="P4577" s="0" t="s">
        <v>130</v>
      </c>
      <c r="Q4577" s="0" t="s">
        <v>130</v>
      </c>
      <c r="R4577" s="0" t="s">
        <v>137</v>
      </c>
      <c r="S4577" s="0" t="s">
        <v>21</v>
      </c>
      <c r="T4577" s="0" t="s">
        <v>104</v>
      </c>
      <c r="W4577" s="0" t="s">
        <v>105</v>
      </c>
    </row>
    <row r="4578" customFormat="false" ht="15" hidden="false" customHeight="false" outlineLevel="0" collapsed="false">
      <c r="A4578" s="0" t="s">
        <v>21</v>
      </c>
      <c r="B4578" s="0" t="s">
        <v>13807</v>
      </c>
      <c r="C4578" s="0" t="s">
        <v>97</v>
      </c>
      <c r="M4578" s="0" t="s">
        <v>136</v>
      </c>
      <c r="N4578" s="0" t="s">
        <v>124</v>
      </c>
      <c r="P4578" s="0" t="s">
        <v>13734</v>
      </c>
      <c r="Q4578" s="0" t="s">
        <v>13734</v>
      </c>
      <c r="R4578" s="0" t="s">
        <v>13734</v>
      </c>
      <c r="S4578" s="0" t="s">
        <v>21</v>
      </c>
      <c r="T4578" s="0" t="s">
        <v>104</v>
      </c>
      <c r="W4578" s="0" t="s">
        <v>183</v>
      </c>
    </row>
    <row r="4579" customFormat="false" ht="15" hidden="false" customHeight="false" outlineLevel="0" collapsed="false">
      <c r="A4579" s="0" t="s">
        <v>21</v>
      </c>
      <c r="B4579" s="0" t="s">
        <v>13807</v>
      </c>
      <c r="C4579" s="0" t="s">
        <v>97</v>
      </c>
      <c r="M4579" s="0" t="s">
        <v>136</v>
      </c>
      <c r="N4579" s="0" t="s">
        <v>124</v>
      </c>
      <c r="P4579" s="0" t="s">
        <v>130</v>
      </c>
      <c r="Q4579" s="0" t="s">
        <v>130</v>
      </c>
      <c r="R4579" s="0" t="s">
        <v>137</v>
      </c>
      <c r="S4579" s="0" t="s">
        <v>21</v>
      </c>
      <c r="T4579" s="0" t="s">
        <v>104</v>
      </c>
      <c r="W4579" s="0" t="s">
        <v>105</v>
      </c>
    </row>
    <row r="4580" customFormat="false" ht="15" hidden="false" customHeight="false" outlineLevel="0" collapsed="false">
      <c r="A4580" s="0" t="s">
        <v>21</v>
      </c>
      <c r="B4580" s="0" t="s">
        <v>13808</v>
      </c>
      <c r="C4580" s="0" t="s">
        <v>97</v>
      </c>
      <c r="M4580" s="0" t="s">
        <v>136</v>
      </c>
      <c r="N4580" s="0" t="s">
        <v>124</v>
      </c>
      <c r="P4580" s="0" t="s">
        <v>13734</v>
      </c>
      <c r="Q4580" s="0" t="s">
        <v>13734</v>
      </c>
      <c r="R4580" s="0" t="s">
        <v>13734</v>
      </c>
      <c r="S4580" s="0" t="s">
        <v>21</v>
      </c>
      <c r="T4580" s="0" t="s">
        <v>104</v>
      </c>
      <c r="W4580" s="0" t="s">
        <v>183</v>
      </c>
    </row>
    <row r="4581" customFormat="false" ht="15" hidden="false" customHeight="false" outlineLevel="0" collapsed="false">
      <c r="A4581" s="0" t="s">
        <v>21</v>
      </c>
      <c r="B4581" s="0" t="s">
        <v>13808</v>
      </c>
      <c r="C4581" s="0" t="s">
        <v>97</v>
      </c>
      <c r="M4581" s="0" t="s">
        <v>136</v>
      </c>
      <c r="N4581" s="0" t="s">
        <v>124</v>
      </c>
      <c r="P4581" s="0" t="s">
        <v>130</v>
      </c>
      <c r="Q4581" s="0" t="s">
        <v>130</v>
      </c>
      <c r="R4581" s="0" t="s">
        <v>137</v>
      </c>
      <c r="S4581" s="0" t="s">
        <v>21</v>
      </c>
      <c r="T4581" s="0" t="s">
        <v>104</v>
      </c>
      <c r="W4581" s="0" t="s">
        <v>105</v>
      </c>
    </row>
    <row r="4582" customFormat="false" ht="15" hidden="false" customHeight="false" outlineLevel="0" collapsed="false">
      <c r="A4582" s="0" t="s">
        <v>21</v>
      </c>
      <c r="B4582" s="0" t="s">
        <v>13809</v>
      </c>
      <c r="C4582" s="0" t="s">
        <v>97</v>
      </c>
      <c r="M4582" s="0" t="s">
        <v>136</v>
      </c>
      <c r="N4582" s="0" t="s">
        <v>124</v>
      </c>
      <c r="P4582" s="0" t="s">
        <v>13734</v>
      </c>
      <c r="Q4582" s="0" t="s">
        <v>13734</v>
      </c>
      <c r="R4582" s="0" t="s">
        <v>13734</v>
      </c>
      <c r="S4582" s="0" t="s">
        <v>21</v>
      </c>
      <c r="T4582" s="0" t="s">
        <v>104</v>
      </c>
      <c r="W4582" s="0" t="s">
        <v>183</v>
      </c>
    </row>
    <row r="4583" customFormat="false" ht="15" hidden="false" customHeight="false" outlineLevel="0" collapsed="false">
      <c r="A4583" s="0" t="s">
        <v>21</v>
      </c>
      <c r="B4583" s="0" t="s">
        <v>13809</v>
      </c>
      <c r="C4583" s="0" t="s">
        <v>97</v>
      </c>
      <c r="M4583" s="0" t="s">
        <v>136</v>
      </c>
      <c r="N4583" s="0" t="s">
        <v>124</v>
      </c>
      <c r="P4583" s="0" t="s">
        <v>130</v>
      </c>
      <c r="Q4583" s="0" t="s">
        <v>130</v>
      </c>
      <c r="R4583" s="0" t="s">
        <v>137</v>
      </c>
      <c r="S4583" s="0" t="s">
        <v>21</v>
      </c>
      <c r="T4583" s="0" t="s">
        <v>104</v>
      </c>
      <c r="W4583" s="0" t="s">
        <v>105</v>
      </c>
    </row>
    <row r="4584" customFormat="false" ht="15" hidden="false" customHeight="false" outlineLevel="0" collapsed="false">
      <c r="A4584" s="0" t="s">
        <v>21</v>
      </c>
      <c r="B4584" s="0" t="s">
        <v>13810</v>
      </c>
      <c r="C4584" s="0" t="s">
        <v>97</v>
      </c>
      <c r="M4584" s="0" t="s">
        <v>136</v>
      </c>
      <c r="N4584" s="0" t="s">
        <v>124</v>
      </c>
      <c r="P4584" s="0" t="s">
        <v>13734</v>
      </c>
      <c r="Q4584" s="0" t="s">
        <v>13734</v>
      </c>
      <c r="R4584" s="0" t="s">
        <v>13734</v>
      </c>
      <c r="S4584" s="0" t="s">
        <v>21</v>
      </c>
      <c r="T4584" s="0" t="s">
        <v>104</v>
      </c>
      <c r="W4584" s="0" t="s">
        <v>183</v>
      </c>
    </row>
    <row r="4585" customFormat="false" ht="15" hidden="false" customHeight="false" outlineLevel="0" collapsed="false">
      <c r="A4585" s="0" t="s">
        <v>21</v>
      </c>
      <c r="B4585" s="0" t="s">
        <v>13810</v>
      </c>
      <c r="C4585" s="0" t="s">
        <v>97</v>
      </c>
      <c r="M4585" s="0" t="s">
        <v>136</v>
      </c>
      <c r="N4585" s="0" t="s">
        <v>124</v>
      </c>
      <c r="P4585" s="0" t="s">
        <v>130</v>
      </c>
      <c r="Q4585" s="0" t="s">
        <v>130</v>
      </c>
      <c r="R4585" s="0" t="s">
        <v>137</v>
      </c>
      <c r="S4585" s="0" t="s">
        <v>21</v>
      </c>
      <c r="T4585" s="0" t="s">
        <v>104</v>
      </c>
      <c r="W4585" s="0" t="s">
        <v>105</v>
      </c>
    </row>
    <row r="4586" customFormat="false" ht="15" hidden="false" customHeight="false" outlineLevel="0" collapsed="false">
      <c r="A4586" s="0" t="s">
        <v>21</v>
      </c>
      <c r="B4586" s="0" t="s">
        <v>13811</v>
      </c>
      <c r="C4586" s="0" t="s">
        <v>97</v>
      </c>
      <c r="M4586" s="0" t="s">
        <v>136</v>
      </c>
      <c r="N4586" s="0" t="s">
        <v>124</v>
      </c>
      <c r="P4586" s="0" t="s">
        <v>13734</v>
      </c>
      <c r="Q4586" s="0" t="s">
        <v>13734</v>
      </c>
      <c r="R4586" s="0" t="s">
        <v>13734</v>
      </c>
      <c r="S4586" s="0" t="s">
        <v>21</v>
      </c>
      <c r="T4586" s="0" t="s">
        <v>104</v>
      </c>
      <c r="W4586" s="0" t="s">
        <v>183</v>
      </c>
    </row>
    <row r="4587" customFormat="false" ht="15" hidden="false" customHeight="false" outlineLevel="0" collapsed="false">
      <c r="A4587" s="0" t="s">
        <v>21</v>
      </c>
      <c r="B4587" s="0" t="s">
        <v>13811</v>
      </c>
      <c r="C4587" s="0" t="s">
        <v>97</v>
      </c>
      <c r="M4587" s="0" t="s">
        <v>136</v>
      </c>
      <c r="N4587" s="0" t="s">
        <v>124</v>
      </c>
      <c r="P4587" s="0" t="s">
        <v>130</v>
      </c>
      <c r="Q4587" s="0" t="s">
        <v>130</v>
      </c>
      <c r="R4587" s="0" t="s">
        <v>137</v>
      </c>
      <c r="S4587" s="0" t="s">
        <v>21</v>
      </c>
      <c r="T4587" s="0" t="s">
        <v>104</v>
      </c>
      <c r="W4587" s="0" t="s">
        <v>105</v>
      </c>
    </row>
    <row r="4588" customFormat="false" ht="15" hidden="false" customHeight="false" outlineLevel="0" collapsed="false">
      <c r="A4588" s="0" t="s">
        <v>21</v>
      </c>
      <c r="B4588" s="0" t="s">
        <v>13812</v>
      </c>
      <c r="C4588" s="0" t="s">
        <v>97</v>
      </c>
      <c r="M4588" s="0" t="s">
        <v>136</v>
      </c>
      <c r="N4588" s="0" t="s">
        <v>124</v>
      </c>
      <c r="P4588" s="0" t="s">
        <v>13734</v>
      </c>
      <c r="Q4588" s="0" t="s">
        <v>13734</v>
      </c>
      <c r="R4588" s="0" t="s">
        <v>13734</v>
      </c>
      <c r="S4588" s="0" t="s">
        <v>21</v>
      </c>
      <c r="T4588" s="0" t="s">
        <v>104</v>
      </c>
      <c r="W4588" s="0" t="s">
        <v>183</v>
      </c>
    </row>
    <row r="4589" customFormat="false" ht="15" hidden="false" customHeight="false" outlineLevel="0" collapsed="false">
      <c r="A4589" s="0" t="s">
        <v>21</v>
      </c>
      <c r="B4589" s="0" t="s">
        <v>13812</v>
      </c>
      <c r="C4589" s="0" t="s">
        <v>97</v>
      </c>
      <c r="M4589" s="0" t="s">
        <v>136</v>
      </c>
      <c r="N4589" s="0" t="s">
        <v>124</v>
      </c>
      <c r="P4589" s="0" t="s">
        <v>130</v>
      </c>
      <c r="Q4589" s="0" t="s">
        <v>130</v>
      </c>
      <c r="R4589" s="0" t="s">
        <v>137</v>
      </c>
      <c r="S4589" s="0" t="s">
        <v>21</v>
      </c>
      <c r="T4589" s="0" t="s">
        <v>104</v>
      </c>
      <c r="W4589" s="0" t="s">
        <v>105</v>
      </c>
    </row>
    <row r="4590" customFormat="false" ht="15" hidden="false" customHeight="false" outlineLevel="0" collapsed="false">
      <c r="A4590" s="0" t="s">
        <v>21</v>
      </c>
      <c r="B4590" s="0" t="s">
        <v>13813</v>
      </c>
      <c r="C4590" s="0" t="s">
        <v>97</v>
      </c>
      <c r="M4590" s="0" t="s">
        <v>136</v>
      </c>
      <c r="N4590" s="0" t="s">
        <v>124</v>
      </c>
      <c r="P4590" s="0" t="s">
        <v>13734</v>
      </c>
      <c r="Q4590" s="0" t="s">
        <v>13734</v>
      </c>
      <c r="R4590" s="0" t="s">
        <v>13734</v>
      </c>
      <c r="S4590" s="0" t="s">
        <v>21</v>
      </c>
      <c r="T4590" s="0" t="s">
        <v>104</v>
      </c>
      <c r="W4590" s="0" t="s">
        <v>183</v>
      </c>
    </row>
    <row r="4591" customFormat="false" ht="15" hidden="false" customHeight="false" outlineLevel="0" collapsed="false">
      <c r="A4591" s="0" t="s">
        <v>21</v>
      </c>
      <c r="B4591" s="0" t="s">
        <v>13813</v>
      </c>
      <c r="C4591" s="0" t="s">
        <v>97</v>
      </c>
      <c r="M4591" s="0" t="s">
        <v>136</v>
      </c>
      <c r="N4591" s="0" t="s">
        <v>124</v>
      </c>
      <c r="P4591" s="0" t="s">
        <v>130</v>
      </c>
      <c r="Q4591" s="0" t="s">
        <v>130</v>
      </c>
      <c r="R4591" s="0" t="s">
        <v>137</v>
      </c>
      <c r="S4591" s="0" t="s">
        <v>21</v>
      </c>
      <c r="T4591" s="0" t="s">
        <v>104</v>
      </c>
      <c r="W4591" s="0" t="s">
        <v>105</v>
      </c>
    </row>
    <row r="4592" customFormat="false" ht="15" hidden="false" customHeight="false" outlineLevel="0" collapsed="false">
      <c r="A4592" s="0" t="s">
        <v>21</v>
      </c>
      <c r="B4592" s="0" t="s">
        <v>13814</v>
      </c>
      <c r="C4592" s="0" t="s">
        <v>97</v>
      </c>
      <c r="M4592" s="0" t="s">
        <v>136</v>
      </c>
      <c r="N4592" s="0" t="s">
        <v>124</v>
      </c>
      <c r="P4592" s="0" t="s">
        <v>13734</v>
      </c>
      <c r="Q4592" s="0" t="s">
        <v>13734</v>
      </c>
      <c r="R4592" s="0" t="s">
        <v>13734</v>
      </c>
      <c r="S4592" s="0" t="s">
        <v>21</v>
      </c>
      <c r="T4592" s="0" t="s">
        <v>104</v>
      </c>
      <c r="W4592" s="0" t="s">
        <v>183</v>
      </c>
    </row>
    <row r="4593" customFormat="false" ht="15" hidden="false" customHeight="false" outlineLevel="0" collapsed="false">
      <c r="A4593" s="0" t="s">
        <v>21</v>
      </c>
      <c r="B4593" s="0" t="s">
        <v>13814</v>
      </c>
      <c r="C4593" s="0" t="s">
        <v>97</v>
      </c>
      <c r="M4593" s="0" t="s">
        <v>136</v>
      </c>
      <c r="N4593" s="0" t="s">
        <v>124</v>
      </c>
      <c r="P4593" s="0" t="s">
        <v>130</v>
      </c>
      <c r="Q4593" s="0" t="s">
        <v>130</v>
      </c>
      <c r="R4593" s="0" t="s">
        <v>137</v>
      </c>
      <c r="S4593" s="0" t="s">
        <v>21</v>
      </c>
      <c r="T4593" s="0" t="s">
        <v>104</v>
      </c>
      <c r="W4593" s="0" t="s">
        <v>105</v>
      </c>
    </row>
    <row r="4594" customFormat="false" ht="15" hidden="false" customHeight="false" outlineLevel="0" collapsed="false">
      <c r="A4594" s="0" t="s">
        <v>21</v>
      </c>
      <c r="B4594" s="0" t="s">
        <v>13815</v>
      </c>
      <c r="C4594" s="0" t="s">
        <v>97</v>
      </c>
      <c r="M4594" s="0" t="s">
        <v>136</v>
      </c>
      <c r="N4594" s="0" t="s">
        <v>124</v>
      </c>
      <c r="P4594" s="0" t="s">
        <v>13734</v>
      </c>
      <c r="Q4594" s="0" t="s">
        <v>13734</v>
      </c>
      <c r="R4594" s="0" t="s">
        <v>13734</v>
      </c>
      <c r="S4594" s="0" t="s">
        <v>21</v>
      </c>
      <c r="T4594" s="0" t="s">
        <v>104</v>
      </c>
      <c r="W4594" s="0" t="s">
        <v>183</v>
      </c>
    </row>
    <row r="4595" customFormat="false" ht="15" hidden="false" customHeight="false" outlineLevel="0" collapsed="false">
      <c r="A4595" s="0" t="s">
        <v>21</v>
      </c>
      <c r="B4595" s="0" t="s">
        <v>13815</v>
      </c>
      <c r="C4595" s="0" t="s">
        <v>97</v>
      </c>
      <c r="M4595" s="0" t="s">
        <v>136</v>
      </c>
      <c r="N4595" s="0" t="s">
        <v>124</v>
      </c>
      <c r="P4595" s="0" t="s">
        <v>130</v>
      </c>
      <c r="Q4595" s="0" t="s">
        <v>130</v>
      </c>
      <c r="R4595" s="0" t="s">
        <v>137</v>
      </c>
      <c r="S4595" s="0" t="s">
        <v>21</v>
      </c>
      <c r="T4595" s="0" t="s">
        <v>104</v>
      </c>
      <c r="W4595" s="0" t="s">
        <v>105</v>
      </c>
    </row>
    <row r="4596" customFormat="false" ht="15" hidden="false" customHeight="false" outlineLevel="0" collapsed="false">
      <c r="A4596" s="0" t="s">
        <v>21</v>
      </c>
      <c r="B4596" s="0" t="s">
        <v>13816</v>
      </c>
      <c r="C4596" s="0" t="s">
        <v>97</v>
      </c>
      <c r="M4596" s="0" t="s">
        <v>136</v>
      </c>
      <c r="N4596" s="0" t="s">
        <v>124</v>
      </c>
      <c r="P4596" s="0" t="s">
        <v>13734</v>
      </c>
      <c r="Q4596" s="0" t="s">
        <v>13734</v>
      </c>
      <c r="R4596" s="0" t="s">
        <v>13734</v>
      </c>
      <c r="S4596" s="0" t="s">
        <v>21</v>
      </c>
      <c r="T4596" s="0" t="s">
        <v>104</v>
      </c>
      <c r="W4596" s="0" t="s">
        <v>183</v>
      </c>
    </row>
    <row r="4597" customFormat="false" ht="15" hidden="false" customHeight="false" outlineLevel="0" collapsed="false">
      <c r="A4597" s="0" t="s">
        <v>21</v>
      </c>
      <c r="B4597" s="0" t="s">
        <v>13816</v>
      </c>
      <c r="C4597" s="0" t="s">
        <v>97</v>
      </c>
      <c r="M4597" s="0" t="s">
        <v>136</v>
      </c>
      <c r="N4597" s="0" t="s">
        <v>124</v>
      </c>
      <c r="P4597" s="0" t="s">
        <v>130</v>
      </c>
      <c r="Q4597" s="0" t="s">
        <v>130</v>
      </c>
      <c r="R4597" s="0" t="s">
        <v>137</v>
      </c>
      <c r="S4597" s="0" t="s">
        <v>21</v>
      </c>
      <c r="T4597" s="0" t="s">
        <v>104</v>
      </c>
      <c r="W4597" s="0" t="s">
        <v>105</v>
      </c>
    </row>
    <row r="4598" customFormat="false" ht="15" hidden="false" customHeight="false" outlineLevel="0" collapsed="false">
      <c r="A4598" s="0" t="s">
        <v>21</v>
      </c>
      <c r="B4598" s="0" t="s">
        <v>13817</v>
      </c>
      <c r="C4598" s="0" t="s">
        <v>97</v>
      </c>
      <c r="M4598" s="0" t="s">
        <v>136</v>
      </c>
      <c r="N4598" s="0" t="s">
        <v>124</v>
      </c>
      <c r="P4598" s="0" t="s">
        <v>13734</v>
      </c>
      <c r="Q4598" s="0" t="s">
        <v>13734</v>
      </c>
      <c r="R4598" s="0" t="s">
        <v>13734</v>
      </c>
      <c r="S4598" s="0" t="s">
        <v>21</v>
      </c>
      <c r="T4598" s="0" t="s">
        <v>104</v>
      </c>
      <c r="W4598" s="0" t="s">
        <v>183</v>
      </c>
    </row>
    <row r="4599" customFormat="false" ht="15" hidden="false" customHeight="false" outlineLevel="0" collapsed="false">
      <c r="A4599" s="0" t="s">
        <v>21</v>
      </c>
      <c r="B4599" s="0" t="s">
        <v>13817</v>
      </c>
      <c r="C4599" s="0" t="s">
        <v>97</v>
      </c>
      <c r="M4599" s="0" t="s">
        <v>136</v>
      </c>
      <c r="N4599" s="0" t="s">
        <v>124</v>
      </c>
      <c r="P4599" s="0" t="s">
        <v>130</v>
      </c>
      <c r="Q4599" s="0" t="s">
        <v>130</v>
      </c>
      <c r="R4599" s="0" t="s">
        <v>137</v>
      </c>
      <c r="S4599" s="0" t="s">
        <v>21</v>
      </c>
      <c r="T4599" s="0" t="s">
        <v>104</v>
      </c>
      <c r="W4599" s="0" t="s">
        <v>105</v>
      </c>
    </row>
    <row r="4600" customFormat="false" ht="15" hidden="false" customHeight="false" outlineLevel="0" collapsed="false">
      <c r="A4600" s="0" t="s">
        <v>21</v>
      </c>
      <c r="B4600" s="0" t="s">
        <v>13818</v>
      </c>
      <c r="C4600" s="0" t="s">
        <v>97</v>
      </c>
      <c r="M4600" s="0" t="s">
        <v>136</v>
      </c>
      <c r="N4600" s="0" t="s">
        <v>124</v>
      </c>
      <c r="P4600" s="0" t="s">
        <v>13734</v>
      </c>
      <c r="Q4600" s="0" t="s">
        <v>13734</v>
      </c>
      <c r="R4600" s="0" t="s">
        <v>13734</v>
      </c>
      <c r="S4600" s="0" t="s">
        <v>21</v>
      </c>
      <c r="T4600" s="0" t="s">
        <v>104</v>
      </c>
      <c r="W4600" s="0" t="s">
        <v>183</v>
      </c>
    </row>
    <row r="4601" customFormat="false" ht="15" hidden="false" customHeight="false" outlineLevel="0" collapsed="false">
      <c r="A4601" s="0" t="s">
        <v>21</v>
      </c>
      <c r="B4601" s="0" t="s">
        <v>13818</v>
      </c>
      <c r="C4601" s="0" t="s">
        <v>97</v>
      </c>
      <c r="M4601" s="0" t="s">
        <v>136</v>
      </c>
      <c r="N4601" s="0" t="s">
        <v>124</v>
      </c>
      <c r="P4601" s="0" t="s">
        <v>130</v>
      </c>
      <c r="Q4601" s="0" t="s">
        <v>130</v>
      </c>
      <c r="R4601" s="0" t="s">
        <v>137</v>
      </c>
      <c r="S4601" s="0" t="s">
        <v>21</v>
      </c>
      <c r="T4601" s="0" t="s">
        <v>104</v>
      </c>
      <c r="W4601" s="0" t="s">
        <v>105</v>
      </c>
    </row>
    <row r="4602" customFormat="false" ht="15" hidden="false" customHeight="false" outlineLevel="0" collapsed="false">
      <c r="A4602" s="0" t="s">
        <v>21</v>
      </c>
      <c r="B4602" s="0" t="s">
        <v>13819</v>
      </c>
      <c r="C4602" s="0" t="s">
        <v>97</v>
      </c>
      <c r="M4602" s="0" t="s">
        <v>136</v>
      </c>
      <c r="N4602" s="0" t="s">
        <v>124</v>
      </c>
      <c r="P4602" s="0" t="s">
        <v>13734</v>
      </c>
      <c r="Q4602" s="0" t="s">
        <v>13734</v>
      </c>
      <c r="R4602" s="0" t="s">
        <v>13734</v>
      </c>
      <c r="S4602" s="0" t="s">
        <v>21</v>
      </c>
      <c r="T4602" s="0" t="s">
        <v>104</v>
      </c>
      <c r="W4602" s="0" t="s">
        <v>183</v>
      </c>
    </row>
    <row r="4603" customFormat="false" ht="15" hidden="false" customHeight="false" outlineLevel="0" collapsed="false">
      <c r="A4603" s="0" t="s">
        <v>21</v>
      </c>
      <c r="B4603" s="0" t="s">
        <v>13819</v>
      </c>
      <c r="C4603" s="0" t="s">
        <v>97</v>
      </c>
      <c r="M4603" s="0" t="s">
        <v>136</v>
      </c>
      <c r="N4603" s="0" t="s">
        <v>124</v>
      </c>
      <c r="P4603" s="0" t="s">
        <v>130</v>
      </c>
      <c r="Q4603" s="0" t="s">
        <v>130</v>
      </c>
      <c r="R4603" s="0" t="s">
        <v>137</v>
      </c>
      <c r="S4603" s="0" t="s">
        <v>21</v>
      </c>
      <c r="T4603" s="0" t="s">
        <v>104</v>
      </c>
      <c r="W4603" s="0" t="s">
        <v>105</v>
      </c>
    </row>
    <row r="4604" customFormat="false" ht="15" hidden="false" customHeight="false" outlineLevel="0" collapsed="false">
      <c r="A4604" s="0" t="s">
        <v>21</v>
      </c>
      <c r="B4604" s="0" t="s">
        <v>13820</v>
      </c>
      <c r="C4604" s="0" t="s">
        <v>97</v>
      </c>
      <c r="M4604" s="0" t="s">
        <v>136</v>
      </c>
      <c r="N4604" s="0" t="s">
        <v>124</v>
      </c>
      <c r="P4604" s="0" t="s">
        <v>13734</v>
      </c>
      <c r="Q4604" s="0" t="s">
        <v>13734</v>
      </c>
      <c r="R4604" s="0" t="s">
        <v>13734</v>
      </c>
      <c r="S4604" s="0" t="s">
        <v>21</v>
      </c>
      <c r="T4604" s="0" t="s">
        <v>104</v>
      </c>
      <c r="W4604" s="0" t="s">
        <v>183</v>
      </c>
    </row>
    <row r="4605" customFormat="false" ht="15" hidden="false" customHeight="false" outlineLevel="0" collapsed="false">
      <c r="A4605" s="0" t="s">
        <v>21</v>
      </c>
      <c r="B4605" s="0" t="s">
        <v>13820</v>
      </c>
      <c r="C4605" s="0" t="s">
        <v>97</v>
      </c>
      <c r="M4605" s="0" t="s">
        <v>136</v>
      </c>
      <c r="N4605" s="0" t="s">
        <v>124</v>
      </c>
      <c r="P4605" s="0" t="s">
        <v>130</v>
      </c>
      <c r="Q4605" s="0" t="s">
        <v>130</v>
      </c>
      <c r="R4605" s="0" t="s">
        <v>137</v>
      </c>
      <c r="S4605" s="0" t="s">
        <v>21</v>
      </c>
      <c r="T4605" s="0" t="s">
        <v>104</v>
      </c>
      <c r="W4605" s="0" t="s">
        <v>105</v>
      </c>
    </row>
    <row r="4606" customFormat="false" ht="15" hidden="false" customHeight="false" outlineLevel="0" collapsed="false">
      <c r="A4606" s="0" t="s">
        <v>21</v>
      </c>
      <c r="B4606" s="0" t="s">
        <v>13821</v>
      </c>
      <c r="C4606" s="0" t="s">
        <v>97</v>
      </c>
      <c r="M4606" s="0" t="s">
        <v>136</v>
      </c>
      <c r="N4606" s="0" t="s">
        <v>124</v>
      </c>
      <c r="P4606" s="0" t="s">
        <v>13734</v>
      </c>
      <c r="Q4606" s="0" t="s">
        <v>13734</v>
      </c>
      <c r="R4606" s="0" t="s">
        <v>13734</v>
      </c>
      <c r="S4606" s="0" t="s">
        <v>21</v>
      </c>
      <c r="T4606" s="0" t="s">
        <v>104</v>
      </c>
      <c r="W4606" s="0" t="s">
        <v>183</v>
      </c>
    </row>
    <row r="4607" customFormat="false" ht="15" hidden="false" customHeight="false" outlineLevel="0" collapsed="false">
      <c r="A4607" s="0" t="s">
        <v>21</v>
      </c>
      <c r="B4607" s="0" t="s">
        <v>13821</v>
      </c>
      <c r="C4607" s="0" t="s">
        <v>97</v>
      </c>
      <c r="M4607" s="0" t="s">
        <v>136</v>
      </c>
      <c r="N4607" s="0" t="s">
        <v>124</v>
      </c>
      <c r="P4607" s="0" t="s">
        <v>130</v>
      </c>
      <c r="Q4607" s="0" t="s">
        <v>130</v>
      </c>
      <c r="R4607" s="0" t="s">
        <v>137</v>
      </c>
      <c r="S4607" s="0" t="s">
        <v>21</v>
      </c>
      <c r="T4607" s="0" t="s">
        <v>104</v>
      </c>
      <c r="W4607" s="0" t="s">
        <v>105</v>
      </c>
    </row>
    <row r="4608" customFormat="false" ht="15" hidden="false" customHeight="false" outlineLevel="0" collapsed="false">
      <c r="A4608" s="0" t="s">
        <v>21</v>
      </c>
      <c r="B4608" s="0" t="s">
        <v>13822</v>
      </c>
      <c r="C4608" s="0" t="s">
        <v>97</v>
      </c>
      <c r="M4608" s="0" t="s">
        <v>136</v>
      </c>
      <c r="N4608" s="0" t="s">
        <v>124</v>
      </c>
      <c r="P4608" s="0" t="s">
        <v>13734</v>
      </c>
      <c r="Q4608" s="0" t="s">
        <v>13734</v>
      </c>
      <c r="R4608" s="0" t="s">
        <v>13734</v>
      </c>
      <c r="S4608" s="0" t="s">
        <v>21</v>
      </c>
      <c r="T4608" s="0" t="s">
        <v>104</v>
      </c>
      <c r="W4608" s="0" t="s">
        <v>183</v>
      </c>
    </row>
    <row r="4609" customFormat="false" ht="15" hidden="false" customHeight="false" outlineLevel="0" collapsed="false">
      <c r="A4609" s="0" t="s">
        <v>21</v>
      </c>
      <c r="B4609" s="0" t="s">
        <v>13822</v>
      </c>
      <c r="C4609" s="0" t="s">
        <v>97</v>
      </c>
      <c r="M4609" s="0" t="s">
        <v>136</v>
      </c>
      <c r="N4609" s="0" t="s">
        <v>124</v>
      </c>
      <c r="P4609" s="0" t="s">
        <v>130</v>
      </c>
      <c r="Q4609" s="0" t="s">
        <v>130</v>
      </c>
      <c r="R4609" s="0" t="s">
        <v>137</v>
      </c>
      <c r="S4609" s="0" t="s">
        <v>21</v>
      </c>
      <c r="T4609" s="0" t="s">
        <v>104</v>
      </c>
      <c r="W4609" s="0" t="s">
        <v>105</v>
      </c>
    </row>
    <row r="4610" customFormat="false" ht="15" hidden="false" customHeight="false" outlineLevel="0" collapsed="false">
      <c r="A4610" s="0" t="s">
        <v>21</v>
      </c>
      <c r="B4610" s="0" t="s">
        <v>13823</v>
      </c>
      <c r="C4610" s="0" t="s">
        <v>97</v>
      </c>
      <c r="M4610" s="0" t="s">
        <v>136</v>
      </c>
      <c r="N4610" s="0" t="s">
        <v>124</v>
      </c>
      <c r="P4610" s="0" t="s">
        <v>13734</v>
      </c>
      <c r="Q4610" s="0" t="s">
        <v>13734</v>
      </c>
      <c r="R4610" s="0" t="s">
        <v>13734</v>
      </c>
      <c r="S4610" s="0" t="s">
        <v>21</v>
      </c>
      <c r="T4610" s="0" t="s">
        <v>104</v>
      </c>
      <c r="W4610" s="0" t="s">
        <v>183</v>
      </c>
    </row>
    <row r="4611" customFormat="false" ht="15" hidden="false" customHeight="false" outlineLevel="0" collapsed="false">
      <c r="A4611" s="0" t="s">
        <v>21</v>
      </c>
      <c r="B4611" s="0" t="s">
        <v>13823</v>
      </c>
      <c r="C4611" s="0" t="s">
        <v>97</v>
      </c>
      <c r="M4611" s="0" t="s">
        <v>136</v>
      </c>
      <c r="N4611" s="0" t="s">
        <v>124</v>
      </c>
      <c r="P4611" s="0" t="s">
        <v>130</v>
      </c>
      <c r="Q4611" s="0" t="s">
        <v>130</v>
      </c>
      <c r="R4611" s="0" t="s">
        <v>137</v>
      </c>
      <c r="S4611" s="0" t="s">
        <v>21</v>
      </c>
      <c r="T4611" s="0" t="s">
        <v>104</v>
      </c>
      <c r="W4611" s="0" t="s">
        <v>105</v>
      </c>
    </row>
    <row r="4612" customFormat="false" ht="15" hidden="false" customHeight="false" outlineLevel="0" collapsed="false">
      <c r="A4612" s="0" t="s">
        <v>21</v>
      </c>
      <c r="B4612" s="0" t="s">
        <v>13824</v>
      </c>
      <c r="C4612" s="0" t="s">
        <v>97</v>
      </c>
      <c r="M4612" s="0" t="s">
        <v>136</v>
      </c>
      <c r="N4612" s="0" t="s">
        <v>124</v>
      </c>
      <c r="P4612" s="0" t="s">
        <v>13734</v>
      </c>
      <c r="Q4612" s="0" t="s">
        <v>13734</v>
      </c>
      <c r="R4612" s="0" t="s">
        <v>13734</v>
      </c>
      <c r="S4612" s="0" t="s">
        <v>21</v>
      </c>
      <c r="T4612" s="0" t="s">
        <v>104</v>
      </c>
      <c r="W4612" s="0" t="s">
        <v>183</v>
      </c>
    </row>
    <row r="4613" customFormat="false" ht="15" hidden="false" customHeight="false" outlineLevel="0" collapsed="false">
      <c r="A4613" s="0" t="s">
        <v>21</v>
      </c>
      <c r="B4613" s="0" t="s">
        <v>13824</v>
      </c>
      <c r="C4613" s="0" t="s">
        <v>97</v>
      </c>
      <c r="M4613" s="0" t="s">
        <v>136</v>
      </c>
      <c r="N4613" s="0" t="s">
        <v>124</v>
      </c>
      <c r="P4613" s="0" t="s">
        <v>130</v>
      </c>
      <c r="Q4613" s="0" t="s">
        <v>130</v>
      </c>
      <c r="R4613" s="0" t="s">
        <v>137</v>
      </c>
      <c r="S4613" s="0" t="s">
        <v>21</v>
      </c>
      <c r="T4613" s="0" t="s">
        <v>104</v>
      </c>
      <c r="W4613" s="0" t="s">
        <v>105</v>
      </c>
    </row>
    <row r="4614" customFormat="false" ht="15" hidden="false" customHeight="false" outlineLevel="0" collapsed="false">
      <c r="A4614" s="0" t="s">
        <v>21</v>
      </c>
      <c r="B4614" s="0" t="s">
        <v>13825</v>
      </c>
      <c r="C4614" s="0" t="s">
        <v>97</v>
      </c>
      <c r="M4614" s="0" t="s">
        <v>136</v>
      </c>
      <c r="N4614" s="0" t="s">
        <v>124</v>
      </c>
      <c r="P4614" s="0" t="s">
        <v>13734</v>
      </c>
      <c r="Q4614" s="0" t="s">
        <v>13734</v>
      </c>
      <c r="R4614" s="0" t="s">
        <v>13734</v>
      </c>
      <c r="S4614" s="0" t="s">
        <v>21</v>
      </c>
      <c r="T4614" s="0" t="s">
        <v>104</v>
      </c>
      <c r="W4614" s="0" t="s">
        <v>183</v>
      </c>
    </row>
    <row r="4615" customFormat="false" ht="15" hidden="false" customHeight="false" outlineLevel="0" collapsed="false">
      <c r="A4615" s="0" t="s">
        <v>21</v>
      </c>
      <c r="B4615" s="0" t="s">
        <v>13825</v>
      </c>
      <c r="C4615" s="0" t="s">
        <v>97</v>
      </c>
      <c r="M4615" s="0" t="s">
        <v>136</v>
      </c>
      <c r="N4615" s="0" t="s">
        <v>124</v>
      </c>
      <c r="P4615" s="0" t="s">
        <v>130</v>
      </c>
      <c r="Q4615" s="0" t="s">
        <v>130</v>
      </c>
      <c r="R4615" s="0" t="s">
        <v>137</v>
      </c>
      <c r="S4615" s="0" t="s">
        <v>21</v>
      </c>
      <c r="T4615" s="0" t="s">
        <v>104</v>
      </c>
      <c r="W4615" s="0" t="s">
        <v>105</v>
      </c>
    </row>
    <row r="4616" customFormat="false" ht="15" hidden="false" customHeight="false" outlineLevel="0" collapsed="false">
      <c r="A4616" s="0" t="s">
        <v>21</v>
      </c>
      <c r="B4616" s="0" t="s">
        <v>13826</v>
      </c>
      <c r="C4616" s="0" t="s">
        <v>97</v>
      </c>
      <c r="M4616" s="0" t="s">
        <v>136</v>
      </c>
      <c r="N4616" s="0" t="s">
        <v>124</v>
      </c>
      <c r="P4616" s="0" t="s">
        <v>13734</v>
      </c>
      <c r="Q4616" s="0" t="s">
        <v>13734</v>
      </c>
      <c r="R4616" s="0" t="s">
        <v>13734</v>
      </c>
      <c r="S4616" s="0" t="s">
        <v>21</v>
      </c>
      <c r="T4616" s="0" t="s">
        <v>104</v>
      </c>
      <c r="W4616" s="0" t="s">
        <v>183</v>
      </c>
    </row>
    <row r="4617" customFormat="false" ht="15" hidden="false" customHeight="false" outlineLevel="0" collapsed="false">
      <c r="A4617" s="0" t="s">
        <v>21</v>
      </c>
      <c r="B4617" s="0" t="s">
        <v>13826</v>
      </c>
      <c r="C4617" s="0" t="s">
        <v>97</v>
      </c>
      <c r="M4617" s="0" t="s">
        <v>136</v>
      </c>
      <c r="N4617" s="0" t="s">
        <v>124</v>
      </c>
      <c r="P4617" s="0" t="s">
        <v>130</v>
      </c>
      <c r="Q4617" s="0" t="s">
        <v>130</v>
      </c>
      <c r="R4617" s="0" t="s">
        <v>137</v>
      </c>
      <c r="S4617" s="0" t="s">
        <v>21</v>
      </c>
      <c r="T4617" s="0" t="s">
        <v>104</v>
      </c>
      <c r="W4617" s="0" t="s">
        <v>105</v>
      </c>
    </row>
    <row r="4618" customFormat="false" ht="15" hidden="false" customHeight="false" outlineLevel="0" collapsed="false">
      <c r="A4618" s="0" t="s">
        <v>21</v>
      </c>
      <c r="B4618" s="0" t="s">
        <v>13827</v>
      </c>
      <c r="C4618" s="0" t="s">
        <v>97</v>
      </c>
      <c r="M4618" s="0" t="s">
        <v>136</v>
      </c>
      <c r="N4618" s="0" t="s">
        <v>124</v>
      </c>
      <c r="P4618" s="0" t="s">
        <v>13734</v>
      </c>
      <c r="Q4618" s="0" t="s">
        <v>13734</v>
      </c>
      <c r="R4618" s="0" t="s">
        <v>13734</v>
      </c>
      <c r="S4618" s="0" t="s">
        <v>21</v>
      </c>
      <c r="T4618" s="0" t="s">
        <v>104</v>
      </c>
      <c r="W4618" s="0" t="s">
        <v>183</v>
      </c>
    </row>
    <row r="4619" customFormat="false" ht="15" hidden="false" customHeight="false" outlineLevel="0" collapsed="false">
      <c r="A4619" s="0" t="s">
        <v>21</v>
      </c>
      <c r="B4619" s="0" t="s">
        <v>13827</v>
      </c>
      <c r="C4619" s="0" t="s">
        <v>97</v>
      </c>
      <c r="M4619" s="0" t="s">
        <v>136</v>
      </c>
      <c r="N4619" s="0" t="s">
        <v>124</v>
      </c>
      <c r="P4619" s="0" t="s">
        <v>130</v>
      </c>
      <c r="Q4619" s="0" t="s">
        <v>130</v>
      </c>
      <c r="R4619" s="0" t="s">
        <v>137</v>
      </c>
      <c r="S4619" s="0" t="s">
        <v>21</v>
      </c>
      <c r="T4619" s="0" t="s">
        <v>104</v>
      </c>
      <c r="W4619" s="0" t="s">
        <v>105</v>
      </c>
    </row>
    <row r="4620" customFormat="false" ht="15" hidden="false" customHeight="false" outlineLevel="0" collapsed="false">
      <c r="A4620" s="0" t="s">
        <v>21</v>
      </c>
      <c r="B4620" s="0" t="s">
        <v>13828</v>
      </c>
      <c r="C4620" s="0" t="s">
        <v>97</v>
      </c>
      <c r="M4620" s="0" t="s">
        <v>136</v>
      </c>
      <c r="N4620" s="0" t="s">
        <v>124</v>
      </c>
      <c r="P4620" s="0" t="s">
        <v>13734</v>
      </c>
      <c r="Q4620" s="0" t="s">
        <v>13734</v>
      </c>
      <c r="R4620" s="0" t="s">
        <v>13734</v>
      </c>
      <c r="S4620" s="0" t="s">
        <v>21</v>
      </c>
      <c r="T4620" s="0" t="s">
        <v>104</v>
      </c>
      <c r="W4620" s="0" t="s">
        <v>183</v>
      </c>
    </row>
    <row r="4621" customFormat="false" ht="15" hidden="false" customHeight="false" outlineLevel="0" collapsed="false">
      <c r="A4621" s="0" t="s">
        <v>21</v>
      </c>
      <c r="B4621" s="0" t="s">
        <v>13828</v>
      </c>
      <c r="C4621" s="0" t="s">
        <v>97</v>
      </c>
      <c r="M4621" s="0" t="s">
        <v>136</v>
      </c>
      <c r="N4621" s="0" t="s">
        <v>124</v>
      </c>
      <c r="P4621" s="0" t="s">
        <v>130</v>
      </c>
      <c r="Q4621" s="0" t="s">
        <v>130</v>
      </c>
      <c r="R4621" s="0" t="s">
        <v>137</v>
      </c>
      <c r="S4621" s="0" t="s">
        <v>21</v>
      </c>
      <c r="T4621" s="0" t="s">
        <v>104</v>
      </c>
      <c r="W4621" s="0" t="s">
        <v>105</v>
      </c>
    </row>
    <row r="4622" customFormat="false" ht="15" hidden="false" customHeight="false" outlineLevel="0" collapsed="false">
      <c r="A4622" s="0" t="s">
        <v>21</v>
      </c>
      <c r="B4622" s="0" t="s">
        <v>13829</v>
      </c>
      <c r="C4622" s="0" t="s">
        <v>97</v>
      </c>
      <c r="M4622" s="0" t="s">
        <v>136</v>
      </c>
      <c r="N4622" s="0" t="s">
        <v>124</v>
      </c>
      <c r="P4622" s="0" t="s">
        <v>13734</v>
      </c>
      <c r="Q4622" s="0" t="s">
        <v>13734</v>
      </c>
      <c r="R4622" s="0" t="s">
        <v>13734</v>
      </c>
      <c r="S4622" s="0" t="s">
        <v>21</v>
      </c>
      <c r="T4622" s="0" t="s">
        <v>104</v>
      </c>
      <c r="W4622" s="0" t="s">
        <v>183</v>
      </c>
    </row>
    <row r="4623" customFormat="false" ht="15" hidden="false" customHeight="false" outlineLevel="0" collapsed="false">
      <c r="A4623" s="0" t="s">
        <v>21</v>
      </c>
      <c r="B4623" s="0" t="s">
        <v>13829</v>
      </c>
      <c r="C4623" s="0" t="s">
        <v>97</v>
      </c>
      <c r="M4623" s="0" t="s">
        <v>136</v>
      </c>
      <c r="N4623" s="0" t="s">
        <v>124</v>
      </c>
      <c r="P4623" s="0" t="s">
        <v>130</v>
      </c>
      <c r="Q4623" s="0" t="s">
        <v>130</v>
      </c>
      <c r="R4623" s="0" t="s">
        <v>137</v>
      </c>
      <c r="S4623" s="0" t="s">
        <v>21</v>
      </c>
      <c r="T4623" s="0" t="s">
        <v>104</v>
      </c>
      <c r="W4623" s="0" t="s">
        <v>105</v>
      </c>
    </row>
    <row r="4624" customFormat="false" ht="15" hidden="false" customHeight="false" outlineLevel="0" collapsed="false">
      <c r="A4624" s="0" t="s">
        <v>21</v>
      </c>
      <c r="B4624" s="0" t="s">
        <v>13830</v>
      </c>
      <c r="C4624" s="0" t="s">
        <v>97</v>
      </c>
      <c r="M4624" s="0" t="s">
        <v>136</v>
      </c>
      <c r="N4624" s="0" t="s">
        <v>124</v>
      </c>
      <c r="P4624" s="0" t="s">
        <v>13734</v>
      </c>
      <c r="Q4624" s="0" t="s">
        <v>13734</v>
      </c>
      <c r="R4624" s="0" t="s">
        <v>13734</v>
      </c>
      <c r="S4624" s="0" t="s">
        <v>21</v>
      </c>
      <c r="T4624" s="0" t="s">
        <v>104</v>
      </c>
      <c r="W4624" s="0" t="s">
        <v>183</v>
      </c>
    </row>
    <row r="4625" customFormat="false" ht="15" hidden="false" customHeight="false" outlineLevel="0" collapsed="false">
      <c r="A4625" s="0" t="s">
        <v>21</v>
      </c>
      <c r="B4625" s="0" t="s">
        <v>13830</v>
      </c>
      <c r="C4625" s="0" t="s">
        <v>97</v>
      </c>
      <c r="M4625" s="0" t="s">
        <v>136</v>
      </c>
      <c r="N4625" s="0" t="s">
        <v>124</v>
      </c>
      <c r="P4625" s="0" t="s">
        <v>130</v>
      </c>
      <c r="Q4625" s="0" t="s">
        <v>130</v>
      </c>
      <c r="R4625" s="0" t="s">
        <v>137</v>
      </c>
      <c r="S4625" s="0" t="s">
        <v>21</v>
      </c>
      <c r="T4625" s="0" t="s">
        <v>104</v>
      </c>
      <c r="W4625" s="0" t="s">
        <v>105</v>
      </c>
    </row>
    <row r="4626" customFormat="false" ht="15" hidden="false" customHeight="false" outlineLevel="0" collapsed="false">
      <c r="A4626" s="0" t="s">
        <v>21</v>
      </c>
      <c r="B4626" s="0" t="s">
        <v>13831</v>
      </c>
      <c r="C4626" s="0" t="s">
        <v>97</v>
      </c>
      <c r="M4626" s="0" t="s">
        <v>136</v>
      </c>
      <c r="N4626" s="0" t="s">
        <v>124</v>
      </c>
      <c r="P4626" s="0" t="s">
        <v>13734</v>
      </c>
      <c r="Q4626" s="0" t="s">
        <v>13734</v>
      </c>
      <c r="R4626" s="0" t="s">
        <v>13734</v>
      </c>
      <c r="S4626" s="0" t="s">
        <v>21</v>
      </c>
      <c r="T4626" s="0" t="s">
        <v>104</v>
      </c>
      <c r="W4626" s="0" t="s">
        <v>183</v>
      </c>
    </row>
    <row r="4627" customFormat="false" ht="15" hidden="false" customHeight="false" outlineLevel="0" collapsed="false">
      <c r="A4627" s="0" t="s">
        <v>21</v>
      </c>
      <c r="B4627" s="0" t="s">
        <v>13831</v>
      </c>
      <c r="C4627" s="0" t="s">
        <v>97</v>
      </c>
      <c r="M4627" s="0" t="s">
        <v>136</v>
      </c>
      <c r="N4627" s="0" t="s">
        <v>124</v>
      </c>
      <c r="P4627" s="0" t="s">
        <v>130</v>
      </c>
      <c r="Q4627" s="0" t="s">
        <v>130</v>
      </c>
      <c r="R4627" s="0" t="s">
        <v>137</v>
      </c>
      <c r="S4627" s="0" t="s">
        <v>21</v>
      </c>
      <c r="T4627" s="0" t="s">
        <v>104</v>
      </c>
      <c r="W4627" s="0" t="s">
        <v>105</v>
      </c>
    </row>
    <row r="4628" customFormat="false" ht="15" hidden="false" customHeight="false" outlineLevel="0" collapsed="false">
      <c r="A4628" s="0" t="s">
        <v>21</v>
      </c>
      <c r="B4628" s="0" t="s">
        <v>13832</v>
      </c>
      <c r="C4628" s="0" t="s">
        <v>97</v>
      </c>
      <c r="M4628" s="0" t="s">
        <v>136</v>
      </c>
      <c r="N4628" s="0" t="s">
        <v>124</v>
      </c>
      <c r="P4628" s="0" t="s">
        <v>13734</v>
      </c>
      <c r="Q4628" s="0" t="s">
        <v>13734</v>
      </c>
      <c r="R4628" s="0" t="s">
        <v>13734</v>
      </c>
      <c r="S4628" s="0" t="s">
        <v>21</v>
      </c>
      <c r="T4628" s="0" t="s">
        <v>104</v>
      </c>
      <c r="W4628" s="0" t="s">
        <v>183</v>
      </c>
    </row>
    <row r="4629" customFormat="false" ht="15" hidden="false" customHeight="false" outlineLevel="0" collapsed="false">
      <c r="A4629" s="0" t="s">
        <v>21</v>
      </c>
      <c r="B4629" s="0" t="s">
        <v>13832</v>
      </c>
      <c r="C4629" s="0" t="s">
        <v>97</v>
      </c>
      <c r="M4629" s="0" t="s">
        <v>136</v>
      </c>
      <c r="N4629" s="0" t="s">
        <v>124</v>
      </c>
      <c r="P4629" s="0" t="s">
        <v>130</v>
      </c>
      <c r="Q4629" s="0" t="s">
        <v>130</v>
      </c>
      <c r="R4629" s="0" t="s">
        <v>137</v>
      </c>
      <c r="S4629" s="0" t="s">
        <v>21</v>
      </c>
      <c r="T4629" s="0" t="s">
        <v>104</v>
      </c>
      <c r="W4629" s="0" t="s">
        <v>105</v>
      </c>
    </row>
    <row r="4630" customFormat="false" ht="15" hidden="false" customHeight="false" outlineLevel="0" collapsed="false">
      <c r="A4630" s="0" t="s">
        <v>21</v>
      </c>
      <c r="B4630" s="0" t="s">
        <v>13833</v>
      </c>
      <c r="C4630" s="0" t="s">
        <v>97</v>
      </c>
      <c r="M4630" s="0" t="s">
        <v>136</v>
      </c>
      <c r="N4630" s="0" t="s">
        <v>124</v>
      </c>
      <c r="P4630" s="0" t="s">
        <v>13734</v>
      </c>
      <c r="Q4630" s="0" t="s">
        <v>13734</v>
      </c>
      <c r="R4630" s="0" t="s">
        <v>13734</v>
      </c>
      <c r="S4630" s="0" t="s">
        <v>21</v>
      </c>
      <c r="T4630" s="0" t="s">
        <v>104</v>
      </c>
      <c r="W4630" s="0" t="s">
        <v>183</v>
      </c>
    </row>
    <row r="4631" customFormat="false" ht="15" hidden="false" customHeight="false" outlineLevel="0" collapsed="false">
      <c r="A4631" s="0" t="s">
        <v>21</v>
      </c>
      <c r="B4631" s="0" t="s">
        <v>13833</v>
      </c>
      <c r="C4631" s="0" t="s">
        <v>97</v>
      </c>
      <c r="M4631" s="0" t="s">
        <v>136</v>
      </c>
      <c r="N4631" s="0" t="s">
        <v>124</v>
      </c>
      <c r="P4631" s="0" t="s">
        <v>130</v>
      </c>
      <c r="Q4631" s="0" t="s">
        <v>130</v>
      </c>
      <c r="R4631" s="0" t="s">
        <v>137</v>
      </c>
      <c r="S4631" s="0" t="s">
        <v>21</v>
      </c>
      <c r="T4631" s="0" t="s">
        <v>104</v>
      </c>
      <c r="W4631" s="0" t="s">
        <v>105</v>
      </c>
    </row>
    <row r="4632" customFormat="false" ht="15" hidden="false" customHeight="false" outlineLevel="0" collapsed="false">
      <c r="A4632" s="0" t="s">
        <v>21</v>
      </c>
      <c r="B4632" s="0" t="s">
        <v>13834</v>
      </c>
      <c r="C4632" s="0" t="s">
        <v>97</v>
      </c>
      <c r="M4632" s="0" t="s">
        <v>136</v>
      </c>
      <c r="N4632" s="0" t="s">
        <v>124</v>
      </c>
      <c r="P4632" s="0" t="s">
        <v>13734</v>
      </c>
      <c r="Q4632" s="0" t="s">
        <v>13734</v>
      </c>
      <c r="R4632" s="0" t="s">
        <v>13734</v>
      </c>
      <c r="S4632" s="0" t="s">
        <v>21</v>
      </c>
      <c r="T4632" s="0" t="s">
        <v>104</v>
      </c>
      <c r="W4632" s="0" t="s">
        <v>183</v>
      </c>
    </row>
    <row r="4633" customFormat="false" ht="15" hidden="false" customHeight="false" outlineLevel="0" collapsed="false">
      <c r="A4633" s="0" t="s">
        <v>21</v>
      </c>
      <c r="B4633" s="0" t="s">
        <v>13834</v>
      </c>
      <c r="C4633" s="0" t="s">
        <v>97</v>
      </c>
      <c r="M4633" s="0" t="s">
        <v>136</v>
      </c>
      <c r="N4633" s="0" t="s">
        <v>124</v>
      </c>
      <c r="P4633" s="0" t="s">
        <v>130</v>
      </c>
      <c r="Q4633" s="0" t="s">
        <v>130</v>
      </c>
      <c r="R4633" s="0" t="s">
        <v>137</v>
      </c>
      <c r="S4633" s="0" t="s">
        <v>21</v>
      </c>
      <c r="T4633" s="0" t="s">
        <v>104</v>
      </c>
      <c r="W4633" s="0" t="s">
        <v>105</v>
      </c>
    </row>
    <row r="4634" customFormat="false" ht="15" hidden="false" customHeight="false" outlineLevel="0" collapsed="false">
      <c r="A4634" s="0" t="s">
        <v>21</v>
      </c>
      <c r="B4634" s="0" t="s">
        <v>13835</v>
      </c>
      <c r="C4634" s="0" t="s">
        <v>97</v>
      </c>
      <c r="M4634" s="0" t="s">
        <v>136</v>
      </c>
      <c r="N4634" s="0" t="s">
        <v>124</v>
      </c>
      <c r="P4634" s="0" t="s">
        <v>13734</v>
      </c>
      <c r="Q4634" s="0" t="s">
        <v>13734</v>
      </c>
      <c r="R4634" s="0" t="s">
        <v>13734</v>
      </c>
      <c r="S4634" s="0" t="s">
        <v>21</v>
      </c>
      <c r="T4634" s="0" t="s">
        <v>104</v>
      </c>
      <c r="W4634" s="0" t="s">
        <v>183</v>
      </c>
    </row>
    <row r="4635" customFormat="false" ht="15" hidden="false" customHeight="false" outlineLevel="0" collapsed="false">
      <c r="A4635" s="0" t="s">
        <v>21</v>
      </c>
      <c r="B4635" s="0" t="s">
        <v>13835</v>
      </c>
      <c r="C4635" s="0" t="s">
        <v>97</v>
      </c>
      <c r="M4635" s="0" t="s">
        <v>136</v>
      </c>
      <c r="N4635" s="0" t="s">
        <v>124</v>
      </c>
      <c r="P4635" s="0" t="s">
        <v>130</v>
      </c>
      <c r="Q4635" s="0" t="s">
        <v>130</v>
      </c>
      <c r="R4635" s="0" t="s">
        <v>137</v>
      </c>
      <c r="S4635" s="0" t="s">
        <v>21</v>
      </c>
      <c r="T4635" s="0" t="s">
        <v>104</v>
      </c>
      <c r="W4635" s="0" t="s">
        <v>105</v>
      </c>
    </row>
    <row r="4636" customFormat="false" ht="15" hidden="false" customHeight="false" outlineLevel="0" collapsed="false">
      <c r="A4636" s="0" t="s">
        <v>21</v>
      </c>
      <c r="B4636" s="0" t="s">
        <v>13836</v>
      </c>
      <c r="C4636" s="0" t="s">
        <v>97</v>
      </c>
      <c r="M4636" s="0" t="s">
        <v>136</v>
      </c>
      <c r="N4636" s="0" t="s">
        <v>124</v>
      </c>
      <c r="P4636" s="0" t="s">
        <v>13734</v>
      </c>
      <c r="Q4636" s="0" t="s">
        <v>13734</v>
      </c>
      <c r="R4636" s="0" t="s">
        <v>13734</v>
      </c>
      <c r="S4636" s="0" t="s">
        <v>21</v>
      </c>
      <c r="T4636" s="0" t="s">
        <v>104</v>
      </c>
      <c r="W4636" s="0" t="s">
        <v>183</v>
      </c>
    </row>
    <row r="4637" customFormat="false" ht="15" hidden="false" customHeight="false" outlineLevel="0" collapsed="false">
      <c r="A4637" s="0" t="s">
        <v>21</v>
      </c>
      <c r="B4637" s="0" t="s">
        <v>13836</v>
      </c>
      <c r="C4637" s="0" t="s">
        <v>97</v>
      </c>
      <c r="M4637" s="0" t="s">
        <v>136</v>
      </c>
      <c r="N4637" s="0" t="s">
        <v>124</v>
      </c>
      <c r="P4637" s="0" t="s">
        <v>130</v>
      </c>
      <c r="Q4637" s="0" t="s">
        <v>130</v>
      </c>
      <c r="R4637" s="0" t="s">
        <v>137</v>
      </c>
      <c r="S4637" s="0" t="s">
        <v>21</v>
      </c>
      <c r="T4637" s="0" t="s">
        <v>104</v>
      </c>
      <c r="W4637" s="0" t="s">
        <v>105</v>
      </c>
    </row>
    <row r="4638" customFormat="false" ht="15" hidden="false" customHeight="false" outlineLevel="0" collapsed="false">
      <c r="A4638" s="0" t="s">
        <v>21</v>
      </c>
      <c r="B4638" s="0" t="s">
        <v>13837</v>
      </c>
      <c r="C4638" s="0" t="s">
        <v>97</v>
      </c>
      <c r="M4638" s="0" t="s">
        <v>136</v>
      </c>
      <c r="N4638" s="0" t="s">
        <v>124</v>
      </c>
      <c r="P4638" s="0" t="s">
        <v>13734</v>
      </c>
      <c r="Q4638" s="0" t="s">
        <v>13734</v>
      </c>
      <c r="R4638" s="0" t="s">
        <v>13734</v>
      </c>
      <c r="S4638" s="0" t="s">
        <v>21</v>
      </c>
      <c r="T4638" s="0" t="s">
        <v>104</v>
      </c>
      <c r="W4638" s="0" t="s">
        <v>183</v>
      </c>
    </row>
    <row r="4639" customFormat="false" ht="15" hidden="false" customHeight="false" outlineLevel="0" collapsed="false">
      <c r="A4639" s="0" t="s">
        <v>21</v>
      </c>
      <c r="B4639" s="0" t="s">
        <v>13837</v>
      </c>
      <c r="C4639" s="0" t="s">
        <v>97</v>
      </c>
      <c r="M4639" s="0" t="s">
        <v>136</v>
      </c>
      <c r="N4639" s="0" t="s">
        <v>124</v>
      </c>
      <c r="P4639" s="0" t="s">
        <v>130</v>
      </c>
      <c r="Q4639" s="0" t="s">
        <v>130</v>
      </c>
      <c r="R4639" s="0" t="s">
        <v>137</v>
      </c>
      <c r="S4639" s="0" t="s">
        <v>21</v>
      </c>
      <c r="T4639" s="0" t="s">
        <v>104</v>
      </c>
      <c r="W4639" s="0" t="s">
        <v>105</v>
      </c>
    </row>
    <row r="4640" customFormat="false" ht="15" hidden="false" customHeight="false" outlineLevel="0" collapsed="false">
      <c r="A4640" s="0" t="s">
        <v>21</v>
      </c>
      <c r="B4640" s="0" t="s">
        <v>13838</v>
      </c>
      <c r="C4640" s="0" t="s">
        <v>97</v>
      </c>
      <c r="M4640" s="0" t="s">
        <v>136</v>
      </c>
      <c r="N4640" s="0" t="s">
        <v>124</v>
      </c>
      <c r="P4640" s="0" t="s">
        <v>13734</v>
      </c>
      <c r="Q4640" s="0" t="s">
        <v>13734</v>
      </c>
      <c r="R4640" s="0" t="s">
        <v>13734</v>
      </c>
      <c r="S4640" s="0" t="s">
        <v>21</v>
      </c>
      <c r="T4640" s="0" t="s">
        <v>104</v>
      </c>
      <c r="W4640" s="0" t="s">
        <v>183</v>
      </c>
    </row>
    <row r="4641" customFormat="false" ht="15" hidden="false" customHeight="false" outlineLevel="0" collapsed="false">
      <c r="A4641" s="0" t="s">
        <v>21</v>
      </c>
      <c r="B4641" s="0" t="s">
        <v>13838</v>
      </c>
      <c r="C4641" s="0" t="s">
        <v>97</v>
      </c>
      <c r="M4641" s="0" t="s">
        <v>136</v>
      </c>
      <c r="N4641" s="0" t="s">
        <v>124</v>
      </c>
      <c r="P4641" s="0" t="s">
        <v>130</v>
      </c>
      <c r="Q4641" s="0" t="s">
        <v>130</v>
      </c>
      <c r="R4641" s="0" t="s">
        <v>137</v>
      </c>
      <c r="S4641" s="0" t="s">
        <v>21</v>
      </c>
      <c r="T4641" s="0" t="s">
        <v>104</v>
      </c>
      <c r="W4641" s="0" t="s">
        <v>105</v>
      </c>
    </row>
    <row r="4642" customFormat="false" ht="15" hidden="false" customHeight="false" outlineLevel="0" collapsed="false">
      <c r="A4642" s="0" t="s">
        <v>21</v>
      </c>
      <c r="B4642" s="0" t="s">
        <v>13839</v>
      </c>
      <c r="C4642" s="0" t="s">
        <v>97</v>
      </c>
      <c r="M4642" s="0" t="s">
        <v>136</v>
      </c>
      <c r="N4642" s="0" t="s">
        <v>124</v>
      </c>
      <c r="P4642" s="0" t="s">
        <v>13734</v>
      </c>
      <c r="Q4642" s="0" t="s">
        <v>13734</v>
      </c>
      <c r="R4642" s="0" t="s">
        <v>13734</v>
      </c>
      <c r="S4642" s="0" t="s">
        <v>21</v>
      </c>
      <c r="T4642" s="0" t="s">
        <v>104</v>
      </c>
      <c r="W4642" s="0" t="s">
        <v>183</v>
      </c>
    </row>
    <row r="4643" customFormat="false" ht="15" hidden="false" customHeight="false" outlineLevel="0" collapsed="false">
      <c r="A4643" s="0" t="s">
        <v>21</v>
      </c>
      <c r="B4643" s="0" t="s">
        <v>13839</v>
      </c>
      <c r="C4643" s="0" t="s">
        <v>97</v>
      </c>
      <c r="M4643" s="0" t="s">
        <v>136</v>
      </c>
      <c r="N4643" s="0" t="s">
        <v>124</v>
      </c>
      <c r="P4643" s="0" t="s">
        <v>130</v>
      </c>
      <c r="Q4643" s="0" t="s">
        <v>130</v>
      </c>
      <c r="R4643" s="0" t="s">
        <v>137</v>
      </c>
      <c r="S4643" s="0" t="s">
        <v>21</v>
      </c>
      <c r="T4643" s="0" t="s">
        <v>104</v>
      </c>
      <c r="W4643" s="0" t="s">
        <v>105</v>
      </c>
    </row>
    <row r="4644" customFormat="false" ht="15" hidden="false" customHeight="false" outlineLevel="0" collapsed="false">
      <c r="A4644" s="0" t="s">
        <v>21</v>
      </c>
      <c r="B4644" s="0" t="s">
        <v>13840</v>
      </c>
      <c r="C4644" s="0" t="s">
        <v>97</v>
      </c>
      <c r="M4644" s="0" t="s">
        <v>136</v>
      </c>
      <c r="N4644" s="0" t="s">
        <v>124</v>
      </c>
      <c r="P4644" s="0" t="s">
        <v>13734</v>
      </c>
      <c r="Q4644" s="0" t="s">
        <v>13734</v>
      </c>
      <c r="R4644" s="0" t="s">
        <v>13734</v>
      </c>
      <c r="S4644" s="0" t="s">
        <v>21</v>
      </c>
      <c r="T4644" s="0" t="s">
        <v>104</v>
      </c>
      <c r="W4644" s="0" t="s">
        <v>183</v>
      </c>
    </row>
    <row r="4645" customFormat="false" ht="15" hidden="false" customHeight="false" outlineLevel="0" collapsed="false">
      <c r="A4645" s="0" t="s">
        <v>21</v>
      </c>
      <c r="B4645" s="0" t="s">
        <v>13840</v>
      </c>
      <c r="C4645" s="0" t="s">
        <v>97</v>
      </c>
      <c r="M4645" s="0" t="s">
        <v>136</v>
      </c>
      <c r="N4645" s="0" t="s">
        <v>124</v>
      </c>
      <c r="P4645" s="0" t="s">
        <v>130</v>
      </c>
      <c r="Q4645" s="0" t="s">
        <v>130</v>
      </c>
      <c r="R4645" s="0" t="s">
        <v>137</v>
      </c>
      <c r="S4645" s="0" t="s">
        <v>21</v>
      </c>
      <c r="T4645" s="0" t="s">
        <v>104</v>
      </c>
      <c r="W4645" s="0" t="s">
        <v>105</v>
      </c>
    </row>
    <row r="4646" customFormat="false" ht="15" hidden="false" customHeight="false" outlineLevel="0" collapsed="false">
      <c r="A4646" s="0" t="s">
        <v>21</v>
      </c>
      <c r="B4646" s="0" t="s">
        <v>13841</v>
      </c>
      <c r="C4646" s="0" t="s">
        <v>97</v>
      </c>
      <c r="M4646" s="0" t="s">
        <v>136</v>
      </c>
      <c r="N4646" s="0" t="s">
        <v>124</v>
      </c>
      <c r="P4646" s="0" t="s">
        <v>13734</v>
      </c>
      <c r="Q4646" s="0" t="s">
        <v>13734</v>
      </c>
      <c r="R4646" s="0" t="s">
        <v>13734</v>
      </c>
      <c r="S4646" s="0" t="s">
        <v>21</v>
      </c>
      <c r="T4646" s="0" t="s">
        <v>104</v>
      </c>
      <c r="W4646" s="0" t="s">
        <v>183</v>
      </c>
    </row>
    <row r="4647" customFormat="false" ht="15" hidden="false" customHeight="false" outlineLevel="0" collapsed="false">
      <c r="A4647" s="0" t="s">
        <v>21</v>
      </c>
      <c r="B4647" s="0" t="s">
        <v>13841</v>
      </c>
      <c r="C4647" s="0" t="s">
        <v>97</v>
      </c>
      <c r="M4647" s="0" t="s">
        <v>136</v>
      </c>
      <c r="N4647" s="0" t="s">
        <v>124</v>
      </c>
      <c r="P4647" s="0" t="s">
        <v>130</v>
      </c>
      <c r="Q4647" s="0" t="s">
        <v>130</v>
      </c>
      <c r="R4647" s="0" t="s">
        <v>137</v>
      </c>
      <c r="S4647" s="0" t="s">
        <v>21</v>
      </c>
      <c r="T4647" s="0" t="s">
        <v>104</v>
      </c>
      <c r="W4647" s="0" t="s">
        <v>105</v>
      </c>
    </row>
    <row r="4648" customFormat="false" ht="15" hidden="false" customHeight="false" outlineLevel="0" collapsed="false">
      <c r="A4648" s="0" t="s">
        <v>21</v>
      </c>
      <c r="B4648" s="0" t="s">
        <v>13842</v>
      </c>
      <c r="C4648" s="0" t="s">
        <v>97</v>
      </c>
      <c r="M4648" s="0" t="s">
        <v>136</v>
      </c>
      <c r="N4648" s="0" t="s">
        <v>124</v>
      </c>
      <c r="P4648" s="0" t="s">
        <v>13734</v>
      </c>
      <c r="Q4648" s="0" t="s">
        <v>13734</v>
      </c>
      <c r="R4648" s="0" t="s">
        <v>13734</v>
      </c>
      <c r="S4648" s="0" t="s">
        <v>21</v>
      </c>
      <c r="T4648" s="0" t="s">
        <v>104</v>
      </c>
      <c r="W4648" s="0" t="s">
        <v>183</v>
      </c>
    </row>
    <row r="4649" customFormat="false" ht="15" hidden="false" customHeight="false" outlineLevel="0" collapsed="false">
      <c r="A4649" s="0" t="s">
        <v>21</v>
      </c>
      <c r="B4649" s="0" t="s">
        <v>13842</v>
      </c>
      <c r="C4649" s="0" t="s">
        <v>97</v>
      </c>
      <c r="M4649" s="0" t="s">
        <v>136</v>
      </c>
      <c r="N4649" s="0" t="s">
        <v>124</v>
      </c>
      <c r="P4649" s="0" t="s">
        <v>130</v>
      </c>
      <c r="Q4649" s="0" t="s">
        <v>130</v>
      </c>
      <c r="R4649" s="0" t="s">
        <v>137</v>
      </c>
      <c r="S4649" s="0" t="s">
        <v>21</v>
      </c>
      <c r="T4649" s="0" t="s">
        <v>104</v>
      </c>
      <c r="W4649" s="0" t="s">
        <v>105</v>
      </c>
    </row>
    <row r="4650" customFormat="false" ht="15" hidden="false" customHeight="false" outlineLevel="0" collapsed="false">
      <c r="A4650" s="0" t="s">
        <v>21</v>
      </c>
      <c r="B4650" s="0" t="s">
        <v>13843</v>
      </c>
      <c r="C4650" s="0" t="s">
        <v>97</v>
      </c>
      <c r="M4650" s="0" t="s">
        <v>136</v>
      </c>
      <c r="N4650" s="0" t="s">
        <v>124</v>
      </c>
      <c r="P4650" s="0" t="s">
        <v>13734</v>
      </c>
      <c r="Q4650" s="0" t="s">
        <v>13734</v>
      </c>
      <c r="R4650" s="0" t="s">
        <v>13734</v>
      </c>
      <c r="S4650" s="0" t="s">
        <v>21</v>
      </c>
      <c r="T4650" s="0" t="s">
        <v>104</v>
      </c>
      <c r="W4650" s="0" t="s">
        <v>183</v>
      </c>
    </row>
    <row r="4651" customFormat="false" ht="15" hidden="false" customHeight="false" outlineLevel="0" collapsed="false">
      <c r="A4651" s="0" t="s">
        <v>21</v>
      </c>
      <c r="B4651" s="0" t="s">
        <v>13843</v>
      </c>
      <c r="C4651" s="0" t="s">
        <v>97</v>
      </c>
      <c r="M4651" s="0" t="s">
        <v>136</v>
      </c>
      <c r="N4651" s="0" t="s">
        <v>124</v>
      </c>
      <c r="P4651" s="0" t="s">
        <v>130</v>
      </c>
      <c r="Q4651" s="0" t="s">
        <v>130</v>
      </c>
      <c r="R4651" s="0" t="s">
        <v>137</v>
      </c>
      <c r="S4651" s="0" t="s">
        <v>21</v>
      </c>
      <c r="T4651" s="0" t="s">
        <v>104</v>
      </c>
      <c r="W4651" s="0" t="s">
        <v>105</v>
      </c>
    </row>
    <row r="4652" customFormat="false" ht="15" hidden="false" customHeight="false" outlineLevel="0" collapsed="false">
      <c r="A4652" s="0" t="s">
        <v>21</v>
      </c>
      <c r="B4652" s="0" t="s">
        <v>13844</v>
      </c>
      <c r="C4652" s="0" t="s">
        <v>97</v>
      </c>
      <c r="M4652" s="0" t="s">
        <v>136</v>
      </c>
      <c r="N4652" s="0" t="s">
        <v>124</v>
      </c>
      <c r="P4652" s="0" t="s">
        <v>13734</v>
      </c>
      <c r="Q4652" s="0" t="s">
        <v>13734</v>
      </c>
      <c r="R4652" s="0" t="s">
        <v>13734</v>
      </c>
      <c r="S4652" s="0" t="s">
        <v>21</v>
      </c>
      <c r="T4652" s="0" t="s">
        <v>104</v>
      </c>
      <c r="W4652" s="0" t="s">
        <v>183</v>
      </c>
    </row>
    <row r="4653" customFormat="false" ht="15" hidden="false" customHeight="false" outlineLevel="0" collapsed="false">
      <c r="A4653" s="0" t="s">
        <v>21</v>
      </c>
      <c r="B4653" s="0" t="s">
        <v>13844</v>
      </c>
      <c r="C4653" s="0" t="s">
        <v>97</v>
      </c>
      <c r="M4653" s="0" t="s">
        <v>136</v>
      </c>
      <c r="N4653" s="0" t="s">
        <v>124</v>
      </c>
      <c r="P4653" s="0" t="s">
        <v>130</v>
      </c>
      <c r="Q4653" s="0" t="s">
        <v>130</v>
      </c>
      <c r="R4653" s="0" t="s">
        <v>137</v>
      </c>
      <c r="S4653" s="0" t="s">
        <v>21</v>
      </c>
      <c r="T4653" s="0" t="s">
        <v>104</v>
      </c>
      <c r="W4653" s="0" t="s">
        <v>105</v>
      </c>
    </row>
    <row r="4654" customFormat="false" ht="15" hidden="false" customHeight="false" outlineLevel="0" collapsed="false">
      <c r="A4654" s="0" t="s">
        <v>21</v>
      </c>
      <c r="B4654" s="0" t="s">
        <v>13845</v>
      </c>
      <c r="C4654" s="0" t="s">
        <v>97</v>
      </c>
      <c r="M4654" s="0" t="s">
        <v>136</v>
      </c>
      <c r="N4654" s="0" t="s">
        <v>124</v>
      </c>
      <c r="P4654" s="0" t="s">
        <v>13734</v>
      </c>
      <c r="Q4654" s="0" t="s">
        <v>13734</v>
      </c>
      <c r="R4654" s="0" t="s">
        <v>13734</v>
      </c>
      <c r="S4654" s="0" t="s">
        <v>21</v>
      </c>
      <c r="T4654" s="0" t="s">
        <v>104</v>
      </c>
      <c r="W4654" s="0" t="s">
        <v>183</v>
      </c>
    </row>
    <row r="4655" customFormat="false" ht="15" hidden="false" customHeight="false" outlineLevel="0" collapsed="false">
      <c r="A4655" s="0" t="s">
        <v>21</v>
      </c>
      <c r="B4655" s="0" t="s">
        <v>13845</v>
      </c>
      <c r="C4655" s="0" t="s">
        <v>97</v>
      </c>
      <c r="M4655" s="0" t="s">
        <v>136</v>
      </c>
      <c r="N4655" s="0" t="s">
        <v>124</v>
      </c>
      <c r="P4655" s="0" t="s">
        <v>130</v>
      </c>
      <c r="Q4655" s="0" t="s">
        <v>130</v>
      </c>
      <c r="R4655" s="0" t="s">
        <v>137</v>
      </c>
      <c r="S4655" s="0" t="s">
        <v>21</v>
      </c>
      <c r="T4655" s="0" t="s">
        <v>104</v>
      </c>
      <c r="W4655" s="0" t="s">
        <v>105</v>
      </c>
    </row>
    <row r="4656" customFormat="false" ht="15" hidden="false" customHeight="false" outlineLevel="0" collapsed="false">
      <c r="A4656" s="0" t="s">
        <v>21</v>
      </c>
      <c r="B4656" s="0" t="s">
        <v>13846</v>
      </c>
      <c r="C4656" s="0" t="s">
        <v>97</v>
      </c>
      <c r="M4656" s="0" t="s">
        <v>136</v>
      </c>
      <c r="N4656" s="0" t="s">
        <v>124</v>
      </c>
      <c r="P4656" s="0" t="s">
        <v>13734</v>
      </c>
      <c r="Q4656" s="0" t="s">
        <v>13734</v>
      </c>
      <c r="R4656" s="0" t="s">
        <v>13734</v>
      </c>
      <c r="S4656" s="0" t="s">
        <v>21</v>
      </c>
      <c r="T4656" s="0" t="s">
        <v>104</v>
      </c>
      <c r="W4656" s="0" t="s">
        <v>183</v>
      </c>
    </row>
    <row r="4657" customFormat="false" ht="15" hidden="false" customHeight="false" outlineLevel="0" collapsed="false">
      <c r="A4657" s="0" t="s">
        <v>21</v>
      </c>
      <c r="B4657" s="0" t="s">
        <v>13846</v>
      </c>
      <c r="C4657" s="0" t="s">
        <v>97</v>
      </c>
      <c r="M4657" s="0" t="s">
        <v>136</v>
      </c>
      <c r="N4657" s="0" t="s">
        <v>124</v>
      </c>
      <c r="P4657" s="0" t="s">
        <v>130</v>
      </c>
      <c r="Q4657" s="0" t="s">
        <v>130</v>
      </c>
      <c r="R4657" s="0" t="s">
        <v>137</v>
      </c>
      <c r="S4657" s="0" t="s">
        <v>21</v>
      </c>
      <c r="T4657" s="0" t="s">
        <v>104</v>
      </c>
      <c r="W4657" s="0" t="s">
        <v>105</v>
      </c>
    </row>
    <row r="4658" customFormat="false" ht="15" hidden="false" customHeight="false" outlineLevel="0" collapsed="false">
      <c r="A4658" s="0" t="s">
        <v>21</v>
      </c>
      <c r="B4658" s="0" t="s">
        <v>13847</v>
      </c>
      <c r="C4658" s="0" t="s">
        <v>97</v>
      </c>
      <c r="M4658" s="0" t="s">
        <v>136</v>
      </c>
      <c r="N4658" s="0" t="s">
        <v>124</v>
      </c>
      <c r="P4658" s="0" t="s">
        <v>13734</v>
      </c>
      <c r="Q4658" s="0" t="s">
        <v>13734</v>
      </c>
      <c r="R4658" s="0" t="s">
        <v>13734</v>
      </c>
      <c r="S4658" s="0" t="s">
        <v>21</v>
      </c>
      <c r="T4658" s="0" t="s">
        <v>104</v>
      </c>
      <c r="W4658" s="0" t="s">
        <v>183</v>
      </c>
    </row>
    <row r="4659" customFormat="false" ht="15" hidden="false" customHeight="false" outlineLevel="0" collapsed="false">
      <c r="A4659" s="0" t="s">
        <v>21</v>
      </c>
      <c r="B4659" s="0" t="s">
        <v>13847</v>
      </c>
      <c r="C4659" s="0" t="s">
        <v>97</v>
      </c>
      <c r="M4659" s="0" t="s">
        <v>136</v>
      </c>
      <c r="N4659" s="0" t="s">
        <v>124</v>
      </c>
      <c r="P4659" s="0" t="s">
        <v>130</v>
      </c>
      <c r="Q4659" s="0" t="s">
        <v>130</v>
      </c>
      <c r="R4659" s="0" t="s">
        <v>137</v>
      </c>
      <c r="S4659" s="0" t="s">
        <v>21</v>
      </c>
      <c r="T4659" s="0" t="s">
        <v>104</v>
      </c>
      <c r="W4659" s="0" t="s">
        <v>105</v>
      </c>
    </row>
    <row r="4660" customFormat="false" ht="15" hidden="false" customHeight="false" outlineLevel="0" collapsed="false">
      <c r="A4660" s="0" t="s">
        <v>21</v>
      </c>
      <c r="B4660" s="0" t="s">
        <v>13848</v>
      </c>
      <c r="C4660" s="0" t="s">
        <v>97</v>
      </c>
      <c r="M4660" s="0" t="s">
        <v>136</v>
      </c>
      <c r="N4660" s="0" t="s">
        <v>124</v>
      </c>
      <c r="P4660" s="0" t="s">
        <v>13734</v>
      </c>
      <c r="Q4660" s="0" t="s">
        <v>13734</v>
      </c>
      <c r="R4660" s="0" t="s">
        <v>13734</v>
      </c>
      <c r="S4660" s="0" t="s">
        <v>21</v>
      </c>
      <c r="T4660" s="0" t="s">
        <v>104</v>
      </c>
      <c r="W4660" s="0" t="s">
        <v>183</v>
      </c>
    </row>
    <row r="4661" customFormat="false" ht="15" hidden="false" customHeight="false" outlineLevel="0" collapsed="false">
      <c r="A4661" s="0" t="s">
        <v>21</v>
      </c>
      <c r="B4661" s="0" t="s">
        <v>13848</v>
      </c>
      <c r="C4661" s="0" t="s">
        <v>97</v>
      </c>
      <c r="M4661" s="0" t="s">
        <v>136</v>
      </c>
      <c r="N4661" s="0" t="s">
        <v>124</v>
      </c>
      <c r="P4661" s="0" t="s">
        <v>130</v>
      </c>
      <c r="Q4661" s="0" t="s">
        <v>130</v>
      </c>
      <c r="R4661" s="0" t="s">
        <v>137</v>
      </c>
      <c r="S4661" s="0" t="s">
        <v>21</v>
      </c>
      <c r="T4661" s="0" t="s">
        <v>104</v>
      </c>
      <c r="W4661" s="0" t="s">
        <v>105</v>
      </c>
    </row>
    <row r="4662" customFormat="false" ht="15" hidden="false" customHeight="false" outlineLevel="0" collapsed="false">
      <c r="A4662" s="0" t="s">
        <v>21</v>
      </c>
      <c r="B4662" s="0" t="s">
        <v>13849</v>
      </c>
      <c r="C4662" s="0" t="s">
        <v>97</v>
      </c>
      <c r="M4662" s="0" t="s">
        <v>136</v>
      </c>
      <c r="N4662" s="0" t="s">
        <v>124</v>
      </c>
      <c r="P4662" s="0" t="s">
        <v>13734</v>
      </c>
      <c r="Q4662" s="0" t="s">
        <v>13734</v>
      </c>
      <c r="R4662" s="0" t="s">
        <v>13734</v>
      </c>
      <c r="S4662" s="0" t="s">
        <v>21</v>
      </c>
      <c r="T4662" s="0" t="s">
        <v>104</v>
      </c>
      <c r="W4662" s="0" t="s">
        <v>183</v>
      </c>
    </row>
    <row r="4663" customFormat="false" ht="15" hidden="false" customHeight="false" outlineLevel="0" collapsed="false">
      <c r="A4663" s="0" t="s">
        <v>21</v>
      </c>
      <c r="B4663" s="0" t="s">
        <v>13849</v>
      </c>
      <c r="C4663" s="0" t="s">
        <v>97</v>
      </c>
      <c r="M4663" s="0" t="s">
        <v>136</v>
      </c>
      <c r="N4663" s="0" t="s">
        <v>124</v>
      </c>
      <c r="P4663" s="0" t="s">
        <v>130</v>
      </c>
      <c r="Q4663" s="0" t="s">
        <v>130</v>
      </c>
      <c r="R4663" s="0" t="s">
        <v>137</v>
      </c>
      <c r="S4663" s="0" t="s">
        <v>21</v>
      </c>
      <c r="T4663" s="0" t="s">
        <v>104</v>
      </c>
      <c r="W4663" s="0" t="s">
        <v>105</v>
      </c>
    </row>
    <row r="4664" customFormat="false" ht="15" hidden="false" customHeight="false" outlineLevel="0" collapsed="false">
      <c r="A4664" s="0" t="s">
        <v>21</v>
      </c>
      <c r="B4664" s="0" t="s">
        <v>13850</v>
      </c>
      <c r="C4664" s="0" t="s">
        <v>97</v>
      </c>
      <c r="M4664" s="0" t="s">
        <v>100</v>
      </c>
      <c r="N4664" s="0" t="s">
        <v>101</v>
      </c>
      <c r="P4664" s="0" t="s">
        <v>13734</v>
      </c>
      <c r="Q4664" s="0" t="s">
        <v>13734</v>
      </c>
      <c r="R4664" s="0" t="s">
        <v>13734</v>
      </c>
      <c r="S4664" s="0" t="s">
        <v>21</v>
      </c>
      <c r="T4664" s="0" t="s">
        <v>104</v>
      </c>
      <c r="W4664" s="0" t="s">
        <v>183</v>
      </c>
    </row>
    <row r="4665" customFormat="false" ht="15" hidden="false" customHeight="false" outlineLevel="0" collapsed="false">
      <c r="A4665" s="0" t="s">
        <v>21</v>
      </c>
      <c r="B4665" s="0" t="s">
        <v>13850</v>
      </c>
      <c r="C4665" s="0" t="s">
        <v>97</v>
      </c>
      <c r="M4665" s="0" t="s">
        <v>100</v>
      </c>
      <c r="N4665" s="0" t="s">
        <v>101</v>
      </c>
      <c r="P4665" s="0" t="s">
        <v>130</v>
      </c>
      <c r="Q4665" s="0" t="s">
        <v>130</v>
      </c>
      <c r="R4665" s="0" t="s">
        <v>137</v>
      </c>
      <c r="S4665" s="0" t="s">
        <v>21</v>
      </c>
      <c r="T4665" s="0" t="s">
        <v>104</v>
      </c>
      <c r="W4665" s="0" t="s">
        <v>105</v>
      </c>
    </row>
    <row r="4666" customFormat="false" ht="15" hidden="false" customHeight="false" outlineLevel="0" collapsed="false">
      <c r="A4666" s="0" t="s">
        <v>21</v>
      </c>
      <c r="B4666" s="0" t="s">
        <v>13851</v>
      </c>
      <c r="C4666" s="0" t="s">
        <v>97</v>
      </c>
      <c r="M4666" s="0" t="s">
        <v>100</v>
      </c>
      <c r="N4666" s="0" t="s">
        <v>101</v>
      </c>
      <c r="P4666" s="0" t="s">
        <v>13734</v>
      </c>
      <c r="Q4666" s="0" t="s">
        <v>13734</v>
      </c>
      <c r="R4666" s="0" t="s">
        <v>13734</v>
      </c>
      <c r="S4666" s="0" t="s">
        <v>21</v>
      </c>
      <c r="T4666" s="0" t="s">
        <v>104</v>
      </c>
      <c r="W4666" s="0" t="s">
        <v>183</v>
      </c>
    </row>
    <row r="4667" customFormat="false" ht="15" hidden="false" customHeight="false" outlineLevel="0" collapsed="false">
      <c r="A4667" s="0" t="s">
        <v>21</v>
      </c>
      <c r="B4667" s="0" t="s">
        <v>13851</v>
      </c>
      <c r="C4667" s="0" t="s">
        <v>97</v>
      </c>
      <c r="M4667" s="0" t="s">
        <v>100</v>
      </c>
      <c r="N4667" s="0" t="s">
        <v>101</v>
      </c>
      <c r="P4667" s="0" t="s">
        <v>130</v>
      </c>
      <c r="Q4667" s="0" t="s">
        <v>130</v>
      </c>
      <c r="R4667" s="0" t="s">
        <v>137</v>
      </c>
      <c r="S4667" s="0" t="s">
        <v>21</v>
      </c>
      <c r="T4667" s="0" t="s">
        <v>104</v>
      </c>
      <c r="W4667" s="0" t="s">
        <v>105</v>
      </c>
    </row>
    <row r="4668" customFormat="false" ht="15" hidden="false" customHeight="false" outlineLevel="0" collapsed="false">
      <c r="A4668" s="0" t="s">
        <v>21</v>
      </c>
      <c r="B4668" s="0" t="s">
        <v>13852</v>
      </c>
      <c r="C4668" s="0" t="s">
        <v>97</v>
      </c>
      <c r="M4668" s="0" t="s">
        <v>100</v>
      </c>
      <c r="N4668" s="0" t="s">
        <v>101</v>
      </c>
      <c r="P4668" s="0" t="s">
        <v>13734</v>
      </c>
      <c r="Q4668" s="0" t="s">
        <v>13734</v>
      </c>
      <c r="R4668" s="0" t="s">
        <v>13734</v>
      </c>
      <c r="S4668" s="0" t="s">
        <v>21</v>
      </c>
      <c r="T4668" s="0" t="s">
        <v>104</v>
      </c>
      <c r="W4668" s="0" t="s">
        <v>183</v>
      </c>
    </row>
    <row r="4669" customFormat="false" ht="15" hidden="false" customHeight="false" outlineLevel="0" collapsed="false">
      <c r="A4669" s="0" t="s">
        <v>21</v>
      </c>
      <c r="B4669" s="0" t="s">
        <v>13852</v>
      </c>
      <c r="C4669" s="0" t="s">
        <v>97</v>
      </c>
      <c r="M4669" s="0" t="s">
        <v>100</v>
      </c>
      <c r="N4669" s="0" t="s">
        <v>101</v>
      </c>
      <c r="P4669" s="0" t="s">
        <v>130</v>
      </c>
      <c r="Q4669" s="0" t="s">
        <v>130</v>
      </c>
      <c r="R4669" s="0" t="s">
        <v>137</v>
      </c>
      <c r="S4669" s="0" t="s">
        <v>21</v>
      </c>
      <c r="T4669" s="0" t="s">
        <v>104</v>
      </c>
      <c r="W4669" s="0" t="s">
        <v>105</v>
      </c>
    </row>
    <row r="4670" customFormat="false" ht="15" hidden="false" customHeight="false" outlineLevel="0" collapsed="false">
      <c r="A4670" s="0" t="s">
        <v>21</v>
      </c>
      <c r="B4670" s="0" t="s">
        <v>13853</v>
      </c>
      <c r="C4670" s="0" t="s">
        <v>97</v>
      </c>
      <c r="M4670" s="0" t="s">
        <v>100</v>
      </c>
      <c r="N4670" s="0" t="s">
        <v>101</v>
      </c>
      <c r="P4670" s="0" t="s">
        <v>13734</v>
      </c>
      <c r="Q4670" s="0" t="s">
        <v>13734</v>
      </c>
      <c r="R4670" s="0" t="s">
        <v>13734</v>
      </c>
      <c r="S4670" s="0" t="s">
        <v>21</v>
      </c>
      <c r="T4670" s="0" t="s">
        <v>104</v>
      </c>
      <c r="W4670" s="0" t="s">
        <v>183</v>
      </c>
    </row>
    <row r="4671" customFormat="false" ht="15" hidden="false" customHeight="false" outlineLevel="0" collapsed="false">
      <c r="A4671" s="0" t="s">
        <v>21</v>
      </c>
      <c r="B4671" s="0" t="s">
        <v>13853</v>
      </c>
      <c r="C4671" s="0" t="s">
        <v>97</v>
      </c>
      <c r="M4671" s="0" t="s">
        <v>100</v>
      </c>
      <c r="N4671" s="0" t="s">
        <v>101</v>
      </c>
      <c r="P4671" s="0" t="s">
        <v>130</v>
      </c>
      <c r="Q4671" s="0" t="s">
        <v>130</v>
      </c>
      <c r="R4671" s="0" t="s">
        <v>137</v>
      </c>
      <c r="S4671" s="0" t="s">
        <v>21</v>
      </c>
      <c r="T4671" s="0" t="s">
        <v>104</v>
      </c>
      <c r="W4671" s="0" t="s">
        <v>105</v>
      </c>
    </row>
    <row r="4672" customFormat="false" ht="15" hidden="false" customHeight="false" outlineLevel="0" collapsed="false">
      <c r="A4672" s="0" t="s">
        <v>21</v>
      </c>
      <c r="B4672" s="0" t="s">
        <v>13854</v>
      </c>
      <c r="C4672" s="0" t="s">
        <v>97</v>
      </c>
      <c r="M4672" s="0" t="s">
        <v>100</v>
      </c>
      <c r="N4672" s="0" t="s">
        <v>101</v>
      </c>
      <c r="P4672" s="0" t="s">
        <v>13734</v>
      </c>
      <c r="Q4672" s="0" t="s">
        <v>13734</v>
      </c>
      <c r="R4672" s="0" t="s">
        <v>13734</v>
      </c>
      <c r="S4672" s="0" t="s">
        <v>21</v>
      </c>
      <c r="T4672" s="0" t="s">
        <v>104</v>
      </c>
      <c r="W4672" s="0" t="s">
        <v>183</v>
      </c>
    </row>
    <row r="4673" customFormat="false" ht="15" hidden="false" customHeight="false" outlineLevel="0" collapsed="false">
      <c r="A4673" s="0" t="s">
        <v>21</v>
      </c>
      <c r="B4673" s="0" t="s">
        <v>13854</v>
      </c>
      <c r="C4673" s="0" t="s">
        <v>97</v>
      </c>
      <c r="M4673" s="0" t="s">
        <v>100</v>
      </c>
      <c r="N4673" s="0" t="s">
        <v>101</v>
      </c>
      <c r="P4673" s="0" t="s">
        <v>130</v>
      </c>
      <c r="Q4673" s="0" t="s">
        <v>130</v>
      </c>
      <c r="R4673" s="0" t="s">
        <v>137</v>
      </c>
      <c r="S4673" s="0" t="s">
        <v>21</v>
      </c>
      <c r="T4673" s="0" t="s">
        <v>104</v>
      </c>
      <c r="W4673" s="0" t="s">
        <v>105</v>
      </c>
    </row>
    <row r="4674" customFormat="false" ht="15" hidden="false" customHeight="false" outlineLevel="0" collapsed="false">
      <c r="A4674" s="0" t="s">
        <v>21</v>
      </c>
      <c r="B4674" s="0" t="s">
        <v>13855</v>
      </c>
      <c r="C4674" s="0" t="s">
        <v>97</v>
      </c>
      <c r="M4674" s="0" t="s">
        <v>100</v>
      </c>
      <c r="N4674" s="0" t="s">
        <v>101</v>
      </c>
      <c r="P4674" s="0" t="s">
        <v>13734</v>
      </c>
      <c r="Q4674" s="0" t="s">
        <v>13734</v>
      </c>
      <c r="R4674" s="0" t="s">
        <v>13734</v>
      </c>
      <c r="S4674" s="0" t="s">
        <v>21</v>
      </c>
      <c r="T4674" s="0" t="s">
        <v>104</v>
      </c>
      <c r="W4674" s="0" t="s">
        <v>183</v>
      </c>
    </row>
    <row r="4675" customFormat="false" ht="15" hidden="false" customHeight="false" outlineLevel="0" collapsed="false">
      <c r="A4675" s="0" t="s">
        <v>21</v>
      </c>
      <c r="B4675" s="0" t="s">
        <v>13855</v>
      </c>
      <c r="C4675" s="0" t="s">
        <v>97</v>
      </c>
      <c r="M4675" s="0" t="s">
        <v>100</v>
      </c>
      <c r="N4675" s="0" t="s">
        <v>101</v>
      </c>
      <c r="P4675" s="0" t="s">
        <v>130</v>
      </c>
      <c r="Q4675" s="0" t="s">
        <v>130</v>
      </c>
      <c r="R4675" s="0" t="s">
        <v>137</v>
      </c>
      <c r="S4675" s="0" t="s">
        <v>21</v>
      </c>
      <c r="T4675" s="0" t="s">
        <v>104</v>
      </c>
      <c r="W4675" s="0" t="s">
        <v>105</v>
      </c>
    </row>
    <row r="4676" customFormat="false" ht="15" hidden="false" customHeight="false" outlineLevel="0" collapsed="false">
      <c r="A4676" s="0" t="s">
        <v>21</v>
      </c>
      <c r="B4676" s="0" t="s">
        <v>13856</v>
      </c>
      <c r="C4676" s="0" t="s">
        <v>97</v>
      </c>
      <c r="M4676" s="0" t="s">
        <v>100</v>
      </c>
      <c r="N4676" s="0" t="s">
        <v>101</v>
      </c>
      <c r="P4676" s="0" t="s">
        <v>13734</v>
      </c>
      <c r="Q4676" s="0" t="s">
        <v>13734</v>
      </c>
      <c r="R4676" s="0" t="s">
        <v>13734</v>
      </c>
      <c r="S4676" s="0" t="s">
        <v>21</v>
      </c>
      <c r="T4676" s="0" t="s">
        <v>104</v>
      </c>
      <c r="W4676" s="0" t="s">
        <v>183</v>
      </c>
    </row>
    <row r="4677" customFormat="false" ht="15" hidden="false" customHeight="false" outlineLevel="0" collapsed="false">
      <c r="A4677" s="0" t="s">
        <v>21</v>
      </c>
      <c r="B4677" s="0" t="s">
        <v>13856</v>
      </c>
      <c r="C4677" s="0" t="s">
        <v>97</v>
      </c>
      <c r="M4677" s="0" t="s">
        <v>100</v>
      </c>
      <c r="N4677" s="0" t="s">
        <v>101</v>
      </c>
      <c r="P4677" s="0" t="s">
        <v>130</v>
      </c>
      <c r="Q4677" s="0" t="s">
        <v>130</v>
      </c>
      <c r="R4677" s="0" t="s">
        <v>137</v>
      </c>
      <c r="S4677" s="0" t="s">
        <v>21</v>
      </c>
      <c r="T4677" s="0" t="s">
        <v>104</v>
      </c>
      <c r="W4677" s="0" t="s">
        <v>105</v>
      </c>
    </row>
    <row r="4678" customFormat="false" ht="15" hidden="false" customHeight="false" outlineLevel="0" collapsed="false">
      <c r="A4678" s="0" t="s">
        <v>21</v>
      </c>
      <c r="B4678" s="0" t="s">
        <v>13857</v>
      </c>
      <c r="C4678" s="0" t="s">
        <v>97</v>
      </c>
      <c r="M4678" s="0" t="s">
        <v>100</v>
      </c>
      <c r="N4678" s="0" t="s">
        <v>101</v>
      </c>
      <c r="P4678" s="0" t="s">
        <v>13734</v>
      </c>
      <c r="Q4678" s="0" t="s">
        <v>13734</v>
      </c>
      <c r="R4678" s="0" t="s">
        <v>13734</v>
      </c>
      <c r="S4678" s="0" t="s">
        <v>21</v>
      </c>
      <c r="T4678" s="0" t="s">
        <v>104</v>
      </c>
      <c r="W4678" s="0" t="s">
        <v>183</v>
      </c>
    </row>
    <row r="4679" customFormat="false" ht="15" hidden="false" customHeight="false" outlineLevel="0" collapsed="false">
      <c r="A4679" s="0" t="s">
        <v>21</v>
      </c>
      <c r="B4679" s="0" t="s">
        <v>13857</v>
      </c>
      <c r="C4679" s="0" t="s">
        <v>97</v>
      </c>
      <c r="M4679" s="0" t="s">
        <v>100</v>
      </c>
      <c r="N4679" s="0" t="s">
        <v>101</v>
      </c>
      <c r="P4679" s="0" t="s">
        <v>130</v>
      </c>
      <c r="Q4679" s="0" t="s">
        <v>130</v>
      </c>
      <c r="R4679" s="0" t="s">
        <v>137</v>
      </c>
      <c r="S4679" s="0" t="s">
        <v>21</v>
      </c>
      <c r="T4679" s="0" t="s">
        <v>104</v>
      </c>
      <c r="W4679" s="0" t="s">
        <v>105</v>
      </c>
    </row>
    <row r="4680" customFormat="false" ht="15" hidden="false" customHeight="false" outlineLevel="0" collapsed="false">
      <c r="A4680" s="0" t="s">
        <v>21</v>
      </c>
      <c r="B4680" s="0" t="s">
        <v>13858</v>
      </c>
      <c r="C4680" s="0" t="s">
        <v>97</v>
      </c>
      <c r="M4680" s="0" t="s">
        <v>100</v>
      </c>
      <c r="N4680" s="0" t="s">
        <v>101</v>
      </c>
      <c r="P4680" s="0" t="s">
        <v>13734</v>
      </c>
      <c r="Q4680" s="0" t="s">
        <v>13734</v>
      </c>
      <c r="R4680" s="0" t="s">
        <v>13734</v>
      </c>
      <c r="S4680" s="0" t="s">
        <v>21</v>
      </c>
      <c r="T4680" s="0" t="s">
        <v>104</v>
      </c>
      <c r="W4680" s="0" t="s">
        <v>183</v>
      </c>
    </row>
    <row r="4681" customFormat="false" ht="15" hidden="false" customHeight="false" outlineLevel="0" collapsed="false">
      <c r="A4681" s="0" t="s">
        <v>21</v>
      </c>
      <c r="B4681" s="0" t="s">
        <v>13858</v>
      </c>
      <c r="C4681" s="0" t="s">
        <v>97</v>
      </c>
      <c r="M4681" s="0" t="s">
        <v>100</v>
      </c>
      <c r="N4681" s="0" t="s">
        <v>101</v>
      </c>
      <c r="P4681" s="0" t="s">
        <v>130</v>
      </c>
      <c r="Q4681" s="0" t="s">
        <v>130</v>
      </c>
      <c r="R4681" s="0" t="s">
        <v>137</v>
      </c>
      <c r="S4681" s="0" t="s">
        <v>21</v>
      </c>
      <c r="T4681" s="0" t="s">
        <v>104</v>
      </c>
      <c r="W4681" s="0" t="s">
        <v>105</v>
      </c>
    </row>
    <row r="4682" customFormat="false" ht="15" hidden="false" customHeight="false" outlineLevel="0" collapsed="false">
      <c r="A4682" s="0" t="s">
        <v>21</v>
      </c>
      <c r="B4682" s="0" t="s">
        <v>13859</v>
      </c>
      <c r="C4682" s="0" t="s">
        <v>97</v>
      </c>
      <c r="M4682" s="0" t="s">
        <v>100</v>
      </c>
      <c r="N4682" s="0" t="s">
        <v>101</v>
      </c>
      <c r="P4682" s="0" t="s">
        <v>13734</v>
      </c>
      <c r="Q4682" s="0" t="s">
        <v>13734</v>
      </c>
      <c r="R4682" s="0" t="s">
        <v>13734</v>
      </c>
      <c r="S4682" s="0" t="s">
        <v>21</v>
      </c>
      <c r="T4682" s="0" t="s">
        <v>104</v>
      </c>
      <c r="W4682" s="0" t="s">
        <v>183</v>
      </c>
    </row>
    <row r="4683" customFormat="false" ht="15" hidden="false" customHeight="false" outlineLevel="0" collapsed="false">
      <c r="A4683" s="0" t="s">
        <v>21</v>
      </c>
      <c r="B4683" s="0" t="s">
        <v>13859</v>
      </c>
      <c r="C4683" s="0" t="s">
        <v>97</v>
      </c>
      <c r="M4683" s="0" t="s">
        <v>100</v>
      </c>
      <c r="N4683" s="0" t="s">
        <v>101</v>
      </c>
      <c r="P4683" s="0" t="s">
        <v>130</v>
      </c>
      <c r="Q4683" s="0" t="s">
        <v>130</v>
      </c>
      <c r="R4683" s="0" t="s">
        <v>137</v>
      </c>
      <c r="S4683" s="0" t="s">
        <v>21</v>
      </c>
      <c r="T4683" s="0" t="s">
        <v>104</v>
      </c>
      <c r="W4683" s="0" t="s">
        <v>105</v>
      </c>
    </row>
    <row r="4684" customFormat="false" ht="15" hidden="false" customHeight="false" outlineLevel="0" collapsed="false">
      <c r="A4684" s="0" t="s">
        <v>21</v>
      </c>
      <c r="B4684" s="0" t="s">
        <v>13860</v>
      </c>
      <c r="C4684" s="0" t="s">
        <v>97</v>
      </c>
      <c r="M4684" s="0" t="s">
        <v>100</v>
      </c>
      <c r="N4684" s="0" t="s">
        <v>101</v>
      </c>
      <c r="P4684" s="0" t="s">
        <v>13734</v>
      </c>
      <c r="Q4684" s="0" t="s">
        <v>13734</v>
      </c>
      <c r="R4684" s="0" t="s">
        <v>13734</v>
      </c>
      <c r="S4684" s="0" t="s">
        <v>21</v>
      </c>
      <c r="T4684" s="0" t="s">
        <v>104</v>
      </c>
      <c r="W4684" s="0" t="s">
        <v>183</v>
      </c>
    </row>
    <row r="4685" customFormat="false" ht="15" hidden="false" customHeight="false" outlineLevel="0" collapsed="false">
      <c r="A4685" s="0" t="s">
        <v>21</v>
      </c>
      <c r="B4685" s="0" t="s">
        <v>13860</v>
      </c>
      <c r="C4685" s="0" t="s">
        <v>97</v>
      </c>
      <c r="M4685" s="0" t="s">
        <v>100</v>
      </c>
      <c r="N4685" s="0" t="s">
        <v>101</v>
      </c>
      <c r="P4685" s="0" t="s">
        <v>130</v>
      </c>
      <c r="Q4685" s="0" t="s">
        <v>130</v>
      </c>
      <c r="R4685" s="0" t="s">
        <v>137</v>
      </c>
      <c r="S4685" s="0" t="s">
        <v>21</v>
      </c>
      <c r="T4685" s="0" t="s">
        <v>104</v>
      </c>
      <c r="W4685" s="0" t="s">
        <v>105</v>
      </c>
    </row>
    <row r="4686" customFormat="false" ht="15" hidden="false" customHeight="false" outlineLevel="0" collapsed="false">
      <c r="A4686" s="0" t="s">
        <v>21</v>
      </c>
      <c r="B4686" s="0" t="s">
        <v>13861</v>
      </c>
      <c r="C4686" s="0" t="s">
        <v>97</v>
      </c>
      <c r="M4686" s="0" t="s">
        <v>100</v>
      </c>
      <c r="N4686" s="0" t="s">
        <v>101</v>
      </c>
      <c r="P4686" s="0" t="s">
        <v>13734</v>
      </c>
      <c r="Q4686" s="0" t="s">
        <v>13734</v>
      </c>
      <c r="R4686" s="0" t="s">
        <v>13734</v>
      </c>
      <c r="S4686" s="0" t="s">
        <v>21</v>
      </c>
      <c r="T4686" s="0" t="s">
        <v>104</v>
      </c>
      <c r="W4686" s="0" t="s">
        <v>183</v>
      </c>
    </row>
    <row r="4687" customFormat="false" ht="15" hidden="false" customHeight="false" outlineLevel="0" collapsed="false">
      <c r="A4687" s="0" t="s">
        <v>21</v>
      </c>
      <c r="B4687" s="0" t="s">
        <v>13861</v>
      </c>
      <c r="C4687" s="0" t="s">
        <v>97</v>
      </c>
      <c r="M4687" s="0" t="s">
        <v>100</v>
      </c>
      <c r="N4687" s="0" t="s">
        <v>101</v>
      </c>
      <c r="P4687" s="0" t="s">
        <v>130</v>
      </c>
      <c r="Q4687" s="0" t="s">
        <v>130</v>
      </c>
      <c r="R4687" s="0" t="s">
        <v>137</v>
      </c>
      <c r="S4687" s="0" t="s">
        <v>21</v>
      </c>
      <c r="T4687" s="0" t="s">
        <v>104</v>
      </c>
      <c r="W4687" s="0" t="s">
        <v>105</v>
      </c>
    </row>
    <row r="4688" customFormat="false" ht="15" hidden="false" customHeight="false" outlineLevel="0" collapsed="false">
      <c r="A4688" s="0" t="s">
        <v>21</v>
      </c>
      <c r="B4688" s="0" t="s">
        <v>13862</v>
      </c>
      <c r="C4688" s="0" t="s">
        <v>97</v>
      </c>
      <c r="M4688" s="0" t="s">
        <v>100</v>
      </c>
      <c r="N4688" s="0" t="s">
        <v>101</v>
      </c>
      <c r="P4688" s="0" t="s">
        <v>13734</v>
      </c>
      <c r="Q4688" s="0" t="s">
        <v>13734</v>
      </c>
      <c r="R4688" s="0" t="s">
        <v>13734</v>
      </c>
      <c r="S4688" s="0" t="s">
        <v>21</v>
      </c>
      <c r="T4688" s="0" t="s">
        <v>104</v>
      </c>
      <c r="W4688" s="0" t="s">
        <v>183</v>
      </c>
    </row>
    <row r="4689" customFormat="false" ht="15" hidden="false" customHeight="false" outlineLevel="0" collapsed="false">
      <c r="A4689" s="0" t="s">
        <v>21</v>
      </c>
      <c r="B4689" s="0" t="s">
        <v>13862</v>
      </c>
      <c r="C4689" s="0" t="s">
        <v>97</v>
      </c>
      <c r="M4689" s="0" t="s">
        <v>100</v>
      </c>
      <c r="N4689" s="0" t="s">
        <v>101</v>
      </c>
      <c r="P4689" s="0" t="s">
        <v>130</v>
      </c>
      <c r="Q4689" s="0" t="s">
        <v>130</v>
      </c>
      <c r="R4689" s="0" t="s">
        <v>137</v>
      </c>
      <c r="S4689" s="0" t="s">
        <v>21</v>
      </c>
      <c r="T4689" s="0" t="s">
        <v>104</v>
      </c>
      <c r="W4689" s="0" t="s">
        <v>105</v>
      </c>
    </row>
    <row r="4690" customFormat="false" ht="15" hidden="false" customHeight="false" outlineLevel="0" collapsed="false">
      <c r="A4690" s="0" t="s">
        <v>21</v>
      </c>
      <c r="B4690" s="0" t="s">
        <v>13863</v>
      </c>
      <c r="C4690" s="0" t="s">
        <v>97</v>
      </c>
      <c r="M4690" s="0" t="s">
        <v>100</v>
      </c>
      <c r="N4690" s="0" t="s">
        <v>101</v>
      </c>
      <c r="P4690" s="0" t="s">
        <v>13734</v>
      </c>
      <c r="Q4690" s="0" t="s">
        <v>13734</v>
      </c>
      <c r="R4690" s="0" t="s">
        <v>13734</v>
      </c>
      <c r="S4690" s="0" t="s">
        <v>21</v>
      </c>
      <c r="T4690" s="0" t="s">
        <v>104</v>
      </c>
      <c r="W4690" s="0" t="s">
        <v>183</v>
      </c>
    </row>
    <row r="4691" customFormat="false" ht="15" hidden="false" customHeight="false" outlineLevel="0" collapsed="false">
      <c r="A4691" s="0" t="s">
        <v>21</v>
      </c>
      <c r="B4691" s="0" t="s">
        <v>13863</v>
      </c>
      <c r="C4691" s="0" t="s">
        <v>97</v>
      </c>
      <c r="M4691" s="0" t="s">
        <v>100</v>
      </c>
      <c r="N4691" s="0" t="s">
        <v>101</v>
      </c>
      <c r="P4691" s="0" t="s">
        <v>130</v>
      </c>
      <c r="Q4691" s="0" t="s">
        <v>130</v>
      </c>
      <c r="R4691" s="0" t="s">
        <v>137</v>
      </c>
      <c r="S4691" s="0" t="s">
        <v>21</v>
      </c>
      <c r="T4691" s="0" t="s">
        <v>104</v>
      </c>
      <c r="W4691" s="0" t="s">
        <v>105</v>
      </c>
    </row>
    <row r="4692" customFormat="false" ht="15" hidden="false" customHeight="false" outlineLevel="0" collapsed="false">
      <c r="A4692" s="0" t="s">
        <v>21</v>
      </c>
      <c r="B4692" s="0" t="s">
        <v>13864</v>
      </c>
      <c r="C4692" s="0" t="s">
        <v>97</v>
      </c>
      <c r="M4692" s="0" t="s">
        <v>100</v>
      </c>
      <c r="N4692" s="0" t="s">
        <v>101</v>
      </c>
      <c r="P4692" s="0" t="s">
        <v>13734</v>
      </c>
      <c r="Q4692" s="0" t="s">
        <v>13734</v>
      </c>
      <c r="R4692" s="0" t="s">
        <v>13734</v>
      </c>
      <c r="S4692" s="0" t="s">
        <v>21</v>
      </c>
      <c r="T4692" s="0" t="s">
        <v>104</v>
      </c>
      <c r="W4692" s="0" t="s">
        <v>183</v>
      </c>
    </row>
    <row r="4693" customFormat="false" ht="15" hidden="false" customHeight="false" outlineLevel="0" collapsed="false">
      <c r="A4693" s="0" t="s">
        <v>21</v>
      </c>
      <c r="B4693" s="0" t="s">
        <v>13864</v>
      </c>
      <c r="C4693" s="0" t="s">
        <v>97</v>
      </c>
      <c r="M4693" s="0" t="s">
        <v>100</v>
      </c>
      <c r="N4693" s="0" t="s">
        <v>101</v>
      </c>
      <c r="P4693" s="0" t="s">
        <v>130</v>
      </c>
      <c r="Q4693" s="0" t="s">
        <v>130</v>
      </c>
      <c r="R4693" s="0" t="s">
        <v>137</v>
      </c>
      <c r="S4693" s="0" t="s">
        <v>21</v>
      </c>
      <c r="T4693" s="0" t="s">
        <v>104</v>
      </c>
      <c r="W4693" s="0" t="s">
        <v>105</v>
      </c>
    </row>
    <row r="4694" customFormat="false" ht="15" hidden="false" customHeight="false" outlineLevel="0" collapsed="false">
      <c r="A4694" s="0" t="s">
        <v>21</v>
      </c>
      <c r="B4694" s="0" t="s">
        <v>13865</v>
      </c>
      <c r="C4694" s="0" t="s">
        <v>97</v>
      </c>
      <c r="M4694" s="0" t="s">
        <v>100</v>
      </c>
      <c r="N4694" s="0" t="s">
        <v>101</v>
      </c>
      <c r="P4694" s="0" t="s">
        <v>13734</v>
      </c>
      <c r="Q4694" s="0" t="s">
        <v>13734</v>
      </c>
      <c r="R4694" s="0" t="s">
        <v>13734</v>
      </c>
      <c r="S4694" s="0" t="s">
        <v>21</v>
      </c>
      <c r="T4694" s="0" t="s">
        <v>104</v>
      </c>
      <c r="W4694" s="0" t="s">
        <v>183</v>
      </c>
    </row>
    <row r="4695" customFormat="false" ht="15" hidden="false" customHeight="false" outlineLevel="0" collapsed="false">
      <c r="A4695" s="0" t="s">
        <v>21</v>
      </c>
      <c r="B4695" s="0" t="s">
        <v>13865</v>
      </c>
      <c r="C4695" s="0" t="s">
        <v>97</v>
      </c>
      <c r="M4695" s="0" t="s">
        <v>100</v>
      </c>
      <c r="N4695" s="0" t="s">
        <v>101</v>
      </c>
      <c r="P4695" s="0" t="s">
        <v>130</v>
      </c>
      <c r="Q4695" s="0" t="s">
        <v>130</v>
      </c>
      <c r="R4695" s="0" t="s">
        <v>137</v>
      </c>
      <c r="S4695" s="0" t="s">
        <v>21</v>
      </c>
      <c r="T4695" s="0" t="s">
        <v>104</v>
      </c>
      <c r="W4695" s="0" t="s">
        <v>105</v>
      </c>
    </row>
    <row r="4696" customFormat="false" ht="15" hidden="false" customHeight="false" outlineLevel="0" collapsed="false">
      <c r="A4696" s="0" t="s">
        <v>21</v>
      </c>
      <c r="B4696" s="0" t="s">
        <v>13866</v>
      </c>
      <c r="C4696" s="0" t="s">
        <v>97</v>
      </c>
      <c r="M4696" s="0" t="s">
        <v>100</v>
      </c>
      <c r="N4696" s="0" t="s">
        <v>101</v>
      </c>
      <c r="P4696" s="0" t="s">
        <v>13734</v>
      </c>
      <c r="Q4696" s="0" t="s">
        <v>13734</v>
      </c>
      <c r="R4696" s="0" t="s">
        <v>13734</v>
      </c>
      <c r="S4696" s="0" t="s">
        <v>21</v>
      </c>
      <c r="T4696" s="0" t="s">
        <v>104</v>
      </c>
      <c r="W4696" s="0" t="s">
        <v>183</v>
      </c>
    </row>
    <row r="4697" customFormat="false" ht="15" hidden="false" customHeight="false" outlineLevel="0" collapsed="false">
      <c r="A4697" s="0" t="s">
        <v>21</v>
      </c>
      <c r="B4697" s="0" t="s">
        <v>13866</v>
      </c>
      <c r="C4697" s="0" t="s">
        <v>97</v>
      </c>
      <c r="M4697" s="0" t="s">
        <v>100</v>
      </c>
      <c r="N4697" s="0" t="s">
        <v>101</v>
      </c>
      <c r="P4697" s="0" t="s">
        <v>130</v>
      </c>
      <c r="Q4697" s="0" t="s">
        <v>130</v>
      </c>
      <c r="R4697" s="0" t="s">
        <v>137</v>
      </c>
      <c r="S4697" s="0" t="s">
        <v>21</v>
      </c>
      <c r="T4697" s="0" t="s">
        <v>104</v>
      </c>
      <c r="W4697" s="0" t="s">
        <v>105</v>
      </c>
    </row>
    <row r="4698" customFormat="false" ht="15" hidden="false" customHeight="false" outlineLevel="0" collapsed="false">
      <c r="A4698" s="0" t="s">
        <v>21</v>
      </c>
      <c r="B4698" s="0" t="s">
        <v>13867</v>
      </c>
      <c r="C4698" s="0" t="s">
        <v>97</v>
      </c>
      <c r="M4698" s="0" t="s">
        <v>100</v>
      </c>
      <c r="N4698" s="0" t="s">
        <v>101</v>
      </c>
      <c r="P4698" s="0" t="s">
        <v>13734</v>
      </c>
      <c r="Q4698" s="0" t="s">
        <v>13734</v>
      </c>
      <c r="R4698" s="0" t="s">
        <v>13734</v>
      </c>
      <c r="S4698" s="0" t="s">
        <v>21</v>
      </c>
      <c r="T4698" s="0" t="s">
        <v>104</v>
      </c>
      <c r="W4698" s="0" t="s">
        <v>183</v>
      </c>
    </row>
    <row r="4699" customFormat="false" ht="15" hidden="false" customHeight="false" outlineLevel="0" collapsed="false">
      <c r="A4699" s="0" t="s">
        <v>21</v>
      </c>
      <c r="B4699" s="0" t="s">
        <v>13867</v>
      </c>
      <c r="C4699" s="0" t="s">
        <v>97</v>
      </c>
      <c r="M4699" s="0" t="s">
        <v>100</v>
      </c>
      <c r="N4699" s="0" t="s">
        <v>101</v>
      </c>
      <c r="P4699" s="0" t="s">
        <v>130</v>
      </c>
      <c r="Q4699" s="0" t="s">
        <v>130</v>
      </c>
      <c r="R4699" s="0" t="s">
        <v>137</v>
      </c>
      <c r="S4699" s="0" t="s">
        <v>21</v>
      </c>
      <c r="T4699" s="0" t="s">
        <v>104</v>
      </c>
      <c r="W4699" s="0" t="s">
        <v>105</v>
      </c>
    </row>
    <row r="4700" customFormat="false" ht="15" hidden="false" customHeight="false" outlineLevel="0" collapsed="false">
      <c r="A4700" s="0" t="s">
        <v>21</v>
      </c>
      <c r="B4700" s="0" t="s">
        <v>13868</v>
      </c>
      <c r="C4700" s="0" t="s">
        <v>97</v>
      </c>
      <c r="M4700" s="0" t="s">
        <v>100</v>
      </c>
      <c r="N4700" s="0" t="s">
        <v>101</v>
      </c>
      <c r="P4700" s="0" t="s">
        <v>13734</v>
      </c>
      <c r="Q4700" s="0" t="s">
        <v>13734</v>
      </c>
      <c r="R4700" s="0" t="s">
        <v>13734</v>
      </c>
      <c r="S4700" s="0" t="s">
        <v>21</v>
      </c>
      <c r="T4700" s="0" t="s">
        <v>104</v>
      </c>
      <c r="W4700" s="0" t="s">
        <v>183</v>
      </c>
    </row>
    <row r="4701" customFormat="false" ht="15" hidden="false" customHeight="false" outlineLevel="0" collapsed="false">
      <c r="A4701" s="0" t="s">
        <v>21</v>
      </c>
      <c r="B4701" s="0" t="s">
        <v>13868</v>
      </c>
      <c r="C4701" s="0" t="s">
        <v>97</v>
      </c>
      <c r="M4701" s="0" t="s">
        <v>100</v>
      </c>
      <c r="N4701" s="0" t="s">
        <v>101</v>
      </c>
      <c r="P4701" s="0" t="s">
        <v>130</v>
      </c>
      <c r="Q4701" s="0" t="s">
        <v>130</v>
      </c>
      <c r="R4701" s="0" t="s">
        <v>137</v>
      </c>
      <c r="S4701" s="0" t="s">
        <v>21</v>
      </c>
      <c r="T4701" s="0" t="s">
        <v>104</v>
      </c>
      <c r="W4701" s="0" t="s">
        <v>105</v>
      </c>
    </row>
    <row r="4702" customFormat="false" ht="15" hidden="false" customHeight="false" outlineLevel="0" collapsed="false">
      <c r="A4702" s="0" t="s">
        <v>21</v>
      </c>
      <c r="B4702" s="0" t="s">
        <v>13869</v>
      </c>
      <c r="C4702" s="0" t="s">
        <v>97</v>
      </c>
      <c r="M4702" s="0" t="s">
        <v>100</v>
      </c>
      <c r="N4702" s="0" t="s">
        <v>101</v>
      </c>
      <c r="P4702" s="0" t="s">
        <v>13734</v>
      </c>
      <c r="Q4702" s="0" t="s">
        <v>13734</v>
      </c>
      <c r="R4702" s="0" t="s">
        <v>13734</v>
      </c>
      <c r="S4702" s="0" t="s">
        <v>21</v>
      </c>
      <c r="T4702" s="0" t="s">
        <v>104</v>
      </c>
      <c r="W4702" s="0" t="s">
        <v>183</v>
      </c>
    </row>
    <row r="4703" customFormat="false" ht="15" hidden="false" customHeight="false" outlineLevel="0" collapsed="false">
      <c r="A4703" s="0" t="s">
        <v>21</v>
      </c>
      <c r="B4703" s="0" t="s">
        <v>13869</v>
      </c>
      <c r="C4703" s="0" t="s">
        <v>97</v>
      </c>
      <c r="M4703" s="0" t="s">
        <v>100</v>
      </c>
      <c r="N4703" s="0" t="s">
        <v>101</v>
      </c>
      <c r="P4703" s="0" t="s">
        <v>130</v>
      </c>
      <c r="Q4703" s="0" t="s">
        <v>130</v>
      </c>
      <c r="R4703" s="0" t="s">
        <v>137</v>
      </c>
      <c r="S4703" s="0" t="s">
        <v>21</v>
      </c>
      <c r="T4703" s="0" t="s">
        <v>104</v>
      </c>
      <c r="W4703" s="0" t="s">
        <v>105</v>
      </c>
    </row>
    <row r="4704" customFormat="false" ht="15" hidden="false" customHeight="false" outlineLevel="0" collapsed="false">
      <c r="A4704" s="0" t="s">
        <v>21</v>
      </c>
      <c r="B4704" s="0" t="s">
        <v>13870</v>
      </c>
      <c r="C4704" s="0" t="s">
        <v>97</v>
      </c>
      <c r="M4704" s="0" t="s">
        <v>100</v>
      </c>
      <c r="N4704" s="0" t="s">
        <v>101</v>
      </c>
      <c r="P4704" s="0" t="s">
        <v>13734</v>
      </c>
      <c r="Q4704" s="0" t="s">
        <v>13734</v>
      </c>
      <c r="R4704" s="0" t="s">
        <v>13734</v>
      </c>
      <c r="S4704" s="0" t="s">
        <v>21</v>
      </c>
      <c r="T4704" s="0" t="s">
        <v>104</v>
      </c>
      <c r="W4704" s="0" t="s">
        <v>183</v>
      </c>
    </row>
    <row r="4705" customFormat="false" ht="15" hidden="false" customHeight="false" outlineLevel="0" collapsed="false">
      <c r="A4705" s="0" t="s">
        <v>21</v>
      </c>
      <c r="B4705" s="0" t="s">
        <v>13870</v>
      </c>
      <c r="C4705" s="0" t="s">
        <v>97</v>
      </c>
      <c r="M4705" s="0" t="s">
        <v>100</v>
      </c>
      <c r="N4705" s="0" t="s">
        <v>101</v>
      </c>
      <c r="P4705" s="0" t="s">
        <v>130</v>
      </c>
      <c r="Q4705" s="0" t="s">
        <v>130</v>
      </c>
      <c r="R4705" s="0" t="s">
        <v>137</v>
      </c>
      <c r="S4705" s="0" t="s">
        <v>21</v>
      </c>
      <c r="T4705" s="0" t="s">
        <v>104</v>
      </c>
      <c r="W4705" s="0" t="s">
        <v>105</v>
      </c>
    </row>
    <row r="4706" customFormat="false" ht="15" hidden="false" customHeight="false" outlineLevel="0" collapsed="false">
      <c r="A4706" s="0" t="s">
        <v>21</v>
      </c>
      <c r="B4706" s="0" t="s">
        <v>13871</v>
      </c>
      <c r="C4706" s="0" t="s">
        <v>97</v>
      </c>
      <c r="M4706" s="0" t="s">
        <v>100</v>
      </c>
      <c r="N4706" s="0" t="s">
        <v>101</v>
      </c>
      <c r="P4706" s="0" t="s">
        <v>13734</v>
      </c>
      <c r="Q4706" s="0" t="s">
        <v>13734</v>
      </c>
      <c r="R4706" s="0" t="s">
        <v>13734</v>
      </c>
      <c r="S4706" s="0" t="s">
        <v>21</v>
      </c>
      <c r="T4706" s="0" t="s">
        <v>104</v>
      </c>
      <c r="W4706" s="0" t="s">
        <v>183</v>
      </c>
    </row>
    <row r="4707" customFormat="false" ht="15" hidden="false" customHeight="false" outlineLevel="0" collapsed="false">
      <c r="A4707" s="0" t="s">
        <v>21</v>
      </c>
      <c r="B4707" s="0" t="s">
        <v>13871</v>
      </c>
      <c r="C4707" s="0" t="s">
        <v>97</v>
      </c>
      <c r="M4707" s="0" t="s">
        <v>100</v>
      </c>
      <c r="N4707" s="0" t="s">
        <v>101</v>
      </c>
      <c r="P4707" s="0" t="s">
        <v>130</v>
      </c>
      <c r="Q4707" s="0" t="s">
        <v>130</v>
      </c>
      <c r="R4707" s="0" t="s">
        <v>137</v>
      </c>
      <c r="S4707" s="0" t="s">
        <v>21</v>
      </c>
      <c r="T4707" s="0" t="s">
        <v>104</v>
      </c>
      <c r="W4707" s="0" t="s">
        <v>105</v>
      </c>
    </row>
    <row r="4708" customFormat="false" ht="15" hidden="false" customHeight="false" outlineLevel="0" collapsed="false">
      <c r="A4708" s="0" t="s">
        <v>21</v>
      </c>
      <c r="B4708" s="0" t="s">
        <v>13872</v>
      </c>
      <c r="C4708" s="0" t="s">
        <v>97</v>
      </c>
      <c r="M4708" s="0" t="s">
        <v>100</v>
      </c>
      <c r="N4708" s="0" t="s">
        <v>101</v>
      </c>
      <c r="P4708" s="0" t="s">
        <v>13734</v>
      </c>
      <c r="Q4708" s="0" t="s">
        <v>13734</v>
      </c>
      <c r="R4708" s="0" t="s">
        <v>13734</v>
      </c>
      <c r="S4708" s="0" t="s">
        <v>21</v>
      </c>
      <c r="T4708" s="0" t="s">
        <v>104</v>
      </c>
      <c r="W4708" s="0" t="s">
        <v>183</v>
      </c>
    </row>
    <row r="4709" customFormat="false" ht="15" hidden="false" customHeight="false" outlineLevel="0" collapsed="false">
      <c r="A4709" s="0" t="s">
        <v>21</v>
      </c>
      <c r="B4709" s="0" t="s">
        <v>13872</v>
      </c>
      <c r="C4709" s="0" t="s">
        <v>97</v>
      </c>
      <c r="M4709" s="0" t="s">
        <v>100</v>
      </c>
      <c r="N4709" s="0" t="s">
        <v>101</v>
      </c>
      <c r="P4709" s="0" t="s">
        <v>130</v>
      </c>
      <c r="Q4709" s="0" t="s">
        <v>130</v>
      </c>
      <c r="R4709" s="0" t="s">
        <v>137</v>
      </c>
      <c r="S4709" s="0" t="s">
        <v>21</v>
      </c>
      <c r="T4709" s="0" t="s">
        <v>104</v>
      </c>
      <c r="W4709" s="0" t="s">
        <v>105</v>
      </c>
    </row>
    <row r="4710" customFormat="false" ht="15" hidden="false" customHeight="false" outlineLevel="0" collapsed="false">
      <c r="A4710" s="0" t="s">
        <v>21</v>
      </c>
      <c r="B4710" s="0" t="s">
        <v>13873</v>
      </c>
      <c r="C4710" s="0" t="s">
        <v>97</v>
      </c>
      <c r="M4710" s="0" t="s">
        <v>100</v>
      </c>
      <c r="N4710" s="0" t="s">
        <v>101</v>
      </c>
      <c r="P4710" s="0" t="s">
        <v>13734</v>
      </c>
      <c r="Q4710" s="0" t="s">
        <v>13734</v>
      </c>
      <c r="R4710" s="0" t="s">
        <v>13734</v>
      </c>
      <c r="S4710" s="0" t="s">
        <v>21</v>
      </c>
      <c r="T4710" s="0" t="s">
        <v>104</v>
      </c>
      <c r="W4710" s="0" t="s">
        <v>183</v>
      </c>
    </row>
    <row r="4711" customFormat="false" ht="15" hidden="false" customHeight="false" outlineLevel="0" collapsed="false">
      <c r="A4711" s="0" t="s">
        <v>21</v>
      </c>
      <c r="B4711" s="0" t="s">
        <v>13873</v>
      </c>
      <c r="C4711" s="0" t="s">
        <v>97</v>
      </c>
      <c r="M4711" s="0" t="s">
        <v>100</v>
      </c>
      <c r="N4711" s="0" t="s">
        <v>101</v>
      </c>
      <c r="P4711" s="0" t="s">
        <v>130</v>
      </c>
      <c r="Q4711" s="0" t="s">
        <v>130</v>
      </c>
      <c r="R4711" s="0" t="s">
        <v>137</v>
      </c>
      <c r="S4711" s="0" t="s">
        <v>21</v>
      </c>
      <c r="T4711" s="0" t="s">
        <v>104</v>
      </c>
      <c r="W4711" s="0" t="s">
        <v>105</v>
      </c>
    </row>
    <row r="4712" customFormat="false" ht="15" hidden="false" customHeight="false" outlineLevel="0" collapsed="false">
      <c r="A4712" s="0" t="s">
        <v>21</v>
      </c>
      <c r="B4712" s="0" t="s">
        <v>13874</v>
      </c>
      <c r="C4712" s="0" t="s">
        <v>97</v>
      </c>
      <c r="M4712" s="0" t="s">
        <v>100</v>
      </c>
      <c r="N4712" s="0" t="s">
        <v>101</v>
      </c>
      <c r="P4712" s="0" t="s">
        <v>13734</v>
      </c>
      <c r="Q4712" s="0" t="s">
        <v>13734</v>
      </c>
      <c r="R4712" s="0" t="s">
        <v>13734</v>
      </c>
      <c r="S4712" s="0" t="s">
        <v>21</v>
      </c>
      <c r="T4712" s="0" t="s">
        <v>104</v>
      </c>
      <c r="W4712" s="0" t="s">
        <v>183</v>
      </c>
    </row>
    <row r="4713" customFormat="false" ht="15" hidden="false" customHeight="false" outlineLevel="0" collapsed="false">
      <c r="A4713" s="0" t="s">
        <v>21</v>
      </c>
      <c r="B4713" s="0" t="s">
        <v>13874</v>
      </c>
      <c r="C4713" s="0" t="s">
        <v>97</v>
      </c>
      <c r="M4713" s="0" t="s">
        <v>100</v>
      </c>
      <c r="N4713" s="0" t="s">
        <v>101</v>
      </c>
      <c r="P4713" s="0" t="s">
        <v>130</v>
      </c>
      <c r="Q4713" s="0" t="s">
        <v>130</v>
      </c>
      <c r="R4713" s="0" t="s">
        <v>137</v>
      </c>
      <c r="S4713" s="0" t="s">
        <v>21</v>
      </c>
      <c r="T4713" s="0" t="s">
        <v>104</v>
      </c>
      <c r="W4713" s="0" t="s">
        <v>105</v>
      </c>
    </row>
    <row r="4714" customFormat="false" ht="15" hidden="false" customHeight="false" outlineLevel="0" collapsed="false">
      <c r="A4714" s="0" t="s">
        <v>21</v>
      </c>
      <c r="B4714" s="0" t="s">
        <v>13875</v>
      </c>
      <c r="C4714" s="0" t="s">
        <v>97</v>
      </c>
      <c r="M4714" s="0" t="s">
        <v>100</v>
      </c>
      <c r="N4714" s="0" t="s">
        <v>101</v>
      </c>
      <c r="P4714" s="0" t="s">
        <v>13734</v>
      </c>
      <c r="Q4714" s="0" t="s">
        <v>13734</v>
      </c>
      <c r="R4714" s="0" t="s">
        <v>13734</v>
      </c>
      <c r="S4714" s="0" t="s">
        <v>21</v>
      </c>
      <c r="T4714" s="0" t="s">
        <v>104</v>
      </c>
      <c r="W4714" s="0" t="s">
        <v>183</v>
      </c>
    </row>
    <row r="4715" customFormat="false" ht="15" hidden="false" customHeight="false" outlineLevel="0" collapsed="false">
      <c r="A4715" s="0" t="s">
        <v>21</v>
      </c>
      <c r="B4715" s="0" t="s">
        <v>13875</v>
      </c>
      <c r="C4715" s="0" t="s">
        <v>97</v>
      </c>
      <c r="M4715" s="0" t="s">
        <v>100</v>
      </c>
      <c r="N4715" s="0" t="s">
        <v>101</v>
      </c>
      <c r="P4715" s="0" t="s">
        <v>130</v>
      </c>
      <c r="Q4715" s="0" t="s">
        <v>130</v>
      </c>
      <c r="R4715" s="0" t="s">
        <v>137</v>
      </c>
      <c r="S4715" s="0" t="s">
        <v>21</v>
      </c>
      <c r="T4715" s="0" t="s">
        <v>104</v>
      </c>
      <c r="W4715" s="0" t="s">
        <v>105</v>
      </c>
    </row>
    <row r="4716" customFormat="false" ht="15" hidden="false" customHeight="false" outlineLevel="0" collapsed="false">
      <c r="A4716" s="0" t="s">
        <v>21</v>
      </c>
      <c r="B4716" s="0" t="s">
        <v>13876</v>
      </c>
      <c r="C4716" s="0" t="s">
        <v>97</v>
      </c>
      <c r="M4716" s="0" t="s">
        <v>100</v>
      </c>
      <c r="N4716" s="0" t="s">
        <v>101</v>
      </c>
      <c r="P4716" s="0" t="s">
        <v>13734</v>
      </c>
      <c r="Q4716" s="0" t="s">
        <v>13734</v>
      </c>
      <c r="R4716" s="0" t="s">
        <v>13734</v>
      </c>
      <c r="S4716" s="0" t="s">
        <v>21</v>
      </c>
      <c r="T4716" s="0" t="s">
        <v>104</v>
      </c>
      <c r="W4716" s="0" t="s">
        <v>183</v>
      </c>
    </row>
    <row r="4717" customFormat="false" ht="15" hidden="false" customHeight="false" outlineLevel="0" collapsed="false">
      <c r="A4717" s="0" t="s">
        <v>21</v>
      </c>
      <c r="B4717" s="0" t="s">
        <v>13876</v>
      </c>
      <c r="C4717" s="0" t="s">
        <v>97</v>
      </c>
      <c r="M4717" s="0" t="s">
        <v>100</v>
      </c>
      <c r="N4717" s="0" t="s">
        <v>101</v>
      </c>
      <c r="P4717" s="0" t="s">
        <v>130</v>
      </c>
      <c r="Q4717" s="0" t="s">
        <v>130</v>
      </c>
      <c r="R4717" s="0" t="s">
        <v>137</v>
      </c>
      <c r="S4717" s="0" t="s">
        <v>21</v>
      </c>
      <c r="T4717" s="0" t="s">
        <v>104</v>
      </c>
      <c r="W4717" s="0" t="s">
        <v>105</v>
      </c>
    </row>
    <row r="4718" customFormat="false" ht="15" hidden="false" customHeight="false" outlineLevel="0" collapsed="false">
      <c r="A4718" s="0" t="s">
        <v>21</v>
      </c>
      <c r="B4718" s="0" t="s">
        <v>13877</v>
      </c>
      <c r="C4718" s="0" t="s">
        <v>97</v>
      </c>
      <c r="M4718" s="0" t="s">
        <v>100</v>
      </c>
      <c r="N4718" s="0" t="s">
        <v>101</v>
      </c>
      <c r="P4718" s="0" t="s">
        <v>13734</v>
      </c>
      <c r="Q4718" s="0" t="s">
        <v>13734</v>
      </c>
      <c r="R4718" s="0" t="s">
        <v>13734</v>
      </c>
      <c r="S4718" s="0" t="s">
        <v>21</v>
      </c>
      <c r="T4718" s="0" t="s">
        <v>104</v>
      </c>
      <c r="W4718" s="0" t="s">
        <v>183</v>
      </c>
    </row>
    <row r="4719" customFormat="false" ht="15" hidden="false" customHeight="false" outlineLevel="0" collapsed="false">
      <c r="A4719" s="0" t="s">
        <v>21</v>
      </c>
      <c r="B4719" s="0" t="s">
        <v>13877</v>
      </c>
      <c r="C4719" s="0" t="s">
        <v>97</v>
      </c>
      <c r="M4719" s="0" t="s">
        <v>100</v>
      </c>
      <c r="N4719" s="0" t="s">
        <v>101</v>
      </c>
      <c r="P4719" s="0" t="s">
        <v>130</v>
      </c>
      <c r="Q4719" s="0" t="s">
        <v>130</v>
      </c>
      <c r="R4719" s="0" t="s">
        <v>137</v>
      </c>
      <c r="S4719" s="0" t="s">
        <v>21</v>
      </c>
      <c r="T4719" s="0" t="s">
        <v>104</v>
      </c>
      <c r="W4719" s="0" t="s">
        <v>105</v>
      </c>
    </row>
    <row r="4720" customFormat="false" ht="15" hidden="false" customHeight="false" outlineLevel="0" collapsed="false">
      <c r="A4720" s="0" t="s">
        <v>21</v>
      </c>
      <c r="B4720" s="0" t="s">
        <v>13878</v>
      </c>
      <c r="C4720" s="0" t="s">
        <v>97</v>
      </c>
      <c r="M4720" s="0" t="s">
        <v>100</v>
      </c>
      <c r="N4720" s="0" t="s">
        <v>101</v>
      </c>
      <c r="P4720" s="0" t="s">
        <v>13734</v>
      </c>
      <c r="Q4720" s="0" t="s">
        <v>13734</v>
      </c>
      <c r="R4720" s="0" t="s">
        <v>13734</v>
      </c>
      <c r="S4720" s="0" t="s">
        <v>21</v>
      </c>
      <c r="T4720" s="0" t="s">
        <v>104</v>
      </c>
      <c r="W4720" s="0" t="s">
        <v>183</v>
      </c>
    </row>
    <row r="4721" customFormat="false" ht="15" hidden="false" customHeight="false" outlineLevel="0" collapsed="false">
      <c r="A4721" s="0" t="s">
        <v>21</v>
      </c>
      <c r="B4721" s="0" t="s">
        <v>13878</v>
      </c>
      <c r="C4721" s="0" t="s">
        <v>97</v>
      </c>
      <c r="M4721" s="0" t="s">
        <v>100</v>
      </c>
      <c r="N4721" s="0" t="s">
        <v>101</v>
      </c>
      <c r="P4721" s="0" t="s">
        <v>130</v>
      </c>
      <c r="Q4721" s="0" t="s">
        <v>130</v>
      </c>
      <c r="R4721" s="0" t="s">
        <v>137</v>
      </c>
      <c r="S4721" s="0" t="s">
        <v>21</v>
      </c>
      <c r="T4721" s="0" t="s">
        <v>104</v>
      </c>
      <c r="W4721" s="0" t="s">
        <v>105</v>
      </c>
    </row>
    <row r="4722" customFormat="false" ht="15" hidden="false" customHeight="false" outlineLevel="0" collapsed="false">
      <c r="A4722" s="0" t="s">
        <v>21</v>
      </c>
      <c r="B4722" s="0" t="s">
        <v>13879</v>
      </c>
      <c r="C4722" s="0" t="s">
        <v>97</v>
      </c>
      <c r="M4722" s="0" t="s">
        <v>100</v>
      </c>
      <c r="N4722" s="0" t="s">
        <v>101</v>
      </c>
      <c r="P4722" s="0" t="s">
        <v>13734</v>
      </c>
      <c r="Q4722" s="0" t="s">
        <v>13734</v>
      </c>
      <c r="R4722" s="0" t="s">
        <v>13734</v>
      </c>
      <c r="S4722" s="0" t="s">
        <v>21</v>
      </c>
      <c r="T4722" s="0" t="s">
        <v>104</v>
      </c>
      <c r="W4722" s="0" t="s">
        <v>183</v>
      </c>
    </row>
    <row r="4723" customFormat="false" ht="15" hidden="false" customHeight="false" outlineLevel="0" collapsed="false">
      <c r="A4723" s="0" t="s">
        <v>21</v>
      </c>
      <c r="B4723" s="0" t="s">
        <v>13879</v>
      </c>
      <c r="C4723" s="0" t="s">
        <v>97</v>
      </c>
      <c r="M4723" s="0" t="s">
        <v>100</v>
      </c>
      <c r="N4723" s="0" t="s">
        <v>101</v>
      </c>
      <c r="P4723" s="0" t="s">
        <v>130</v>
      </c>
      <c r="Q4723" s="0" t="s">
        <v>130</v>
      </c>
      <c r="R4723" s="0" t="s">
        <v>137</v>
      </c>
      <c r="S4723" s="0" t="s">
        <v>21</v>
      </c>
      <c r="T4723" s="0" t="s">
        <v>104</v>
      </c>
      <c r="W4723" s="0" t="s">
        <v>105</v>
      </c>
    </row>
    <row r="4724" customFormat="false" ht="15" hidden="false" customHeight="false" outlineLevel="0" collapsed="false">
      <c r="A4724" s="0" t="s">
        <v>21</v>
      </c>
      <c r="B4724" s="0" t="s">
        <v>13880</v>
      </c>
      <c r="C4724" s="0" t="s">
        <v>97</v>
      </c>
      <c r="M4724" s="0" t="s">
        <v>100</v>
      </c>
      <c r="N4724" s="0" t="s">
        <v>101</v>
      </c>
      <c r="P4724" s="0" t="s">
        <v>13734</v>
      </c>
      <c r="Q4724" s="0" t="s">
        <v>13734</v>
      </c>
      <c r="R4724" s="0" t="s">
        <v>13734</v>
      </c>
      <c r="S4724" s="0" t="s">
        <v>21</v>
      </c>
      <c r="T4724" s="0" t="s">
        <v>104</v>
      </c>
      <c r="W4724" s="0" t="s">
        <v>183</v>
      </c>
    </row>
    <row r="4725" customFormat="false" ht="15" hidden="false" customHeight="false" outlineLevel="0" collapsed="false">
      <c r="A4725" s="0" t="s">
        <v>21</v>
      </c>
      <c r="B4725" s="0" t="s">
        <v>13880</v>
      </c>
      <c r="C4725" s="0" t="s">
        <v>97</v>
      </c>
      <c r="M4725" s="0" t="s">
        <v>100</v>
      </c>
      <c r="N4725" s="0" t="s">
        <v>101</v>
      </c>
      <c r="P4725" s="0" t="s">
        <v>130</v>
      </c>
      <c r="Q4725" s="0" t="s">
        <v>130</v>
      </c>
      <c r="R4725" s="0" t="s">
        <v>137</v>
      </c>
      <c r="S4725" s="0" t="s">
        <v>21</v>
      </c>
      <c r="T4725" s="0" t="s">
        <v>104</v>
      </c>
      <c r="W4725" s="0" t="s">
        <v>105</v>
      </c>
    </row>
    <row r="4726" customFormat="false" ht="15" hidden="false" customHeight="false" outlineLevel="0" collapsed="false">
      <c r="A4726" s="0" t="s">
        <v>21</v>
      </c>
      <c r="B4726" s="0" t="s">
        <v>13881</v>
      </c>
      <c r="C4726" s="0" t="s">
        <v>97</v>
      </c>
      <c r="M4726" s="0" t="s">
        <v>100</v>
      </c>
      <c r="N4726" s="0" t="s">
        <v>101</v>
      </c>
      <c r="P4726" s="0" t="s">
        <v>13734</v>
      </c>
      <c r="Q4726" s="0" t="s">
        <v>13734</v>
      </c>
      <c r="R4726" s="0" t="s">
        <v>13734</v>
      </c>
      <c r="S4726" s="0" t="s">
        <v>21</v>
      </c>
      <c r="T4726" s="0" t="s">
        <v>104</v>
      </c>
      <c r="W4726" s="0" t="s">
        <v>183</v>
      </c>
    </row>
    <row r="4727" customFormat="false" ht="15" hidden="false" customHeight="false" outlineLevel="0" collapsed="false">
      <c r="A4727" s="0" t="s">
        <v>21</v>
      </c>
      <c r="B4727" s="0" t="s">
        <v>13881</v>
      </c>
      <c r="C4727" s="0" t="s">
        <v>97</v>
      </c>
      <c r="M4727" s="0" t="s">
        <v>100</v>
      </c>
      <c r="N4727" s="0" t="s">
        <v>101</v>
      </c>
      <c r="P4727" s="0" t="s">
        <v>130</v>
      </c>
      <c r="Q4727" s="0" t="s">
        <v>130</v>
      </c>
      <c r="R4727" s="0" t="s">
        <v>137</v>
      </c>
      <c r="S4727" s="0" t="s">
        <v>21</v>
      </c>
      <c r="T4727" s="0" t="s">
        <v>104</v>
      </c>
      <c r="W4727" s="0" t="s">
        <v>105</v>
      </c>
    </row>
    <row r="4728" customFormat="false" ht="15" hidden="false" customHeight="false" outlineLevel="0" collapsed="false">
      <c r="A4728" s="0" t="s">
        <v>21</v>
      </c>
      <c r="B4728" s="0" t="s">
        <v>13882</v>
      </c>
      <c r="C4728" s="0" t="s">
        <v>97</v>
      </c>
      <c r="M4728" s="0" t="s">
        <v>100</v>
      </c>
      <c r="N4728" s="0" t="s">
        <v>101</v>
      </c>
      <c r="P4728" s="0" t="s">
        <v>13734</v>
      </c>
      <c r="Q4728" s="0" t="s">
        <v>13734</v>
      </c>
      <c r="R4728" s="0" t="s">
        <v>13734</v>
      </c>
      <c r="S4728" s="0" t="s">
        <v>21</v>
      </c>
      <c r="T4728" s="0" t="s">
        <v>104</v>
      </c>
      <c r="W4728" s="0" t="s">
        <v>183</v>
      </c>
    </row>
    <row r="4729" customFormat="false" ht="15" hidden="false" customHeight="false" outlineLevel="0" collapsed="false">
      <c r="A4729" s="0" t="s">
        <v>21</v>
      </c>
      <c r="B4729" s="0" t="s">
        <v>13882</v>
      </c>
      <c r="C4729" s="0" t="s">
        <v>97</v>
      </c>
      <c r="M4729" s="0" t="s">
        <v>100</v>
      </c>
      <c r="N4729" s="0" t="s">
        <v>101</v>
      </c>
      <c r="P4729" s="0" t="s">
        <v>130</v>
      </c>
      <c r="Q4729" s="0" t="s">
        <v>130</v>
      </c>
      <c r="R4729" s="0" t="s">
        <v>137</v>
      </c>
      <c r="S4729" s="0" t="s">
        <v>21</v>
      </c>
      <c r="T4729" s="0" t="s">
        <v>104</v>
      </c>
      <c r="W4729" s="0" t="s">
        <v>105</v>
      </c>
    </row>
    <row r="4730" customFormat="false" ht="15" hidden="false" customHeight="false" outlineLevel="0" collapsed="false">
      <c r="A4730" s="0" t="s">
        <v>21</v>
      </c>
      <c r="B4730" s="0" t="s">
        <v>13883</v>
      </c>
      <c r="C4730" s="0" t="s">
        <v>97</v>
      </c>
      <c r="M4730" s="0" t="s">
        <v>100</v>
      </c>
      <c r="N4730" s="0" t="s">
        <v>101</v>
      </c>
      <c r="P4730" s="0" t="s">
        <v>13734</v>
      </c>
      <c r="Q4730" s="0" t="s">
        <v>13734</v>
      </c>
      <c r="R4730" s="0" t="s">
        <v>13734</v>
      </c>
      <c r="S4730" s="0" t="s">
        <v>21</v>
      </c>
      <c r="T4730" s="0" t="s">
        <v>104</v>
      </c>
      <c r="W4730" s="0" t="s">
        <v>183</v>
      </c>
    </row>
    <row r="4731" customFormat="false" ht="15" hidden="false" customHeight="false" outlineLevel="0" collapsed="false">
      <c r="A4731" s="0" t="s">
        <v>21</v>
      </c>
      <c r="B4731" s="0" t="s">
        <v>13883</v>
      </c>
      <c r="C4731" s="0" t="s">
        <v>97</v>
      </c>
      <c r="M4731" s="0" t="s">
        <v>100</v>
      </c>
      <c r="N4731" s="0" t="s">
        <v>101</v>
      </c>
      <c r="P4731" s="0" t="s">
        <v>130</v>
      </c>
      <c r="Q4731" s="0" t="s">
        <v>130</v>
      </c>
      <c r="R4731" s="0" t="s">
        <v>137</v>
      </c>
      <c r="S4731" s="0" t="s">
        <v>21</v>
      </c>
      <c r="T4731" s="0" t="s">
        <v>104</v>
      </c>
      <c r="W4731" s="0" t="s">
        <v>105</v>
      </c>
    </row>
    <row r="4732" customFormat="false" ht="15" hidden="false" customHeight="false" outlineLevel="0" collapsed="false">
      <c r="A4732" s="0" t="s">
        <v>21</v>
      </c>
      <c r="B4732" s="0" t="s">
        <v>13884</v>
      </c>
      <c r="C4732" s="0" t="s">
        <v>97</v>
      </c>
      <c r="M4732" s="0" t="s">
        <v>100</v>
      </c>
      <c r="N4732" s="0" t="s">
        <v>101</v>
      </c>
      <c r="P4732" s="0" t="s">
        <v>13734</v>
      </c>
      <c r="Q4732" s="0" t="s">
        <v>13734</v>
      </c>
      <c r="R4732" s="0" t="s">
        <v>13734</v>
      </c>
      <c r="S4732" s="0" t="s">
        <v>21</v>
      </c>
      <c r="T4732" s="0" t="s">
        <v>104</v>
      </c>
      <c r="W4732" s="0" t="s">
        <v>183</v>
      </c>
    </row>
    <row r="4733" customFormat="false" ht="15" hidden="false" customHeight="false" outlineLevel="0" collapsed="false">
      <c r="A4733" s="0" t="s">
        <v>21</v>
      </c>
      <c r="B4733" s="0" t="s">
        <v>13884</v>
      </c>
      <c r="C4733" s="0" t="s">
        <v>97</v>
      </c>
      <c r="M4733" s="0" t="s">
        <v>100</v>
      </c>
      <c r="N4733" s="0" t="s">
        <v>101</v>
      </c>
      <c r="P4733" s="0" t="s">
        <v>130</v>
      </c>
      <c r="Q4733" s="0" t="s">
        <v>130</v>
      </c>
      <c r="R4733" s="0" t="s">
        <v>137</v>
      </c>
      <c r="S4733" s="0" t="s">
        <v>21</v>
      </c>
      <c r="T4733" s="0" t="s">
        <v>104</v>
      </c>
      <c r="W4733" s="0" t="s">
        <v>105</v>
      </c>
    </row>
    <row r="4734" customFormat="false" ht="15" hidden="false" customHeight="false" outlineLevel="0" collapsed="false">
      <c r="A4734" s="0" t="s">
        <v>21</v>
      </c>
      <c r="B4734" s="0" t="s">
        <v>13885</v>
      </c>
      <c r="C4734" s="0" t="s">
        <v>97</v>
      </c>
      <c r="M4734" s="0" t="s">
        <v>100</v>
      </c>
      <c r="N4734" s="0" t="s">
        <v>101</v>
      </c>
      <c r="P4734" s="0" t="s">
        <v>13734</v>
      </c>
      <c r="Q4734" s="0" t="s">
        <v>13734</v>
      </c>
      <c r="R4734" s="0" t="s">
        <v>13734</v>
      </c>
      <c r="S4734" s="0" t="s">
        <v>21</v>
      </c>
      <c r="T4734" s="0" t="s">
        <v>104</v>
      </c>
      <c r="W4734" s="0" t="s">
        <v>183</v>
      </c>
    </row>
    <row r="4735" customFormat="false" ht="15" hidden="false" customHeight="false" outlineLevel="0" collapsed="false">
      <c r="A4735" s="0" t="s">
        <v>21</v>
      </c>
      <c r="B4735" s="0" t="s">
        <v>13885</v>
      </c>
      <c r="C4735" s="0" t="s">
        <v>97</v>
      </c>
      <c r="M4735" s="0" t="s">
        <v>100</v>
      </c>
      <c r="N4735" s="0" t="s">
        <v>101</v>
      </c>
      <c r="P4735" s="0" t="s">
        <v>130</v>
      </c>
      <c r="Q4735" s="0" t="s">
        <v>130</v>
      </c>
      <c r="R4735" s="0" t="s">
        <v>137</v>
      </c>
      <c r="S4735" s="0" t="s">
        <v>21</v>
      </c>
      <c r="T4735" s="0" t="s">
        <v>104</v>
      </c>
      <c r="W4735" s="0" t="s">
        <v>105</v>
      </c>
    </row>
    <row r="4736" customFormat="false" ht="15" hidden="false" customHeight="false" outlineLevel="0" collapsed="false">
      <c r="A4736" s="0" t="s">
        <v>21</v>
      </c>
      <c r="B4736" s="0" t="s">
        <v>13886</v>
      </c>
      <c r="C4736" s="0" t="s">
        <v>97</v>
      </c>
      <c r="M4736" s="0" t="s">
        <v>100</v>
      </c>
      <c r="N4736" s="0" t="s">
        <v>101</v>
      </c>
      <c r="P4736" s="0" t="s">
        <v>13734</v>
      </c>
      <c r="Q4736" s="0" t="s">
        <v>13734</v>
      </c>
      <c r="R4736" s="0" t="s">
        <v>13734</v>
      </c>
      <c r="S4736" s="0" t="s">
        <v>21</v>
      </c>
      <c r="T4736" s="0" t="s">
        <v>104</v>
      </c>
      <c r="W4736" s="0" t="s">
        <v>183</v>
      </c>
    </row>
    <row r="4737" customFormat="false" ht="15" hidden="false" customHeight="false" outlineLevel="0" collapsed="false">
      <c r="A4737" s="0" t="s">
        <v>21</v>
      </c>
      <c r="B4737" s="0" t="s">
        <v>13886</v>
      </c>
      <c r="C4737" s="0" t="s">
        <v>97</v>
      </c>
      <c r="M4737" s="0" t="s">
        <v>100</v>
      </c>
      <c r="N4737" s="0" t="s">
        <v>101</v>
      </c>
      <c r="P4737" s="0" t="s">
        <v>130</v>
      </c>
      <c r="Q4737" s="0" t="s">
        <v>130</v>
      </c>
      <c r="R4737" s="0" t="s">
        <v>137</v>
      </c>
      <c r="S4737" s="0" t="s">
        <v>21</v>
      </c>
      <c r="T4737" s="0" t="s">
        <v>104</v>
      </c>
      <c r="W4737" s="0" t="s">
        <v>105</v>
      </c>
    </row>
    <row r="4738" customFormat="false" ht="15" hidden="false" customHeight="false" outlineLevel="0" collapsed="false">
      <c r="A4738" s="0" t="s">
        <v>21</v>
      </c>
      <c r="B4738" s="0" t="s">
        <v>13887</v>
      </c>
      <c r="C4738" s="0" t="s">
        <v>97</v>
      </c>
      <c r="M4738" s="0" t="s">
        <v>100</v>
      </c>
      <c r="N4738" s="0" t="s">
        <v>101</v>
      </c>
      <c r="P4738" s="0" t="s">
        <v>13734</v>
      </c>
      <c r="Q4738" s="0" t="s">
        <v>13734</v>
      </c>
      <c r="R4738" s="0" t="s">
        <v>13734</v>
      </c>
      <c r="S4738" s="0" t="s">
        <v>21</v>
      </c>
      <c r="T4738" s="0" t="s">
        <v>104</v>
      </c>
      <c r="W4738" s="0" t="s">
        <v>183</v>
      </c>
    </row>
    <row r="4739" customFormat="false" ht="15" hidden="false" customHeight="false" outlineLevel="0" collapsed="false">
      <c r="A4739" s="0" t="s">
        <v>21</v>
      </c>
      <c r="B4739" s="0" t="s">
        <v>13887</v>
      </c>
      <c r="C4739" s="0" t="s">
        <v>97</v>
      </c>
      <c r="M4739" s="0" t="s">
        <v>100</v>
      </c>
      <c r="N4739" s="0" t="s">
        <v>101</v>
      </c>
      <c r="P4739" s="0" t="s">
        <v>130</v>
      </c>
      <c r="Q4739" s="0" t="s">
        <v>130</v>
      </c>
      <c r="R4739" s="0" t="s">
        <v>137</v>
      </c>
      <c r="S4739" s="0" t="s">
        <v>21</v>
      </c>
      <c r="T4739" s="0" t="s">
        <v>104</v>
      </c>
      <c r="W4739" s="0" t="s">
        <v>105</v>
      </c>
    </row>
    <row r="4740" customFormat="false" ht="15" hidden="false" customHeight="false" outlineLevel="0" collapsed="false">
      <c r="A4740" s="0" t="s">
        <v>21</v>
      </c>
      <c r="B4740" s="0" t="s">
        <v>13888</v>
      </c>
      <c r="C4740" s="0" t="s">
        <v>97</v>
      </c>
      <c r="M4740" s="0" t="s">
        <v>100</v>
      </c>
      <c r="N4740" s="0" t="s">
        <v>101</v>
      </c>
      <c r="P4740" s="0" t="s">
        <v>13734</v>
      </c>
      <c r="Q4740" s="0" t="s">
        <v>13734</v>
      </c>
      <c r="R4740" s="0" t="s">
        <v>13734</v>
      </c>
      <c r="S4740" s="0" t="s">
        <v>21</v>
      </c>
      <c r="T4740" s="0" t="s">
        <v>104</v>
      </c>
      <c r="W4740" s="0" t="s">
        <v>183</v>
      </c>
    </row>
    <row r="4741" customFormat="false" ht="15" hidden="false" customHeight="false" outlineLevel="0" collapsed="false">
      <c r="A4741" s="0" t="s">
        <v>21</v>
      </c>
      <c r="B4741" s="0" t="s">
        <v>13888</v>
      </c>
      <c r="C4741" s="0" t="s">
        <v>97</v>
      </c>
      <c r="M4741" s="0" t="s">
        <v>100</v>
      </c>
      <c r="N4741" s="0" t="s">
        <v>101</v>
      </c>
      <c r="P4741" s="0" t="s">
        <v>130</v>
      </c>
      <c r="Q4741" s="0" t="s">
        <v>130</v>
      </c>
      <c r="R4741" s="0" t="s">
        <v>137</v>
      </c>
      <c r="S4741" s="0" t="s">
        <v>21</v>
      </c>
      <c r="T4741" s="0" t="s">
        <v>104</v>
      </c>
      <c r="W4741" s="0" t="s">
        <v>105</v>
      </c>
    </row>
    <row r="4742" customFormat="false" ht="15" hidden="false" customHeight="false" outlineLevel="0" collapsed="false">
      <c r="A4742" s="0" t="s">
        <v>21</v>
      </c>
      <c r="B4742" s="0" t="s">
        <v>13889</v>
      </c>
      <c r="C4742" s="0" t="s">
        <v>97</v>
      </c>
      <c r="M4742" s="0" t="s">
        <v>100</v>
      </c>
      <c r="N4742" s="0" t="s">
        <v>101</v>
      </c>
      <c r="P4742" s="0" t="s">
        <v>13734</v>
      </c>
      <c r="Q4742" s="0" t="s">
        <v>13734</v>
      </c>
      <c r="R4742" s="0" t="s">
        <v>13734</v>
      </c>
      <c r="S4742" s="0" t="s">
        <v>21</v>
      </c>
      <c r="T4742" s="0" t="s">
        <v>104</v>
      </c>
      <c r="W4742" s="0" t="s">
        <v>183</v>
      </c>
    </row>
    <row r="4743" customFormat="false" ht="15" hidden="false" customHeight="false" outlineLevel="0" collapsed="false">
      <c r="A4743" s="0" t="s">
        <v>21</v>
      </c>
      <c r="B4743" s="0" t="s">
        <v>13889</v>
      </c>
      <c r="C4743" s="0" t="s">
        <v>97</v>
      </c>
      <c r="M4743" s="0" t="s">
        <v>100</v>
      </c>
      <c r="N4743" s="0" t="s">
        <v>101</v>
      </c>
      <c r="P4743" s="0" t="s">
        <v>130</v>
      </c>
      <c r="Q4743" s="0" t="s">
        <v>130</v>
      </c>
      <c r="R4743" s="0" t="s">
        <v>137</v>
      </c>
      <c r="S4743" s="0" t="s">
        <v>21</v>
      </c>
      <c r="T4743" s="0" t="s">
        <v>104</v>
      </c>
      <c r="W4743" s="0" t="s">
        <v>105</v>
      </c>
    </row>
    <row r="4744" customFormat="false" ht="15" hidden="false" customHeight="false" outlineLevel="0" collapsed="false">
      <c r="A4744" s="0" t="s">
        <v>21</v>
      </c>
      <c r="B4744" s="0" t="s">
        <v>13890</v>
      </c>
      <c r="C4744" s="0" t="s">
        <v>97</v>
      </c>
      <c r="M4744" s="0" t="s">
        <v>100</v>
      </c>
      <c r="N4744" s="0" t="s">
        <v>101</v>
      </c>
      <c r="P4744" s="0" t="s">
        <v>13734</v>
      </c>
      <c r="Q4744" s="0" t="s">
        <v>13734</v>
      </c>
      <c r="R4744" s="0" t="s">
        <v>13734</v>
      </c>
      <c r="S4744" s="0" t="s">
        <v>21</v>
      </c>
      <c r="T4744" s="0" t="s">
        <v>104</v>
      </c>
      <c r="W4744" s="0" t="s">
        <v>183</v>
      </c>
    </row>
    <row r="4745" customFormat="false" ht="15" hidden="false" customHeight="false" outlineLevel="0" collapsed="false">
      <c r="A4745" s="0" t="s">
        <v>21</v>
      </c>
      <c r="B4745" s="0" t="s">
        <v>13890</v>
      </c>
      <c r="C4745" s="0" t="s">
        <v>97</v>
      </c>
      <c r="M4745" s="0" t="s">
        <v>100</v>
      </c>
      <c r="N4745" s="0" t="s">
        <v>101</v>
      </c>
      <c r="P4745" s="0" t="s">
        <v>130</v>
      </c>
      <c r="Q4745" s="0" t="s">
        <v>130</v>
      </c>
      <c r="R4745" s="0" t="s">
        <v>137</v>
      </c>
      <c r="S4745" s="0" t="s">
        <v>21</v>
      </c>
      <c r="T4745" s="0" t="s">
        <v>104</v>
      </c>
      <c r="W4745" s="0" t="s">
        <v>105</v>
      </c>
    </row>
    <row r="4746" customFormat="false" ht="15" hidden="false" customHeight="false" outlineLevel="0" collapsed="false">
      <c r="A4746" s="0" t="s">
        <v>21</v>
      </c>
      <c r="B4746" s="0" t="s">
        <v>13891</v>
      </c>
      <c r="C4746" s="0" t="s">
        <v>97</v>
      </c>
      <c r="M4746" s="0" t="s">
        <v>100</v>
      </c>
      <c r="N4746" s="0" t="s">
        <v>101</v>
      </c>
      <c r="P4746" s="0" t="s">
        <v>13734</v>
      </c>
      <c r="Q4746" s="0" t="s">
        <v>13734</v>
      </c>
      <c r="R4746" s="0" t="s">
        <v>13734</v>
      </c>
      <c r="S4746" s="0" t="s">
        <v>21</v>
      </c>
      <c r="T4746" s="0" t="s">
        <v>104</v>
      </c>
      <c r="W4746" s="0" t="s">
        <v>183</v>
      </c>
    </row>
    <row r="4747" customFormat="false" ht="15" hidden="false" customHeight="false" outlineLevel="0" collapsed="false">
      <c r="A4747" s="0" t="s">
        <v>21</v>
      </c>
      <c r="B4747" s="0" t="s">
        <v>13891</v>
      </c>
      <c r="C4747" s="0" t="s">
        <v>97</v>
      </c>
      <c r="M4747" s="0" t="s">
        <v>100</v>
      </c>
      <c r="N4747" s="0" t="s">
        <v>101</v>
      </c>
      <c r="P4747" s="0" t="s">
        <v>130</v>
      </c>
      <c r="Q4747" s="0" t="s">
        <v>130</v>
      </c>
      <c r="R4747" s="0" t="s">
        <v>137</v>
      </c>
      <c r="S4747" s="0" t="s">
        <v>21</v>
      </c>
      <c r="T4747" s="0" t="s">
        <v>104</v>
      </c>
      <c r="W4747" s="0" t="s">
        <v>105</v>
      </c>
    </row>
    <row r="4748" customFormat="false" ht="15" hidden="false" customHeight="false" outlineLevel="0" collapsed="false">
      <c r="A4748" s="0" t="s">
        <v>21</v>
      </c>
      <c r="B4748" s="0" t="s">
        <v>13892</v>
      </c>
      <c r="C4748" s="0" t="s">
        <v>97</v>
      </c>
      <c r="M4748" s="0" t="s">
        <v>100</v>
      </c>
      <c r="N4748" s="0" t="s">
        <v>101</v>
      </c>
      <c r="P4748" s="0" t="s">
        <v>13734</v>
      </c>
      <c r="Q4748" s="0" t="s">
        <v>13734</v>
      </c>
      <c r="R4748" s="0" t="s">
        <v>13734</v>
      </c>
      <c r="S4748" s="0" t="s">
        <v>21</v>
      </c>
      <c r="T4748" s="0" t="s">
        <v>104</v>
      </c>
      <c r="W4748" s="0" t="s">
        <v>183</v>
      </c>
    </row>
    <row r="4749" customFormat="false" ht="15" hidden="false" customHeight="false" outlineLevel="0" collapsed="false">
      <c r="A4749" s="0" t="s">
        <v>21</v>
      </c>
      <c r="B4749" s="0" t="s">
        <v>13892</v>
      </c>
      <c r="C4749" s="0" t="s">
        <v>97</v>
      </c>
      <c r="M4749" s="0" t="s">
        <v>100</v>
      </c>
      <c r="N4749" s="0" t="s">
        <v>101</v>
      </c>
      <c r="P4749" s="0" t="s">
        <v>130</v>
      </c>
      <c r="Q4749" s="0" t="s">
        <v>130</v>
      </c>
      <c r="R4749" s="0" t="s">
        <v>137</v>
      </c>
      <c r="S4749" s="0" t="s">
        <v>21</v>
      </c>
      <c r="T4749" s="0" t="s">
        <v>104</v>
      </c>
      <c r="W4749" s="0" t="s">
        <v>105</v>
      </c>
    </row>
    <row r="4750" customFormat="false" ht="15" hidden="false" customHeight="false" outlineLevel="0" collapsed="false">
      <c r="A4750" s="0" t="s">
        <v>21</v>
      </c>
      <c r="B4750" s="0" t="s">
        <v>13893</v>
      </c>
      <c r="C4750" s="0" t="s">
        <v>97</v>
      </c>
      <c r="M4750" s="0" t="s">
        <v>100</v>
      </c>
      <c r="N4750" s="0" t="s">
        <v>101</v>
      </c>
      <c r="P4750" s="0" t="s">
        <v>13734</v>
      </c>
      <c r="Q4750" s="0" t="s">
        <v>13734</v>
      </c>
      <c r="R4750" s="0" t="s">
        <v>13734</v>
      </c>
      <c r="S4750" s="0" t="s">
        <v>21</v>
      </c>
      <c r="T4750" s="0" t="s">
        <v>104</v>
      </c>
      <c r="W4750" s="0" t="s">
        <v>183</v>
      </c>
    </row>
    <row r="4751" customFormat="false" ht="15" hidden="false" customHeight="false" outlineLevel="0" collapsed="false">
      <c r="A4751" s="0" t="s">
        <v>21</v>
      </c>
      <c r="B4751" s="0" t="s">
        <v>13893</v>
      </c>
      <c r="C4751" s="0" t="s">
        <v>97</v>
      </c>
      <c r="M4751" s="0" t="s">
        <v>100</v>
      </c>
      <c r="N4751" s="0" t="s">
        <v>101</v>
      </c>
      <c r="P4751" s="0" t="s">
        <v>130</v>
      </c>
      <c r="Q4751" s="0" t="s">
        <v>130</v>
      </c>
      <c r="R4751" s="0" t="s">
        <v>137</v>
      </c>
      <c r="S4751" s="0" t="s">
        <v>21</v>
      </c>
      <c r="T4751" s="0" t="s">
        <v>104</v>
      </c>
      <c r="W4751" s="0" t="s">
        <v>105</v>
      </c>
    </row>
    <row r="4752" customFormat="false" ht="15" hidden="false" customHeight="false" outlineLevel="0" collapsed="false">
      <c r="A4752" s="0" t="s">
        <v>21</v>
      </c>
      <c r="B4752" s="0" t="s">
        <v>13894</v>
      </c>
      <c r="C4752" s="0" t="s">
        <v>97</v>
      </c>
      <c r="M4752" s="0" t="s">
        <v>100</v>
      </c>
      <c r="N4752" s="0" t="s">
        <v>101</v>
      </c>
      <c r="P4752" s="0" t="s">
        <v>13734</v>
      </c>
      <c r="Q4752" s="0" t="s">
        <v>13734</v>
      </c>
      <c r="R4752" s="0" t="s">
        <v>13734</v>
      </c>
      <c r="S4752" s="0" t="s">
        <v>21</v>
      </c>
      <c r="T4752" s="0" t="s">
        <v>104</v>
      </c>
      <c r="W4752" s="0" t="s">
        <v>183</v>
      </c>
    </row>
    <row r="4753" customFormat="false" ht="15" hidden="false" customHeight="false" outlineLevel="0" collapsed="false">
      <c r="A4753" s="0" t="s">
        <v>21</v>
      </c>
      <c r="B4753" s="0" t="s">
        <v>13894</v>
      </c>
      <c r="C4753" s="0" t="s">
        <v>97</v>
      </c>
      <c r="M4753" s="0" t="s">
        <v>100</v>
      </c>
      <c r="N4753" s="0" t="s">
        <v>101</v>
      </c>
      <c r="P4753" s="0" t="s">
        <v>130</v>
      </c>
      <c r="Q4753" s="0" t="s">
        <v>130</v>
      </c>
      <c r="R4753" s="0" t="s">
        <v>137</v>
      </c>
      <c r="S4753" s="0" t="s">
        <v>21</v>
      </c>
      <c r="T4753" s="0" t="s">
        <v>104</v>
      </c>
      <c r="W4753" s="0" t="s">
        <v>105</v>
      </c>
    </row>
    <row r="4754" customFormat="false" ht="15" hidden="false" customHeight="false" outlineLevel="0" collapsed="false">
      <c r="A4754" s="0" t="s">
        <v>21</v>
      </c>
      <c r="B4754" s="0" t="s">
        <v>13895</v>
      </c>
      <c r="C4754" s="0" t="s">
        <v>97</v>
      </c>
      <c r="M4754" s="0" t="s">
        <v>100</v>
      </c>
      <c r="N4754" s="0" t="s">
        <v>101</v>
      </c>
      <c r="P4754" s="0" t="s">
        <v>13734</v>
      </c>
      <c r="Q4754" s="0" t="s">
        <v>13734</v>
      </c>
      <c r="R4754" s="0" t="s">
        <v>13734</v>
      </c>
      <c r="S4754" s="0" t="s">
        <v>21</v>
      </c>
      <c r="T4754" s="0" t="s">
        <v>104</v>
      </c>
      <c r="W4754" s="0" t="s">
        <v>183</v>
      </c>
    </row>
    <row r="4755" customFormat="false" ht="15" hidden="false" customHeight="false" outlineLevel="0" collapsed="false">
      <c r="A4755" s="0" t="s">
        <v>21</v>
      </c>
      <c r="B4755" s="0" t="s">
        <v>13895</v>
      </c>
      <c r="C4755" s="0" t="s">
        <v>97</v>
      </c>
      <c r="M4755" s="0" t="s">
        <v>100</v>
      </c>
      <c r="N4755" s="0" t="s">
        <v>101</v>
      </c>
      <c r="P4755" s="0" t="s">
        <v>130</v>
      </c>
      <c r="Q4755" s="0" t="s">
        <v>130</v>
      </c>
      <c r="R4755" s="0" t="s">
        <v>137</v>
      </c>
      <c r="S4755" s="0" t="s">
        <v>21</v>
      </c>
      <c r="T4755" s="0" t="s">
        <v>104</v>
      </c>
      <c r="W4755" s="0" t="s">
        <v>105</v>
      </c>
    </row>
    <row r="4756" customFormat="false" ht="15" hidden="false" customHeight="false" outlineLevel="0" collapsed="false">
      <c r="A4756" s="0" t="s">
        <v>21</v>
      </c>
      <c r="B4756" s="0" t="s">
        <v>13896</v>
      </c>
      <c r="C4756" s="0" t="s">
        <v>97</v>
      </c>
      <c r="M4756" s="0" t="s">
        <v>100</v>
      </c>
      <c r="N4756" s="0" t="s">
        <v>101</v>
      </c>
      <c r="P4756" s="0" t="s">
        <v>13734</v>
      </c>
      <c r="Q4756" s="0" t="s">
        <v>13734</v>
      </c>
      <c r="R4756" s="0" t="s">
        <v>13734</v>
      </c>
      <c r="S4756" s="0" t="s">
        <v>21</v>
      </c>
      <c r="T4756" s="0" t="s">
        <v>104</v>
      </c>
      <c r="W4756" s="0" t="s">
        <v>183</v>
      </c>
    </row>
    <row r="4757" customFormat="false" ht="15" hidden="false" customHeight="false" outlineLevel="0" collapsed="false">
      <c r="A4757" s="0" t="s">
        <v>21</v>
      </c>
      <c r="B4757" s="0" t="s">
        <v>13896</v>
      </c>
      <c r="C4757" s="0" t="s">
        <v>97</v>
      </c>
      <c r="M4757" s="0" t="s">
        <v>100</v>
      </c>
      <c r="N4757" s="0" t="s">
        <v>101</v>
      </c>
      <c r="P4757" s="0" t="s">
        <v>130</v>
      </c>
      <c r="Q4757" s="0" t="s">
        <v>130</v>
      </c>
      <c r="R4757" s="0" t="s">
        <v>137</v>
      </c>
      <c r="S4757" s="0" t="s">
        <v>21</v>
      </c>
      <c r="T4757" s="0" t="s">
        <v>104</v>
      </c>
      <c r="W4757" s="0" t="s">
        <v>105</v>
      </c>
    </row>
    <row r="4758" customFormat="false" ht="15" hidden="false" customHeight="false" outlineLevel="0" collapsed="false">
      <c r="A4758" s="0" t="s">
        <v>21</v>
      </c>
      <c r="B4758" s="0" t="s">
        <v>13897</v>
      </c>
      <c r="C4758" s="0" t="s">
        <v>97</v>
      </c>
      <c r="M4758" s="0" t="s">
        <v>100</v>
      </c>
      <c r="N4758" s="0" t="s">
        <v>101</v>
      </c>
      <c r="P4758" s="0" t="s">
        <v>13734</v>
      </c>
      <c r="Q4758" s="0" t="s">
        <v>13734</v>
      </c>
      <c r="R4758" s="0" t="s">
        <v>13734</v>
      </c>
      <c r="S4758" s="0" t="s">
        <v>21</v>
      </c>
      <c r="T4758" s="0" t="s">
        <v>104</v>
      </c>
      <c r="W4758" s="0" t="s">
        <v>183</v>
      </c>
    </row>
    <row r="4759" customFormat="false" ht="15" hidden="false" customHeight="false" outlineLevel="0" collapsed="false">
      <c r="A4759" s="0" t="s">
        <v>21</v>
      </c>
      <c r="B4759" s="0" t="s">
        <v>13897</v>
      </c>
      <c r="C4759" s="0" t="s">
        <v>97</v>
      </c>
      <c r="M4759" s="0" t="s">
        <v>100</v>
      </c>
      <c r="N4759" s="0" t="s">
        <v>101</v>
      </c>
      <c r="P4759" s="0" t="s">
        <v>130</v>
      </c>
      <c r="Q4759" s="0" t="s">
        <v>130</v>
      </c>
      <c r="R4759" s="0" t="s">
        <v>137</v>
      </c>
      <c r="S4759" s="0" t="s">
        <v>21</v>
      </c>
      <c r="T4759" s="0" t="s">
        <v>104</v>
      </c>
      <c r="W4759" s="0" t="s">
        <v>105</v>
      </c>
    </row>
    <row r="4760" customFormat="false" ht="15" hidden="false" customHeight="false" outlineLevel="0" collapsed="false">
      <c r="A4760" s="0" t="s">
        <v>21</v>
      </c>
      <c r="B4760" s="0" t="s">
        <v>13898</v>
      </c>
      <c r="C4760" s="0" t="s">
        <v>97</v>
      </c>
      <c r="M4760" s="0" t="s">
        <v>100</v>
      </c>
      <c r="N4760" s="0" t="s">
        <v>101</v>
      </c>
      <c r="P4760" s="0" t="s">
        <v>13734</v>
      </c>
      <c r="Q4760" s="0" t="s">
        <v>13734</v>
      </c>
      <c r="R4760" s="0" t="s">
        <v>13734</v>
      </c>
      <c r="S4760" s="0" t="s">
        <v>21</v>
      </c>
      <c r="T4760" s="0" t="s">
        <v>104</v>
      </c>
      <c r="W4760" s="0" t="s">
        <v>183</v>
      </c>
    </row>
    <row r="4761" customFormat="false" ht="15" hidden="false" customHeight="false" outlineLevel="0" collapsed="false">
      <c r="A4761" s="0" t="s">
        <v>21</v>
      </c>
      <c r="B4761" s="0" t="s">
        <v>13898</v>
      </c>
      <c r="C4761" s="0" t="s">
        <v>97</v>
      </c>
      <c r="M4761" s="0" t="s">
        <v>100</v>
      </c>
      <c r="N4761" s="0" t="s">
        <v>101</v>
      </c>
      <c r="P4761" s="0" t="s">
        <v>130</v>
      </c>
      <c r="Q4761" s="0" t="s">
        <v>130</v>
      </c>
      <c r="R4761" s="0" t="s">
        <v>137</v>
      </c>
      <c r="S4761" s="0" t="s">
        <v>21</v>
      </c>
      <c r="T4761" s="0" t="s">
        <v>104</v>
      </c>
      <c r="W4761" s="0" t="s">
        <v>105</v>
      </c>
    </row>
    <row r="4762" customFormat="false" ht="15" hidden="false" customHeight="false" outlineLevel="0" collapsed="false">
      <c r="A4762" s="0" t="s">
        <v>21</v>
      </c>
      <c r="B4762" s="0" t="s">
        <v>13899</v>
      </c>
      <c r="C4762" s="0" t="s">
        <v>97</v>
      </c>
      <c r="M4762" s="0" t="s">
        <v>100</v>
      </c>
      <c r="N4762" s="0" t="s">
        <v>101</v>
      </c>
      <c r="P4762" s="0" t="s">
        <v>13734</v>
      </c>
      <c r="Q4762" s="0" t="s">
        <v>13734</v>
      </c>
      <c r="R4762" s="0" t="s">
        <v>13734</v>
      </c>
      <c r="S4762" s="0" t="s">
        <v>21</v>
      </c>
      <c r="T4762" s="0" t="s">
        <v>104</v>
      </c>
      <c r="W4762" s="0" t="s">
        <v>183</v>
      </c>
    </row>
    <row r="4763" customFormat="false" ht="15" hidden="false" customHeight="false" outlineLevel="0" collapsed="false">
      <c r="A4763" s="0" t="s">
        <v>21</v>
      </c>
      <c r="B4763" s="0" t="s">
        <v>13899</v>
      </c>
      <c r="C4763" s="0" t="s">
        <v>97</v>
      </c>
      <c r="M4763" s="0" t="s">
        <v>100</v>
      </c>
      <c r="N4763" s="0" t="s">
        <v>101</v>
      </c>
      <c r="P4763" s="0" t="s">
        <v>130</v>
      </c>
      <c r="Q4763" s="0" t="s">
        <v>130</v>
      </c>
      <c r="R4763" s="0" t="s">
        <v>137</v>
      </c>
      <c r="S4763" s="0" t="s">
        <v>21</v>
      </c>
      <c r="T4763" s="0" t="s">
        <v>104</v>
      </c>
      <c r="W4763" s="0" t="s">
        <v>105</v>
      </c>
    </row>
    <row r="4764" customFormat="false" ht="15" hidden="false" customHeight="false" outlineLevel="0" collapsed="false">
      <c r="A4764" s="0" t="s">
        <v>21</v>
      </c>
      <c r="B4764" s="0" t="s">
        <v>13900</v>
      </c>
      <c r="C4764" s="0" t="s">
        <v>97</v>
      </c>
      <c r="M4764" s="0" t="s">
        <v>100</v>
      </c>
      <c r="N4764" s="0" t="s">
        <v>101</v>
      </c>
      <c r="P4764" s="0" t="s">
        <v>13734</v>
      </c>
      <c r="Q4764" s="0" t="s">
        <v>13734</v>
      </c>
      <c r="R4764" s="0" t="s">
        <v>13734</v>
      </c>
      <c r="S4764" s="0" t="s">
        <v>21</v>
      </c>
      <c r="T4764" s="0" t="s">
        <v>104</v>
      </c>
      <c r="W4764" s="0" t="s">
        <v>183</v>
      </c>
    </row>
    <row r="4765" customFormat="false" ht="15" hidden="false" customHeight="false" outlineLevel="0" collapsed="false">
      <c r="A4765" s="0" t="s">
        <v>21</v>
      </c>
      <c r="B4765" s="0" t="s">
        <v>13900</v>
      </c>
      <c r="C4765" s="0" t="s">
        <v>97</v>
      </c>
      <c r="M4765" s="0" t="s">
        <v>100</v>
      </c>
      <c r="N4765" s="0" t="s">
        <v>101</v>
      </c>
      <c r="P4765" s="0" t="s">
        <v>130</v>
      </c>
      <c r="Q4765" s="0" t="s">
        <v>130</v>
      </c>
      <c r="R4765" s="0" t="s">
        <v>137</v>
      </c>
      <c r="S4765" s="0" t="s">
        <v>21</v>
      </c>
      <c r="T4765" s="0" t="s">
        <v>104</v>
      </c>
      <c r="W4765" s="0" t="s">
        <v>105</v>
      </c>
    </row>
    <row r="4766" customFormat="false" ht="15" hidden="false" customHeight="false" outlineLevel="0" collapsed="false">
      <c r="A4766" s="0" t="s">
        <v>21</v>
      </c>
      <c r="B4766" s="0" t="s">
        <v>13901</v>
      </c>
      <c r="C4766" s="0" t="s">
        <v>97</v>
      </c>
      <c r="M4766" s="0" t="s">
        <v>100</v>
      </c>
      <c r="N4766" s="0" t="s">
        <v>101</v>
      </c>
      <c r="P4766" s="0" t="s">
        <v>13734</v>
      </c>
      <c r="Q4766" s="0" t="s">
        <v>13734</v>
      </c>
      <c r="R4766" s="0" t="s">
        <v>13734</v>
      </c>
      <c r="S4766" s="0" t="s">
        <v>21</v>
      </c>
      <c r="T4766" s="0" t="s">
        <v>104</v>
      </c>
      <c r="W4766" s="0" t="s">
        <v>183</v>
      </c>
    </row>
    <row r="4767" customFormat="false" ht="15" hidden="false" customHeight="false" outlineLevel="0" collapsed="false">
      <c r="A4767" s="0" t="s">
        <v>21</v>
      </c>
      <c r="B4767" s="0" t="s">
        <v>13901</v>
      </c>
      <c r="C4767" s="0" t="s">
        <v>97</v>
      </c>
      <c r="M4767" s="0" t="s">
        <v>100</v>
      </c>
      <c r="N4767" s="0" t="s">
        <v>101</v>
      </c>
      <c r="P4767" s="0" t="s">
        <v>130</v>
      </c>
      <c r="Q4767" s="0" t="s">
        <v>130</v>
      </c>
      <c r="R4767" s="0" t="s">
        <v>137</v>
      </c>
      <c r="S4767" s="0" t="s">
        <v>21</v>
      </c>
      <c r="T4767" s="0" t="s">
        <v>104</v>
      </c>
      <c r="W4767" s="0" t="s">
        <v>105</v>
      </c>
    </row>
    <row r="4768" customFormat="false" ht="15" hidden="false" customHeight="false" outlineLevel="0" collapsed="false">
      <c r="A4768" s="0" t="s">
        <v>21</v>
      </c>
      <c r="B4768" s="0" t="s">
        <v>13902</v>
      </c>
      <c r="C4768" s="0" t="s">
        <v>97</v>
      </c>
      <c r="M4768" s="0" t="s">
        <v>100</v>
      </c>
      <c r="N4768" s="0" t="s">
        <v>101</v>
      </c>
      <c r="P4768" s="0" t="s">
        <v>13734</v>
      </c>
      <c r="Q4768" s="0" t="s">
        <v>13734</v>
      </c>
      <c r="R4768" s="0" t="s">
        <v>13734</v>
      </c>
      <c r="S4768" s="0" t="s">
        <v>21</v>
      </c>
      <c r="T4768" s="0" t="s">
        <v>104</v>
      </c>
      <c r="W4768" s="0" t="s">
        <v>183</v>
      </c>
    </row>
    <row r="4769" customFormat="false" ht="15" hidden="false" customHeight="false" outlineLevel="0" collapsed="false">
      <c r="A4769" s="0" t="s">
        <v>21</v>
      </c>
      <c r="B4769" s="0" t="s">
        <v>13902</v>
      </c>
      <c r="C4769" s="0" t="s">
        <v>97</v>
      </c>
      <c r="M4769" s="0" t="s">
        <v>100</v>
      </c>
      <c r="N4769" s="0" t="s">
        <v>101</v>
      </c>
      <c r="P4769" s="0" t="s">
        <v>130</v>
      </c>
      <c r="Q4769" s="0" t="s">
        <v>130</v>
      </c>
      <c r="R4769" s="0" t="s">
        <v>137</v>
      </c>
      <c r="S4769" s="0" t="s">
        <v>21</v>
      </c>
      <c r="T4769" s="0" t="s">
        <v>104</v>
      </c>
      <c r="W4769" s="0" t="s">
        <v>105</v>
      </c>
    </row>
    <row r="4770" customFormat="false" ht="15" hidden="false" customHeight="false" outlineLevel="0" collapsed="false">
      <c r="A4770" s="0" t="s">
        <v>21</v>
      </c>
      <c r="B4770" s="0" t="s">
        <v>13903</v>
      </c>
      <c r="C4770" s="0" t="s">
        <v>97</v>
      </c>
      <c r="M4770" s="0" t="s">
        <v>100</v>
      </c>
      <c r="N4770" s="0" t="s">
        <v>101</v>
      </c>
      <c r="P4770" s="0" t="s">
        <v>13734</v>
      </c>
      <c r="Q4770" s="0" t="s">
        <v>13734</v>
      </c>
      <c r="R4770" s="0" t="s">
        <v>13734</v>
      </c>
      <c r="S4770" s="0" t="s">
        <v>21</v>
      </c>
      <c r="T4770" s="0" t="s">
        <v>104</v>
      </c>
      <c r="W4770" s="0" t="s">
        <v>183</v>
      </c>
    </row>
    <row r="4771" customFormat="false" ht="15" hidden="false" customHeight="false" outlineLevel="0" collapsed="false">
      <c r="A4771" s="0" t="s">
        <v>21</v>
      </c>
      <c r="B4771" s="0" t="s">
        <v>13903</v>
      </c>
      <c r="C4771" s="0" t="s">
        <v>97</v>
      </c>
      <c r="M4771" s="0" t="s">
        <v>100</v>
      </c>
      <c r="N4771" s="0" t="s">
        <v>101</v>
      </c>
      <c r="P4771" s="0" t="s">
        <v>130</v>
      </c>
      <c r="Q4771" s="0" t="s">
        <v>130</v>
      </c>
      <c r="R4771" s="0" t="s">
        <v>137</v>
      </c>
      <c r="S4771" s="0" t="s">
        <v>21</v>
      </c>
      <c r="T4771" s="0" t="s">
        <v>104</v>
      </c>
      <c r="W4771" s="0" t="s">
        <v>105</v>
      </c>
    </row>
    <row r="4772" customFormat="false" ht="15" hidden="false" customHeight="false" outlineLevel="0" collapsed="false">
      <c r="A4772" s="0" t="s">
        <v>21</v>
      </c>
      <c r="B4772" s="0" t="s">
        <v>13904</v>
      </c>
      <c r="C4772" s="0" t="s">
        <v>97</v>
      </c>
      <c r="M4772" s="0" t="s">
        <v>100</v>
      </c>
      <c r="N4772" s="0" t="s">
        <v>101</v>
      </c>
      <c r="P4772" s="0" t="s">
        <v>13734</v>
      </c>
      <c r="Q4772" s="0" t="s">
        <v>13734</v>
      </c>
      <c r="R4772" s="0" t="s">
        <v>13734</v>
      </c>
      <c r="S4772" s="0" t="s">
        <v>21</v>
      </c>
      <c r="T4772" s="0" t="s">
        <v>104</v>
      </c>
      <c r="W4772" s="0" t="s">
        <v>183</v>
      </c>
    </row>
    <row r="4773" customFormat="false" ht="15" hidden="false" customHeight="false" outlineLevel="0" collapsed="false">
      <c r="A4773" s="0" t="s">
        <v>21</v>
      </c>
      <c r="B4773" s="0" t="s">
        <v>13904</v>
      </c>
      <c r="C4773" s="0" t="s">
        <v>97</v>
      </c>
      <c r="M4773" s="0" t="s">
        <v>100</v>
      </c>
      <c r="N4773" s="0" t="s">
        <v>101</v>
      </c>
      <c r="P4773" s="0" t="s">
        <v>130</v>
      </c>
      <c r="Q4773" s="0" t="s">
        <v>130</v>
      </c>
      <c r="R4773" s="0" t="s">
        <v>137</v>
      </c>
      <c r="S4773" s="0" t="s">
        <v>21</v>
      </c>
      <c r="T4773" s="0" t="s">
        <v>104</v>
      </c>
      <c r="W4773" s="0" t="s">
        <v>105</v>
      </c>
    </row>
    <row r="4774" customFormat="false" ht="15" hidden="false" customHeight="false" outlineLevel="0" collapsed="false">
      <c r="A4774" s="0" t="s">
        <v>21</v>
      </c>
      <c r="B4774" s="0" t="s">
        <v>13905</v>
      </c>
      <c r="C4774" s="0" t="s">
        <v>97</v>
      </c>
      <c r="M4774" s="0" t="s">
        <v>100</v>
      </c>
      <c r="N4774" s="0" t="s">
        <v>101</v>
      </c>
      <c r="P4774" s="0" t="s">
        <v>13734</v>
      </c>
      <c r="Q4774" s="0" t="s">
        <v>13734</v>
      </c>
      <c r="R4774" s="0" t="s">
        <v>13734</v>
      </c>
      <c r="S4774" s="0" t="s">
        <v>21</v>
      </c>
      <c r="T4774" s="0" t="s">
        <v>104</v>
      </c>
      <c r="W4774" s="0" t="s">
        <v>183</v>
      </c>
    </row>
    <row r="4775" customFormat="false" ht="15" hidden="false" customHeight="false" outlineLevel="0" collapsed="false">
      <c r="A4775" s="0" t="s">
        <v>21</v>
      </c>
      <c r="B4775" s="0" t="s">
        <v>13905</v>
      </c>
      <c r="C4775" s="0" t="s">
        <v>97</v>
      </c>
      <c r="M4775" s="0" t="s">
        <v>100</v>
      </c>
      <c r="N4775" s="0" t="s">
        <v>101</v>
      </c>
      <c r="P4775" s="0" t="s">
        <v>130</v>
      </c>
      <c r="Q4775" s="0" t="s">
        <v>130</v>
      </c>
      <c r="R4775" s="0" t="s">
        <v>137</v>
      </c>
      <c r="S4775" s="0" t="s">
        <v>21</v>
      </c>
      <c r="T4775" s="0" t="s">
        <v>104</v>
      </c>
      <c r="W4775" s="0" t="s">
        <v>105</v>
      </c>
    </row>
    <row r="4776" customFormat="false" ht="15" hidden="false" customHeight="false" outlineLevel="0" collapsed="false">
      <c r="A4776" s="0" t="s">
        <v>21</v>
      </c>
      <c r="B4776" s="0" t="s">
        <v>13906</v>
      </c>
      <c r="C4776" s="0" t="s">
        <v>97</v>
      </c>
      <c r="M4776" s="0" t="s">
        <v>100</v>
      </c>
      <c r="N4776" s="0" t="s">
        <v>101</v>
      </c>
      <c r="P4776" s="0" t="s">
        <v>13734</v>
      </c>
      <c r="Q4776" s="0" t="s">
        <v>13734</v>
      </c>
      <c r="R4776" s="0" t="s">
        <v>13734</v>
      </c>
      <c r="S4776" s="0" t="s">
        <v>21</v>
      </c>
      <c r="T4776" s="0" t="s">
        <v>104</v>
      </c>
      <c r="W4776" s="0" t="s">
        <v>183</v>
      </c>
    </row>
    <row r="4777" customFormat="false" ht="15" hidden="false" customHeight="false" outlineLevel="0" collapsed="false">
      <c r="A4777" s="0" t="s">
        <v>21</v>
      </c>
      <c r="B4777" s="0" t="s">
        <v>13906</v>
      </c>
      <c r="C4777" s="0" t="s">
        <v>97</v>
      </c>
      <c r="M4777" s="0" t="s">
        <v>100</v>
      </c>
      <c r="N4777" s="0" t="s">
        <v>101</v>
      </c>
      <c r="P4777" s="0" t="s">
        <v>130</v>
      </c>
      <c r="Q4777" s="0" t="s">
        <v>130</v>
      </c>
      <c r="R4777" s="0" t="s">
        <v>137</v>
      </c>
      <c r="S4777" s="0" t="s">
        <v>21</v>
      </c>
      <c r="T4777" s="0" t="s">
        <v>104</v>
      </c>
      <c r="W4777" s="0" t="s">
        <v>105</v>
      </c>
    </row>
    <row r="4778" customFormat="false" ht="15" hidden="false" customHeight="false" outlineLevel="0" collapsed="false">
      <c r="A4778" s="0" t="s">
        <v>21</v>
      </c>
      <c r="B4778" s="0" t="s">
        <v>13907</v>
      </c>
      <c r="C4778" s="0" t="s">
        <v>97</v>
      </c>
      <c r="M4778" s="0" t="s">
        <v>100</v>
      </c>
      <c r="N4778" s="0" t="s">
        <v>101</v>
      </c>
      <c r="P4778" s="0" t="s">
        <v>13734</v>
      </c>
      <c r="Q4778" s="0" t="s">
        <v>13734</v>
      </c>
      <c r="R4778" s="0" t="s">
        <v>13734</v>
      </c>
      <c r="S4778" s="0" t="s">
        <v>21</v>
      </c>
      <c r="T4778" s="0" t="s">
        <v>104</v>
      </c>
      <c r="W4778" s="0" t="s">
        <v>183</v>
      </c>
    </row>
    <row r="4779" customFormat="false" ht="15" hidden="false" customHeight="false" outlineLevel="0" collapsed="false">
      <c r="A4779" s="0" t="s">
        <v>21</v>
      </c>
      <c r="B4779" s="0" t="s">
        <v>13907</v>
      </c>
      <c r="C4779" s="0" t="s">
        <v>97</v>
      </c>
      <c r="M4779" s="0" t="s">
        <v>100</v>
      </c>
      <c r="N4779" s="0" t="s">
        <v>101</v>
      </c>
      <c r="P4779" s="0" t="s">
        <v>130</v>
      </c>
      <c r="Q4779" s="0" t="s">
        <v>130</v>
      </c>
      <c r="R4779" s="0" t="s">
        <v>137</v>
      </c>
      <c r="S4779" s="0" t="s">
        <v>21</v>
      </c>
      <c r="T4779" s="0" t="s">
        <v>104</v>
      </c>
      <c r="W4779" s="0" t="s">
        <v>105</v>
      </c>
    </row>
    <row r="4780" customFormat="false" ht="15" hidden="false" customHeight="false" outlineLevel="0" collapsed="false">
      <c r="A4780" s="0" t="s">
        <v>21</v>
      </c>
      <c r="B4780" s="0" t="s">
        <v>13908</v>
      </c>
      <c r="C4780" s="0" t="s">
        <v>97</v>
      </c>
      <c r="M4780" s="0" t="s">
        <v>100</v>
      </c>
      <c r="N4780" s="0" t="s">
        <v>101</v>
      </c>
      <c r="P4780" s="0" t="s">
        <v>13734</v>
      </c>
      <c r="Q4780" s="0" t="s">
        <v>13734</v>
      </c>
      <c r="R4780" s="0" t="s">
        <v>13734</v>
      </c>
      <c r="S4780" s="0" t="s">
        <v>21</v>
      </c>
      <c r="T4780" s="0" t="s">
        <v>104</v>
      </c>
      <c r="W4780" s="0" t="s">
        <v>183</v>
      </c>
    </row>
    <row r="4781" customFormat="false" ht="15" hidden="false" customHeight="false" outlineLevel="0" collapsed="false">
      <c r="A4781" s="0" t="s">
        <v>21</v>
      </c>
      <c r="B4781" s="0" t="s">
        <v>13908</v>
      </c>
      <c r="C4781" s="0" t="s">
        <v>97</v>
      </c>
      <c r="M4781" s="0" t="s">
        <v>100</v>
      </c>
      <c r="N4781" s="0" t="s">
        <v>101</v>
      </c>
      <c r="P4781" s="0" t="s">
        <v>130</v>
      </c>
      <c r="Q4781" s="0" t="s">
        <v>130</v>
      </c>
      <c r="R4781" s="0" t="s">
        <v>137</v>
      </c>
      <c r="S4781" s="0" t="s">
        <v>21</v>
      </c>
      <c r="T4781" s="0" t="s">
        <v>104</v>
      </c>
      <c r="W4781" s="0" t="s">
        <v>105</v>
      </c>
    </row>
    <row r="4782" customFormat="false" ht="15" hidden="false" customHeight="false" outlineLevel="0" collapsed="false">
      <c r="A4782" s="0" t="s">
        <v>21</v>
      </c>
      <c r="B4782" s="0" t="s">
        <v>13909</v>
      </c>
      <c r="C4782" s="0" t="s">
        <v>97</v>
      </c>
      <c r="M4782" s="0" t="s">
        <v>100</v>
      </c>
      <c r="N4782" s="0" t="s">
        <v>101</v>
      </c>
      <c r="P4782" s="0" t="s">
        <v>13734</v>
      </c>
      <c r="Q4782" s="0" t="s">
        <v>13734</v>
      </c>
      <c r="R4782" s="0" t="s">
        <v>13734</v>
      </c>
      <c r="S4782" s="0" t="s">
        <v>21</v>
      </c>
      <c r="T4782" s="0" t="s">
        <v>104</v>
      </c>
      <c r="W4782" s="0" t="s">
        <v>183</v>
      </c>
    </row>
    <row r="4783" customFormat="false" ht="15" hidden="false" customHeight="false" outlineLevel="0" collapsed="false">
      <c r="A4783" s="0" t="s">
        <v>21</v>
      </c>
      <c r="B4783" s="0" t="s">
        <v>13909</v>
      </c>
      <c r="C4783" s="0" t="s">
        <v>97</v>
      </c>
      <c r="M4783" s="0" t="s">
        <v>100</v>
      </c>
      <c r="N4783" s="0" t="s">
        <v>101</v>
      </c>
      <c r="P4783" s="0" t="s">
        <v>130</v>
      </c>
      <c r="Q4783" s="0" t="s">
        <v>130</v>
      </c>
      <c r="R4783" s="0" t="s">
        <v>137</v>
      </c>
      <c r="S4783" s="0" t="s">
        <v>21</v>
      </c>
      <c r="T4783" s="0" t="s">
        <v>104</v>
      </c>
      <c r="W4783" s="0" t="s">
        <v>105</v>
      </c>
    </row>
    <row r="4784" customFormat="false" ht="15" hidden="false" customHeight="false" outlineLevel="0" collapsed="false">
      <c r="A4784" s="0" t="s">
        <v>21</v>
      </c>
      <c r="B4784" s="0" t="s">
        <v>13910</v>
      </c>
      <c r="C4784" s="0" t="s">
        <v>97</v>
      </c>
      <c r="M4784" s="0" t="s">
        <v>100</v>
      </c>
      <c r="N4784" s="0" t="s">
        <v>101</v>
      </c>
      <c r="P4784" s="0" t="s">
        <v>13734</v>
      </c>
      <c r="Q4784" s="0" t="s">
        <v>13734</v>
      </c>
      <c r="R4784" s="0" t="s">
        <v>13734</v>
      </c>
      <c r="S4784" s="0" t="s">
        <v>21</v>
      </c>
      <c r="T4784" s="0" t="s">
        <v>104</v>
      </c>
      <c r="W4784" s="0" t="s">
        <v>183</v>
      </c>
    </row>
    <row r="4785" customFormat="false" ht="15" hidden="false" customHeight="false" outlineLevel="0" collapsed="false">
      <c r="A4785" s="0" t="s">
        <v>21</v>
      </c>
      <c r="B4785" s="0" t="s">
        <v>13910</v>
      </c>
      <c r="C4785" s="0" t="s">
        <v>97</v>
      </c>
      <c r="M4785" s="0" t="s">
        <v>100</v>
      </c>
      <c r="N4785" s="0" t="s">
        <v>101</v>
      </c>
      <c r="P4785" s="0" t="s">
        <v>130</v>
      </c>
      <c r="Q4785" s="0" t="s">
        <v>130</v>
      </c>
      <c r="R4785" s="0" t="s">
        <v>137</v>
      </c>
      <c r="S4785" s="0" t="s">
        <v>21</v>
      </c>
      <c r="T4785" s="0" t="s">
        <v>104</v>
      </c>
      <c r="W4785" s="0" t="s">
        <v>105</v>
      </c>
    </row>
    <row r="4786" customFormat="false" ht="15" hidden="false" customHeight="false" outlineLevel="0" collapsed="false">
      <c r="A4786" s="0" t="s">
        <v>21</v>
      </c>
      <c r="B4786" s="0" t="s">
        <v>13911</v>
      </c>
      <c r="C4786" s="0" t="s">
        <v>97</v>
      </c>
      <c r="M4786" s="0" t="s">
        <v>100</v>
      </c>
      <c r="N4786" s="0" t="s">
        <v>101</v>
      </c>
      <c r="P4786" s="0" t="s">
        <v>13734</v>
      </c>
      <c r="Q4786" s="0" t="s">
        <v>13734</v>
      </c>
      <c r="R4786" s="0" t="s">
        <v>13734</v>
      </c>
      <c r="S4786" s="0" t="s">
        <v>21</v>
      </c>
      <c r="T4786" s="0" t="s">
        <v>104</v>
      </c>
      <c r="W4786" s="0" t="s">
        <v>183</v>
      </c>
    </row>
    <row r="4787" customFormat="false" ht="15" hidden="false" customHeight="false" outlineLevel="0" collapsed="false">
      <c r="A4787" s="0" t="s">
        <v>21</v>
      </c>
      <c r="B4787" s="0" t="s">
        <v>13911</v>
      </c>
      <c r="C4787" s="0" t="s">
        <v>97</v>
      </c>
      <c r="M4787" s="0" t="s">
        <v>100</v>
      </c>
      <c r="N4787" s="0" t="s">
        <v>101</v>
      </c>
      <c r="P4787" s="0" t="s">
        <v>130</v>
      </c>
      <c r="Q4787" s="0" t="s">
        <v>130</v>
      </c>
      <c r="R4787" s="0" t="s">
        <v>137</v>
      </c>
      <c r="S4787" s="0" t="s">
        <v>21</v>
      </c>
      <c r="T4787" s="0" t="s">
        <v>104</v>
      </c>
      <c r="W4787" s="0" t="s">
        <v>105</v>
      </c>
    </row>
    <row r="4788" customFormat="false" ht="15" hidden="false" customHeight="false" outlineLevel="0" collapsed="false">
      <c r="A4788" s="0" t="s">
        <v>21</v>
      </c>
      <c r="B4788" s="0" t="s">
        <v>13912</v>
      </c>
      <c r="C4788" s="0" t="s">
        <v>97</v>
      </c>
      <c r="M4788" s="0" t="s">
        <v>100</v>
      </c>
      <c r="N4788" s="0" t="s">
        <v>101</v>
      </c>
      <c r="P4788" s="0" t="s">
        <v>13734</v>
      </c>
      <c r="Q4788" s="0" t="s">
        <v>13734</v>
      </c>
      <c r="R4788" s="0" t="s">
        <v>13734</v>
      </c>
      <c r="S4788" s="0" t="s">
        <v>21</v>
      </c>
      <c r="T4788" s="0" t="s">
        <v>104</v>
      </c>
      <c r="W4788" s="0" t="s">
        <v>183</v>
      </c>
    </row>
    <row r="4789" customFormat="false" ht="15" hidden="false" customHeight="false" outlineLevel="0" collapsed="false">
      <c r="A4789" s="0" t="s">
        <v>21</v>
      </c>
      <c r="B4789" s="0" t="s">
        <v>13912</v>
      </c>
      <c r="C4789" s="0" t="s">
        <v>97</v>
      </c>
      <c r="M4789" s="0" t="s">
        <v>100</v>
      </c>
      <c r="N4789" s="0" t="s">
        <v>101</v>
      </c>
      <c r="P4789" s="0" t="s">
        <v>130</v>
      </c>
      <c r="Q4789" s="0" t="s">
        <v>130</v>
      </c>
      <c r="R4789" s="0" t="s">
        <v>137</v>
      </c>
      <c r="S4789" s="0" t="s">
        <v>21</v>
      </c>
      <c r="T4789" s="0" t="s">
        <v>104</v>
      </c>
      <c r="W4789" s="0" t="s">
        <v>105</v>
      </c>
    </row>
    <row r="4790" customFormat="false" ht="15" hidden="false" customHeight="false" outlineLevel="0" collapsed="false">
      <c r="A4790" s="0" t="s">
        <v>21</v>
      </c>
      <c r="B4790" s="0" t="s">
        <v>13913</v>
      </c>
      <c r="C4790" s="0" t="s">
        <v>97</v>
      </c>
      <c r="M4790" s="0" t="s">
        <v>100</v>
      </c>
      <c r="N4790" s="0" t="s">
        <v>101</v>
      </c>
      <c r="P4790" s="0" t="s">
        <v>13734</v>
      </c>
      <c r="Q4790" s="0" t="s">
        <v>13734</v>
      </c>
      <c r="R4790" s="0" t="s">
        <v>13734</v>
      </c>
      <c r="S4790" s="0" t="s">
        <v>21</v>
      </c>
      <c r="T4790" s="0" t="s">
        <v>104</v>
      </c>
      <c r="W4790" s="0" t="s">
        <v>183</v>
      </c>
    </row>
    <row r="4791" customFormat="false" ht="15" hidden="false" customHeight="false" outlineLevel="0" collapsed="false">
      <c r="A4791" s="0" t="s">
        <v>21</v>
      </c>
      <c r="B4791" s="0" t="s">
        <v>13913</v>
      </c>
      <c r="C4791" s="0" t="s">
        <v>97</v>
      </c>
      <c r="M4791" s="0" t="s">
        <v>100</v>
      </c>
      <c r="N4791" s="0" t="s">
        <v>101</v>
      </c>
      <c r="P4791" s="0" t="s">
        <v>130</v>
      </c>
      <c r="Q4791" s="0" t="s">
        <v>130</v>
      </c>
      <c r="R4791" s="0" t="s">
        <v>137</v>
      </c>
      <c r="S4791" s="0" t="s">
        <v>21</v>
      </c>
      <c r="T4791" s="0" t="s">
        <v>104</v>
      </c>
      <c r="W4791" s="0" t="s">
        <v>105</v>
      </c>
    </row>
    <row r="4792" customFormat="false" ht="15" hidden="false" customHeight="false" outlineLevel="0" collapsed="false">
      <c r="A4792" s="0" t="s">
        <v>21</v>
      </c>
      <c r="B4792" s="0" t="s">
        <v>13914</v>
      </c>
      <c r="C4792" s="0" t="s">
        <v>97</v>
      </c>
      <c r="M4792" s="0" t="s">
        <v>100</v>
      </c>
      <c r="N4792" s="0" t="s">
        <v>101</v>
      </c>
      <c r="P4792" s="0" t="s">
        <v>13734</v>
      </c>
      <c r="Q4792" s="0" t="s">
        <v>13734</v>
      </c>
      <c r="R4792" s="0" t="s">
        <v>13734</v>
      </c>
      <c r="S4792" s="0" t="s">
        <v>21</v>
      </c>
      <c r="T4792" s="0" t="s">
        <v>104</v>
      </c>
      <c r="W4792" s="0" t="s">
        <v>183</v>
      </c>
    </row>
    <row r="4793" customFormat="false" ht="15" hidden="false" customHeight="false" outlineLevel="0" collapsed="false">
      <c r="A4793" s="0" t="s">
        <v>21</v>
      </c>
      <c r="B4793" s="0" t="s">
        <v>13914</v>
      </c>
      <c r="C4793" s="0" t="s">
        <v>97</v>
      </c>
      <c r="M4793" s="0" t="s">
        <v>100</v>
      </c>
      <c r="N4793" s="0" t="s">
        <v>101</v>
      </c>
      <c r="P4793" s="0" t="s">
        <v>130</v>
      </c>
      <c r="Q4793" s="0" t="s">
        <v>130</v>
      </c>
      <c r="R4793" s="0" t="s">
        <v>137</v>
      </c>
      <c r="S4793" s="0" t="s">
        <v>21</v>
      </c>
      <c r="T4793" s="0" t="s">
        <v>104</v>
      </c>
      <c r="W4793" s="0" t="s">
        <v>105</v>
      </c>
    </row>
    <row r="4794" customFormat="false" ht="15" hidden="false" customHeight="false" outlineLevel="0" collapsed="false">
      <c r="A4794" s="0" t="s">
        <v>21</v>
      </c>
      <c r="B4794" s="0" t="s">
        <v>13915</v>
      </c>
      <c r="C4794" s="0" t="s">
        <v>97</v>
      </c>
      <c r="M4794" s="0" t="s">
        <v>100</v>
      </c>
      <c r="N4794" s="0" t="s">
        <v>101</v>
      </c>
      <c r="P4794" s="0" t="s">
        <v>13734</v>
      </c>
      <c r="Q4794" s="0" t="s">
        <v>13734</v>
      </c>
      <c r="R4794" s="0" t="s">
        <v>13734</v>
      </c>
      <c r="S4794" s="0" t="s">
        <v>21</v>
      </c>
      <c r="T4794" s="0" t="s">
        <v>104</v>
      </c>
      <c r="W4794" s="0" t="s">
        <v>183</v>
      </c>
    </row>
    <row r="4795" customFormat="false" ht="15" hidden="false" customHeight="false" outlineLevel="0" collapsed="false">
      <c r="A4795" s="0" t="s">
        <v>21</v>
      </c>
      <c r="B4795" s="0" t="s">
        <v>13915</v>
      </c>
      <c r="C4795" s="0" t="s">
        <v>97</v>
      </c>
      <c r="M4795" s="0" t="s">
        <v>100</v>
      </c>
      <c r="N4795" s="0" t="s">
        <v>101</v>
      </c>
      <c r="P4795" s="0" t="s">
        <v>130</v>
      </c>
      <c r="Q4795" s="0" t="s">
        <v>130</v>
      </c>
      <c r="R4795" s="0" t="s">
        <v>137</v>
      </c>
      <c r="S4795" s="0" t="s">
        <v>21</v>
      </c>
      <c r="T4795" s="0" t="s">
        <v>104</v>
      </c>
      <c r="W4795" s="0" t="s">
        <v>105</v>
      </c>
    </row>
    <row r="4796" customFormat="false" ht="15" hidden="false" customHeight="false" outlineLevel="0" collapsed="false">
      <c r="A4796" s="0" t="s">
        <v>21</v>
      </c>
      <c r="B4796" s="0" t="s">
        <v>13916</v>
      </c>
      <c r="C4796" s="0" t="s">
        <v>97</v>
      </c>
      <c r="M4796" s="0" t="s">
        <v>100</v>
      </c>
      <c r="N4796" s="0" t="s">
        <v>101</v>
      </c>
      <c r="P4796" s="0" t="s">
        <v>13734</v>
      </c>
      <c r="Q4796" s="0" t="s">
        <v>13734</v>
      </c>
      <c r="R4796" s="0" t="s">
        <v>13734</v>
      </c>
      <c r="S4796" s="0" t="s">
        <v>21</v>
      </c>
      <c r="T4796" s="0" t="s">
        <v>104</v>
      </c>
      <c r="W4796" s="0" t="s">
        <v>183</v>
      </c>
    </row>
    <row r="4797" customFormat="false" ht="15" hidden="false" customHeight="false" outlineLevel="0" collapsed="false">
      <c r="A4797" s="0" t="s">
        <v>21</v>
      </c>
      <c r="B4797" s="0" t="s">
        <v>13916</v>
      </c>
      <c r="C4797" s="0" t="s">
        <v>97</v>
      </c>
      <c r="M4797" s="0" t="s">
        <v>100</v>
      </c>
      <c r="N4797" s="0" t="s">
        <v>101</v>
      </c>
      <c r="P4797" s="0" t="s">
        <v>130</v>
      </c>
      <c r="Q4797" s="0" t="s">
        <v>130</v>
      </c>
      <c r="R4797" s="0" t="s">
        <v>137</v>
      </c>
      <c r="S4797" s="0" t="s">
        <v>21</v>
      </c>
      <c r="T4797" s="0" t="s">
        <v>104</v>
      </c>
      <c r="W4797" s="0" t="s">
        <v>105</v>
      </c>
    </row>
    <row r="4798" customFormat="false" ht="15" hidden="false" customHeight="false" outlineLevel="0" collapsed="false">
      <c r="A4798" s="0" t="s">
        <v>21</v>
      </c>
      <c r="B4798" s="0" t="s">
        <v>13917</v>
      </c>
      <c r="C4798" s="0" t="s">
        <v>97</v>
      </c>
      <c r="M4798" s="0" t="s">
        <v>100</v>
      </c>
      <c r="N4798" s="0" t="s">
        <v>101</v>
      </c>
      <c r="P4798" s="0" t="s">
        <v>13734</v>
      </c>
      <c r="Q4798" s="0" t="s">
        <v>13734</v>
      </c>
      <c r="R4798" s="0" t="s">
        <v>13734</v>
      </c>
      <c r="S4798" s="0" t="s">
        <v>21</v>
      </c>
      <c r="T4798" s="0" t="s">
        <v>104</v>
      </c>
      <c r="W4798" s="0" t="s">
        <v>183</v>
      </c>
    </row>
    <row r="4799" customFormat="false" ht="15" hidden="false" customHeight="false" outlineLevel="0" collapsed="false">
      <c r="A4799" s="0" t="s">
        <v>21</v>
      </c>
      <c r="B4799" s="0" t="s">
        <v>13917</v>
      </c>
      <c r="C4799" s="0" t="s">
        <v>97</v>
      </c>
      <c r="M4799" s="0" t="s">
        <v>100</v>
      </c>
      <c r="N4799" s="0" t="s">
        <v>101</v>
      </c>
      <c r="P4799" s="0" t="s">
        <v>130</v>
      </c>
      <c r="Q4799" s="0" t="s">
        <v>130</v>
      </c>
      <c r="R4799" s="0" t="s">
        <v>137</v>
      </c>
      <c r="S4799" s="0" t="s">
        <v>21</v>
      </c>
      <c r="T4799" s="0" t="s">
        <v>104</v>
      </c>
      <c r="W4799" s="0" t="s">
        <v>105</v>
      </c>
    </row>
    <row r="4800" customFormat="false" ht="15" hidden="false" customHeight="false" outlineLevel="0" collapsed="false">
      <c r="A4800" s="0" t="s">
        <v>21</v>
      </c>
      <c r="B4800" s="0" t="s">
        <v>13918</v>
      </c>
      <c r="C4800" s="0" t="s">
        <v>97</v>
      </c>
      <c r="M4800" s="0" t="s">
        <v>100</v>
      </c>
      <c r="N4800" s="0" t="s">
        <v>101</v>
      </c>
      <c r="P4800" s="0" t="s">
        <v>13734</v>
      </c>
      <c r="Q4800" s="0" t="s">
        <v>13734</v>
      </c>
      <c r="R4800" s="0" t="s">
        <v>13734</v>
      </c>
      <c r="S4800" s="0" t="s">
        <v>21</v>
      </c>
      <c r="T4800" s="0" t="s">
        <v>104</v>
      </c>
      <c r="W4800" s="0" t="s">
        <v>183</v>
      </c>
    </row>
    <row r="4801" customFormat="false" ht="15" hidden="false" customHeight="false" outlineLevel="0" collapsed="false">
      <c r="A4801" s="0" t="s">
        <v>21</v>
      </c>
      <c r="B4801" s="0" t="s">
        <v>13918</v>
      </c>
      <c r="C4801" s="0" t="s">
        <v>97</v>
      </c>
      <c r="M4801" s="0" t="s">
        <v>100</v>
      </c>
      <c r="N4801" s="0" t="s">
        <v>101</v>
      </c>
      <c r="P4801" s="0" t="s">
        <v>130</v>
      </c>
      <c r="Q4801" s="0" t="s">
        <v>130</v>
      </c>
      <c r="R4801" s="0" t="s">
        <v>137</v>
      </c>
      <c r="S4801" s="0" t="s">
        <v>21</v>
      </c>
      <c r="T4801" s="0" t="s">
        <v>104</v>
      </c>
      <c r="W4801" s="0" t="s">
        <v>105</v>
      </c>
    </row>
    <row r="4802" customFormat="false" ht="15" hidden="false" customHeight="false" outlineLevel="0" collapsed="false">
      <c r="A4802" s="0" t="s">
        <v>21</v>
      </c>
      <c r="B4802" s="0" t="s">
        <v>13919</v>
      </c>
      <c r="C4802" s="0" t="s">
        <v>97</v>
      </c>
      <c r="M4802" s="0" t="s">
        <v>100</v>
      </c>
      <c r="N4802" s="0" t="s">
        <v>101</v>
      </c>
      <c r="P4802" s="0" t="s">
        <v>13734</v>
      </c>
      <c r="Q4802" s="0" t="s">
        <v>13734</v>
      </c>
      <c r="R4802" s="0" t="s">
        <v>13734</v>
      </c>
      <c r="S4802" s="0" t="s">
        <v>21</v>
      </c>
      <c r="T4802" s="0" t="s">
        <v>104</v>
      </c>
      <c r="W4802" s="0" t="s">
        <v>183</v>
      </c>
    </row>
    <row r="4803" customFormat="false" ht="15" hidden="false" customHeight="false" outlineLevel="0" collapsed="false">
      <c r="A4803" s="0" t="s">
        <v>21</v>
      </c>
      <c r="B4803" s="0" t="s">
        <v>13919</v>
      </c>
      <c r="C4803" s="0" t="s">
        <v>97</v>
      </c>
      <c r="M4803" s="0" t="s">
        <v>100</v>
      </c>
      <c r="N4803" s="0" t="s">
        <v>101</v>
      </c>
      <c r="P4803" s="0" t="s">
        <v>130</v>
      </c>
      <c r="Q4803" s="0" t="s">
        <v>130</v>
      </c>
      <c r="R4803" s="0" t="s">
        <v>137</v>
      </c>
      <c r="S4803" s="0" t="s">
        <v>21</v>
      </c>
      <c r="T4803" s="0" t="s">
        <v>104</v>
      </c>
      <c r="W4803" s="0" t="s">
        <v>105</v>
      </c>
    </row>
    <row r="4804" customFormat="false" ht="15" hidden="false" customHeight="false" outlineLevel="0" collapsed="false">
      <c r="A4804" s="0" t="s">
        <v>21</v>
      </c>
      <c r="B4804" s="0" t="s">
        <v>13920</v>
      </c>
      <c r="C4804" s="0" t="s">
        <v>97</v>
      </c>
      <c r="M4804" s="0" t="s">
        <v>100</v>
      </c>
      <c r="N4804" s="0" t="s">
        <v>101</v>
      </c>
      <c r="P4804" s="0" t="s">
        <v>13734</v>
      </c>
      <c r="Q4804" s="0" t="s">
        <v>13734</v>
      </c>
      <c r="R4804" s="0" t="s">
        <v>13734</v>
      </c>
      <c r="S4804" s="0" t="s">
        <v>21</v>
      </c>
      <c r="T4804" s="0" t="s">
        <v>104</v>
      </c>
      <c r="W4804" s="0" t="s">
        <v>183</v>
      </c>
    </row>
    <row r="4805" customFormat="false" ht="15" hidden="false" customHeight="false" outlineLevel="0" collapsed="false">
      <c r="A4805" s="0" t="s">
        <v>21</v>
      </c>
      <c r="B4805" s="0" t="s">
        <v>13920</v>
      </c>
      <c r="C4805" s="0" t="s">
        <v>97</v>
      </c>
      <c r="M4805" s="0" t="s">
        <v>100</v>
      </c>
      <c r="N4805" s="0" t="s">
        <v>101</v>
      </c>
      <c r="P4805" s="0" t="s">
        <v>130</v>
      </c>
      <c r="Q4805" s="0" t="s">
        <v>130</v>
      </c>
      <c r="R4805" s="0" t="s">
        <v>137</v>
      </c>
      <c r="S4805" s="0" t="s">
        <v>21</v>
      </c>
      <c r="T4805" s="0" t="s">
        <v>104</v>
      </c>
      <c r="W4805" s="0" t="s">
        <v>105</v>
      </c>
    </row>
    <row r="4806" customFormat="false" ht="15" hidden="false" customHeight="false" outlineLevel="0" collapsed="false">
      <c r="A4806" s="0" t="s">
        <v>21</v>
      </c>
      <c r="B4806" s="0" t="s">
        <v>13921</v>
      </c>
      <c r="C4806" s="0" t="s">
        <v>97</v>
      </c>
      <c r="M4806" s="0" t="s">
        <v>100</v>
      </c>
      <c r="N4806" s="0" t="s">
        <v>101</v>
      </c>
      <c r="P4806" s="0" t="s">
        <v>13734</v>
      </c>
      <c r="Q4806" s="0" t="s">
        <v>13734</v>
      </c>
      <c r="R4806" s="0" t="s">
        <v>13734</v>
      </c>
      <c r="S4806" s="0" t="s">
        <v>21</v>
      </c>
      <c r="T4806" s="0" t="s">
        <v>104</v>
      </c>
      <c r="W4806" s="0" t="s">
        <v>183</v>
      </c>
    </row>
    <row r="4807" customFormat="false" ht="15" hidden="false" customHeight="false" outlineLevel="0" collapsed="false">
      <c r="A4807" s="0" t="s">
        <v>21</v>
      </c>
      <c r="B4807" s="0" t="s">
        <v>13921</v>
      </c>
      <c r="C4807" s="0" t="s">
        <v>97</v>
      </c>
      <c r="M4807" s="0" t="s">
        <v>100</v>
      </c>
      <c r="N4807" s="0" t="s">
        <v>101</v>
      </c>
      <c r="P4807" s="0" t="s">
        <v>130</v>
      </c>
      <c r="Q4807" s="0" t="s">
        <v>130</v>
      </c>
      <c r="R4807" s="0" t="s">
        <v>137</v>
      </c>
      <c r="S4807" s="0" t="s">
        <v>21</v>
      </c>
      <c r="T4807" s="0" t="s">
        <v>104</v>
      </c>
      <c r="W4807" s="0" t="s">
        <v>105</v>
      </c>
    </row>
    <row r="4808" customFormat="false" ht="15" hidden="false" customHeight="false" outlineLevel="0" collapsed="false">
      <c r="A4808" s="0" t="s">
        <v>21</v>
      </c>
      <c r="B4808" s="0" t="s">
        <v>13922</v>
      </c>
      <c r="C4808" s="0" t="s">
        <v>97</v>
      </c>
      <c r="M4808" s="0" t="s">
        <v>100</v>
      </c>
      <c r="N4808" s="0" t="s">
        <v>101</v>
      </c>
      <c r="P4808" s="0" t="s">
        <v>13734</v>
      </c>
      <c r="Q4808" s="0" t="s">
        <v>13734</v>
      </c>
      <c r="R4808" s="0" t="s">
        <v>13734</v>
      </c>
      <c r="S4808" s="0" t="s">
        <v>21</v>
      </c>
      <c r="T4808" s="0" t="s">
        <v>104</v>
      </c>
      <c r="W4808" s="0" t="s">
        <v>183</v>
      </c>
    </row>
    <row r="4809" customFormat="false" ht="15" hidden="false" customHeight="false" outlineLevel="0" collapsed="false">
      <c r="A4809" s="0" t="s">
        <v>21</v>
      </c>
      <c r="B4809" s="0" t="s">
        <v>13922</v>
      </c>
      <c r="C4809" s="0" t="s">
        <v>97</v>
      </c>
      <c r="M4809" s="0" t="s">
        <v>100</v>
      </c>
      <c r="N4809" s="0" t="s">
        <v>101</v>
      </c>
      <c r="P4809" s="0" t="s">
        <v>130</v>
      </c>
      <c r="Q4809" s="0" t="s">
        <v>130</v>
      </c>
      <c r="R4809" s="0" t="s">
        <v>137</v>
      </c>
      <c r="S4809" s="0" t="s">
        <v>21</v>
      </c>
      <c r="T4809" s="0" t="s">
        <v>104</v>
      </c>
      <c r="W4809" s="0" t="s">
        <v>105</v>
      </c>
    </row>
    <row r="4810" customFormat="false" ht="15" hidden="false" customHeight="false" outlineLevel="0" collapsed="false">
      <c r="A4810" s="0" t="s">
        <v>21</v>
      </c>
      <c r="B4810" s="0" t="s">
        <v>13923</v>
      </c>
      <c r="C4810" s="0" t="s">
        <v>97</v>
      </c>
      <c r="M4810" s="0" t="s">
        <v>100</v>
      </c>
      <c r="N4810" s="0" t="s">
        <v>101</v>
      </c>
      <c r="P4810" s="0" t="s">
        <v>13734</v>
      </c>
      <c r="Q4810" s="0" t="s">
        <v>13734</v>
      </c>
      <c r="R4810" s="0" t="s">
        <v>13734</v>
      </c>
      <c r="S4810" s="0" t="s">
        <v>21</v>
      </c>
      <c r="T4810" s="0" t="s">
        <v>104</v>
      </c>
      <c r="W4810" s="0" t="s">
        <v>183</v>
      </c>
    </row>
    <row r="4811" customFormat="false" ht="15" hidden="false" customHeight="false" outlineLevel="0" collapsed="false">
      <c r="A4811" s="0" t="s">
        <v>21</v>
      </c>
      <c r="B4811" s="0" t="s">
        <v>13923</v>
      </c>
      <c r="C4811" s="0" t="s">
        <v>97</v>
      </c>
      <c r="M4811" s="0" t="s">
        <v>100</v>
      </c>
      <c r="N4811" s="0" t="s">
        <v>101</v>
      </c>
      <c r="P4811" s="0" t="s">
        <v>130</v>
      </c>
      <c r="Q4811" s="0" t="s">
        <v>130</v>
      </c>
      <c r="R4811" s="0" t="s">
        <v>137</v>
      </c>
      <c r="S4811" s="0" t="s">
        <v>21</v>
      </c>
      <c r="T4811" s="0" t="s">
        <v>104</v>
      </c>
      <c r="W4811" s="0" t="s">
        <v>105</v>
      </c>
    </row>
    <row r="4812" customFormat="false" ht="15" hidden="false" customHeight="false" outlineLevel="0" collapsed="false">
      <c r="A4812" s="0" t="s">
        <v>21</v>
      </c>
      <c r="B4812" s="0" t="s">
        <v>13924</v>
      </c>
      <c r="C4812" s="0" t="s">
        <v>97</v>
      </c>
      <c r="M4812" s="0" t="s">
        <v>100</v>
      </c>
      <c r="N4812" s="0" t="s">
        <v>101</v>
      </c>
      <c r="P4812" s="0" t="s">
        <v>13734</v>
      </c>
      <c r="Q4812" s="0" t="s">
        <v>13734</v>
      </c>
      <c r="R4812" s="0" t="s">
        <v>13734</v>
      </c>
      <c r="S4812" s="0" t="s">
        <v>21</v>
      </c>
      <c r="T4812" s="0" t="s">
        <v>104</v>
      </c>
      <c r="W4812" s="0" t="s">
        <v>183</v>
      </c>
    </row>
    <row r="4813" customFormat="false" ht="15" hidden="false" customHeight="false" outlineLevel="0" collapsed="false">
      <c r="A4813" s="0" t="s">
        <v>21</v>
      </c>
      <c r="B4813" s="0" t="s">
        <v>13924</v>
      </c>
      <c r="C4813" s="0" t="s">
        <v>97</v>
      </c>
      <c r="M4813" s="0" t="s">
        <v>100</v>
      </c>
      <c r="N4813" s="0" t="s">
        <v>101</v>
      </c>
      <c r="P4813" s="0" t="s">
        <v>130</v>
      </c>
      <c r="Q4813" s="0" t="s">
        <v>130</v>
      </c>
      <c r="R4813" s="0" t="s">
        <v>137</v>
      </c>
      <c r="S4813" s="0" t="s">
        <v>21</v>
      </c>
      <c r="T4813" s="0" t="s">
        <v>104</v>
      </c>
      <c r="W4813" s="0" t="s">
        <v>105</v>
      </c>
    </row>
    <row r="4814" customFormat="false" ht="15" hidden="false" customHeight="false" outlineLevel="0" collapsed="false">
      <c r="A4814" s="0" t="s">
        <v>21</v>
      </c>
      <c r="B4814" s="0" t="s">
        <v>13925</v>
      </c>
      <c r="C4814" s="0" t="s">
        <v>97</v>
      </c>
      <c r="M4814" s="0" t="s">
        <v>100</v>
      </c>
      <c r="N4814" s="0" t="s">
        <v>101</v>
      </c>
      <c r="P4814" s="0" t="s">
        <v>13734</v>
      </c>
      <c r="Q4814" s="0" t="s">
        <v>13734</v>
      </c>
      <c r="R4814" s="0" t="s">
        <v>13734</v>
      </c>
      <c r="S4814" s="0" t="s">
        <v>21</v>
      </c>
      <c r="T4814" s="0" t="s">
        <v>104</v>
      </c>
      <c r="W4814" s="0" t="s">
        <v>183</v>
      </c>
    </row>
    <row r="4815" customFormat="false" ht="15" hidden="false" customHeight="false" outlineLevel="0" collapsed="false">
      <c r="A4815" s="0" t="s">
        <v>21</v>
      </c>
      <c r="B4815" s="0" t="s">
        <v>13925</v>
      </c>
      <c r="C4815" s="0" t="s">
        <v>97</v>
      </c>
      <c r="M4815" s="0" t="s">
        <v>100</v>
      </c>
      <c r="N4815" s="0" t="s">
        <v>101</v>
      </c>
      <c r="P4815" s="0" t="s">
        <v>130</v>
      </c>
      <c r="Q4815" s="0" t="s">
        <v>130</v>
      </c>
      <c r="R4815" s="0" t="s">
        <v>137</v>
      </c>
      <c r="S4815" s="0" t="s">
        <v>21</v>
      </c>
      <c r="T4815" s="0" t="s">
        <v>104</v>
      </c>
      <c r="W4815" s="0" t="s">
        <v>105</v>
      </c>
    </row>
    <row r="4816" customFormat="false" ht="15" hidden="false" customHeight="false" outlineLevel="0" collapsed="false">
      <c r="A4816" s="0" t="s">
        <v>21</v>
      </c>
      <c r="B4816" s="0" t="s">
        <v>13926</v>
      </c>
      <c r="C4816" s="0" t="s">
        <v>97</v>
      </c>
      <c r="M4816" s="0" t="s">
        <v>100</v>
      </c>
      <c r="N4816" s="0" t="s">
        <v>101</v>
      </c>
      <c r="P4816" s="0" t="s">
        <v>13734</v>
      </c>
      <c r="Q4816" s="0" t="s">
        <v>13734</v>
      </c>
      <c r="R4816" s="0" t="s">
        <v>13734</v>
      </c>
      <c r="S4816" s="0" t="s">
        <v>21</v>
      </c>
      <c r="T4816" s="0" t="s">
        <v>104</v>
      </c>
      <c r="W4816" s="0" t="s">
        <v>183</v>
      </c>
    </row>
    <row r="4817" customFormat="false" ht="15" hidden="false" customHeight="false" outlineLevel="0" collapsed="false">
      <c r="A4817" s="0" t="s">
        <v>21</v>
      </c>
      <c r="B4817" s="0" t="s">
        <v>13926</v>
      </c>
      <c r="C4817" s="0" t="s">
        <v>97</v>
      </c>
      <c r="M4817" s="0" t="s">
        <v>100</v>
      </c>
      <c r="N4817" s="0" t="s">
        <v>101</v>
      </c>
      <c r="P4817" s="0" t="s">
        <v>130</v>
      </c>
      <c r="Q4817" s="0" t="s">
        <v>130</v>
      </c>
      <c r="R4817" s="0" t="s">
        <v>137</v>
      </c>
      <c r="S4817" s="0" t="s">
        <v>21</v>
      </c>
      <c r="T4817" s="0" t="s">
        <v>104</v>
      </c>
      <c r="W4817" s="0" t="s">
        <v>105</v>
      </c>
    </row>
    <row r="4818" customFormat="false" ht="15" hidden="false" customHeight="false" outlineLevel="0" collapsed="false">
      <c r="A4818" s="0" t="s">
        <v>21</v>
      </c>
      <c r="B4818" s="0" t="s">
        <v>13927</v>
      </c>
      <c r="C4818" s="0" t="s">
        <v>97</v>
      </c>
      <c r="M4818" s="0" t="s">
        <v>100</v>
      </c>
      <c r="N4818" s="0" t="s">
        <v>101</v>
      </c>
      <c r="P4818" s="0" t="s">
        <v>13734</v>
      </c>
      <c r="Q4818" s="0" t="s">
        <v>13734</v>
      </c>
      <c r="R4818" s="0" t="s">
        <v>13734</v>
      </c>
      <c r="S4818" s="0" t="s">
        <v>21</v>
      </c>
      <c r="T4818" s="0" t="s">
        <v>104</v>
      </c>
      <c r="W4818" s="0" t="s">
        <v>183</v>
      </c>
    </row>
    <row r="4819" customFormat="false" ht="15" hidden="false" customHeight="false" outlineLevel="0" collapsed="false">
      <c r="A4819" s="0" t="s">
        <v>21</v>
      </c>
      <c r="B4819" s="0" t="s">
        <v>13927</v>
      </c>
      <c r="C4819" s="0" t="s">
        <v>97</v>
      </c>
      <c r="M4819" s="0" t="s">
        <v>100</v>
      </c>
      <c r="N4819" s="0" t="s">
        <v>101</v>
      </c>
      <c r="P4819" s="0" t="s">
        <v>130</v>
      </c>
      <c r="Q4819" s="0" t="s">
        <v>130</v>
      </c>
      <c r="R4819" s="0" t="s">
        <v>137</v>
      </c>
      <c r="S4819" s="0" t="s">
        <v>21</v>
      </c>
      <c r="T4819" s="0" t="s">
        <v>104</v>
      </c>
      <c r="W4819" s="0" t="s">
        <v>105</v>
      </c>
    </row>
    <row r="4820" customFormat="false" ht="15" hidden="false" customHeight="false" outlineLevel="0" collapsed="false">
      <c r="A4820" s="0" t="s">
        <v>21</v>
      </c>
      <c r="B4820" s="0" t="s">
        <v>13928</v>
      </c>
      <c r="C4820" s="0" t="s">
        <v>97</v>
      </c>
      <c r="M4820" s="0" t="s">
        <v>100</v>
      </c>
      <c r="N4820" s="0" t="s">
        <v>101</v>
      </c>
      <c r="P4820" s="0" t="s">
        <v>13734</v>
      </c>
      <c r="Q4820" s="0" t="s">
        <v>13734</v>
      </c>
      <c r="R4820" s="0" t="s">
        <v>13734</v>
      </c>
      <c r="S4820" s="0" t="s">
        <v>21</v>
      </c>
      <c r="T4820" s="0" t="s">
        <v>104</v>
      </c>
      <c r="W4820" s="0" t="s">
        <v>183</v>
      </c>
    </row>
    <row r="4821" customFormat="false" ht="15" hidden="false" customHeight="false" outlineLevel="0" collapsed="false">
      <c r="A4821" s="0" t="s">
        <v>21</v>
      </c>
      <c r="B4821" s="0" t="s">
        <v>13928</v>
      </c>
      <c r="C4821" s="0" t="s">
        <v>97</v>
      </c>
      <c r="M4821" s="0" t="s">
        <v>100</v>
      </c>
      <c r="N4821" s="0" t="s">
        <v>101</v>
      </c>
      <c r="P4821" s="0" t="s">
        <v>130</v>
      </c>
      <c r="Q4821" s="0" t="s">
        <v>130</v>
      </c>
      <c r="R4821" s="0" t="s">
        <v>137</v>
      </c>
      <c r="S4821" s="0" t="s">
        <v>21</v>
      </c>
      <c r="T4821" s="0" t="s">
        <v>104</v>
      </c>
      <c r="W4821" s="0" t="s">
        <v>105</v>
      </c>
    </row>
    <row r="4822" customFormat="false" ht="15" hidden="false" customHeight="false" outlineLevel="0" collapsed="false">
      <c r="A4822" s="0" t="s">
        <v>21</v>
      </c>
      <c r="B4822" s="0" t="s">
        <v>13929</v>
      </c>
      <c r="C4822" s="0" t="s">
        <v>97</v>
      </c>
      <c r="M4822" s="0" t="s">
        <v>100</v>
      </c>
      <c r="N4822" s="0" t="s">
        <v>101</v>
      </c>
      <c r="P4822" s="0" t="s">
        <v>13734</v>
      </c>
      <c r="Q4822" s="0" t="s">
        <v>13734</v>
      </c>
      <c r="R4822" s="0" t="s">
        <v>13734</v>
      </c>
      <c r="S4822" s="0" t="s">
        <v>21</v>
      </c>
      <c r="T4822" s="0" t="s">
        <v>104</v>
      </c>
      <c r="W4822" s="0" t="s">
        <v>183</v>
      </c>
    </row>
    <row r="4823" customFormat="false" ht="15" hidden="false" customHeight="false" outlineLevel="0" collapsed="false">
      <c r="A4823" s="0" t="s">
        <v>21</v>
      </c>
      <c r="B4823" s="0" t="s">
        <v>13929</v>
      </c>
      <c r="C4823" s="0" t="s">
        <v>97</v>
      </c>
      <c r="M4823" s="0" t="s">
        <v>100</v>
      </c>
      <c r="N4823" s="0" t="s">
        <v>101</v>
      </c>
      <c r="P4823" s="0" t="s">
        <v>130</v>
      </c>
      <c r="Q4823" s="0" t="s">
        <v>130</v>
      </c>
      <c r="R4823" s="0" t="s">
        <v>137</v>
      </c>
      <c r="S4823" s="0" t="s">
        <v>21</v>
      </c>
      <c r="T4823" s="0" t="s">
        <v>104</v>
      </c>
      <c r="W4823" s="0" t="s">
        <v>105</v>
      </c>
    </row>
    <row r="4824" customFormat="false" ht="15" hidden="false" customHeight="false" outlineLevel="0" collapsed="false">
      <c r="A4824" s="0" t="s">
        <v>21</v>
      </c>
      <c r="B4824" s="0" t="s">
        <v>13930</v>
      </c>
      <c r="C4824" s="0" t="s">
        <v>97</v>
      </c>
      <c r="M4824" s="0" t="s">
        <v>100</v>
      </c>
      <c r="N4824" s="0" t="s">
        <v>101</v>
      </c>
      <c r="P4824" s="0" t="s">
        <v>13734</v>
      </c>
      <c r="Q4824" s="0" t="s">
        <v>13734</v>
      </c>
      <c r="R4824" s="0" t="s">
        <v>13734</v>
      </c>
      <c r="S4824" s="0" t="s">
        <v>21</v>
      </c>
      <c r="T4824" s="0" t="s">
        <v>104</v>
      </c>
      <c r="W4824" s="0" t="s">
        <v>183</v>
      </c>
    </row>
    <row r="4825" customFormat="false" ht="15" hidden="false" customHeight="false" outlineLevel="0" collapsed="false">
      <c r="A4825" s="0" t="s">
        <v>21</v>
      </c>
      <c r="B4825" s="0" t="s">
        <v>13930</v>
      </c>
      <c r="C4825" s="0" t="s">
        <v>97</v>
      </c>
      <c r="M4825" s="0" t="s">
        <v>100</v>
      </c>
      <c r="N4825" s="0" t="s">
        <v>101</v>
      </c>
      <c r="P4825" s="0" t="s">
        <v>130</v>
      </c>
      <c r="Q4825" s="0" t="s">
        <v>130</v>
      </c>
      <c r="R4825" s="0" t="s">
        <v>137</v>
      </c>
      <c r="S4825" s="0" t="s">
        <v>21</v>
      </c>
      <c r="T4825" s="0" t="s">
        <v>104</v>
      </c>
      <c r="W4825" s="0" t="s">
        <v>105</v>
      </c>
    </row>
    <row r="4826" customFormat="false" ht="15" hidden="false" customHeight="false" outlineLevel="0" collapsed="false">
      <c r="A4826" s="0" t="s">
        <v>21</v>
      </c>
      <c r="B4826" s="0" t="s">
        <v>13931</v>
      </c>
      <c r="C4826" s="0" t="s">
        <v>97</v>
      </c>
      <c r="M4826" s="0" t="s">
        <v>100</v>
      </c>
      <c r="N4826" s="0" t="s">
        <v>101</v>
      </c>
      <c r="P4826" s="0" t="s">
        <v>13734</v>
      </c>
      <c r="Q4826" s="0" t="s">
        <v>13734</v>
      </c>
      <c r="R4826" s="0" t="s">
        <v>13734</v>
      </c>
      <c r="S4826" s="0" t="s">
        <v>21</v>
      </c>
      <c r="T4826" s="0" t="s">
        <v>104</v>
      </c>
      <c r="W4826" s="0" t="s">
        <v>183</v>
      </c>
    </row>
    <row r="4827" customFormat="false" ht="15" hidden="false" customHeight="false" outlineLevel="0" collapsed="false">
      <c r="A4827" s="0" t="s">
        <v>21</v>
      </c>
      <c r="B4827" s="0" t="s">
        <v>13931</v>
      </c>
      <c r="C4827" s="0" t="s">
        <v>97</v>
      </c>
      <c r="M4827" s="0" t="s">
        <v>100</v>
      </c>
      <c r="N4827" s="0" t="s">
        <v>101</v>
      </c>
      <c r="P4827" s="0" t="s">
        <v>130</v>
      </c>
      <c r="Q4827" s="0" t="s">
        <v>130</v>
      </c>
      <c r="R4827" s="0" t="s">
        <v>137</v>
      </c>
      <c r="S4827" s="0" t="s">
        <v>21</v>
      </c>
      <c r="T4827" s="0" t="s">
        <v>104</v>
      </c>
      <c r="W4827" s="0" t="s">
        <v>105</v>
      </c>
    </row>
    <row r="4828" customFormat="false" ht="15" hidden="false" customHeight="false" outlineLevel="0" collapsed="false">
      <c r="A4828" s="0" t="s">
        <v>21</v>
      </c>
      <c r="B4828" s="0" t="s">
        <v>13932</v>
      </c>
      <c r="C4828" s="0" t="s">
        <v>97</v>
      </c>
      <c r="M4828" s="0" t="s">
        <v>100</v>
      </c>
      <c r="N4828" s="0" t="s">
        <v>101</v>
      </c>
      <c r="P4828" s="0" t="s">
        <v>13734</v>
      </c>
      <c r="Q4828" s="0" t="s">
        <v>13734</v>
      </c>
      <c r="R4828" s="0" t="s">
        <v>13734</v>
      </c>
      <c r="S4828" s="0" t="s">
        <v>21</v>
      </c>
      <c r="T4828" s="0" t="s">
        <v>104</v>
      </c>
      <c r="W4828" s="0" t="s">
        <v>183</v>
      </c>
    </row>
    <row r="4829" customFormat="false" ht="15" hidden="false" customHeight="false" outlineLevel="0" collapsed="false">
      <c r="A4829" s="0" t="s">
        <v>21</v>
      </c>
      <c r="B4829" s="0" t="s">
        <v>13932</v>
      </c>
      <c r="C4829" s="0" t="s">
        <v>97</v>
      </c>
      <c r="M4829" s="0" t="s">
        <v>100</v>
      </c>
      <c r="N4829" s="0" t="s">
        <v>101</v>
      </c>
      <c r="P4829" s="0" t="s">
        <v>130</v>
      </c>
      <c r="Q4829" s="0" t="s">
        <v>130</v>
      </c>
      <c r="R4829" s="0" t="s">
        <v>137</v>
      </c>
      <c r="S4829" s="0" t="s">
        <v>21</v>
      </c>
      <c r="T4829" s="0" t="s">
        <v>104</v>
      </c>
      <c r="W4829" s="0" t="s">
        <v>105</v>
      </c>
    </row>
    <row r="4830" customFormat="false" ht="15" hidden="false" customHeight="false" outlineLevel="0" collapsed="false">
      <c r="A4830" s="0" t="s">
        <v>21</v>
      </c>
      <c r="B4830" s="0" t="s">
        <v>13933</v>
      </c>
      <c r="C4830" s="0" t="s">
        <v>97</v>
      </c>
      <c r="M4830" s="0" t="s">
        <v>100</v>
      </c>
      <c r="N4830" s="0" t="s">
        <v>101</v>
      </c>
      <c r="P4830" s="0" t="s">
        <v>13734</v>
      </c>
      <c r="Q4830" s="0" t="s">
        <v>13734</v>
      </c>
      <c r="R4830" s="0" t="s">
        <v>13734</v>
      </c>
      <c r="S4830" s="0" t="s">
        <v>21</v>
      </c>
      <c r="T4830" s="0" t="s">
        <v>104</v>
      </c>
      <c r="W4830" s="0" t="s">
        <v>183</v>
      </c>
    </row>
    <row r="4831" customFormat="false" ht="15" hidden="false" customHeight="false" outlineLevel="0" collapsed="false">
      <c r="A4831" s="0" t="s">
        <v>21</v>
      </c>
      <c r="B4831" s="0" t="s">
        <v>13933</v>
      </c>
      <c r="C4831" s="0" t="s">
        <v>97</v>
      </c>
      <c r="M4831" s="0" t="s">
        <v>100</v>
      </c>
      <c r="N4831" s="0" t="s">
        <v>101</v>
      </c>
      <c r="P4831" s="0" t="s">
        <v>130</v>
      </c>
      <c r="Q4831" s="0" t="s">
        <v>130</v>
      </c>
      <c r="R4831" s="0" t="s">
        <v>137</v>
      </c>
      <c r="S4831" s="0" t="s">
        <v>21</v>
      </c>
      <c r="T4831" s="0" t="s">
        <v>104</v>
      </c>
      <c r="W4831" s="0" t="s">
        <v>105</v>
      </c>
    </row>
    <row r="4832" customFormat="false" ht="15" hidden="false" customHeight="false" outlineLevel="0" collapsed="false">
      <c r="A4832" s="0" t="s">
        <v>21</v>
      </c>
      <c r="B4832" s="0" t="s">
        <v>13934</v>
      </c>
      <c r="C4832" s="0" t="s">
        <v>97</v>
      </c>
      <c r="M4832" s="0" t="s">
        <v>100</v>
      </c>
      <c r="N4832" s="0" t="s">
        <v>101</v>
      </c>
      <c r="P4832" s="0" t="s">
        <v>13734</v>
      </c>
      <c r="Q4832" s="0" t="s">
        <v>13734</v>
      </c>
      <c r="R4832" s="0" t="s">
        <v>13734</v>
      </c>
      <c r="S4832" s="0" t="s">
        <v>21</v>
      </c>
      <c r="T4832" s="0" t="s">
        <v>104</v>
      </c>
      <c r="W4832" s="0" t="s">
        <v>183</v>
      </c>
    </row>
    <row r="4833" customFormat="false" ht="15" hidden="false" customHeight="false" outlineLevel="0" collapsed="false">
      <c r="A4833" s="0" t="s">
        <v>21</v>
      </c>
      <c r="B4833" s="0" t="s">
        <v>13934</v>
      </c>
      <c r="C4833" s="0" t="s">
        <v>97</v>
      </c>
      <c r="M4833" s="0" t="s">
        <v>100</v>
      </c>
      <c r="N4833" s="0" t="s">
        <v>101</v>
      </c>
      <c r="P4833" s="0" t="s">
        <v>130</v>
      </c>
      <c r="Q4833" s="0" t="s">
        <v>130</v>
      </c>
      <c r="R4833" s="0" t="s">
        <v>137</v>
      </c>
      <c r="S4833" s="0" t="s">
        <v>21</v>
      </c>
      <c r="T4833" s="0" t="s">
        <v>104</v>
      </c>
      <c r="W4833" s="0" t="s">
        <v>105</v>
      </c>
    </row>
    <row r="4834" customFormat="false" ht="15" hidden="false" customHeight="false" outlineLevel="0" collapsed="false">
      <c r="A4834" s="0" t="s">
        <v>21</v>
      </c>
      <c r="B4834" s="0" t="s">
        <v>13935</v>
      </c>
      <c r="C4834" s="0" t="s">
        <v>97</v>
      </c>
      <c r="M4834" s="0" t="s">
        <v>100</v>
      </c>
      <c r="N4834" s="0" t="s">
        <v>101</v>
      </c>
      <c r="P4834" s="0" t="s">
        <v>13734</v>
      </c>
      <c r="Q4834" s="0" t="s">
        <v>13734</v>
      </c>
      <c r="R4834" s="0" t="s">
        <v>13734</v>
      </c>
      <c r="S4834" s="0" t="s">
        <v>21</v>
      </c>
      <c r="T4834" s="0" t="s">
        <v>104</v>
      </c>
      <c r="W4834" s="0" t="s">
        <v>183</v>
      </c>
    </row>
    <row r="4835" customFormat="false" ht="15" hidden="false" customHeight="false" outlineLevel="0" collapsed="false">
      <c r="A4835" s="0" t="s">
        <v>21</v>
      </c>
      <c r="B4835" s="0" t="s">
        <v>13935</v>
      </c>
      <c r="C4835" s="0" t="s">
        <v>97</v>
      </c>
      <c r="M4835" s="0" t="s">
        <v>100</v>
      </c>
      <c r="N4835" s="0" t="s">
        <v>101</v>
      </c>
      <c r="P4835" s="0" t="s">
        <v>130</v>
      </c>
      <c r="Q4835" s="0" t="s">
        <v>130</v>
      </c>
      <c r="R4835" s="0" t="s">
        <v>137</v>
      </c>
      <c r="S4835" s="0" t="s">
        <v>21</v>
      </c>
      <c r="T4835" s="0" t="s">
        <v>104</v>
      </c>
      <c r="W4835" s="0" t="s">
        <v>105</v>
      </c>
    </row>
    <row r="4836" customFormat="false" ht="15" hidden="false" customHeight="false" outlineLevel="0" collapsed="false">
      <c r="A4836" s="0" t="s">
        <v>21</v>
      </c>
      <c r="B4836" s="0" t="s">
        <v>13936</v>
      </c>
      <c r="C4836" s="0" t="s">
        <v>97</v>
      </c>
      <c r="M4836" s="0" t="s">
        <v>100</v>
      </c>
      <c r="N4836" s="0" t="s">
        <v>101</v>
      </c>
      <c r="P4836" s="0" t="s">
        <v>13734</v>
      </c>
      <c r="Q4836" s="0" t="s">
        <v>13734</v>
      </c>
      <c r="R4836" s="0" t="s">
        <v>13734</v>
      </c>
      <c r="S4836" s="0" t="s">
        <v>21</v>
      </c>
      <c r="T4836" s="0" t="s">
        <v>104</v>
      </c>
      <c r="W4836" s="0" t="s">
        <v>183</v>
      </c>
    </row>
    <row r="4837" customFormat="false" ht="15" hidden="false" customHeight="false" outlineLevel="0" collapsed="false">
      <c r="A4837" s="0" t="s">
        <v>21</v>
      </c>
      <c r="B4837" s="0" t="s">
        <v>13936</v>
      </c>
      <c r="C4837" s="0" t="s">
        <v>97</v>
      </c>
      <c r="M4837" s="0" t="s">
        <v>100</v>
      </c>
      <c r="N4837" s="0" t="s">
        <v>101</v>
      </c>
      <c r="P4837" s="0" t="s">
        <v>130</v>
      </c>
      <c r="Q4837" s="0" t="s">
        <v>130</v>
      </c>
      <c r="R4837" s="0" t="s">
        <v>137</v>
      </c>
      <c r="S4837" s="0" t="s">
        <v>21</v>
      </c>
      <c r="T4837" s="0" t="s">
        <v>104</v>
      </c>
      <c r="W4837" s="0" t="s">
        <v>105</v>
      </c>
    </row>
    <row r="4838" customFormat="false" ht="15" hidden="false" customHeight="false" outlineLevel="0" collapsed="false">
      <c r="A4838" s="0" t="s">
        <v>21</v>
      </c>
      <c r="B4838" s="0" t="s">
        <v>13937</v>
      </c>
      <c r="C4838" s="0" t="s">
        <v>97</v>
      </c>
      <c r="M4838" s="0" t="s">
        <v>100</v>
      </c>
      <c r="N4838" s="0" t="s">
        <v>101</v>
      </c>
      <c r="P4838" s="0" t="s">
        <v>13734</v>
      </c>
      <c r="Q4838" s="0" t="s">
        <v>13734</v>
      </c>
      <c r="R4838" s="0" t="s">
        <v>13734</v>
      </c>
      <c r="S4838" s="0" t="s">
        <v>21</v>
      </c>
      <c r="T4838" s="0" t="s">
        <v>104</v>
      </c>
      <c r="W4838" s="0" t="s">
        <v>183</v>
      </c>
    </row>
    <row r="4839" customFormat="false" ht="15" hidden="false" customHeight="false" outlineLevel="0" collapsed="false">
      <c r="A4839" s="0" t="s">
        <v>21</v>
      </c>
      <c r="B4839" s="0" t="s">
        <v>13937</v>
      </c>
      <c r="C4839" s="0" t="s">
        <v>97</v>
      </c>
      <c r="M4839" s="0" t="s">
        <v>100</v>
      </c>
      <c r="N4839" s="0" t="s">
        <v>101</v>
      </c>
      <c r="P4839" s="0" t="s">
        <v>130</v>
      </c>
      <c r="Q4839" s="0" t="s">
        <v>130</v>
      </c>
      <c r="R4839" s="0" t="s">
        <v>137</v>
      </c>
      <c r="S4839" s="0" t="s">
        <v>21</v>
      </c>
      <c r="T4839" s="0" t="s">
        <v>104</v>
      </c>
      <c r="W4839" s="0" t="s">
        <v>105</v>
      </c>
    </row>
    <row r="4840" customFormat="false" ht="15" hidden="false" customHeight="false" outlineLevel="0" collapsed="false">
      <c r="A4840" s="0" t="s">
        <v>21</v>
      </c>
      <c r="B4840" s="0" t="s">
        <v>13938</v>
      </c>
      <c r="C4840" s="0" t="s">
        <v>97</v>
      </c>
      <c r="M4840" s="0" t="s">
        <v>100</v>
      </c>
      <c r="N4840" s="0" t="s">
        <v>101</v>
      </c>
      <c r="P4840" s="0" t="s">
        <v>13734</v>
      </c>
      <c r="Q4840" s="0" t="s">
        <v>13734</v>
      </c>
      <c r="R4840" s="0" t="s">
        <v>13734</v>
      </c>
      <c r="S4840" s="0" t="s">
        <v>21</v>
      </c>
      <c r="T4840" s="0" t="s">
        <v>104</v>
      </c>
      <c r="W4840" s="0" t="s">
        <v>183</v>
      </c>
    </row>
    <row r="4841" customFormat="false" ht="15" hidden="false" customHeight="false" outlineLevel="0" collapsed="false">
      <c r="A4841" s="0" t="s">
        <v>21</v>
      </c>
      <c r="B4841" s="0" t="s">
        <v>13938</v>
      </c>
      <c r="C4841" s="0" t="s">
        <v>97</v>
      </c>
      <c r="M4841" s="0" t="s">
        <v>100</v>
      </c>
      <c r="N4841" s="0" t="s">
        <v>101</v>
      </c>
      <c r="P4841" s="0" t="s">
        <v>130</v>
      </c>
      <c r="Q4841" s="0" t="s">
        <v>130</v>
      </c>
      <c r="R4841" s="0" t="s">
        <v>137</v>
      </c>
      <c r="S4841" s="0" t="s">
        <v>21</v>
      </c>
      <c r="T4841" s="0" t="s">
        <v>104</v>
      </c>
      <c r="W4841" s="0" t="s">
        <v>105</v>
      </c>
    </row>
    <row r="4842" customFormat="false" ht="15" hidden="false" customHeight="false" outlineLevel="0" collapsed="false">
      <c r="A4842" s="0" t="s">
        <v>21</v>
      </c>
      <c r="B4842" s="0" t="s">
        <v>13939</v>
      </c>
      <c r="C4842" s="0" t="s">
        <v>97</v>
      </c>
      <c r="M4842" s="0" t="s">
        <v>100</v>
      </c>
      <c r="N4842" s="0" t="s">
        <v>101</v>
      </c>
      <c r="P4842" s="0" t="s">
        <v>13734</v>
      </c>
      <c r="Q4842" s="0" t="s">
        <v>13734</v>
      </c>
      <c r="R4842" s="0" t="s">
        <v>13734</v>
      </c>
      <c r="S4842" s="0" t="s">
        <v>21</v>
      </c>
      <c r="T4842" s="0" t="s">
        <v>104</v>
      </c>
      <c r="W4842" s="0" t="s">
        <v>183</v>
      </c>
    </row>
    <row r="4843" customFormat="false" ht="15" hidden="false" customHeight="false" outlineLevel="0" collapsed="false">
      <c r="A4843" s="0" t="s">
        <v>21</v>
      </c>
      <c r="B4843" s="0" t="s">
        <v>13939</v>
      </c>
      <c r="C4843" s="0" t="s">
        <v>97</v>
      </c>
      <c r="M4843" s="0" t="s">
        <v>100</v>
      </c>
      <c r="N4843" s="0" t="s">
        <v>101</v>
      </c>
      <c r="P4843" s="0" t="s">
        <v>130</v>
      </c>
      <c r="Q4843" s="0" t="s">
        <v>130</v>
      </c>
      <c r="R4843" s="0" t="s">
        <v>137</v>
      </c>
      <c r="S4843" s="0" t="s">
        <v>21</v>
      </c>
      <c r="T4843" s="0" t="s">
        <v>104</v>
      </c>
      <c r="W4843" s="0" t="s">
        <v>105</v>
      </c>
    </row>
    <row r="4844" customFormat="false" ht="15" hidden="false" customHeight="false" outlineLevel="0" collapsed="false">
      <c r="A4844" s="0" t="s">
        <v>21</v>
      </c>
      <c r="B4844" s="0" t="s">
        <v>13940</v>
      </c>
      <c r="C4844" s="0" t="s">
        <v>97</v>
      </c>
      <c r="D4844" s="0" t="s">
        <v>13941</v>
      </c>
      <c r="E4844" s="0" t="s">
        <v>13942</v>
      </c>
      <c r="M4844" s="0" t="s">
        <v>136</v>
      </c>
      <c r="N4844" s="0" t="s">
        <v>124</v>
      </c>
      <c r="P4844" s="0" t="s">
        <v>102</v>
      </c>
      <c r="Q4844" s="0" t="s">
        <v>102</v>
      </c>
      <c r="R4844" s="0" t="s">
        <v>113</v>
      </c>
      <c r="S4844" s="0" t="s">
        <v>21</v>
      </c>
      <c r="T4844" s="0" t="s">
        <v>104</v>
      </c>
      <c r="W4844" s="0" t="s">
        <v>105</v>
      </c>
    </row>
    <row r="4845" customFormat="false" ht="15" hidden="false" customHeight="false" outlineLevel="0" collapsed="false">
      <c r="A4845" s="0" t="s">
        <v>21</v>
      </c>
      <c r="B4845" s="0" t="s">
        <v>13943</v>
      </c>
      <c r="C4845" s="0" t="s">
        <v>97</v>
      </c>
      <c r="D4845" s="0" t="s">
        <v>13944</v>
      </c>
      <c r="E4845" s="0" t="s">
        <v>13945</v>
      </c>
      <c r="M4845" s="0" t="s">
        <v>136</v>
      </c>
      <c r="N4845" s="0" t="s">
        <v>124</v>
      </c>
      <c r="P4845" s="0" t="s">
        <v>102</v>
      </c>
      <c r="Q4845" s="0" t="s">
        <v>102</v>
      </c>
      <c r="R4845" s="0" t="s">
        <v>113</v>
      </c>
      <c r="S4845" s="0" t="s">
        <v>21</v>
      </c>
      <c r="T4845" s="0" t="s">
        <v>104</v>
      </c>
      <c r="W4845" s="0" t="s">
        <v>105</v>
      </c>
    </row>
    <row r="4846" customFormat="false" ht="15" hidden="false" customHeight="false" outlineLevel="0" collapsed="false">
      <c r="A4846" s="0" t="s">
        <v>21</v>
      </c>
      <c r="B4846" s="0" t="s">
        <v>13946</v>
      </c>
      <c r="C4846" s="0" t="s">
        <v>97</v>
      </c>
      <c r="D4846" s="0" t="s">
        <v>13947</v>
      </c>
      <c r="E4846" s="0" t="s">
        <v>13948</v>
      </c>
      <c r="M4846" s="0" t="s">
        <v>136</v>
      </c>
      <c r="N4846" s="0" t="s">
        <v>124</v>
      </c>
      <c r="P4846" s="0" t="s">
        <v>102</v>
      </c>
      <c r="Q4846" s="0" t="s">
        <v>102</v>
      </c>
      <c r="R4846" s="0" t="s">
        <v>113</v>
      </c>
      <c r="S4846" s="0" t="s">
        <v>21</v>
      </c>
      <c r="T4846" s="0" t="s">
        <v>104</v>
      </c>
      <c r="W4846" s="0" t="s">
        <v>105</v>
      </c>
    </row>
    <row r="4847" customFormat="false" ht="15" hidden="false" customHeight="false" outlineLevel="0" collapsed="false">
      <c r="A4847" s="0" t="s">
        <v>21</v>
      </c>
      <c r="B4847" s="0" t="s">
        <v>13949</v>
      </c>
      <c r="C4847" s="0" t="s">
        <v>97</v>
      </c>
      <c r="D4847" s="0" t="s">
        <v>13950</v>
      </c>
      <c r="E4847" s="0" t="s">
        <v>13951</v>
      </c>
      <c r="M4847" s="0" t="s">
        <v>136</v>
      </c>
      <c r="N4847" s="0" t="s">
        <v>124</v>
      </c>
      <c r="P4847" s="0" t="s">
        <v>102</v>
      </c>
      <c r="Q4847" s="0" t="s">
        <v>102</v>
      </c>
      <c r="R4847" s="0" t="s">
        <v>144</v>
      </c>
      <c r="S4847" s="0" t="s">
        <v>21</v>
      </c>
      <c r="T4847" s="0" t="s">
        <v>104</v>
      </c>
      <c r="W4847" s="0" t="s">
        <v>105</v>
      </c>
    </row>
    <row r="4848" customFormat="false" ht="15" hidden="false" customHeight="false" outlineLevel="0" collapsed="false">
      <c r="A4848" s="0" t="s">
        <v>21</v>
      </c>
      <c r="B4848" s="0" t="s">
        <v>13952</v>
      </c>
      <c r="C4848" s="0" t="s">
        <v>97</v>
      </c>
      <c r="D4848" s="0" t="s">
        <v>13953</v>
      </c>
      <c r="E4848" s="0" t="s">
        <v>13954</v>
      </c>
      <c r="M4848" s="0" t="s">
        <v>136</v>
      </c>
      <c r="N4848" s="0" t="s">
        <v>124</v>
      </c>
      <c r="P4848" s="0" t="s">
        <v>102</v>
      </c>
      <c r="Q4848" s="0" t="s">
        <v>102</v>
      </c>
      <c r="R4848" s="0" t="s">
        <v>144</v>
      </c>
      <c r="S4848" s="0" t="s">
        <v>21</v>
      </c>
      <c r="T4848" s="0" t="s">
        <v>104</v>
      </c>
      <c r="W4848" s="0" t="s">
        <v>105</v>
      </c>
    </row>
    <row r="4849" customFormat="false" ht="15" hidden="false" customHeight="false" outlineLevel="0" collapsed="false">
      <c r="A4849" s="0" t="s">
        <v>21</v>
      </c>
      <c r="B4849" s="0" t="s">
        <v>13955</v>
      </c>
      <c r="C4849" s="0" t="s">
        <v>97</v>
      </c>
      <c r="D4849" s="0" t="s">
        <v>13956</v>
      </c>
      <c r="E4849" s="0" t="s">
        <v>13957</v>
      </c>
      <c r="M4849" s="0" t="s">
        <v>136</v>
      </c>
      <c r="N4849" s="0" t="s">
        <v>124</v>
      </c>
      <c r="P4849" s="0" t="s">
        <v>102</v>
      </c>
      <c r="Q4849" s="0" t="s">
        <v>102</v>
      </c>
      <c r="R4849" s="0" t="s">
        <v>144</v>
      </c>
      <c r="S4849" s="0" t="s">
        <v>21</v>
      </c>
      <c r="T4849" s="0" t="s">
        <v>104</v>
      </c>
      <c r="W4849" s="0" t="s">
        <v>105</v>
      </c>
    </row>
    <row r="4850" customFormat="false" ht="15" hidden="false" customHeight="false" outlineLevel="0" collapsed="false">
      <c r="A4850" s="0" t="s">
        <v>21</v>
      </c>
      <c r="B4850" s="0" t="s">
        <v>13958</v>
      </c>
      <c r="C4850" s="0" t="s">
        <v>97</v>
      </c>
      <c r="D4850" s="0" t="s">
        <v>13959</v>
      </c>
      <c r="E4850" s="0" t="s">
        <v>13960</v>
      </c>
      <c r="M4850" s="0" t="s">
        <v>136</v>
      </c>
      <c r="N4850" s="0" t="s">
        <v>124</v>
      </c>
      <c r="P4850" s="0" t="s">
        <v>102</v>
      </c>
      <c r="Q4850" s="0" t="s">
        <v>102</v>
      </c>
      <c r="R4850" s="0" t="s">
        <v>113</v>
      </c>
      <c r="S4850" s="0" t="s">
        <v>21</v>
      </c>
      <c r="T4850" s="0" t="s">
        <v>104</v>
      </c>
      <c r="W4850" s="0" t="s">
        <v>105</v>
      </c>
    </row>
    <row r="4851" customFormat="false" ht="15" hidden="false" customHeight="false" outlineLevel="0" collapsed="false">
      <c r="A4851" s="0" t="s">
        <v>21</v>
      </c>
      <c r="B4851" s="0" t="s">
        <v>13961</v>
      </c>
      <c r="C4851" s="0" t="s">
        <v>97</v>
      </c>
      <c r="D4851" s="0" t="s">
        <v>13962</v>
      </c>
      <c r="E4851" s="0" t="s">
        <v>13962</v>
      </c>
      <c r="M4851" s="0" t="s">
        <v>136</v>
      </c>
      <c r="N4851" s="0" t="s">
        <v>124</v>
      </c>
      <c r="P4851" s="0" t="s">
        <v>102</v>
      </c>
      <c r="Q4851" s="0" t="s">
        <v>102</v>
      </c>
      <c r="R4851" s="0" t="s">
        <v>113</v>
      </c>
      <c r="S4851" s="0" t="s">
        <v>21</v>
      </c>
      <c r="T4851" s="0" t="s">
        <v>104</v>
      </c>
      <c r="W4851" s="0" t="s">
        <v>105</v>
      </c>
    </row>
    <row r="4852" customFormat="false" ht="15" hidden="false" customHeight="false" outlineLevel="0" collapsed="false">
      <c r="A4852" s="0" t="s">
        <v>21</v>
      </c>
      <c r="B4852" s="0" t="s">
        <v>13963</v>
      </c>
      <c r="C4852" s="0" t="s">
        <v>97</v>
      </c>
      <c r="D4852" s="0" t="s">
        <v>13964</v>
      </c>
      <c r="E4852" s="0" t="s">
        <v>13965</v>
      </c>
      <c r="M4852" s="0" t="s">
        <v>136</v>
      </c>
      <c r="N4852" s="0" t="s">
        <v>124</v>
      </c>
      <c r="P4852" s="0" t="s">
        <v>102</v>
      </c>
      <c r="Q4852" s="0" t="s">
        <v>102</v>
      </c>
      <c r="R4852" s="0" t="s">
        <v>113</v>
      </c>
      <c r="S4852" s="0" t="s">
        <v>21</v>
      </c>
      <c r="T4852" s="0" t="s">
        <v>104</v>
      </c>
      <c r="W4852" s="0" t="s">
        <v>105</v>
      </c>
    </row>
    <row r="4853" customFormat="false" ht="15" hidden="false" customHeight="false" outlineLevel="0" collapsed="false">
      <c r="A4853" s="0" t="s">
        <v>21</v>
      </c>
      <c r="B4853" s="0" t="s">
        <v>13966</v>
      </c>
      <c r="C4853" s="0" t="s">
        <v>97</v>
      </c>
      <c r="D4853" s="0" t="s">
        <v>13967</v>
      </c>
      <c r="E4853" s="0" t="s">
        <v>13968</v>
      </c>
      <c r="M4853" s="0" t="s">
        <v>136</v>
      </c>
      <c r="N4853" s="0" t="s">
        <v>124</v>
      </c>
      <c r="P4853" s="0" t="s">
        <v>102</v>
      </c>
      <c r="Q4853" s="0" t="s">
        <v>102</v>
      </c>
      <c r="R4853" s="0" t="s">
        <v>113</v>
      </c>
      <c r="S4853" s="0" t="s">
        <v>21</v>
      </c>
      <c r="T4853" s="0" t="s">
        <v>104</v>
      </c>
      <c r="W4853" s="0" t="s">
        <v>105</v>
      </c>
    </row>
    <row r="4854" customFormat="false" ht="15" hidden="false" customHeight="false" outlineLevel="0" collapsed="false">
      <c r="A4854" s="0" t="s">
        <v>21</v>
      </c>
      <c r="B4854" s="0" t="s">
        <v>13969</v>
      </c>
      <c r="C4854" s="0" t="s">
        <v>97</v>
      </c>
      <c r="D4854" s="0" t="s">
        <v>13970</v>
      </c>
      <c r="E4854" s="0" t="s">
        <v>13971</v>
      </c>
      <c r="M4854" s="0" t="s">
        <v>136</v>
      </c>
      <c r="N4854" s="0" t="s">
        <v>124</v>
      </c>
      <c r="P4854" s="0" t="s">
        <v>102</v>
      </c>
      <c r="Q4854" s="0" t="s">
        <v>102</v>
      </c>
      <c r="R4854" s="0" t="s">
        <v>113</v>
      </c>
      <c r="S4854" s="0" t="s">
        <v>21</v>
      </c>
      <c r="T4854" s="0" t="s">
        <v>104</v>
      </c>
      <c r="W4854" s="0" t="s">
        <v>105</v>
      </c>
    </row>
    <row r="4855" customFormat="false" ht="15" hidden="false" customHeight="false" outlineLevel="0" collapsed="false">
      <c r="A4855" s="0" t="s">
        <v>21</v>
      </c>
      <c r="B4855" s="0" t="s">
        <v>13972</v>
      </c>
      <c r="C4855" s="0" t="s">
        <v>97</v>
      </c>
      <c r="D4855" s="0" t="s">
        <v>13973</v>
      </c>
      <c r="E4855" s="0" t="s">
        <v>13974</v>
      </c>
      <c r="M4855" s="0" t="s">
        <v>136</v>
      </c>
      <c r="N4855" s="0" t="s">
        <v>124</v>
      </c>
      <c r="P4855" s="0" t="s">
        <v>102</v>
      </c>
      <c r="Q4855" s="0" t="s">
        <v>102</v>
      </c>
      <c r="R4855" s="0" t="s">
        <v>131</v>
      </c>
      <c r="S4855" s="0" t="s">
        <v>21</v>
      </c>
      <c r="T4855" s="0" t="s">
        <v>104</v>
      </c>
      <c r="W4855" s="0" t="s">
        <v>105</v>
      </c>
    </row>
    <row r="4856" customFormat="false" ht="15" hidden="false" customHeight="false" outlineLevel="0" collapsed="false">
      <c r="A4856" s="0" t="s">
        <v>21</v>
      </c>
      <c r="B4856" s="0" t="s">
        <v>13975</v>
      </c>
      <c r="C4856" s="0" t="s">
        <v>97</v>
      </c>
      <c r="D4856" s="0" t="s">
        <v>13976</v>
      </c>
      <c r="E4856" s="0" t="s">
        <v>13977</v>
      </c>
      <c r="M4856" s="0" t="s">
        <v>136</v>
      </c>
      <c r="N4856" s="0" t="s">
        <v>124</v>
      </c>
      <c r="P4856" s="0" t="s">
        <v>102</v>
      </c>
      <c r="Q4856" s="0" t="s">
        <v>102</v>
      </c>
      <c r="R4856" s="0" t="s">
        <v>131</v>
      </c>
      <c r="S4856" s="0" t="s">
        <v>21</v>
      </c>
      <c r="T4856" s="0" t="s">
        <v>104</v>
      </c>
      <c r="W4856" s="0" t="s">
        <v>105</v>
      </c>
    </row>
    <row r="4857" customFormat="false" ht="15" hidden="false" customHeight="false" outlineLevel="0" collapsed="false">
      <c r="A4857" s="0" t="s">
        <v>21</v>
      </c>
      <c r="B4857" s="0" t="s">
        <v>13978</v>
      </c>
      <c r="C4857" s="0" t="s">
        <v>97</v>
      </c>
      <c r="D4857" s="0" t="s">
        <v>13979</v>
      </c>
      <c r="E4857" s="0" t="s">
        <v>13980</v>
      </c>
      <c r="M4857" s="0" t="s">
        <v>136</v>
      </c>
      <c r="N4857" s="0" t="s">
        <v>124</v>
      </c>
      <c r="P4857" s="0" t="s">
        <v>102</v>
      </c>
      <c r="Q4857" s="0" t="s">
        <v>102</v>
      </c>
      <c r="R4857" s="0" t="s">
        <v>131</v>
      </c>
      <c r="S4857" s="0" t="s">
        <v>21</v>
      </c>
      <c r="T4857" s="0" t="s">
        <v>104</v>
      </c>
      <c r="W4857" s="0" t="s">
        <v>105</v>
      </c>
    </row>
    <row r="4858" customFormat="false" ht="15" hidden="false" customHeight="false" outlineLevel="0" collapsed="false">
      <c r="A4858" s="0" t="s">
        <v>21</v>
      </c>
      <c r="B4858" s="0" t="s">
        <v>13981</v>
      </c>
      <c r="C4858" s="0" t="s">
        <v>97</v>
      </c>
      <c r="D4858" s="0" t="s">
        <v>13982</v>
      </c>
      <c r="E4858" s="0" t="s">
        <v>13983</v>
      </c>
      <c r="M4858" s="0" t="s">
        <v>136</v>
      </c>
      <c r="N4858" s="0" t="s">
        <v>124</v>
      </c>
      <c r="P4858" s="0" t="s">
        <v>102</v>
      </c>
      <c r="Q4858" s="0" t="s">
        <v>102</v>
      </c>
      <c r="R4858" s="0" t="s">
        <v>113</v>
      </c>
      <c r="S4858" s="0" t="s">
        <v>21</v>
      </c>
      <c r="T4858" s="0" t="s">
        <v>104</v>
      </c>
      <c r="W4858" s="0" t="s">
        <v>105</v>
      </c>
    </row>
    <row r="4859" customFormat="false" ht="15" hidden="false" customHeight="false" outlineLevel="0" collapsed="false">
      <c r="A4859" s="0" t="s">
        <v>21</v>
      </c>
      <c r="B4859" s="0" t="s">
        <v>13984</v>
      </c>
      <c r="C4859" s="0" t="s">
        <v>97</v>
      </c>
      <c r="D4859" s="0" t="s">
        <v>13985</v>
      </c>
      <c r="E4859" s="0" t="s">
        <v>13986</v>
      </c>
      <c r="M4859" s="0" t="s">
        <v>136</v>
      </c>
      <c r="N4859" s="0" t="s">
        <v>124</v>
      </c>
      <c r="P4859" s="0" t="s">
        <v>102</v>
      </c>
      <c r="Q4859" s="0" t="s">
        <v>102</v>
      </c>
      <c r="R4859" s="0" t="s">
        <v>144</v>
      </c>
      <c r="S4859" s="0" t="s">
        <v>21</v>
      </c>
      <c r="T4859" s="0" t="s">
        <v>104</v>
      </c>
      <c r="W4859" s="0" t="s">
        <v>105</v>
      </c>
    </row>
    <row r="4860" customFormat="false" ht="15" hidden="false" customHeight="false" outlineLevel="0" collapsed="false">
      <c r="A4860" s="0" t="s">
        <v>21</v>
      </c>
      <c r="B4860" s="0" t="s">
        <v>13987</v>
      </c>
      <c r="C4860" s="0" t="s">
        <v>97</v>
      </c>
      <c r="D4860" s="0" t="s">
        <v>12988</v>
      </c>
      <c r="E4860" s="0" t="s">
        <v>13988</v>
      </c>
      <c r="M4860" s="0" t="s">
        <v>136</v>
      </c>
      <c r="N4860" s="0" t="s">
        <v>124</v>
      </c>
      <c r="P4860" s="0" t="s">
        <v>102</v>
      </c>
      <c r="Q4860" s="0" t="s">
        <v>102</v>
      </c>
      <c r="R4860" s="0" t="s">
        <v>144</v>
      </c>
      <c r="S4860" s="0" t="s">
        <v>21</v>
      </c>
      <c r="T4860" s="0" t="s">
        <v>104</v>
      </c>
      <c r="W4860" s="0" t="s">
        <v>105</v>
      </c>
    </row>
    <row r="4861" customFormat="false" ht="15" hidden="false" customHeight="false" outlineLevel="0" collapsed="false">
      <c r="A4861" s="0" t="s">
        <v>21</v>
      </c>
      <c r="B4861" s="0" t="s">
        <v>13989</v>
      </c>
      <c r="C4861" s="0" t="s">
        <v>97</v>
      </c>
      <c r="D4861" s="0" t="s">
        <v>8767</v>
      </c>
      <c r="E4861" s="0" t="s">
        <v>13990</v>
      </c>
      <c r="M4861" s="0" t="s">
        <v>136</v>
      </c>
      <c r="N4861" s="0" t="s">
        <v>124</v>
      </c>
      <c r="P4861" s="0" t="s">
        <v>102</v>
      </c>
      <c r="Q4861" s="0" t="s">
        <v>102</v>
      </c>
      <c r="R4861" s="0" t="s">
        <v>113</v>
      </c>
      <c r="S4861" s="0" t="s">
        <v>21</v>
      </c>
      <c r="T4861" s="0" t="s">
        <v>104</v>
      </c>
      <c r="W4861" s="0" t="s">
        <v>105</v>
      </c>
    </row>
    <row r="4862" customFormat="false" ht="15" hidden="false" customHeight="false" outlineLevel="0" collapsed="false">
      <c r="A4862" s="0" t="s">
        <v>21</v>
      </c>
      <c r="B4862" s="0" t="s">
        <v>13991</v>
      </c>
      <c r="C4862" s="0" t="s">
        <v>97</v>
      </c>
      <c r="D4862" s="0" t="s">
        <v>13992</v>
      </c>
      <c r="E4862" s="0" t="s">
        <v>13993</v>
      </c>
      <c r="M4862" s="0" t="s">
        <v>136</v>
      </c>
      <c r="N4862" s="0" t="s">
        <v>124</v>
      </c>
      <c r="P4862" s="0" t="s">
        <v>102</v>
      </c>
      <c r="Q4862" s="0" t="s">
        <v>102</v>
      </c>
      <c r="R4862" s="0" t="s">
        <v>113</v>
      </c>
      <c r="S4862" s="0" t="s">
        <v>21</v>
      </c>
      <c r="T4862" s="0" t="s">
        <v>104</v>
      </c>
      <c r="W4862" s="0" t="s">
        <v>105</v>
      </c>
    </row>
    <row r="4863" customFormat="false" ht="15" hidden="false" customHeight="false" outlineLevel="0" collapsed="false">
      <c r="A4863" s="0" t="s">
        <v>21</v>
      </c>
      <c r="B4863" s="0" t="s">
        <v>13994</v>
      </c>
      <c r="C4863" s="0" t="s">
        <v>97</v>
      </c>
      <c r="D4863" s="0" t="s">
        <v>13995</v>
      </c>
      <c r="E4863" s="0" t="s">
        <v>13996</v>
      </c>
      <c r="M4863" s="0" t="s">
        <v>136</v>
      </c>
      <c r="N4863" s="0" t="s">
        <v>124</v>
      </c>
      <c r="P4863" s="0" t="s">
        <v>102</v>
      </c>
      <c r="Q4863" s="0" t="s">
        <v>102</v>
      </c>
      <c r="R4863" s="0" t="s">
        <v>113</v>
      </c>
      <c r="S4863" s="0" t="s">
        <v>21</v>
      </c>
      <c r="T4863" s="0" t="s">
        <v>104</v>
      </c>
      <c r="W4863" s="0" t="s">
        <v>105</v>
      </c>
    </row>
    <row r="4864" customFormat="false" ht="15" hidden="false" customHeight="false" outlineLevel="0" collapsed="false">
      <c r="A4864" s="0" t="s">
        <v>21</v>
      </c>
      <c r="B4864" s="0" t="s">
        <v>13997</v>
      </c>
      <c r="C4864" s="0" t="s">
        <v>97</v>
      </c>
      <c r="D4864" s="0" t="s">
        <v>13998</v>
      </c>
      <c r="E4864" s="0" t="s">
        <v>13999</v>
      </c>
      <c r="M4864" s="0" t="s">
        <v>136</v>
      </c>
      <c r="N4864" s="0" t="s">
        <v>124</v>
      </c>
      <c r="P4864" s="0" t="s">
        <v>102</v>
      </c>
      <c r="Q4864" s="0" t="s">
        <v>102</v>
      </c>
      <c r="R4864" s="0" t="s">
        <v>131</v>
      </c>
      <c r="S4864" s="0" t="s">
        <v>21</v>
      </c>
      <c r="T4864" s="0" t="s">
        <v>104</v>
      </c>
      <c r="W4864" s="0" t="s">
        <v>105</v>
      </c>
    </row>
    <row r="4865" customFormat="false" ht="15" hidden="false" customHeight="false" outlineLevel="0" collapsed="false">
      <c r="A4865" s="0" t="s">
        <v>21</v>
      </c>
      <c r="B4865" s="0" t="s">
        <v>14000</v>
      </c>
      <c r="C4865" s="0" t="s">
        <v>97</v>
      </c>
      <c r="D4865" s="0" t="s">
        <v>14001</v>
      </c>
      <c r="E4865" s="0" t="s">
        <v>14002</v>
      </c>
      <c r="M4865" s="0" t="s">
        <v>136</v>
      </c>
      <c r="N4865" s="0" t="s">
        <v>124</v>
      </c>
      <c r="P4865" s="0" t="s">
        <v>102</v>
      </c>
      <c r="Q4865" s="0" t="s">
        <v>102</v>
      </c>
      <c r="R4865" s="0" t="s">
        <v>113</v>
      </c>
      <c r="S4865" s="0" t="s">
        <v>21</v>
      </c>
      <c r="T4865" s="0" t="s">
        <v>104</v>
      </c>
      <c r="W4865" s="0" t="s">
        <v>105</v>
      </c>
    </row>
    <row r="4866" customFormat="false" ht="15" hidden="false" customHeight="false" outlineLevel="0" collapsed="false">
      <c r="A4866" s="0" t="s">
        <v>21</v>
      </c>
      <c r="B4866" s="0" t="s">
        <v>14003</v>
      </c>
      <c r="C4866" s="0" t="s">
        <v>97</v>
      </c>
      <c r="D4866" s="0" t="s">
        <v>14004</v>
      </c>
      <c r="E4866" s="0" t="s">
        <v>14005</v>
      </c>
      <c r="M4866" s="0" t="s">
        <v>136</v>
      </c>
      <c r="N4866" s="0" t="s">
        <v>124</v>
      </c>
      <c r="P4866" s="0" t="s">
        <v>102</v>
      </c>
      <c r="Q4866" s="0" t="s">
        <v>102</v>
      </c>
      <c r="R4866" s="0" t="s">
        <v>113</v>
      </c>
      <c r="S4866" s="0" t="s">
        <v>21</v>
      </c>
      <c r="T4866" s="0" t="s">
        <v>104</v>
      </c>
      <c r="W4866" s="0" t="s">
        <v>105</v>
      </c>
    </row>
    <row r="4867" customFormat="false" ht="15" hidden="false" customHeight="false" outlineLevel="0" collapsed="false">
      <c r="A4867" s="0" t="s">
        <v>21</v>
      </c>
      <c r="B4867" s="0" t="s">
        <v>14006</v>
      </c>
      <c r="C4867" s="0" t="s">
        <v>97</v>
      </c>
      <c r="D4867" s="0" t="s">
        <v>14007</v>
      </c>
      <c r="E4867" s="0" t="s">
        <v>14008</v>
      </c>
      <c r="M4867" s="0" t="s">
        <v>136</v>
      </c>
      <c r="N4867" s="0" t="s">
        <v>124</v>
      </c>
      <c r="P4867" s="0" t="s">
        <v>102</v>
      </c>
      <c r="Q4867" s="0" t="s">
        <v>102</v>
      </c>
      <c r="R4867" s="0" t="s">
        <v>113</v>
      </c>
      <c r="S4867" s="0" t="s">
        <v>21</v>
      </c>
      <c r="T4867" s="0" t="s">
        <v>104</v>
      </c>
      <c r="W4867" s="0" t="s">
        <v>105</v>
      </c>
    </row>
    <row r="4868" customFormat="false" ht="15" hidden="false" customHeight="false" outlineLevel="0" collapsed="false">
      <c r="A4868" s="0" t="s">
        <v>21</v>
      </c>
      <c r="B4868" s="0" t="s">
        <v>14009</v>
      </c>
      <c r="C4868" s="0" t="s">
        <v>97</v>
      </c>
      <c r="D4868" s="0" t="s">
        <v>14010</v>
      </c>
      <c r="E4868" s="0" t="s">
        <v>14011</v>
      </c>
      <c r="M4868" s="0" t="s">
        <v>136</v>
      </c>
      <c r="N4868" s="0" t="s">
        <v>124</v>
      </c>
      <c r="P4868" s="0" t="s">
        <v>102</v>
      </c>
      <c r="Q4868" s="0" t="s">
        <v>102</v>
      </c>
      <c r="R4868" s="0" t="s">
        <v>131</v>
      </c>
      <c r="S4868" s="0" t="s">
        <v>21</v>
      </c>
      <c r="T4868" s="0" t="s">
        <v>104</v>
      </c>
      <c r="W4868" s="0" t="s">
        <v>105</v>
      </c>
    </row>
    <row r="4869" customFormat="false" ht="15" hidden="false" customHeight="false" outlineLevel="0" collapsed="false">
      <c r="A4869" s="0" t="s">
        <v>21</v>
      </c>
      <c r="B4869" s="0" t="s">
        <v>14012</v>
      </c>
      <c r="C4869" s="0" t="s">
        <v>97</v>
      </c>
      <c r="D4869" s="0" t="s">
        <v>8652</v>
      </c>
      <c r="E4869" s="0" t="s">
        <v>14013</v>
      </c>
      <c r="M4869" s="0" t="s">
        <v>136</v>
      </c>
      <c r="N4869" s="0" t="s">
        <v>124</v>
      </c>
      <c r="P4869" s="0" t="s">
        <v>102</v>
      </c>
      <c r="Q4869" s="0" t="s">
        <v>102</v>
      </c>
      <c r="R4869" s="0" t="s">
        <v>113</v>
      </c>
      <c r="S4869" s="0" t="s">
        <v>21</v>
      </c>
      <c r="T4869" s="0" t="s">
        <v>104</v>
      </c>
      <c r="W4869" s="0" t="s">
        <v>105</v>
      </c>
    </row>
    <row r="4870" customFormat="false" ht="15" hidden="false" customHeight="false" outlineLevel="0" collapsed="false">
      <c r="A4870" s="0" t="s">
        <v>21</v>
      </c>
      <c r="B4870" s="0" t="s">
        <v>14014</v>
      </c>
      <c r="C4870" s="0" t="s">
        <v>97</v>
      </c>
      <c r="D4870" s="0" t="s">
        <v>14015</v>
      </c>
      <c r="E4870" s="0" t="s">
        <v>14016</v>
      </c>
      <c r="M4870" s="0" t="s">
        <v>136</v>
      </c>
      <c r="N4870" s="0" t="s">
        <v>124</v>
      </c>
      <c r="P4870" s="0" t="s">
        <v>102</v>
      </c>
      <c r="Q4870" s="0" t="s">
        <v>102</v>
      </c>
      <c r="R4870" s="0" t="s">
        <v>113</v>
      </c>
      <c r="S4870" s="0" t="s">
        <v>21</v>
      </c>
      <c r="T4870" s="0" t="s">
        <v>104</v>
      </c>
      <c r="W4870" s="0" t="s">
        <v>105</v>
      </c>
    </row>
    <row r="4871" customFormat="false" ht="15" hidden="false" customHeight="false" outlineLevel="0" collapsed="false">
      <c r="A4871" s="0" t="s">
        <v>21</v>
      </c>
      <c r="B4871" s="0" t="s">
        <v>14017</v>
      </c>
      <c r="C4871" s="0" t="s">
        <v>97</v>
      </c>
      <c r="D4871" s="0" t="s">
        <v>14018</v>
      </c>
      <c r="E4871" s="0" t="s">
        <v>14019</v>
      </c>
      <c r="M4871" s="0" t="s">
        <v>136</v>
      </c>
      <c r="N4871" s="0" t="s">
        <v>124</v>
      </c>
      <c r="P4871" s="0" t="s">
        <v>102</v>
      </c>
      <c r="Q4871" s="0" t="s">
        <v>102</v>
      </c>
      <c r="R4871" s="0" t="s">
        <v>131</v>
      </c>
      <c r="S4871" s="0" t="s">
        <v>21</v>
      </c>
      <c r="T4871" s="0" t="s">
        <v>104</v>
      </c>
      <c r="W4871" s="0" t="s">
        <v>105</v>
      </c>
    </row>
    <row r="4872" customFormat="false" ht="15" hidden="false" customHeight="false" outlineLevel="0" collapsed="false">
      <c r="A4872" s="0" t="s">
        <v>21</v>
      </c>
      <c r="B4872" s="0" t="s">
        <v>14020</v>
      </c>
      <c r="C4872" s="0" t="s">
        <v>97</v>
      </c>
      <c r="D4872" s="0" t="s">
        <v>14021</v>
      </c>
      <c r="E4872" s="0" t="s">
        <v>14021</v>
      </c>
      <c r="M4872" s="0" t="s">
        <v>136</v>
      </c>
      <c r="N4872" s="0" t="s">
        <v>124</v>
      </c>
      <c r="P4872" s="0" t="s">
        <v>102</v>
      </c>
      <c r="Q4872" s="0" t="s">
        <v>102</v>
      </c>
      <c r="R4872" s="0" t="s">
        <v>131</v>
      </c>
      <c r="S4872" s="0" t="s">
        <v>21</v>
      </c>
      <c r="T4872" s="0" t="s">
        <v>104</v>
      </c>
      <c r="W4872" s="0" t="s">
        <v>105</v>
      </c>
    </row>
    <row r="4873" customFormat="false" ht="15" hidden="false" customHeight="false" outlineLevel="0" collapsed="false">
      <c r="A4873" s="0" t="s">
        <v>21</v>
      </c>
      <c r="B4873" s="0" t="s">
        <v>14022</v>
      </c>
      <c r="C4873" s="0" t="s">
        <v>97</v>
      </c>
      <c r="D4873" s="0" t="s">
        <v>14023</v>
      </c>
      <c r="E4873" s="0" t="s">
        <v>14024</v>
      </c>
      <c r="M4873" s="0" t="s">
        <v>136</v>
      </c>
      <c r="N4873" s="0" t="s">
        <v>124</v>
      </c>
      <c r="P4873" s="0" t="s">
        <v>102</v>
      </c>
      <c r="Q4873" s="0" t="s">
        <v>102</v>
      </c>
      <c r="R4873" s="0" t="s">
        <v>131</v>
      </c>
      <c r="S4873" s="0" t="s">
        <v>21</v>
      </c>
      <c r="T4873" s="0" t="s">
        <v>104</v>
      </c>
      <c r="W4873" s="0" t="s">
        <v>105</v>
      </c>
    </row>
    <row r="4874" customFormat="false" ht="15" hidden="false" customHeight="false" outlineLevel="0" collapsed="false">
      <c r="A4874" s="0" t="s">
        <v>21</v>
      </c>
      <c r="B4874" s="0" t="s">
        <v>14025</v>
      </c>
      <c r="C4874" s="0" t="s">
        <v>97</v>
      </c>
      <c r="D4874" s="0" t="s">
        <v>14026</v>
      </c>
      <c r="E4874" s="0" t="s">
        <v>14027</v>
      </c>
      <c r="M4874" s="0" t="s">
        <v>136</v>
      </c>
      <c r="N4874" s="0" t="s">
        <v>124</v>
      </c>
      <c r="P4874" s="0" t="s">
        <v>102</v>
      </c>
      <c r="Q4874" s="0" t="s">
        <v>102</v>
      </c>
      <c r="R4874" s="0" t="s">
        <v>131</v>
      </c>
      <c r="S4874" s="0" t="s">
        <v>21</v>
      </c>
      <c r="T4874" s="0" t="s">
        <v>104</v>
      </c>
      <c r="W4874" s="0" t="s">
        <v>105</v>
      </c>
    </row>
    <row r="4875" customFormat="false" ht="15" hidden="false" customHeight="false" outlineLevel="0" collapsed="false">
      <c r="A4875" s="0" t="s">
        <v>21</v>
      </c>
      <c r="B4875" s="0" t="s">
        <v>14028</v>
      </c>
      <c r="C4875" s="0" t="s">
        <v>97</v>
      </c>
      <c r="D4875" s="0" t="s">
        <v>14029</v>
      </c>
      <c r="E4875" s="0" t="s">
        <v>14030</v>
      </c>
      <c r="M4875" s="0" t="s">
        <v>136</v>
      </c>
      <c r="N4875" s="0" t="s">
        <v>124</v>
      </c>
      <c r="P4875" s="0" t="s">
        <v>102</v>
      </c>
      <c r="Q4875" s="0" t="s">
        <v>102</v>
      </c>
      <c r="R4875" s="0" t="s">
        <v>131</v>
      </c>
      <c r="S4875" s="0" t="s">
        <v>21</v>
      </c>
      <c r="T4875" s="0" t="s">
        <v>104</v>
      </c>
      <c r="W4875" s="0" t="s">
        <v>105</v>
      </c>
    </row>
    <row r="4876" customFormat="false" ht="15" hidden="false" customHeight="false" outlineLevel="0" collapsed="false">
      <c r="A4876" s="0" t="s">
        <v>21</v>
      </c>
      <c r="B4876" s="0" t="s">
        <v>14031</v>
      </c>
      <c r="C4876" s="0" t="s">
        <v>97</v>
      </c>
      <c r="D4876" s="0" t="s">
        <v>14032</v>
      </c>
      <c r="E4876" s="0" t="s">
        <v>14033</v>
      </c>
      <c r="M4876" s="0" t="s">
        <v>136</v>
      </c>
      <c r="N4876" s="0" t="s">
        <v>124</v>
      </c>
      <c r="P4876" s="0" t="s">
        <v>102</v>
      </c>
      <c r="Q4876" s="0" t="s">
        <v>102</v>
      </c>
      <c r="R4876" s="0" t="s">
        <v>131</v>
      </c>
      <c r="S4876" s="0" t="s">
        <v>21</v>
      </c>
      <c r="T4876" s="0" t="s">
        <v>104</v>
      </c>
      <c r="W4876" s="0" t="s">
        <v>105</v>
      </c>
    </row>
    <row r="4877" customFormat="false" ht="15" hidden="false" customHeight="false" outlineLevel="0" collapsed="false">
      <c r="A4877" s="0" t="s">
        <v>21</v>
      </c>
      <c r="B4877" s="0" t="s">
        <v>14034</v>
      </c>
      <c r="C4877" s="0" t="s">
        <v>97</v>
      </c>
      <c r="D4877" s="0" t="s">
        <v>14035</v>
      </c>
      <c r="E4877" s="0" t="s">
        <v>14036</v>
      </c>
      <c r="H4877" s="0" t="s">
        <v>14037</v>
      </c>
      <c r="I4877" s="0" t="s">
        <v>1331</v>
      </c>
      <c r="J4877" s="0" t="s">
        <v>1331</v>
      </c>
      <c r="K4877" s="0" t="s">
        <v>538</v>
      </c>
      <c r="L4877" s="0" t="s">
        <v>101</v>
      </c>
      <c r="M4877" s="0" t="s">
        <v>3751</v>
      </c>
      <c r="N4877" s="0" t="s">
        <v>101</v>
      </c>
      <c r="P4877" s="0" t="s">
        <v>102</v>
      </c>
      <c r="Q4877" s="0" t="s">
        <v>102</v>
      </c>
      <c r="R4877" s="0" t="s">
        <v>113</v>
      </c>
      <c r="S4877" s="0" t="s">
        <v>21</v>
      </c>
      <c r="T4877" s="0" t="s">
        <v>104</v>
      </c>
      <c r="W4877" s="0" t="s">
        <v>105</v>
      </c>
      <c r="X4877" s="0" t="s">
        <v>14038</v>
      </c>
      <c r="Y4877" s="0" t="s">
        <v>14039</v>
      </c>
    </row>
    <row r="4878" customFormat="false" ht="15" hidden="false" customHeight="false" outlineLevel="0" collapsed="false">
      <c r="A4878" s="0" t="s">
        <v>21</v>
      </c>
      <c r="B4878" s="0" t="s">
        <v>14040</v>
      </c>
      <c r="C4878" s="0" t="s">
        <v>771</v>
      </c>
      <c r="D4878" s="0" t="s">
        <v>14041</v>
      </c>
      <c r="M4878" s="0" t="s">
        <v>136</v>
      </c>
      <c r="N4878" s="0" t="s">
        <v>124</v>
      </c>
      <c r="P4878" s="0" t="s">
        <v>102</v>
      </c>
      <c r="Q4878" s="0" t="s">
        <v>102</v>
      </c>
      <c r="R4878" s="0" t="s">
        <v>137</v>
      </c>
      <c r="S4878" s="0" t="s">
        <v>21</v>
      </c>
      <c r="T4878" s="0" t="s">
        <v>104</v>
      </c>
      <c r="W4878" s="0" t="s">
        <v>105</v>
      </c>
    </row>
    <row r="4879" customFormat="false" ht="15" hidden="false" customHeight="false" outlineLevel="0" collapsed="false">
      <c r="A4879" s="0" t="s">
        <v>21</v>
      </c>
      <c r="B4879" s="0" t="s">
        <v>14042</v>
      </c>
      <c r="C4879" s="0" t="s">
        <v>771</v>
      </c>
      <c r="D4879" s="0" t="s">
        <v>14043</v>
      </c>
      <c r="M4879" s="0" t="s">
        <v>136</v>
      </c>
      <c r="N4879" s="0" t="s">
        <v>124</v>
      </c>
      <c r="P4879" s="0" t="s">
        <v>102</v>
      </c>
      <c r="Q4879" s="0" t="s">
        <v>102</v>
      </c>
      <c r="R4879" s="0" t="s">
        <v>137</v>
      </c>
      <c r="S4879" s="0" t="s">
        <v>21</v>
      </c>
      <c r="T4879" s="0" t="s">
        <v>104</v>
      </c>
      <c r="W4879" s="0" t="s">
        <v>105</v>
      </c>
    </row>
    <row r="4880" customFormat="false" ht="15" hidden="false" customHeight="false" outlineLevel="0" collapsed="false">
      <c r="A4880" s="0" t="s">
        <v>21</v>
      </c>
      <c r="B4880" s="0" t="s">
        <v>14044</v>
      </c>
      <c r="C4880" s="0" t="s">
        <v>771</v>
      </c>
      <c r="D4880" s="0" t="s">
        <v>14045</v>
      </c>
      <c r="M4880" s="0" t="s">
        <v>136</v>
      </c>
      <c r="N4880" s="0" t="s">
        <v>124</v>
      </c>
      <c r="P4880" s="0" t="s">
        <v>102</v>
      </c>
      <c r="Q4880" s="0" t="s">
        <v>102</v>
      </c>
      <c r="R4880" s="0" t="s">
        <v>137</v>
      </c>
      <c r="S4880" s="0" t="s">
        <v>21</v>
      </c>
      <c r="T4880" s="0" t="s">
        <v>104</v>
      </c>
      <c r="W4880" s="0" t="s">
        <v>105</v>
      </c>
    </row>
    <row r="4881" customFormat="false" ht="15" hidden="false" customHeight="false" outlineLevel="0" collapsed="false">
      <c r="A4881" s="0" t="s">
        <v>21</v>
      </c>
      <c r="B4881" s="0" t="s">
        <v>14046</v>
      </c>
      <c r="C4881" s="0" t="s">
        <v>771</v>
      </c>
      <c r="D4881" s="0" t="s">
        <v>14047</v>
      </c>
      <c r="M4881" s="0" t="s">
        <v>136</v>
      </c>
      <c r="N4881" s="0" t="s">
        <v>124</v>
      </c>
      <c r="P4881" s="0" t="s">
        <v>102</v>
      </c>
      <c r="Q4881" s="0" t="s">
        <v>102</v>
      </c>
      <c r="R4881" s="0" t="s">
        <v>137</v>
      </c>
      <c r="S4881" s="0" t="s">
        <v>21</v>
      </c>
      <c r="T4881" s="0" t="s">
        <v>104</v>
      </c>
      <c r="W4881" s="0" t="s">
        <v>105</v>
      </c>
    </row>
    <row r="4882" customFormat="false" ht="15" hidden="false" customHeight="false" outlineLevel="0" collapsed="false">
      <c r="A4882" s="0" t="s">
        <v>21</v>
      </c>
      <c r="B4882" s="0" t="s">
        <v>14048</v>
      </c>
      <c r="C4882" s="0" t="s">
        <v>771</v>
      </c>
      <c r="D4882" s="0" t="s">
        <v>14049</v>
      </c>
      <c r="M4882" s="0" t="s">
        <v>136</v>
      </c>
      <c r="N4882" s="0" t="s">
        <v>124</v>
      </c>
      <c r="P4882" s="0" t="s">
        <v>102</v>
      </c>
      <c r="Q4882" s="0" t="s">
        <v>102</v>
      </c>
      <c r="R4882" s="0" t="s">
        <v>137</v>
      </c>
      <c r="S4882" s="0" t="s">
        <v>21</v>
      </c>
      <c r="T4882" s="0" t="s">
        <v>104</v>
      </c>
      <c r="W4882" s="0" t="s">
        <v>105</v>
      </c>
    </row>
    <row r="4883" customFormat="false" ht="15" hidden="false" customHeight="false" outlineLevel="0" collapsed="false">
      <c r="A4883" s="0" t="s">
        <v>21</v>
      </c>
      <c r="B4883" s="0" t="s">
        <v>14050</v>
      </c>
      <c r="C4883" s="0" t="s">
        <v>771</v>
      </c>
      <c r="D4883" s="0" t="s">
        <v>14051</v>
      </c>
      <c r="M4883" s="0" t="s">
        <v>136</v>
      </c>
      <c r="N4883" s="0" t="s">
        <v>124</v>
      </c>
      <c r="P4883" s="0" t="s">
        <v>102</v>
      </c>
      <c r="Q4883" s="0" t="s">
        <v>102</v>
      </c>
      <c r="R4883" s="0" t="s">
        <v>137</v>
      </c>
      <c r="S4883" s="0" t="s">
        <v>21</v>
      </c>
      <c r="T4883" s="0" t="s">
        <v>104</v>
      </c>
      <c r="W4883" s="0" t="s">
        <v>105</v>
      </c>
    </row>
    <row r="4884" customFormat="false" ht="15" hidden="false" customHeight="false" outlineLevel="0" collapsed="false">
      <c r="A4884" s="0" t="s">
        <v>21</v>
      </c>
      <c r="B4884" s="0" t="s">
        <v>14052</v>
      </c>
      <c r="C4884" s="0" t="s">
        <v>771</v>
      </c>
      <c r="D4884" s="0" t="s">
        <v>14053</v>
      </c>
      <c r="M4884" s="0" t="s">
        <v>136</v>
      </c>
      <c r="N4884" s="0" t="s">
        <v>124</v>
      </c>
      <c r="P4884" s="0" t="s">
        <v>102</v>
      </c>
      <c r="Q4884" s="0" t="s">
        <v>102</v>
      </c>
      <c r="R4884" s="0" t="s">
        <v>137</v>
      </c>
      <c r="S4884" s="0" t="s">
        <v>21</v>
      </c>
      <c r="T4884" s="0" t="s">
        <v>104</v>
      </c>
      <c r="W4884" s="0" t="s">
        <v>105</v>
      </c>
    </row>
    <row r="4885" customFormat="false" ht="15" hidden="false" customHeight="false" outlineLevel="0" collapsed="false">
      <c r="A4885" s="0" t="s">
        <v>21</v>
      </c>
      <c r="B4885" s="0" t="s">
        <v>14054</v>
      </c>
      <c r="C4885" s="0" t="s">
        <v>771</v>
      </c>
      <c r="D4885" s="0" t="s">
        <v>14055</v>
      </c>
      <c r="M4885" s="0" t="s">
        <v>136</v>
      </c>
      <c r="N4885" s="0" t="s">
        <v>124</v>
      </c>
      <c r="P4885" s="0" t="s">
        <v>102</v>
      </c>
      <c r="Q4885" s="0" t="s">
        <v>102</v>
      </c>
      <c r="R4885" s="0" t="s">
        <v>137</v>
      </c>
      <c r="S4885" s="0" t="s">
        <v>21</v>
      </c>
      <c r="T4885" s="0" t="s">
        <v>104</v>
      </c>
      <c r="W4885" s="0" t="s">
        <v>105</v>
      </c>
    </row>
    <row r="4886" customFormat="false" ht="15" hidden="false" customHeight="false" outlineLevel="0" collapsed="false">
      <c r="A4886" s="0" t="s">
        <v>21</v>
      </c>
      <c r="B4886" s="0" t="s">
        <v>14056</v>
      </c>
      <c r="C4886" s="0" t="s">
        <v>771</v>
      </c>
      <c r="D4886" s="0" t="s">
        <v>14057</v>
      </c>
      <c r="M4886" s="0" t="s">
        <v>136</v>
      </c>
      <c r="N4886" s="0" t="s">
        <v>124</v>
      </c>
      <c r="P4886" s="0" t="s">
        <v>102</v>
      </c>
      <c r="Q4886" s="0" t="s">
        <v>102</v>
      </c>
      <c r="R4886" s="0" t="s">
        <v>137</v>
      </c>
      <c r="S4886" s="0" t="s">
        <v>21</v>
      </c>
      <c r="T4886" s="0" t="s">
        <v>104</v>
      </c>
      <c r="W4886" s="0" t="s">
        <v>105</v>
      </c>
    </row>
    <row r="4887" customFormat="false" ht="15" hidden="false" customHeight="false" outlineLevel="0" collapsed="false">
      <c r="A4887" s="0" t="s">
        <v>21</v>
      </c>
      <c r="B4887" s="0" t="s">
        <v>14058</v>
      </c>
      <c r="C4887" s="0" t="s">
        <v>771</v>
      </c>
      <c r="D4887" s="0" t="s">
        <v>14059</v>
      </c>
      <c r="M4887" s="0" t="s">
        <v>136</v>
      </c>
      <c r="N4887" s="0" t="s">
        <v>124</v>
      </c>
      <c r="P4887" s="0" t="s">
        <v>102</v>
      </c>
      <c r="Q4887" s="0" t="s">
        <v>102</v>
      </c>
      <c r="R4887" s="0" t="s">
        <v>137</v>
      </c>
      <c r="S4887" s="0" t="s">
        <v>21</v>
      </c>
      <c r="T4887" s="0" t="s">
        <v>104</v>
      </c>
      <c r="W4887" s="0" t="s">
        <v>105</v>
      </c>
    </row>
    <row r="4888" customFormat="false" ht="15" hidden="false" customHeight="false" outlineLevel="0" collapsed="false">
      <c r="A4888" s="0" t="s">
        <v>21</v>
      </c>
      <c r="B4888" s="0" t="s">
        <v>14060</v>
      </c>
      <c r="C4888" s="0" t="s">
        <v>771</v>
      </c>
      <c r="D4888" s="0" t="s">
        <v>14061</v>
      </c>
      <c r="M4888" s="0" t="s">
        <v>136</v>
      </c>
      <c r="N4888" s="0" t="s">
        <v>124</v>
      </c>
      <c r="P4888" s="0" t="s">
        <v>102</v>
      </c>
      <c r="Q4888" s="0" t="s">
        <v>102</v>
      </c>
      <c r="R4888" s="0" t="s">
        <v>137</v>
      </c>
      <c r="S4888" s="0" t="s">
        <v>21</v>
      </c>
      <c r="T4888" s="0" t="s">
        <v>104</v>
      </c>
      <c r="W4888" s="0" t="s">
        <v>105</v>
      </c>
    </row>
    <row r="4889" customFormat="false" ht="15" hidden="false" customHeight="false" outlineLevel="0" collapsed="false">
      <c r="A4889" s="0" t="s">
        <v>21</v>
      </c>
      <c r="B4889" s="0" t="s">
        <v>14062</v>
      </c>
      <c r="C4889" s="0" t="s">
        <v>771</v>
      </c>
      <c r="D4889" s="0" t="s">
        <v>14063</v>
      </c>
      <c r="M4889" s="0" t="s">
        <v>136</v>
      </c>
      <c r="N4889" s="0" t="s">
        <v>124</v>
      </c>
      <c r="P4889" s="0" t="s">
        <v>102</v>
      </c>
      <c r="Q4889" s="0" t="s">
        <v>102</v>
      </c>
      <c r="R4889" s="0" t="s">
        <v>137</v>
      </c>
      <c r="S4889" s="0" t="s">
        <v>21</v>
      </c>
      <c r="T4889" s="0" t="s">
        <v>104</v>
      </c>
      <c r="W4889" s="0" t="s">
        <v>105</v>
      </c>
    </row>
    <row r="4890" customFormat="false" ht="15" hidden="false" customHeight="false" outlineLevel="0" collapsed="false">
      <c r="A4890" s="0" t="s">
        <v>21</v>
      </c>
      <c r="B4890" s="0" t="s">
        <v>14064</v>
      </c>
      <c r="C4890" s="0" t="s">
        <v>771</v>
      </c>
      <c r="D4890" s="0" t="s">
        <v>14065</v>
      </c>
      <c r="M4890" s="0" t="s">
        <v>136</v>
      </c>
      <c r="N4890" s="0" t="s">
        <v>124</v>
      </c>
      <c r="P4890" s="0" t="s">
        <v>102</v>
      </c>
      <c r="Q4890" s="0" t="s">
        <v>102</v>
      </c>
      <c r="R4890" s="0" t="s">
        <v>137</v>
      </c>
      <c r="S4890" s="0" t="s">
        <v>21</v>
      </c>
      <c r="T4890" s="0" t="s">
        <v>104</v>
      </c>
      <c r="W4890" s="0" t="s">
        <v>105</v>
      </c>
    </row>
    <row r="4891" customFormat="false" ht="15" hidden="false" customHeight="false" outlineLevel="0" collapsed="false">
      <c r="A4891" s="0" t="s">
        <v>21</v>
      </c>
      <c r="B4891" s="0" t="s">
        <v>14066</v>
      </c>
      <c r="C4891" s="0" t="s">
        <v>771</v>
      </c>
      <c r="D4891" s="0" t="s">
        <v>14067</v>
      </c>
      <c r="M4891" s="0" t="s">
        <v>136</v>
      </c>
      <c r="N4891" s="0" t="s">
        <v>124</v>
      </c>
      <c r="P4891" s="0" t="s">
        <v>102</v>
      </c>
      <c r="Q4891" s="0" t="s">
        <v>102</v>
      </c>
      <c r="R4891" s="0" t="s">
        <v>137</v>
      </c>
      <c r="S4891" s="0" t="s">
        <v>21</v>
      </c>
      <c r="T4891" s="0" t="s">
        <v>104</v>
      </c>
      <c r="W4891" s="0" t="s">
        <v>105</v>
      </c>
    </row>
    <row r="4892" customFormat="false" ht="15" hidden="false" customHeight="false" outlineLevel="0" collapsed="false">
      <c r="A4892" s="0" t="s">
        <v>21</v>
      </c>
      <c r="B4892" s="0" t="s">
        <v>14068</v>
      </c>
      <c r="C4892" s="0" t="s">
        <v>771</v>
      </c>
      <c r="D4892" s="0" t="s">
        <v>14069</v>
      </c>
      <c r="M4892" s="0" t="s">
        <v>136</v>
      </c>
      <c r="N4892" s="0" t="s">
        <v>124</v>
      </c>
      <c r="P4892" s="0" t="s">
        <v>102</v>
      </c>
      <c r="Q4892" s="0" t="s">
        <v>102</v>
      </c>
      <c r="R4892" s="0" t="s">
        <v>137</v>
      </c>
      <c r="S4892" s="0" t="s">
        <v>21</v>
      </c>
      <c r="T4892" s="0" t="s">
        <v>104</v>
      </c>
      <c r="W4892" s="0" t="s">
        <v>105</v>
      </c>
    </row>
    <row r="4893" customFormat="false" ht="15" hidden="false" customHeight="false" outlineLevel="0" collapsed="false">
      <c r="A4893" s="0" t="s">
        <v>21</v>
      </c>
      <c r="B4893" s="0" t="s">
        <v>14070</v>
      </c>
      <c r="C4893" s="0" t="s">
        <v>771</v>
      </c>
      <c r="D4893" s="0" t="s">
        <v>14071</v>
      </c>
      <c r="M4893" s="0" t="s">
        <v>136</v>
      </c>
      <c r="N4893" s="0" t="s">
        <v>124</v>
      </c>
      <c r="P4893" s="0" t="s">
        <v>102</v>
      </c>
      <c r="Q4893" s="0" t="s">
        <v>102</v>
      </c>
      <c r="R4893" s="0" t="s">
        <v>137</v>
      </c>
      <c r="S4893" s="0" t="s">
        <v>21</v>
      </c>
      <c r="T4893" s="0" t="s">
        <v>104</v>
      </c>
      <c r="W4893" s="0" t="s">
        <v>105</v>
      </c>
    </row>
    <row r="4894" customFormat="false" ht="15" hidden="false" customHeight="false" outlineLevel="0" collapsed="false">
      <c r="A4894" s="0" t="s">
        <v>21</v>
      </c>
      <c r="B4894" s="0" t="s">
        <v>14072</v>
      </c>
      <c r="C4894" s="0" t="s">
        <v>97</v>
      </c>
      <c r="D4894" s="0" t="s">
        <v>14073</v>
      </c>
      <c r="E4894" s="0" t="s">
        <v>14074</v>
      </c>
      <c r="M4894" s="0" t="s">
        <v>136</v>
      </c>
      <c r="N4894" s="0" t="s">
        <v>124</v>
      </c>
      <c r="P4894" s="0" t="s">
        <v>102</v>
      </c>
      <c r="Q4894" s="0" t="s">
        <v>102</v>
      </c>
      <c r="R4894" s="0" t="s">
        <v>131</v>
      </c>
      <c r="S4894" s="0" t="s">
        <v>21</v>
      </c>
      <c r="T4894" s="0" t="s">
        <v>104</v>
      </c>
      <c r="W4894" s="0" t="s">
        <v>105</v>
      </c>
    </row>
    <row r="4895" customFormat="false" ht="15" hidden="false" customHeight="false" outlineLevel="0" collapsed="false">
      <c r="A4895" s="0" t="s">
        <v>21</v>
      </c>
      <c r="B4895" s="0" t="s">
        <v>14075</v>
      </c>
      <c r="C4895" s="0" t="s">
        <v>97</v>
      </c>
      <c r="D4895" s="0" t="s">
        <v>14076</v>
      </c>
      <c r="E4895" s="0" t="s">
        <v>14077</v>
      </c>
      <c r="M4895" s="0" t="s">
        <v>100</v>
      </c>
      <c r="N4895" s="0" t="s">
        <v>101</v>
      </c>
      <c r="P4895" s="0" t="s">
        <v>102</v>
      </c>
      <c r="Q4895" s="0" t="s">
        <v>102</v>
      </c>
      <c r="R4895" s="0" t="s">
        <v>144</v>
      </c>
      <c r="S4895" s="0" t="s">
        <v>21</v>
      </c>
      <c r="T4895" s="0" t="s">
        <v>104</v>
      </c>
      <c r="W4895" s="0" t="s">
        <v>105</v>
      </c>
    </row>
    <row r="4896" customFormat="false" ht="15" hidden="false" customHeight="false" outlineLevel="0" collapsed="false">
      <c r="A4896" s="0" t="s">
        <v>21</v>
      </c>
      <c r="B4896" s="0" t="s">
        <v>14078</v>
      </c>
      <c r="C4896" s="0" t="s">
        <v>4845</v>
      </c>
      <c r="D4896" s="0" t="s">
        <v>14079</v>
      </c>
      <c r="E4896" s="0" t="s">
        <v>14080</v>
      </c>
      <c r="G4896" s="0" t="s">
        <v>14081</v>
      </c>
      <c r="M4896" s="0" t="s">
        <v>511</v>
      </c>
      <c r="N4896" s="0" t="s">
        <v>101</v>
      </c>
      <c r="P4896" s="0" t="s">
        <v>102</v>
      </c>
      <c r="Q4896" s="0" t="s">
        <v>102</v>
      </c>
      <c r="R4896" s="0" t="s">
        <v>113</v>
      </c>
      <c r="S4896" s="0" t="s">
        <v>21</v>
      </c>
      <c r="T4896" s="0" t="s">
        <v>104</v>
      </c>
      <c r="W4896" s="0" t="s">
        <v>105</v>
      </c>
    </row>
    <row r="4897" customFormat="false" ht="15" hidden="false" customHeight="false" outlineLevel="0" collapsed="false">
      <c r="A4897" s="0" t="s">
        <v>21</v>
      </c>
      <c r="B4897" s="0" t="s">
        <v>14082</v>
      </c>
      <c r="C4897" s="0" t="s">
        <v>4845</v>
      </c>
      <c r="D4897" s="0" t="s">
        <v>14083</v>
      </c>
      <c r="E4897" s="0" t="s">
        <v>14084</v>
      </c>
      <c r="G4897" s="0" t="s">
        <v>14085</v>
      </c>
      <c r="M4897" s="0" t="s">
        <v>511</v>
      </c>
      <c r="N4897" s="0" t="s">
        <v>101</v>
      </c>
      <c r="P4897" s="0" t="s">
        <v>102</v>
      </c>
      <c r="Q4897" s="0" t="s">
        <v>102</v>
      </c>
      <c r="R4897" s="0" t="s">
        <v>113</v>
      </c>
      <c r="S4897" s="0" t="s">
        <v>21</v>
      </c>
      <c r="T4897" s="0" t="s">
        <v>104</v>
      </c>
      <c r="W4897" s="0" t="s">
        <v>105</v>
      </c>
    </row>
    <row r="4898" customFormat="false" ht="15" hidden="false" customHeight="false" outlineLevel="0" collapsed="false">
      <c r="A4898" s="0" t="s">
        <v>21</v>
      </c>
      <c r="B4898" s="0" t="s">
        <v>14086</v>
      </c>
      <c r="C4898" s="0" t="s">
        <v>771</v>
      </c>
      <c r="D4898" s="0" t="s">
        <v>153</v>
      </c>
      <c r="E4898" s="0" t="s">
        <v>153</v>
      </c>
      <c r="M4898" s="0" t="s">
        <v>136</v>
      </c>
      <c r="N4898" s="0" t="s">
        <v>124</v>
      </c>
      <c r="P4898" s="0" t="s">
        <v>102</v>
      </c>
      <c r="Q4898" s="0" t="s">
        <v>102</v>
      </c>
      <c r="R4898" s="0" t="s">
        <v>137</v>
      </c>
      <c r="S4898" s="0" t="s">
        <v>21</v>
      </c>
      <c r="T4898" s="0" t="s">
        <v>104</v>
      </c>
      <c r="W4898" s="0" t="s">
        <v>105</v>
      </c>
    </row>
    <row r="4899" customFormat="false" ht="15" hidden="false" customHeight="false" outlineLevel="0" collapsed="false">
      <c r="A4899" s="0" t="s">
        <v>21</v>
      </c>
      <c r="B4899" s="0" t="s">
        <v>14087</v>
      </c>
      <c r="C4899" s="0" t="s">
        <v>97</v>
      </c>
      <c r="M4899" s="0" t="s">
        <v>136</v>
      </c>
      <c r="N4899" s="0" t="s">
        <v>124</v>
      </c>
      <c r="P4899" s="0" t="s">
        <v>14088</v>
      </c>
      <c r="Q4899" s="0" t="s">
        <v>14088</v>
      </c>
      <c r="R4899" s="0" t="s">
        <v>14088</v>
      </c>
      <c r="S4899" s="0" t="s">
        <v>21</v>
      </c>
      <c r="T4899" s="0" t="s">
        <v>104</v>
      </c>
      <c r="W4899" s="0" t="s">
        <v>183</v>
      </c>
    </row>
    <row r="4900" customFormat="false" ht="15" hidden="false" customHeight="false" outlineLevel="0" collapsed="false">
      <c r="A4900" s="0" t="s">
        <v>21</v>
      </c>
      <c r="B4900" s="0" t="s">
        <v>14087</v>
      </c>
      <c r="C4900" s="0" t="s">
        <v>97</v>
      </c>
      <c r="M4900" s="0" t="s">
        <v>136</v>
      </c>
      <c r="N4900" s="0" t="s">
        <v>124</v>
      </c>
      <c r="P4900" s="0" t="s">
        <v>130</v>
      </c>
      <c r="Q4900" s="0" t="s">
        <v>130</v>
      </c>
      <c r="R4900" s="0" t="s">
        <v>137</v>
      </c>
      <c r="S4900" s="0" t="s">
        <v>21</v>
      </c>
      <c r="T4900" s="0" t="s">
        <v>104</v>
      </c>
      <c r="W4900" s="0" t="s">
        <v>105</v>
      </c>
    </row>
    <row r="4901" customFormat="false" ht="15" hidden="false" customHeight="false" outlineLevel="0" collapsed="false">
      <c r="A4901" s="0" t="s">
        <v>21</v>
      </c>
      <c r="B4901" s="0" t="s">
        <v>14089</v>
      </c>
      <c r="C4901" s="0" t="s">
        <v>97</v>
      </c>
      <c r="D4901" s="0" t="s">
        <v>14090</v>
      </c>
      <c r="E4901" s="0" t="s">
        <v>14091</v>
      </c>
      <c r="H4901" s="0" t="s">
        <v>14092</v>
      </c>
      <c r="I4901" s="0" t="s">
        <v>14093</v>
      </c>
      <c r="J4901" s="0" t="s">
        <v>100</v>
      </c>
      <c r="K4901" s="0" t="s">
        <v>14094</v>
      </c>
      <c r="L4901" s="0" t="s">
        <v>101</v>
      </c>
      <c r="M4901" s="0" t="s">
        <v>1519</v>
      </c>
      <c r="N4901" s="0" t="s">
        <v>101</v>
      </c>
      <c r="P4901" s="0" t="s">
        <v>102</v>
      </c>
      <c r="Q4901" s="0" t="s">
        <v>102</v>
      </c>
      <c r="R4901" s="0" t="s">
        <v>113</v>
      </c>
      <c r="S4901" s="0" t="s">
        <v>21</v>
      </c>
      <c r="T4901" s="0" t="s">
        <v>104</v>
      </c>
      <c r="W4901" s="0" t="s">
        <v>105</v>
      </c>
      <c r="X4901" s="0" t="s">
        <v>14095</v>
      </c>
      <c r="Y4901" s="0" t="s">
        <v>14096</v>
      </c>
    </row>
    <row r="4902" customFormat="false" ht="15" hidden="false" customHeight="false" outlineLevel="0" collapsed="false">
      <c r="A4902" s="0" t="s">
        <v>21</v>
      </c>
      <c r="B4902" s="0" t="s">
        <v>14097</v>
      </c>
      <c r="C4902" s="0" t="s">
        <v>97</v>
      </c>
      <c r="D4902" s="0" t="s">
        <v>14098</v>
      </c>
      <c r="E4902" s="0" t="s">
        <v>14099</v>
      </c>
      <c r="M4902" s="0" t="s">
        <v>136</v>
      </c>
      <c r="N4902" s="0" t="s">
        <v>124</v>
      </c>
      <c r="P4902" s="0" t="s">
        <v>102</v>
      </c>
      <c r="Q4902" s="0" t="s">
        <v>102</v>
      </c>
      <c r="R4902" s="0" t="s">
        <v>144</v>
      </c>
      <c r="S4902" s="0" t="s">
        <v>21</v>
      </c>
      <c r="T4902" s="0" t="s">
        <v>104</v>
      </c>
      <c r="W4902" s="0" t="s">
        <v>105</v>
      </c>
    </row>
    <row r="4903" customFormat="false" ht="15" hidden="false" customHeight="false" outlineLevel="0" collapsed="false">
      <c r="A4903" s="0" t="s">
        <v>21</v>
      </c>
      <c r="B4903" s="0" t="s">
        <v>14100</v>
      </c>
      <c r="C4903" s="0" t="s">
        <v>97</v>
      </c>
      <c r="D4903" s="0" t="s">
        <v>11048</v>
      </c>
      <c r="E4903" s="0" t="s">
        <v>11048</v>
      </c>
      <c r="M4903" s="0" t="s">
        <v>124</v>
      </c>
      <c r="N4903" s="0" t="s">
        <v>124</v>
      </c>
      <c r="P4903" s="0" t="s">
        <v>102</v>
      </c>
      <c r="Q4903" s="0" t="s">
        <v>102</v>
      </c>
      <c r="R4903" s="0" t="s">
        <v>131</v>
      </c>
      <c r="S4903" s="0" t="s">
        <v>21</v>
      </c>
      <c r="T4903" s="0" t="s">
        <v>104</v>
      </c>
      <c r="W4903" s="0" t="s">
        <v>105</v>
      </c>
    </row>
    <row r="4904" customFormat="false" ht="15" hidden="false" customHeight="false" outlineLevel="0" collapsed="false">
      <c r="A4904" s="0" t="s">
        <v>21</v>
      </c>
      <c r="B4904" s="0" t="s">
        <v>14101</v>
      </c>
      <c r="C4904" s="0" t="s">
        <v>97</v>
      </c>
      <c r="D4904" s="0" t="s">
        <v>14102</v>
      </c>
      <c r="E4904" s="0" t="s">
        <v>14103</v>
      </c>
      <c r="M4904" s="0" t="s">
        <v>656</v>
      </c>
      <c r="N4904" s="0" t="s">
        <v>101</v>
      </c>
      <c r="P4904" s="0" t="s">
        <v>102</v>
      </c>
      <c r="Q4904" s="0" t="s">
        <v>102</v>
      </c>
      <c r="R4904" s="0" t="s">
        <v>113</v>
      </c>
      <c r="S4904" s="0" t="s">
        <v>21</v>
      </c>
      <c r="T4904" s="0" t="s">
        <v>104</v>
      </c>
      <c r="W4904" s="0" t="s">
        <v>105</v>
      </c>
    </row>
    <row r="4905" customFormat="false" ht="15" hidden="false" customHeight="false" outlineLevel="0" collapsed="false">
      <c r="A4905" s="0" t="s">
        <v>21</v>
      </c>
      <c r="B4905" s="0" t="s">
        <v>14104</v>
      </c>
      <c r="C4905" s="0" t="s">
        <v>97</v>
      </c>
      <c r="D4905" s="0" t="s">
        <v>14105</v>
      </c>
      <c r="E4905" s="0" t="s">
        <v>14106</v>
      </c>
      <c r="M4905" s="0" t="s">
        <v>656</v>
      </c>
      <c r="N4905" s="0" t="s">
        <v>101</v>
      </c>
      <c r="P4905" s="0" t="s">
        <v>102</v>
      </c>
      <c r="Q4905" s="0" t="s">
        <v>102</v>
      </c>
      <c r="R4905" s="0" t="s">
        <v>113</v>
      </c>
      <c r="S4905" s="0" t="s">
        <v>21</v>
      </c>
      <c r="T4905" s="0" t="s">
        <v>104</v>
      </c>
      <c r="W4905" s="0" t="s">
        <v>105</v>
      </c>
    </row>
    <row r="4906" customFormat="false" ht="15" hidden="false" customHeight="false" outlineLevel="0" collapsed="false">
      <c r="A4906" s="0" t="s">
        <v>21</v>
      </c>
      <c r="B4906" s="0" t="s">
        <v>14107</v>
      </c>
      <c r="C4906" s="0" t="s">
        <v>97</v>
      </c>
      <c r="D4906" s="0" t="s">
        <v>14108</v>
      </c>
      <c r="E4906" s="0" t="s">
        <v>14109</v>
      </c>
      <c r="M4906" s="0" t="s">
        <v>136</v>
      </c>
      <c r="N4906" s="0" t="s">
        <v>124</v>
      </c>
      <c r="P4906" s="0" t="s">
        <v>102</v>
      </c>
      <c r="Q4906" s="0" t="s">
        <v>102</v>
      </c>
      <c r="R4906" s="0" t="s">
        <v>131</v>
      </c>
      <c r="S4906" s="0" t="s">
        <v>21</v>
      </c>
      <c r="T4906" s="0" t="s">
        <v>104</v>
      </c>
      <c r="W4906" s="0" t="s">
        <v>105</v>
      </c>
    </row>
    <row r="4907" customFormat="false" ht="15" hidden="false" customHeight="false" outlineLevel="0" collapsed="false">
      <c r="A4907" s="0" t="s">
        <v>21</v>
      </c>
      <c r="B4907" s="0" t="s">
        <v>14110</v>
      </c>
      <c r="C4907" s="0" t="s">
        <v>97</v>
      </c>
      <c r="D4907" s="0" t="s">
        <v>14111</v>
      </c>
      <c r="E4907" s="0" t="s">
        <v>14112</v>
      </c>
      <c r="H4907" s="0" t="s">
        <v>654</v>
      </c>
      <c r="I4907" s="0" t="s">
        <v>655</v>
      </c>
      <c r="J4907" s="0" t="s">
        <v>100</v>
      </c>
      <c r="K4907" s="0" t="s">
        <v>168</v>
      </c>
      <c r="L4907" s="0" t="s">
        <v>101</v>
      </c>
      <c r="M4907" s="0" t="s">
        <v>656</v>
      </c>
      <c r="N4907" s="0" t="s">
        <v>101</v>
      </c>
      <c r="P4907" s="0" t="s">
        <v>102</v>
      </c>
      <c r="Q4907" s="0" t="s">
        <v>102</v>
      </c>
      <c r="R4907" s="0" t="s">
        <v>113</v>
      </c>
      <c r="S4907" s="0" t="s">
        <v>21</v>
      </c>
      <c r="T4907" s="0" t="s">
        <v>104</v>
      </c>
      <c r="W4907" s="0" t="s">
        <v>105</v>
      </c>
      <c r="X4907" s="0" t="s">
        <v>658</v>
      </c>
      <c r="Y4907" s="0" t="s">
        <v>659</v>
      </c>
    </row>
    <row r="4908" customFormat="false" ht="15" hidden="false" customHeight="false" outlineLevel="0" collapsed="false">
      <c r="A4908" s="0" t="s">
        <v>21</v>
      </c>
      <c r="B4908" s="0" t="s">
        <v>14113</v>
      </c>
      <c r="C4908" s="0" t="s">
        <v>97</v>
      </c>
      <c r="D4908" s="0" t="s">
        <v>14114</v>
      </c>
      <c r="E4908" s="0" t="s">
        <v>14115</v>
      </c>
      <c r="M4908" s="0" t="s">
        <v>136</v>
      </c>
      <c r="N4908" s="0" t="s">
        <v>124</v>
      </c>
      <c r="P4908" s="0" t="s">
        <v>102</v>
      </c>
      <c r="Q4908" s="0" t="s">
        <v>102</v>
      </c>
      <c r="R4908" s="0" t="s">
        <v>144</v>
      </c>
      <c r="S4908" s="0" t="s">
        <v>21</v>
      </c>
      <c r="T4908" s="0" t="s">
        <v>104</v>
      </c>
      <c r="W4908" s="0" t="s">
        <v>105</v>
      </c>
    </row>
    <row r="4909" customFormat="false" ht="15" hidden="false" customHeight="false" outlineLevel="0" collapsed="false">
      <c r="A4909" s="0" t="s">
        <v>21</v>
      </c>
      <c r="B4909" s="0" t="s">
        <v>14116</v>
      </c>
      <c r="C4909" s="0" t="s">
        <v>97</v>
      </c>
      <c r="D4909" s="0" t="s">
        <v>14117</v>
      </c>
      <c r="E4909" s="0" t="s">
        <v>14118</v>
      </c>
      <c r="M4909" s="0" t="s">
        <v>136</v>
      </c>
      <c r="N4909" s="0" t="s">
        <v>124</v>
      </c>
      <c r="P4909" s="0" t="s">
        <v>102</v>
      </c>
      <c r="Q4909" s="0" t="s">
        <v>102</v>
      </c>
      <c r="R4909" s="0" t="s">
        <v>131</v>
      </c>
      <c r="S4909" s="0" t="s">
        <v>21</v>
      </c>
      <c r="T4909" s="0" t="s">
        <v>104</v>
      </c>
      <c r="W4909" s="0" t="s">
        <v>105</v>
      </c>
    </row>
    <row r="4910" customFormat="false" ht="15" hidden="false" customHeight="false" outlineLevel="0" collapsed="false">
      <c r="A4910" s="0" t="s">
        <v>21</v>
      </c>
      <c r="B4910" s="0" t="s">
        <v>14119</v>
      </c>
      <c r="C4910" s="0" t="s">
        <v>97</v>
      </c>
      <c r="D4910" s="0" t="s">
        <v>14120</v>
      </c>
      <c r="E4910" s="0" t="s">
        <v>14121</v>
      </c>
      <c r="M4910" s="0" t="s">
        <v>136</v>
      </c>
      <c r="N4910" s="0" t="s">
        <v>124</v>
      </c>
      <c r="P4910" s="0" t="s">
        <v>102</v>
      </c>
      <c r="Q4910" s="0" t="s">
        <v>102</v>
      </c>
      <c r="R4910" s="0" t="s">
        <v>131</v>
      </c>
      <c r="S4910" s="0" t="s">
        <v>21</v>
      </c>
      <c r="T4910" s="0" t="s">
        <v>104</v>
      </c>
      <c r="W4910" s="0" t="s">
        <v>105</v>
      </c>
    </row>
    <row r="4911" customFormat="false" ht="15" hidden="false" customHeight="false" outlineLevel="0" collapsed="false">
      <c r="A4911" s="0" t="s">
        <v>21</v>
      </c>
      <c r="B4911" s="0" t="s">
        <v>14122</v>
      </c>
      <c r="C4911" s="0" t="s">
        <v>97</v>
      </c>
      <c r="D4911" s="0" t="s">
        <v>14123</v>
      </c>
      <c r="E4911" s="0" t="s">
        <v>14124</v>
      </c>
      <c r="M4911" s="0" t="s">
        <v>136</v>
      </c>
      <c r="N4911" s="0" t="s">
        <v>124</v>
      </c>
      <c r="P4911" s="0" t="s">
        <v>102</v>
      </c>
      <c r="Q4911" s="0" t="s">
        <v>102</v>
      </c>
      <c r="R4911" s="0" t="s">
        <v>131</v>
      </c>
      <c r="S4911" s="0" t="s">
        <v>21</v>
      </c>
      <c r="T4911" s="0" t="s">
        <v>104</v>
      </c>
      <c r="W4911" s="0" t="s">
        <v>105</v>
      </c>
    </row>
    <row r="4912" customFormat="false" ht="15" hidden="false" customHeight="false" outlineLevel="0" collapsed="false">
      <c r="A4912" s="0" t="s">
        <v>21</v>
      </c>
      <c r="B4912" s="0" t="s">
        <v>14125</v>
      </c>
      <c r="C4912" s="0" t="s">
        <v>661</v>
      </c>
      <c r="D4912" s="0" t="s">
        <v>14126</v>
      </c>
      <c r="E4912" s="0" t="s">
        <v>14127</v>
      </c>
      <c r="F4912" s="0" t="s">
        <v>14128</v>
      </c>
      <c r="H4912" s="0" t="s">
        <v>14129</v>
      </c>
      <c r="I4912" s="0" t="s">
        <v>14130</v>
      </c>
      <c r="J4912" s="0" t="s">
        <v>254</v>
      </c>
      <c r="K4912" s="0" t="s">
        <v>14131</v>
      </c>
      <c r="L4912" s="0" t="s">
        <v>124</v>
      </c>
      <c r="M4912" s="0" t="s">
        <v>208</v>
      </c>
      <c r="N4912" s="0" t="s">
        <v>124</v>
      </c>
      <c r="P4912" s="0" t="s">
        <v>130</v>
      </c>
      <c r="Q4912" s="0" t="s">
        <v>130</v>
      </c>
      <c r="R4912" s="0" t="s">
        <v>131</v>
      </c>
      <c r="S4912" s="0" t="s">
        <v>21</v>
      </c>
      <c r="T4912" s="0" t="s">
        <v>104</v>
      </c>
      <c r="W4912" s="0" t="s">
        <v>105</v>
      </c>
      <c r="X4912" s="0" t="s">
        <v>14132</v>
      </c>
      <c r="Y4912" s="0" t="s">
        <v>14133</v>
      </c>
      <c r="Z4912" s="0" t="s">
        <v>134</v>
      </c>
    </row>
    <row r="4913" customFormat="false" ht="15" hidden="false" customHeight="false" outlineLevel="0" collapsed="false">
      <c r="A4913" s="0" t="s">
        <v>21</v>
      </c>
      <c r="B4913" s="0" t="s">
        <v>14134</v>
      </c>
      <c r="C4913" s="0" t="s">
        <v>14135</v>
      </c>
      <c r="D4913" s="0" t="s">
        <v>14136</v>
      </c>
      <c r="E4913" s="0" t="s">
        <v>14137</v>
      </c>
      <c r="F4913" s="0" t="s">
        <v>14137</v>
      </c>
      <c r="H4913" s="0" t="s">
        <v>14138</v>
      </c>
      <c r="I4913" s="0" t="s">
        <v>4268</v>
      </c>
      <c r="J4913" s="0" t="s">
        <v>254</v>
      </c>
      <c r="K4913" s="0" t="s">
        <v>14139</v>
      </c>
      <c r="L4913" s="0" t="s">
        <v>124</v>
      </c>
      <c r="M4913" s="0" t="s">
        <v>208</v>
      </c>
      <c r="N4913" s="0" t="s">
        <v>124</v>
      </c>
      <c r="P4913" s="0" t="s">
        <v>130</v>
      </c>
      <c r="Q4913" s="0" t="s">
        <v>130</v>
      </c>
      <c r="R4913" s="0" t="s">
        <v>131</v>
      </c>
      <c r="S4913" s="0" t="s">
        <v>21</v>
      </c>
      <c r="T4913" s="0" t="s">
        <v>104</v>
      </c>
      <c r="W4913" s="0" t="s">
        <v>105</v>
      </c>
      <c r="X4913" s="0" t="s">
        <v>14140</v>
      </c>
      <c r="Y4913" s="0" t="s">
        <v>14141</v>
      </c>
      <c r="Z4913" s="0" t="s">
        <v>134</v>
      </c>
    </row>
    <row r="4914" customFormat="false" ht="41.75" hidden="false" customHeight="false" outlineLevel="0" collapsed="false">
      <c r="A4914" s="0" t="s">
        <v>21</v>
      </c>
      <c r="B4914" s="0" t="s">
        <v>14142</v>
      </c>
      <c r="C4914" s="0" t="s">
        <v>2145</v>
      </c>
      <c r="D4914" s="0" t="s">
        <v>14143</v>
      </c>
      <c r="E4914" s="0" t="s">
        <v>14144</v>
      </c>
      <c r="G4914" s="9" t="s">
        <v>14145</v>
      </c>
      <c r="M4914" s="0" t="s">
        <v>421</v>
      </c>
      <c r="N4914" s="0" t="s">
        <v>101</v>
      </c>
      <c r="P4914" s="0" t="s">
        <v>102</v>
      </c>
      <c r="Q4914" s="0" t="s">
        <v>102</v>
      </c>
      <c r="R4914" s="0" t="s">
        <v>113</v>
      </c>
      <c r="S4914" s="0" t="s">
        <v>21</v>
      </c>
      <c r="T4914" s="0" t="s">
        <v>104</v>
      </c>
      <c r="W4914" s="0" t="s">
        <v>105</v>
      </c>
    </row>
    <row r="4915" customFormat="false" ht="28.35" hidden="false" customHeight="false" outlineLevel="0" collapsed="false">
      <c r="A4915" s="0" t="s">
        <v>21</v>
      </c>
      <c r="B4915" s="0" t="s">
        <v>14146</v>
      </c>
      <c r="C4915" s="0" t="s">
        <v>2145</v>
      </c>
      <c r="D4915" s="0" t="s">
        <v>14147</v>
      </c>
      <c r="E4915" s="0" t="s">
        <v>14148</v>
      </c>
      <c r="G4915" s="9" t="s">
        <v>14149</v>
      </c>
      <c r="M4915" s="0" t="s">
        <v>420</v>
      </c>
      <c r="N4915" s="0" t="s">
        <v>101</v>
      </c>
      <c r="P4915" s="0" t="s">
        <v>102</v>
      </c>
      <c r="Q4915" s="0" t="s">
        <v>102</v>
      </c>
      <c r="R4915" s="0" t="s">
        <v>113</v>
      </c>
      <c r="S4915" s="0" t="s">
        <v>21</v>
      </c>
      <c r="T4915" s="0" t="s">
        <v>104</v>
      </c>
      <c r="W4915" s="0" t="s">
        <v>105</v>
      </c>
    </row>
    <row r="4916" customFormat="false" ht="68.65" hidden="false" customHeight="false" outlineLevel="0" collapsed="false">
      <c r="A4916" s="0" t="s">
        <v>21</v>
      </c>
      <c r="B4916" s="0" t="s">
        <v>14150</v>
      </c>
      <c r="C4916" s="0" t="s">
        <v>97</v>
      </c>
      <c r="D4916" s="0" t="s">
        <v>4934</v>
      </c>
      <c r="E4916" s="0" t="s">
        <v>14151</v>
      </c>
      <c r="G4916" s="9" t="s">
        <v>14152</v>
      </c>
      <c r="M4916" s="0" t="s">
        <v>100</v>
      </c>
      <c r="N4916" s="0" t="s">
        <v>101</v>
      </c>
      <c r="P4916" s="0" t="s">
        <v>102</v>
      </c>
      <c r="Q4916" s="0" t="s">
        <v>102</v>
      </c>
      <c r="R4916" s="0" t="s">
        <v>113</v>
      </c>
      <c r="S4916" s="0" t="s">
        <v>21</v>
      </c>
      <c r="T4916" s="0" t="s">
        <v>104</v>
      </c>
      <c r="W4916" s="0" t="s">
        <v>105</v>
      </c>
    </row>
    <row r="4917" customFormat="false" ht="28.35" hidden="false" customHeight="false" outlineLevel="0" collapsed="false">
      <c r="A4917" s="0" t="s">
        <v>21</v>
      </c>
      <c r="B4917" s="0" t="s">
        <v>14153</v>
      </c>
      <c r="C4917" s="0" t="s">
        <v>2145</v>
      </c>
      <c r="D4917" s="0" t="s">
        <v>14154</v>
      </c>
      <c r="E4917" s="0" t="s">
        <v>14155</v>
      </c>
      <c r="G4917" s="9" t="s">
        <v>14156</v>
      </c>
      <c r="M4917" s="0" t="s">
        <v>421</v>
      </c>
      <c r="N4917" s="0" t="s">
        <v>101</v>
      </c>
      <c r="P4917" s="0" t="s">
        <v>102</v>
      </c>
      <c r="Q4917" s="0" t="s">
        <v>102</v>
      </c>
      <c r="R4917" s="0" t="s">
        <v>113</v>
      </c>
      <c r="S4917" s="0" t="s">
        <v>21</v>
      </c>
      <c r="T4917" s="0" t="s">
        <v>104</v>
      </c>
      <c r="W4917" s="0" t="s">
        <v>105</v>
      </c>
    </row>
    <row r="4918" customFormat="false" ht="15" hidden="false" customHeight="false" outlineLevel="0" collapsed="false">
      <c r="A4918" s="0" t="s">
        <v>21</v>
      </c>
      <c r="B4918" s="0" t="s">
        <v>14157</v>
      </c>
      <c r="C4918" s="0" t="s">
        <v>97</v>
      </c>
      <c r="D4918" s="0" t="s">
        <v>14158</v>
      </c>
      <c r="E4918" s="0" t="s">
        <v>14159</v>
      </c>
      <c r="F4918" s="0" t="s">
        <v>14159</v>
      </c>
      <c r="M4918" s="0" t="s">
        <v>448</v>
      </c>
      <c r="N4918" s="0" t="s">
        <v>101</v>
      </c>
      <c r="P4918" s="0" t="s">
        <v>102</v>
      </c>
      <c r="Q4918" s="0" t="s">
        <v>102</v>
      </c>
      <c r="R4918" s="0" t="s">
        <v>113</v>
      </c>
      <c r="S4918" s="0" t="s">
        <v>21</v>
      </c>
      <c r="T4918" s="0" t="s">
        <v>104</v>
      </c>
      <c r="W4918" s="0" t="s">
        <v>105</v>
      </c>
    </row>
    <row r="4919" customFormat="false" ht="15" hidden="false" customHeight="false" outlineLevel="0" collapsed="false">
      <c r="A4919" s="0" t="s">
        <v>21</v>
      </c>
      <c r="B4919" s="0" t="s">
        <v>14160</v>
      </c>
      <c r="C4919" s="0" t="s">
        <v>4845</v>
      </c>
      <c r="D4919" s="0" t="s">
        <v>14161</v>
      </c>
      <c r="E4919" s="0" t="s">
        <v>14162</v>
      </c>
      <c r="G4919" s="0" t="s">
        <v>14163</v>
      </c>
      <c r="H4919" s="0" t="s">
        <v>654</v>
      </c>
      <c r="I4919" s="0" t="s">
        <v>655</v>
      </c>
      <c r="J4919" s="0" t="s">
        <v>100</v>
      </c>
      <c r="K4919" s="0" t="s">
        <v>168</v>
      </c>
      <c r="L4919" s="0" t="s">
        <v>101</v>
      </c>
      <c r="M4919" s="0" t="s">
        <v>656</v>
      </c>
      <c r="N4919" s="0" t="s">
        <v>101</v>
      </c>
      <c r="P4919" s="0" t="s">
        <v>102</v>
      </c>
      <c r="Q4919" s="0" t="s">
        <v>102</v>
      </c>
      <c r="R4919" s="0" t="s">
        <v>113</v>
      </c>
      <c r="S4919" s="0" t="s">
        <v>21</v>
      </c>
      <c r="T4919" s="0" t="s">
        <v>104</v>
      </c>
      <c r="W4919" s="0" t="s">
        <v>105</v>
      </c>
      <c r="X4919" s="0" t="s">
        <v>658</v>
      </c>
      <c r="Y4919" s="0" t="s">
        <v>659</v>
      </c>
    </row>
    <row r="4920" customFormat="false" ht="15" hidden="false" customHeight="false" outlineLevel="0" collapsed="false">
      <c r="A4920" s="0" t="s">
        <v>21</v>
      </c>
      <c r="B4920" s="0" t="s">
        <v>14164</v>
      </c>
      <c r="C4920" s="0" t="s">
        <v>4845</v>
      </c>
      <c r="D4920" s="0" t="s">
        <v>14165</v>
      </c>
      <c r="E4920" s="0" t="s">
        <v>14166</v>
      </c>
      <c r="G4920" s="0" t="s">
        <v>14167</v>
      </c>
      <c r="M4920" s="0" t="s">
        <v>656</v>
      </c>
      <c r="N4920" s="0" t="s">
        <v>101</v>
      </c>
      <c r="P4920" s="0" t="s">
        <v>102</v>
      </c>
      <c r="Q4920" s="0" t="s">
        <v>102</v>
      </c>
      <c r="R4920" s="0" t="s">
        <v>113</v>
      </c>
      <c r="S4920" s="0" t="s">
        <v>21</v>
      </c>
      <c r="T4920" s="0" t="s">
        <v>104</v>
      </c>
      <c r="W4920" s="0" t="s">
        <v>105</v>
      </c>
    </row>
    <row r="4921" customFormat="false" ht="15" hidden="false" customHeight="false" outlineLevel="0" collapsed="false">
      <c r="A4921" s="0" t="s">
        <v>21</v>
      </c>
      <c r="B4921" s="0" t="s">
        <v>14168</v>
      </c>
      <c r="C4921" s="0" t="s">
        <v>97</v>
      </c>
      <c r="D4921" s="0" t="s">
        <v>14169</v>
      </c>
      <c r="E4921" s="0" t="s">
        <v>14170</v>
      </c>
      <c r="H4921" s="0" t="s">
        <v>14171</v>
      </c>
      <c r="I4921" s="0" t="s">
        <v>14172</v>
      </c>
      <c r="J4921" s="0" t="s">
        <v>412</v>
      </c>
      <c r="K4921" s="0" t="s">
        <v>986</v>
      </c>
      <c r="L4921" s="0" t="s">
        <v>101</v>
      </c>
      <c r="M4921" s="0" t="s">
        <v>14173</v>
      </c>
      <c r="N4921" s="0" t="s">
        <v>101</v>
      </c>
      <c r="P4921" s="0" t="s">
        <v>102</v>
      </c>
      <c r="Q4921" s="0" t="s">
        <v>102</v>
      </c>
      <c r="R4921" s="0" t="s">
        <v>113</v>
      </c>
      <c r="S4921" s="0" t="s">
        <v>21</v>
      </c>
      <c r="T4921" s="0" t="s">
        <v>104</v>
      </c>
      <c r="W4921" s="0" t="s">
        <v>105</v>
      </c>
      <c r="X4921" s="0" t="s">
        <v>14174</v>
      </c>
      <c r="Y4921" s="0" t="s">
        <v>14175</v>
      </c>
    </row>
    <row r="4922" customFormat="false" ht="15" hidden="false" customHeight="false" outlineLevel="0" collapsed="false">
      <c r="A4922" s="0" t="s">
        <v>21</v>
      </c>
      <c r="B4922" s="0" t="s">
        <v>14176</v>
      </c>
      <c r="C4922" s="0" t="s">
        <v>97</v>
      </c>
      <c r="D4922" s="0" t="s">
        <v>14177</v>
      </c>
      <c r="E4922" s="0" t="s">
        <v>14178</v>
      </c>
      <c r="G4922" s="0" t="s">
        <v>14179</v>
      </c>
      <c r="H4922" s="0" t="s">
        <v>14180</v>
      </c>
      <c r="I4922" s="0" t="s">
        <v>14181</v>
      </c>
      <c r="J4922" s="0" t="s">
        <v>437</v>
      </c>
      <c r="K4922" s="0" t="s">
        <v>1639</v>
      </c>
      <c r="L4922" s="0" t="s">
        <v>101</v>
      </c>
      <c r="M4922" s="0" t="s">
        <v>437</v>
      </c>
      <c r="N4922" s="0" t="s">
        <v>101</v>
      </c>
      <c r="P4922" s="0" t="s">
        <v>102</v>
      </c>
      <c r="Q4922" s="0" t="s">
        <v>102</v>
      </c>
      <c r="R4922" s="0" t="s">
        <v>131</v>
      </c>
      <c r="S4922" s="0" t="s">
        <v>21</v>
      </c>
      <c r="T4922" s="0" t="s">
        <v>104</v>
      </c>
      <c r="W4922" s="0" t="s">
        <v>105</v>
      </c>
      <c r="X4922" s="0" t="s">
        <v>14182</v>
      </c>
      <c r="Y4922" s="0" t="s">
        <v>14183</v>
      </c>
    </row>
    <row r="4923" customFormat="false" ht="15" hidden="false" customHeight="false" outlineLevel="0" collapsed="false">
      <c r="A4923" s="0" t="s">
        <v>21</v>
      </c>
      <c r="B4923" s="0" t="s">
        <v>14184</v>
      </c>
      <c r="C4923" s="0" t="s">
        <v>4280</v>
      </c>
      <c r="D4923" s="0" t="s">
        <v>14185</v>
      </c>
      <c r="E4923" s="0" t="s">
        <v>14186</v>
      </c>
      <c r="M4923" s="0" t="s">
        <v>4913</v>
      </c>
      <c r="N4923" s="0" t="s">
        <v>101</v>
      </c>
      <c r="P4923" s="0" t="s">
        <v>102</v>
      </c>
      <c r="Q4923" s="0" t="s">
        <v>102</v>
      </c>
      <c r="R4923" s="0" t="s">
        <v>113</v>
      </c>
      <c r="S4923" s="0" t="s">
        <v>21</v>
      </c>
      <c r="T4923" s="0" t="s">
        <v>104</v>
      </c>
      <c r="W4923" s="0" t="s">
        <v>105</v>
      </c>
    </row>
    <row r="4924" customFormat="false" ht="15" hidden="false" customHeight="false" outlineLevel="0" collapsed="false">
      <c r="A4924" s="0" t="s">
        <v>21</v>
      </c>
      <c r="B4924" s="0" t="s">
        <v>14187</v>
      </c>
      <c r="C4924" s="0" t="s">
        <v>7098</v>
      </c>
      <c r="D4924" s="0" t="s">
        <v>14188</v>
      </c>
      <c r="E4924" s="0" t="s">
        <v>14189</v>
      </c>
      <c r="G4924" s="0" t="s">
        <v>14190</v>
      </c>
      <c r="H4924" s="0" t="s">
        <v>14191</v>
      </c>
      <c r="I4924" s="0" t="s">
        <v>2503</v>
      </c>
      <c r="J4924" s="0" t="s">
        <v>220</v>
      </c>
      <c r="M4924" s="0" t="s">
        <v>220</v>
      </c>
      <c r="N4924" s="0" t="s">
        <v>124</v>
      </c>
      <c r="P4924" s="0" t="s">
        <v>102</v>
      </c>
      <c r="Q4924" s="0" t="s">
        <v>102</v>
      </c>
      <c r="R4924" s="0" t="s">
        <v>137</v>
      </c>
      <c r="S4924" s="0" t="s">
        <v>21</v>
      </c>
      <c r="T4924" s="0" t="s">
        <v>104</v>
      </c>
      <c r="W4924" s="0" t="s">
        <v>105</v>
      </c>
    </row>
    <row r="4925" customFormat="false" ht="15" hidden="false" customHeight="false" outlineLevel="0" collapsed="false">
      <c r="A4925" s="0" t="s">
        <v>21</v>
      </c>
      <c r="B4925" s="0" t="s">
        <v>14192</v>
      </c>
      <c r="C4925" s="0" t="s">
        <v>97</v>
      </c>
      <c r="D4925" s="0" t="s">
        <v>14193</v>
      </c>
      <c r="E4925" s="0" t="s">
        <v>14194</v>
      </c>
      <c r="M4925" s="0" t="s">
        <v>136</v>
      </c>
      <c r="N4925" s="0" t="s">
        <v>124</v>
      </c>
      <c r="P4925" s="0" t="s">
        <v>102</v>
      </c>
      <c r="Q4925" s="0" t="s">
        <v>102</v>
      </c>
      <c r="R4925" s="0" t="s">
        <v>113</v>
      </c>
      <c r="S4925" s="0" t="s">
        <v>21</v>
      </c>
      <c r="T4925" s="0" t="s">
        <v>104</v>
      </c>
      <c r="W4925" s="0" t="s">
        <v>105</v>
      </c>
    </row>
    <row r="4926" customFormat="false" ht="15" hidden="false" customHeight="false" outlineLevel="0" collapsed="false">
      <c r="A4926" s="0" t="s">
        <v>21</v>
      </c>
      <c r="B4926" s="0" t="s">
        <v>14195</v>
      </c>
      <c r="C4926" s="0" t="s">
        <v>97</v>
      </c>
      <c r="D4926" s="0" t="s">
        <v>14196</v>
      </c>
      <c r="E4926" s="0" t="s">
        <v>14197</v>
      </c>
      <c r="M4926" s="0" t="s">
        <v>136</v>
      </c>
      <c r="N4926" s="0" t="s">
        <v>124</v>
      </c>
      <c r="P4926" s="0" t="s">
        <v>102</v>
      </c>
      <c r="Q4926" s="0" t="s">
        <v>102</v>
      </c>
      <c r="R4926" s="0" t="s">
        <v>113</v>
      </c>
      <c r="S4926" s="0" t="s">
        <v>21</v>
      </c>
      <c r="T4926" s="0" t="s">
        <v>104</v>
      </c>
      <c r="W4926" s="0" t="s">
        <v>105</v>
      </c>
    </row>
    <row r="4927" customFormat="false" ht="15" hidden="false" customHeight="false" outlineLevel="0" collapsed="false">
      <c r="A4927" s="0" t="s">
        <v>21</v>
      </c>
      <c r="B4927" s="0" t="s">
        <v>14198</v>
      </c>
      <c r="C4927" s="0" t="s">
        <v>97</v>
      </c>
      <c r="D4927" s="0" t="s">
        <v>14199</v>
      </c>
      <c r="E4927" s="0" t="s">
        <v>14200</v>
      </c>
      <c r="M4927" s="0" t="s">
        <v>136</v>
      </c>
      <c r="N4927" s="0" t="s">
        <v>124</v>
      </c>
      <c r="P4927" s="0" t="s">
        <v>102</v>
      </c>
      <c r="Q4927" s="0" t="s">
        <v>102</v>
      </c>
      <c r="R4927" s="0" t="s">
        <v>113</v>
      </c>
      <c r="S4927" s="0" t="s">
        <v>21</v>
      </c>
      <c r="T4927" s="0" t="s">
        <v>104</v>
      </c>
      <c r="W4927" s="0" t="s">
        <v>105</v>
      </c>
    </row>
    <row r="4928" customFormat="false" ht="15" hidden="false" customHeight="false" outlineLevel="0" collapsed="false">
      <c r="A4928" s="0" t="s">
        <v>21</v>
      </c>
      <c r="B4928" s="0" t="s">
        <v>14201</v>
      </c>
      <c r="C4928" s="0" t="s">
        <v>97</v>
      </c>
      <c r="D4928" s="0" t="s">
        <v>14202</v>
      </c>
      <c r="E4928" s="0" t="s">
        <v>14203</v>
      </c>
      <c r="H4928" s="0" t="s">
        <v>654</v>
      </c>
      <c r="I4928" s="0" t="s">
        <v>655</v>
      </c>
      <c r="J4928" s="0" t="s">
        <v>100</v>
      </c>
      <c r="K4928" s="0" t="s">
        <v>168</v>
      </c>
      <c r="L4928" s="0" t="s">
        <v>101</v>
      </c>
      <c r="M4928" s="0" t="s">
        <v>656</v>
      </c>
      <c r="N4928" s="0" t="s">
        <v>101</v>
      </c>
      <c r="P4928" s="0" t="s">
        <v>102</v>
      </c>
      <c r="Q4928" s="0" t="s">
        <v>102</v>
      </c>
      <c r="R4928" s="0" t="s">
        <v>113</v>
      </c>
      <c r="S4928" s="0" t="s">
        <v>21</v>
      </c>
      <c r="T4928" s="0" t="s">
        <v>104</v>
      </c>
      <c r="W4928" s="0" t="s">
        <v>105</v>
      </c>
      <c r="X4928" s="0" t="s">
        <v>658</v>
      </c>
      <c r="Y4928" s="0" t="s">
        <v>659</v>
      </c>
    </row>
    <row r="4929" customFormat="false" ht="15" hidden="false" customHeight="false" outlineLevel="0" collapsed="false">
      <c r="A4929" s="0" t="s">
        <v>21</v>
      </c>
      <c r="B4929" s="0" t="s">
        <v>14204</v>
      </c>
      <c r="C4929" s="0" t="s">
        <v>97</v>
      </c>
      <c r="D4929" s="0" t="s">
        <v>14205</v>
      </c>
      <c r="E4929" s="0" t="s">
        <v>14206</v>
      </c>
      <c r="M4929" s="0" t="s">
        <v>136</v>
      </c>
      <c r="N4929" s="0" t="s">
        <v>124</v>
      </c>
      <c r="P4929" s="0" t="s">
        <v>102</v>
      </c>
      <c r="Q4929" s="0" t="s">
        <v>102</v>
      </c>
      <c r="R4929" s="0" t="s">
        <v>144</v>
      </c>
      <c r="S4929" s="0" t="s">
        <v>21</v>
      </c>
      <c r="T4929" s="0" t="s">
        <v>104</v>
      </c>
      <c r="W4929" s="0" t="s">
        <v>105</v>
      </c>
    </row>
    <row r="4930" customFormat="false" ht="15" hidden="false" customHeight="false" outlineLevel="0" collapsed="false">
      <c r="A4930" s="0" t="s">
        <v>21</v>
      </c>
      <c r="B4930" s="0" t="s">
        <v>14207</v>
      </c>
      <c r="C4930" s="0" t="s">
        <v>97</v>
      </c>
      <c r="D4930" s="0" t="s">
        <v>14208</v>
      </c>
      <c r="E4930" s="0" t="s">
        <v>14208</v>
      </c>
      <c r="M4930" s="0" t="s">
        <v>136</v>
      </c>
      <c r="N4930" s="0" t="s">
        <v>124</v>
      </c>
      <c r="P4930" s="0" t="s">
        <v>102</v>
      </c>
      <c r="Q4930" s="0" t="s">
        <v>102</v>
      </c>
      <c r="R4930" s="0" t="s">
        <v>144</v>
      </c>
      <c r="S4930" s="0" t="s">
        <v>21</v>
      </c>
      <c r="T4930" s="0" t="s">
        <v>104</v>
      </c>
      <c r="W4930" s="0" t="s">
        <v>105</v>
      </c>
    </row>
    <row r="4931" customFormat="false" ht="15" hidden="false" customHeight="false" outlineLevel="0" collapsed="false">
      <c r="A4931" s="0" t="s">
        <v>21</v>
      </c>
      <c r="B4931" s="0" t="s">
        <v>14209</v>
      </c>
      <c r="C4931" s="0" t="s">
        <v>97</v>
      </c>
      <c r="D4931" s="0" t="s">
        <v>14210</v>
      </c>
      <c r="E4931" s="0" t="s">
        <v>14211</v>
      </c>
      <c r="M4931" s="0" t="s">
        <v>136</v>
      </c>
      <c r="N4931" s="0" t="s">
        <v>124</v>
      </c>
      <c r="P4931" s="0" t="s">
        <v>102</v>
      </c>
      <c r="Q4931" s="0" t="s">
        <v>102</v>
      </c>
      <c r="R4931" s="0" t="s">
        <v>144</v>
      </c>
      <c r="S4931" s="0" t="s">
        <v>21</v>
      </c>
      <c r="T4931" s="0" t="s">
        <v>104</v>
      </c>
      <c r="W4931" s="0" t="s">
        <v>105</v>
      </c>
    </row>
    <row r="4932" customFormat="false" ht="15" hidden="false" customHeight="false" outlineLevel="0" collapsed="false">
      <c r="A4932" s="0" t="s">
        <v>21</v>
      </c>
      <c r="B4932" s="0" t="s">
        <v>14212</v>
      </c>
      <c r="C4932" s="0" t="s">
        <v>97</v>
      </c>
      <c r="D4932" s="0" t="s">
        <v>14213</v>
      </c>
      <c r="E4932" s="0" t="s">
        <v>14214</v>
      </c>
      <c r="M4932" s="0" t="s">
        <v>136</v>
      </c>
      <c r="N4932" s="0" t="s">
        <v>124</v>
      </c>
      <c r="P4932" s="0" t="s">
        <v>102</v>
      </c>
      <c r="Q4932" s="0" t="s">
        <v>102</v>
      </c>
      <c r="R4932" s="0" t="s">
        <v>144</v>
      </c>
      <c r="S4932" s="0" t="s">
        <v>21</v>
      </c>
      <c r="T4932" s="0" t="s">
        <v>104</v>
      </c>
      <c r="W4932" s="0" t="s">
        <v>105</v>
      </c>
    </row>
    <row r="4933" customFormat="false" ht="15" hidden="false" customHeight="false" outlineLevel="0" collapsed="false">
      <c r="A4933" s="0" t="s">
        <v>21</v>
      </c>
      <c r="B4933" s="0" t="s">
        <v>14215</v>
      </c>
      <c r="C4933" s="0" t="s">
        <v>97</v>
      </c>
      <c r="D4933" s="0" t="s">
        <v>14216</v>
      </c>
      <c r="E4933" s="0" t="s">
        <v>14217</v>
      </c>
      <c r="M4933" s="0" t="s">
        <v>136</v>
      </c>
      <c r="N4933" s="0" t="s">
        <v>124</v>
      </c>
      <c r="P4933" s="0" t="s">
        <v>102</v>
      </c>
      <c r="Q4933" s="0" t="s">
        <v>102</v>
      </c>
      <c r="R4933" s="0" t="s">
        <v>144</v>
      </c>
      <c r="S4933" s="0" t="s">
        <v>21</v>
      </c>
      <c r="T4933" s="0" t="s">
        <v>104</v>
      </c>
      <c r="W4933" s="0" t="s">
        <v>105</v>
      </c>
    </row>
    <row r="4934" customFormat="false" ht="15" hidden="false" customHeight="false" outlineLevel="0" collapsed="false">
      <c r="A4934" s="0" t="s">
        <v>21</v>
      </c>
      <c r="B4934" s="0" t="s">
        <v>14218</v>
      </c>
      <c r="C4934" s="0" t="s">
        <v>97</v>
      </c>
      <c r="D4934" s="0" t="s">
        <v>14219</v>
      </c>
      <c r="E4934" s="0" t="s">
        <v>14220</v>
      </c>
      <c r="M4934" s="0" t="s">
        <v>136</v>
      </c>
      <c r="N4934" s="0" t="s">
        <v>124</v>
      </c>
      <c r="P4934" s="0" t="s">
        <v>102</v>
      </c>
      <c r="Q4934" s="0" t="s">
        <v>102</v>
      </c>
      <c r="R4934" s="0" t="s">
        <v>144</v>
      </c>
      <c r="S4934" s="0" t="s">
        <v>21</v>
      </c>
      <c r="T4934" s="0" t="s">
        <v>104</v>
      </c>
      <c r="W4934" s="0" t="s">
        <v>105</v>
      </c>
    </row>
    <row r="4935" customFormat="false" ht="15" hidden="false" customHeight="false" outlineLevel="0" collapsed="false">
      <c r="A4935" s="0" t="s">
        <v>21</v>
      </c>
      <c r="B4935" s="0" t="s">
        <v>14221</v>
      </c>
      <c r="C4935" s="0" t="s">
        <v>97</v>
      </c>
      <c r="D4935" s="0" t="s">
        <v>1118</v>
      </c>
      <c r="E4935" s="0" t="s">
        <v>14222</v>
      </c>
      <c r="M4935" s="0" t="s">
        <v>136</v>
      </c>
      <c r="N4935" s="0" t="s">
        <v>124</v>
      </c>
      <c r="P4935" s="0" t="s">
        <v>102</v>
      </c>
      <c r="Q4935" s="0" t="s">
        <v>102</v>
      </c>
      <c r="R4935" s="0" t="s">
        <v>144</v>
      </c>
      <c r="S4935" s="0" t="s">
        <v>21</v>
      </c>
      <c r="T4935" s="0" t="s">
        <v>104</v>
      </c>
      <c r="W4935" s="0" t="s">
        <v>105</v>
      </c>
    </row>
    <row r="4936" customFormat="false" ht="15" hidden="false" customHeight="false" outlineLevel="0" collapsed="false">
      <c r="A4936" s="0" t="s">
        <v>21</v>
      </c>
      <c r="B4936" s="0" t="s">
        <v>14223</v>
      </c>
      <c r="C4936" s="0" t="s">
        <v>4034</v>
      </c>
      <c r="D4936" s="0" t="s">
        <v>14224</v>
      </c>
      <c r="E4936" s="0" t="s">
        <v>14224</v>
      </c>
      <c r="M4936" s="0" t="s">
        <v>442</v>
      </c>
      <c r="N4936" s="0" t="s">
        <v>101</v>
      </c>
      <c r="P4936" s="0" t="s">
        <v>130</v>
      </c>
      <c r="Q4936" s="0" t="s">
        <v>130</v>
      </c>
      <c r="R4936" s="0" t="s">
        <v>144</v>
      </c>
      <c r="S4936" s="0" t="s">
        <v>21</v>
      </c>
      <c r="T4936" s="0" t="s">
        <v>104</v>
      </c>
      <c r="W4936" s="0" t="s">
        <v>105</v>
      </c>
    </row>
    <row r="4937" customFormat="false" ht="122.35" hidden="false" customHeight="false" outlineLevel="0" collapsed="false">
      <c r="A4937" s="0" t="s">
        <v>21</v>
      </c>
      <c r="B4937" s="0" t="s">
        <v>14225</v>
      </c>
      <c r="C4937" s="0" t="s">
        <v>139</v>
      </c>
      <c r="G4937" s="9" t="s">
        <v>14226</v>
      </c>
      <c r="M4937" s="0" t="s">
        <v>232</v>
      </c>
      <c r="N4937" s="0" t="s">
        <v>124</v>
      </c>
      <c r="P4937" s="0" t="s">
        <v>130</v>
      </c>
      <c r="Q4937" s="0" t="s">
        <v>130</v>
      </c>
      <c r="R4937" s="0" t="s">
        <v>144</v>
      </c>
      <c r="S4937" s="0" t="s">
        <v>21</v>
      </c>
      <c r="T4937" s="0" t="s">
        <v>104</v>
      </c>
      <c r="W4937" s="0" t="s">
        <v>105</v>
      </c>
    </row>
    <row r="4938" customFormat="false" ht="15" hidden="false" customHeight="false" outlineLevel="0" collapsed="false">
      <c r="A4938" s="0" t="s">
        <v>21</v>
      </c>
      <c r="B4938" s="0" t="s">
        <v>14227</v>
      </c>
      <c r="C4938" s="0" t="s">
        <v>1067</v>
      </c>
      <c r="M4938" s="0" t="s">
        <v>232</v>
      </c>
      <c r="N4938" s="0" t="s">
        <v>124</v>
      </c>
      <c r="P4938" s="0" t="s">
        <v>130</v>
      </c>
      <c r="Q4938" s="0" t="s">
        <v>130</v>
      </c>
      <c r="R4938" s="0" t="s">
        <v>137</v>
      </c>
      <c r="S4938" s="0" t="s">
        <v>21</v>
      </c>
      <c r="T4938" s="0" t="s">
        <v>104</v>
      </c>
      <c r="W4938" s="0" t="s">
        <v>105</v>
      </c>
    </row>
    <row r="4939" customFormat="false" ht="15" hidden="false" customHeight="false" outlineLevel="0" collapsed="false">
      <c r="A4939" s="0" t="s">
        <v>21</v>
      </c>
      <c r="B4939" s="0" t="s">
        <v>14228</v>
      </c>
      <c r="C4939" s="0" t="s">
        <v>97</v>
      </c>
      <c r="D4939" s="0" t="s">
        <v>14229</v>
      </c>
      <c r="E4939" s="0" t="s">
        <v>14230</v>
      </c>
      <c r="H4939" s="0" t="s">
        <v>654</v>
      </c>
      <c r="I4939" s="0" t="s">
        <v>655</v>
      </c>
      <c r="J4939" s="0" t="s">
        <v>100</v>
      </c>
      <c r="K4939" s="0" t="s">
        <v>168</v>
      </c>
      <c r="L4939" s="0" t="s">
        <v>101</v>
      </c>
      <c r="M4939" s="0" t="s">
        <v>656</v>
      </c>
      <c r="N4939" s="0" t="s">
        <v>101</v>
      </c>
      <c r="P4939" s="0" t="s">
        <v>102</v>
      </c>
      <c r="Q4939" s="0" t="s">
        <v>102</v>
      </c>
      <c r="R4939" s="0" t="s">
        <v>113</v>
      </c>
      <c r="S4939" s="0" t="s">
        <v>21</v>
      </c>
      <c r="T4939" s="0" t="s">
        <v>104</v>
      </c>
      <c r="W4939" s="0" t="s">
        <v>105</v>
      </c>
      <c r="X4939" s="0" t="s">
        <v>658</v>
      </c>
      <c r="Y4939" s="0" t="s">
        <v>659</v>
      </c>
    </row>
    <row r="4940" customFormat="false" ht="15" hidden="false" customHeight="false" outlineLevel="0" collapsed="false">
      <c r="A4940" s="0" t="s">
        <v>21</v>
      </c>
      <c r="B4940" s="0" t="s">
        <v>14231</v>
      </c>
      <c r="C4940" s="0" t="s">
        <v>6084</v>
      </c>
      <c r="D4940" s="0" t="s">
        <v>6874</v>
      </c>
      <c r="E4940" s="0" t="s">
        <v>6874</v>
      </c>
      <c r="M4940" s="0" t="s">
        <v>178</v>
      </c>
      <c r="N4940" s="0" t="s">
        <v>124</v>
      </c>
      <c r="P4940" s="0" t="s">
        <v>102</v>
      </c>
      <c r="Q4940" s="0" t="s">
        <v>102</v>
      </c>
      <c r="R4940" s="0" t="s">
        <v>131</v>
      </c>
      <c r="S4940" s="0" t="s">
        <v>21</v>
      </c>
      <c r="T4940" s="0" t="s">
        <v>104</v>
      </c>
      <c r="W4940" s="0" t="s">
        <v>105</v>
      </c>
    </row>
    <row r="4941" customFormat="false" ht="15" hidden="false" customHeight="false" outlineLevel="0" collapsed="false">
      <c r="A4941" s="0" t="s">
        <v>21</v>
      </c>
      <c r="B4941" s="0" t="s">
        <v>14232</v>
      </c>
      <c r="C4941" s="0" t="s">
        <v>190</v>
      </c>
      <c r="D4941" s="0" t="s">
        <v>14233</v>
      </c>
      <c r="H4941" s="0" t="s">
        <v>14234</v>
      </c>
      <c r="I4941" s="0" t="s">
        <v>14235</v>
      </c>
      <c r="J4941" s="0" t="s">
        <v>214</v>
      </c>
      <c r="M4941" s="0" t="s">
        <v>143</v>
      </c>
      <c r="N4941" s="0" t="s">
        <v>124</v>
      </c>
      <c r="P4941" s="0" t="s">
        <v>102</v>
      </c>
      <c r="Q4941" s="0" t="s">
        <v>102</v>
      </c>
      <c r="R4941" s="0" t="s">
        <v>131</v>
      </c>
      <c r="S4941" s="0" t="s">
        <v>21</v>
      </c>
      <c r="T4941" s="0" t="s">
        <v>104</v>
      </c>
      <c r="W4941" s="0" t="s">
        <v>105</v>
      </c>
    </row>
    <row r="4942" customFormat="false" ht="15" hidden="false" customHeight="false" outlineLevel="0" collapsed="false">
      <c r="A4942" s="0" t="s">
        <v>21</v>
      </c>
      <c r="B4942" s="0" t="s">
        <v>14236</v>
      </c>
      <c r="C4942" s="0" t="s">
        <v>139</v>
      </c>
      <c r="D4942" s="0" t="s">
        <v>14237</v>
      </c>
      <c r="H4942" s="0" t="s">
        <v>14238</v>
      </c>
      <c r="I4942" s="0" t="s">
        <v>3655</v>
      </c>
      <c r="J4942" s="0" t="s">
        <v>157</v>
      </c>
      <c r="M4942" s="0" t="s">
        <v>232</v>
      </c>
      <c r="N4942" s="0" t="s">
        <v>124</v>
      </c>
      <c r="P4942" s="0" t="s">
        <v>102</v>
      </c>
      <c r="Q4942" s="0" t="s">
        <v>102</v>
      </c>
      <c r="R4942" s="0" t="s">
        <v>131</v>
      </c>
      <c r="S4942" s="0" t="s">
        <v>21</v>
      </c>
      <c r="T4942" s="0" t="s">
        <v>104</v>
      </c>
      <c r="W4942" s="0" t="s">
        <v>105</v>
      </c>
    </row>
    <row r="4943" customFormat="false" ht="15" hidden="false" customHeight="false" outlineLevel="0" collapsed="false">
      <c r="A4943" s="0" t="s">
        <v>21</v>
      </c>
      <c r="B4943" s="0" t="s">
        <v>14239</v>
      </c>
      <c r="C4943" s="0" t="s">
        <v>110</v>
      </c>
      <c r="D4943" s="0" t="s">
        <v>5294</v>
      </c>
      <c r="E4943" s="0" t="s">
        <v>5294</v>
      </c>
      <c r="H4943" s="0" t="s">
        <v>14240</v>
      </c>
      <c r="I4943" s="0" t="s">
        <v>14241</v>
      </c>
      <c r="J4943" s="0" t="s">
        <v>157</v>
      </c>
      <c r="K4943" s="0" t="s">
        <v>14242</v>
      </c>
      <c r="M4943" s="0" t="s">
        <v>4263</v>
      </c>
      <c r="N4943" s="0" t="s">
        <v>124</v>
      </c>
      <c r="P4943" s="0" t="s">
        <v>102</v>
      </c>
      <c r="Q4943" s="0" t="s">
        <v>102</v>
      </c>
      <c r="R4943" s="0" t="s">
        <v>131</v>
      </c>
      <c r="S4943" s="0" t="s">
        <v>21</v>
      </c>
      <c r="T4943" s="0" t="s">
        <v>104</v>
      </c>
      <c r="W4943" s="0" t="s">
        <v>105</v>
      </c>
      <c r="Z4943" s="0" t="s">
        <v>195</v>
      </c>
    </row>
    <row r="4944" customFormat="false" ht="28.35" hidden="false" customHeight="false" outlineLevel="0" collapsed="false">
      <c r="A4944" s="0" t="s">
        <v>21</v>
      </c>
      <c r="B4944" s="0" t="s">
        <v>14243</v>
      </c>
      <c r="C4944" s="0" t="s">
        <v>110</v>
      </c>
      <c r="D4944" s="0" t="s">
        <v>14237</v>
      </c>
      <c r="H4944" s="9" t="s">
        <v>14244</v>
      </c>
      <c r="I4944" s="0" t="s">
        <v>1033</v>
      </c>
      <c r="J4944" s="0" t="s">
        <v>2281</v>
      </c>
      <c r="K4944" s="0" t="s">
        <v>1034</v>
      </c>
      <c r="L4944" s="0" t="s">
        <v>124</v>
      </c>
      <c r="M4944" s="0" t="s">
        <v>881</v>
      </c>
      <c r="N4944" s="0" t="s">
        <v>124</v>
      </c>
      <c r="P4944" s="0" t="s">
        <v>102</v>
      </c>
      <c r="Q4944" s="0" t="s">
        <v>102</v>
      </c>
      <c r="R4944" s="0" t="s">
        <v>131</v>
      </c>
      <c r="S4944" s="0" t="s">
        <v>21</v>
      </c>
      <c r="T4944" s="0" t="s">
        <v>104</v>
      </c>
      <c r="W4944" s="0" t="s">
        <v>105</v>
      </c>
    </row>
    <row r="4945" customFormat="false" ht="15" hidden="false" customHeight="false" outlineLevel="0" collapsed="false">
      <c r="A4945" s="0" t="s">
        <v>21</v>
      </c>
      <c r="B4945" s="0" t="s">
        <v>14245</v>
      </c>
      <c r="C4945" s="0" t="s">
        <v>97</v>
      </c>
      <c r="D4945" s="0" t="s">
        <v>14237</v>
      </c>
      <c r="E4945" s="0" t="s">
        <v>14246</v>
      </c>
      <c r="M4945" s="0" t="s">
        <v>136</v>
      </c>
      <c r="N4945" s="0" t="s">
        <v>124</v>
      </c>
      <c r="P4945" s="0" t="s">
        <v>102</v>
      </c>
      <c r="Q4945" s="0" t="s">
        <v>102</v>
      </c>
      <c r="R4945" s="0" t="s">
        <v>131</v>
      </c>
      <c r="S4945" s="0" t="s">
        <v>21</v>
      </c>
      <c r="T4945" s="0" t="s">
        <v>104</v>
      </c>
      <c r="W4945" s="0" t="s">
        <v>105</v>
      </c>
    </row>
    <row r="4946" customFormat="false" ht="15" hidden="false" customHeight="false" outlineLevel="0" collapsed="false">
      <c r="A4946" s="0" t="s">
        <v>21</v>
      </c>
      <c r="B4946" s="0" t="s">
        <v>14247</v>
      </c>
      <c r="C4946" s="0" t="s">
        <v>97</v>
      </c>
      <c r="D4946" s="0" t="s">
        <v>14248</v>
      </c>
      <c r="E4946" s="0" t="s">
        <v>14249</v>
      </c>
      <c r="M4946" s="0" t="s">
        <v>136</v>
      </c>
      <c r="N4946" s="0" t="s">
        <v>124</v>
      </c>
      <c r="P4946" s="0" t="s">
        <v>102</v>
      </c>
      <c r="Q4946" s="0" t="s">
        <v>102</v>
      </c>
      <c r="R4946" s="0" t="s">
        <v>131</v>
      </c>
      <c r="S4946" s="0" t="s">
        <v>21</v>
      </c>
      <c r="T4946" s="0" t="s">
        <v>104</v>
      </c>
      <c r="W4946" s="0" t="s">
        <v>105</v>
      </c>
    </row>
    <row r="4947" customFormat="false" ht="15" hidden="false" customHeight="false" outlineLevel="0" collapsed="false">
      <c r="A4947" s="0" t="s">
        <v>21</v>
      </c>
      <c r="B4947" s="0" t="s">
        <v>14250</v>
      </c>
      <c r="C4947" s="0" t="s">
        <v>97</v>
      </c>
      <c r="D4947" s="0" t="s">
        <v>14251</v>
      </c>
      <c r="E4947" s="0" t="s">
        <v>14251</v>
      </c>
      <c r="F4947" s="0" t="s">
        <v>14251</v>
      </c>
      <c r="M4947" s="0" t="s">
        <v>100</v>
      </c>
      <c r="N4947" s="0" t="s">
        <v>101</v>
      </c>
      <c r="P4947" s="0" t="s">
        <v>130</v>
      </c>
      <c r="Q4947" s="0" t="s">
        <v>130</v>
      </c>
      <c r="R4947" s="0" t="s">
        <v>131</v>
      </c>
      <c r="S4947" s="0" t="s">
        <v>21</v>
      </c>
      <c r="T4947" s="0" t="s">
        <v>104</v>
      </c>
      <c r="W4947" s="0" t="s">
        <v>105</v>
      </c>
    </row>
    <row r="4948" customFormat="false" ht="15" hidden="false" customHeight="false" outlineLevel="0" collapsed="false">
      <c r="A4948" s="0" t="s">
        <v>21</v>
      </c>
      <c r="B4948" s="0" t="s">
        <v>14252</v>
      </c>
      <c r="C4948" s="0" t="s">
        <v>97</v>
      </c>
      <c r="D4948" s="0" t="s">
        <v>14253</v>
      </c>
      <c r="E4948" s="0" t="s">
        <v>14253</v>
      </c>
      <c r="F4948" s="0" t="s">
        <v>14253</v>
      </c>
      <c r="M4948" s="0" t="s">
        <v>100</v>
      </c>
      <c r="N4948" s="0" t="s">
        <v>101</v>
      </c>
      <c r="P4948" s="0" t="s">
        <v>130</v>
      </c>
      <c r="Q4948" s="0" t="s">
        <v>130</v>
      </c>
      <c r="R4948" s="0" t="s">
        <v>131</v>
      </c>
      <c r="S4948" s="0" t="s">
        <v>21</v>
      </c>
      <c r="T4948" s="0" t="s">
        <v>104</v>
      </c>
      <c r="W4948" s="0" t="s">
        <v>105</v>
      </c>
    </row>
    <row r="4949" customFormat="false" ht="15" hidden="false" customHeight="false" outlineLevel="0" collapsed="false">
      <c r="A4949" s="0" t="s">
        <v>21</v>
      </c>
      <c r="B4949" s="0" t="s">
        <v>14254</v>
      </c>
      <c r="C4949" s="0" t="s">
        <v>97</v>
      </c>
      <c r="D4949" s="0" t="s">
        <v>14255</v>
      </c>
      <c r="E4949" s="0" t="s">
        <v>14255</v>
      </c>
      <c r="F4949" s="0" t="s">
        <v>14255</v>
      </c>
      <c r="M4949" s="0" t="s">
        <v>100</v>
      </c>
      <c r="N4949" s="0" t="s">
        <v>101</v>
      </c>
      <c r="P4949" s="0" t="s">
        <v>130</v>
      </c>
      <c r="Q4949" s="0" t="s">
        <v>130</v>
      </c>
      <c r="R4949" s="0" t="s">
        <v>131</v>
      </c>
      <c r="S4949" s="0" t="s">
        <v>21</v>
      </c>
      <c r="T4949" s="0" t="s">
        <v>104</v>
      </c>
      <c r="W4949" s="0" t="s">
        <v>105</v>
      </c>
    </row>
    <row r="4950" customFormat="false" ht="15" hidden="false" customHeight="false" outlineLevel="0" collapsed="false">
      <c r="A4950" s="0" t="s">
        <v>21</v>
      </c>
      <c r="B4950" s="0" t="s">
        <v>14256</v>
      </c>
      <c r="C4950" s="0" t="s">
        <v>97</v>
      </c>
      <c r="D4950" s="0" t="s">
        <v>14257</v>
      </c>
      <c r="E4950" s="0" t="s">
        <v>14257</v>
      </c>
      <c r="F4950" s="0" t="s">
        <v>14257</v>
      </c>
      <c r="M4950" s="0" t="s">
        <v>100</v>
      </c>
      <c r="N4950" s="0" t="s">
        <v>101</v>
      </c>
      <c r="P4950" s="0" t="s">
        <v>130</v>
      </c>
      <c r="Q4950" s="0" t="s">
        <v>130</v>
      </c>
      <c r="R4950" s="0" t="s">
        <v>131</v>
      </c>
      <c r="S4950" s="0" t="s">
        <v>21</v>
      </c>
      <c r="T4950" s="0" t="s">
        <v>104</v>
      </c>
      <c r="W4950" s="0" t="s">
        <v>105</v>
      </c>
    </row>
    <row r="4951" customFormat="false" ht="15" hidden="false" customHeight="false" outlineLevel="0" collapsed="false">
      <c r="A4951" s="0" t="s">
        <v>21</v>
      </c>
      <c r="B4951" s="0" t="s">
        <v>14258</v>
      </c>
      <c r="C4951" s="0" t="s">
        <v>97</v>
      </c>
      <c r="D4951" s="0" t="s">
        <v>7417</v>
      </c>
      <c r="E4951" s="0" t="s">
        <v>7417</v>
      </c>
      <c r="F4951" s="0" t="s">
        <v>7417</v>
      </c>
      <c r="M4951" s="0" t="s">
        <v>100</v>
      </c>
      <c r="N4951" s="0" t="s">
        <v>101</v>
      </c>
      <c r="P4951" s="0" t="s">
        <v>130</v>
      </c>
      <c r="Q4951" s="0" t="s">
        <v>130</v>
      </c>
      <c r="R4951" s="0" t="s">
        <v>131</v>
      </c>
      <c r="S4951" s="0" t="s">
        <v>21</v>
      </c>
      <c r="T4951" s="0" t="s">
        <v>104</v>
      </c>
      <c r="W4951" s="0" t="s">
        <v>105</v>
      </c>
    </row>
    <row r="4952" customFormat="false" ht="15" hidden="false" customHeight="false" outlineLevel="0" collapsed="false">
      <c r="A4952" s="0" t="s">
        <v>21</v>
      </c>
      <c r="B4952" s="0" t="s">
        <v>14259</v>
      </c>
      <c r="C4952" s="0" t="s">
        <v>97</v>
      </c>
      <c r="D4952" s="0" t="s">
        <v>7417</v>
      </c>
      <c r="E4952" s="0" t="s">
        <v>7417</v>
      </c>
      <c r="F4952" s="0" t="s">
        <v>7417</v>
      </c>
      <c r="M4952" s="0" t="s">
        <v>100</v>
      </c>
      <c r="N4952" s="0" t="s">
        <v>101</v>
      </c>
      <c r="P4952" s="0" t="s">
        <v>130</v>
      </c>
      <c r="Q4952" s="0" t="s">
        <v>130</v>
      </c>
      <c r="R4952" s="0" t="s">
        <v>131</v>
      </c>
      <c r="S4952" s="0" t="s">
        <v>21</v>
      </c>
      <c r="T4952" s="0" t="s">
        <v>104</v>
      </c>
      <c r="W4952" s="0" t="s">
        <v>105</v>
      </c>
    </row>
    <row r="4953" customFormat="false" ht="15" hidden="false" customHeight="false" outlineLevel="0" collapsed="false">
      <c r="A4953" s="0" t="s">
        <v>21</v>
      </c>
      <c r="B4953" s="0" t="s">
        <v>14260</v>
      </c>
      <c r="C4953" s="0" t="s">
        <v>97</v>
      </c>
      <c r="D4953" s="0" t="s">
        <v>14257</v>
      </c>
      <c r="E4953" s="0" t="s">
        <v>14257</v>
      </c>
      <c r="F4953" s="0" t="s">
        <v>14257</v>
      </c>
      <c r="M4953" s="0" t="s">
        <v>100</v>
      </c>
      <c r="N4953" s="0" t="s">
        <v>101</v>
      </c>
      <c r="P4953" s="0" t="s">
        <v>130</v>
      </c>
      <c r="Q4953" s="0" t="s">
        <v>130</v>
      </c>
      <c r="R4953" s="0" t="s">
        <v>131</v>
      </c>
      <c r="S4953" s="0" t="s">
        <v>21</v>
      </c>
      <c r="T4953" s="0" t="s">
        <v>104</v>
      </c>
      <c r="W4953" s="0" t="s">
        <v>105</v>
      </c>
    </row>
    <row r="4954" customFormat="false" ht="15" hidden="false" customHeight="false" outlineLevel="0" collapsed="false">
      <c r="A4954" s="0" t="s">
        <v>21</v>
      </c>
      <c r="B4954" s="0" t="s">
        <v>14261</v>
      </c>
      <c r="C4954" s="0" t="s">
        <v>97</v>
      </c>
      <c r="D4954" s="0" t="s">
        <v>14262</v>
      </c>
      <c r="E4954" s="0" t="s">
        <v>14262</v>
      </c>
      <c r="F4954" s="0" t="s">
        <v>14262</v>
      </c>
      <c r="M4954" s="0" t="s">
        <v>100</v>
      </c>
      <c r="N4954" s="0" t="s">
        <v>101</v>
      </c>
      <c r="P4954" s="0" t="s">
        <v>130</v>
      </c>
      <c r="Q4954" s="0" t="s">
        <v>130</v>
      </c>
      <c r="R4954" s="0" t="s">
        <v>131</v>
      </c>
      <c r="S4954" s="0" t="s">
        <v>21</v>
      </c>
      <c r="T4954" s="0" t="s">
        <v>104</v>
      </c>
      <c r="W4954" s="0" t="s">
        <v>105</v>
      </c>
    </row>
    <row r="4955" customFormat="false" ht="15" hidden="false" customHeight="false" outlineLevel="0" collapsed="false">
      <c r="A4955" s="0" t="s">
        <v>21</v>
      </c>
      <c r="B4955" s="0" t="s">
        <v>14263</v>
      </c>
      <c r="C4955" s="0" t="s">
        <v>97</v>
      </c>
      <c r="D4955" s="0" t="s">
        <v>14255</v>
      </c>
      <c r="E4955" s="0" t="s">
        <v>14255</v>
      </c>
      <c r="F4955" s="0" t="s">
        <v>14255</v>
      </c>
      <c r="M4955" s="0" t="s">
        <v>100</v>
      </c>
      <c r="N4955" s="0" t="s">
        <v>101</v>
      </c>
      <c r="P4955" s="0" t="s">
        <v>130</v>
      </c>
      <c r="Q4955" s="0" t="s">
        <v>130</v>
      </c>
      <c r="R4955" s="0" t="s">
        <v>131</v>
      </c>
      <c r="S4955" s="0" t="s">
        <v>21</v>
      </c>
      <c r="T4955" s="0" t="s">
        <v>104</v>
      </c>
      <c r="W4955" s="0" t="s">
        <v>105</v>
      </c>
    </row>
    <row r="4956" customFormat="false" ht="15" hidden="false" customHeight="false" outlineLevel="0" collapsed="false">
      <c r="A4956" s="0" t="s">
        <v>21</v>
      </c>
      <c r="B4956" s="0" t="s">
        <v>14264</v>
      </c>
      <c r="C4956" s="0" t="s">
        <v>97</v>
      </c>
      <c r="D4956" s="0" t="s">
        <v>14257</v>
      </c>
      <c r="E4956" s="0" t="s">
        <v>14257</v>
      </c>
      <c r="F4956" s="0" t="s">
        <v>14257</v>
      </c>
      <c r="M4956" s="0" t="s">
        <v>100</v>
      </c>
      <c r="N4956" s="0" t="s">
        <v>101</v>
      </c>
      <c r="P4956" s="0" t="s">
        <v>130</v>
      </c>
      <c r="Q4956" s="0" t="s">
        <v>130</v>
      </c>
      <c r="R4956" s="0" t="s">
        <v>131</v>
      </c>
      <c r="S4956" s="0" t="s">
        <v>21</v>
      </c>
      <c r="T4956" s="0" t="s">
        <v>104</v>
      </c>
      <c r="W4956" s="0" t="s">
        <v>105</v>
      </c>
    </row>
    <row r="4957" customFormat="false" ht="15" hidden="false" customHeight="false" outlineLevel="0" collapsed="false">
      <c r="A4957" s="0" t="s">
        <v>21</v>
      </c>
      <c r="B4957" s="0" t="s">
        <v>14265</v>
      </c>
      <c r="C4957" s="0" t="s">
        <v>97</v>
      </c>
      <c r="D4957" s="0" t="s">
        <v>14253</v>
      </c>
      <c r="E4957" s="0" t="s">
        <v>14253</v>
      </c>
      <c r="F4957" s="0" t="s">
        <v>14253</v>
      </c>
      <c r="M4957" s="0" t="s">
        <v>100</v>
      </c>
      <c r="N4957" s="0" t="s">
        <v>101</v>
      </c>
      <c r="P4957" s="0" t="s">
        <v>130</v>
      </c>
      <c r="Q4957" s="0" t="s">
        <v>130</v>
      </c>
      <c r="R4957" s="0" t="s">
        <v>131</v>
      </c>
      <c r="S4957" s="0" t="s">
        <v>21</v>
      </c>
      <c r="T4957" s="0" t="s">
        <v>104</v>
      </c>
      <c r="W4957" s="0" t="s">
        <v>105</v>
      </c>
    </row>
    <row r="4958" customFormat="false" ht="15" hidden="false" customHeight="false" outlineLevel="0" collapsed="false">
      <c r="A4958" s="0" t="s">
        <v>21</v>
      </c>
      <c r="B4958" s="0" t="s">
        <v>14266</v>
      </c>
      <c r="C4958" s="0" t="s">
        <v>97</v>
      </c>
      <c r="D4958" s="0" t="s">
        <v>14255</v>
      </c>
      <c r="E4958" s="0" t="s">
        <v>14255</v>
      </c>
      <c r="F4958" s="0" t="s">
        <v>14255</v>
      </c>
      <c r="M4958" s="0" t="s">
        <v>100</v>
      </c>
      <c r="N4958" s="0" t="s">
        <v>101</v>
      </c>
      <c r="P4958" s="0" t="s">
        <v>130</v>
      </c>
      <c r="Q4958" s="0" t="s">
        <v>130</v>
      </c>
      <c r="R4958" s="0" t="s">
        <v>131</v>
      </c>
      <c r="S4958" s="0" t="s">
        <v>21</v>
      </c>
      <c r="T4958" s="0" t="s">
        <v>104</v>
      </c>
      <c r="W4958" s="0" t="s">
        <v>105</v>
      </c>
    </row>
    <row r="4959" customFormat="false" ht="15" hidden="false" customHeight="false" outlineLevel="0" collapsed="false">
      <c r="A4959" s="0" t="s">
        <v>21</v>
      </c>
      <c r="B4959" s="0" t="s">
        <v>14267</v>
      </c>
      <c r="C4959" s="0" t="s">
        <v>97</v>
      </c>
      <c r="D4959" s="0" t="s">
        <v>14257</v>
      </c>
      <c r="E4959" s="0" t="s">
        <v>14257</v>
      </c>
      <c r="F4959" s="0" t="s">
        <v>14257</v>
      </c>
      <c r="M4959" s="0" t="s">
        <v>100</v>
      </c>
      <c r="N4959" s="0" t="s">
        <v>101</v>
      </c>
      <c r="P4959" s="0" t="s">
        <v>130</v>
      </c>
      <c r="Q4959" s="0" t="s">
        <v>130</v>
      </c>
      <c r="R4959" s="0" t="s">
        <v>131</v>
      </c>
      <c r="S4959" s="0" t="s">
        <v>21</v>
      </c>
      <c r="T4959" s="0" t="s">
        <v>104</v>
      </c>
      <c r="W4959" s="0" t="s">
        <v>105</v>
      </c>
    </row>
    <row r="4960" customFormat="false" ht="15" hidden="false" customHeight="false" outlineLevel="0" collapsed="false">
      <c r="A4960" s="0" t="s">
        <v>21</v>
      </c>
      <c r="B4960" s="0" t="s">
        <v>14268</v>
      </c>
      <c r="C4960" s="0" t="s">
        <v>97</v>
      </c>
      <c r="D4960" s="0" t="s">
        <v>14269</v>
      </c>
      <c r="E4960" s="0" t="s">
        <v>14269</v>
      </c>
      <c r="F4960" s="0" t="s">
        <v>14269</v>
      </c>
      <c r="M4960" s="0" t="s">
        <v>100</v>
      </c>
      <c r="N4960" s="0" t="s">
        <v>101</v>
      </c>
      <c r="P4960" s="0" t="s">
        <v>130</v>
      </c>
      <c r="Q4960" s="0" t="s">
        <v>130</v>
      </c>
      <c r="R4960" s="0" t="s">
        <v>131</v>
      </c>
      <c r="S4960" s="0" t="s">
        <v>21</v>
      </c>
      <c r="T4960" s="0" t="s">
        <v>104</v>
      </c>
      <c r="W4960" s="0" t="s">
        <v>105</v>
      </c>
    </row>
    <row r="4961" customFormat="false" ht="15" hidden="false" customHeight="false" outlineLevel="0" collapsed="false">
      <c r="A4961" s="0" t="s">
        <v>21</v>
      </c>
      <c r="B4961" s="0" t="s">
        <v>14270</v>
      </c>
      <c r="C4961" s="0" t="s">
        <v>97</v>
      </c>
      <c r="D4961" s="0" t="s">
        <v>14253</v>
      </c>
      <c r="E4961" s="0" t="s">
        <v>14253</v>
      </c>
      <c r="F4961" s="0" t="s">
        <v>14253</v>
      </c>
      <c r="M4961" s="0" t="s">
        <v>100</v>
      </c>
      <c r="N4961" s="0" t="s">
        <v>101</v>
      </c>
      <c r="P4961" s="0" t="s">
        <v>130</v>
      </c>
      <c r="Q4961" s="0" t="s">
        <v>130</v>
      </c>
      <c r="R4961" s="0" t="s">
        <v>131</v>
      </c>
      <c r="S4961" s="0" t="s">
        <v>21</v>
      </c>
      <c r="T4961" s="0" t="s">
        <v>104</v>
      </c>
      <c r="W4961" s="0" t="s">
        <v>105</v>
      </c>
    </row>
    <row r="4962" customFormat="false" ht="15" hidden="false" customHeight="false" outlineLevel="0" collapsed="false">
      <c r="A4962" s="0" t="s">
        <v>21</v>
      </c>
      <c r="B4962" s="0" t="s">
        <v>14271</v>
      </c>
      <c r="C4962" s="0" t="s">
        <v>97</v>
      </c>
      <c r="D4962" s="0" t="s">
        <v>14272</v>
      </c>
      <c r="E4962" s="0" t="s">
        <v>14272</v>
      </c>
      <c r="F4962" s="0" t="s">
        <v>14272</v>
      </c>
      <c r="M4962" s="0" t="s">
        <v>100</v>
      </c>
      <c r="N4962" s="0" t="s">
        <v>101</v>
      </c>
      <c r="P4962" s="0" t="s">
        <v>130</v>
      </c>
      <c r="Q4962" s="0" t="s">
        <v>130</v>
      </c>
      <c r="R4962" s="0" t="s">
        <v>131</v>
      </c>
      <c r="S4962" s="0" t="s">
        <v>21</v>
      </c>
      <c r="T4962" s="0" t="s">
        <v>104</v>
      </c>
      <c r="W4962" s="0" t="s">
        <v>105</v>
      </c>
    </row>
    <row r="4963" customFormat="false" ht="15" hidden="false" customHeight="false" outlineLevel="0" collapsed="false">
      <c r="A4963" s="0" t="s">
        <v>21</v>
      </c>
      <c r="B4963" s="0" t="s">
        <v>14273</v>
      </c>
      <c r="C4963" s="0" t="s">
        <v>97</v>
      </c>
      <c r="D4963" s="0" t="s">
        <v>7417</v>
      </c>
      <c r="E4963" s="0" t="s">
        <v>7417</v>
      </c>
      <c r="F4963" s="0" t="s">
        <v>7417</v>
      </c>
      <c r="M4963" s="0" t="s">
        <v>100</v>
      </c>
      <c r="N4963" s="0" t="s">
        <v>101</v>
      </c>
      <c r="P4963" s="0" t="s">
        <v>130</v>
      </c>
      <c r="Q4963" s="0" t="s">
        <v>130</v>
      </c>
      <c r="R4963" s="0" t="s">
        <v>131</v>
      </c>
      <c r="S4963" s="0" t="s">
        <v>21</v>
      </c>
      <c r="T4963" s="0" t="s">
        <v>104</v>
      </c>
      <c r="W4963" s="0" t="s">
        <v>105</v>
      </c>
    </row>
    <row r="4964" customFormat="false" ht="15" hidden="false" customHeight="false" outlineLevel="0" collapsed="false">
      <c r="A4964" s="0" t="s">
        <v>21</v>
      </c>
      <c r="B4964" s="0" t="s">
        <v>14274</v>
      </c>
      <c r="C4964" s="0" t="s">
        <v>97</v>
      </c>
      <c r="D4964" s="0" t="s">
        <v>3261</v>
      </c>
      <c r="E4964" s="0" t="s">
        <v>14275</v>
      </c>
      <c r="H4964" s="0" t="s">
        <v>654</v>
      </c>
      <c r="I4964" s="0" t="s">
        <v>655</v>
      </c>
      <c r="J4964" s="0" t="s">
        <v>100</v>
      </c>
      <c r="K4964" s="0" t="s">
        <v>168</v>
      </c>
      <c r="L4964" s="0" t="s">
        <v>101</v>
      </c>
      <c r="M4964" s="0" t="s">
        <v>656</v>
      </c>
      <c r="N4964" s="0" t="s">
        <v>101</v>
      </c>
      <c r="P4964" s="0" t="s">
        <v>102</v>
      </c>
      <c r="Q4964" s="0" t="s">
        <v>102</v>
      </c>
      <c r="R4964" s="0" t="s">
        <v>131</v>
      </c>
      <c r="S4964" s="0" t="s">
        <v>21</v>
      </c>
      <c r="T4964" s="0" t="s">
        <v>104</v>
      </c>
      <c r="W4964" s="0" t="s">
        <v>105</v>
      </c>
      <c r="X4964" s="0" t="s">
        <v>658</v>
      </c>
      <c r="Y4964" s="0" t="s">
        <v>659</v>
      </c>
    </row>
    <row r="4965" customFormat="false" ht="15" hidden="false" customHeight="false" outlineLevel="0" collapsed="false">
      <c r="A4965" s="0" t="s">
        <v>21</v>
      </c>
      <c r="B4965" s="0" t="s">
        <v>14276</v>
      </c>
      <c r="C4965" s="0" t="s">
        <v>97</v>
      </c>
      <c r="D4965" s="0" t="s">
        <v>12094</v>
      </c>
      <c r="E4965" s="0" t="s">
        <v>14277</v>
      </c>
      <c r="H4965" s="0" t="s">
        <v>654</v>
      </c>
      <c r="I4965" s="0" t="s">
        <v>655</v>
      </c>
      <c r="J4965" s="0" t="s">
        <v>100</v>
      </c>
      <c r="K4965" s="0" t="s">
        <v>168</v>
      </c>
      <c r="L4965" s="0" t="s">
        <v>101</v>
      </c>
      <c r="M4965" s="0" t="s">
        <v>656</v>
      </c>
      <c r="N4965" s="0" t="s">
        <v>101</v>
      </c>
      <c r="P4965" s="0" t="s">
        <v>102</v>
      </c>
      <c r="Q4965" s="0" t="s">
        <v>102</v>
      </c>
      <c r="R4965" s="0" t="s">
        <v>131</v>
      </c>
      <c r="S4965" s="0" t="s">
        <v>21</v>
      </c>
      <c r="T4965" s="0" t="s">
        <v>104</v>
      </c>
      <c r="W4965" s="0" t="s">
        <v>105</v>
      </c>
      <c r="X4965" s="0" t="s">
        <v>658</v>
      </c>
      <c r="Y4965" s="0" t="s">
        <v>659</v>
      </c>
    </row>
    <row r="4966" customFormat="false" ht="15" hidden="false" customHeight="false" outlineLevel="0" collapsed="false">
      <c r="A4966" s="0" t="s">
        <v>21</v>
      </c>
      <c r="B4966" s="0" t="s">
        <v>14278</v>
      </c>
      <c r="C4966" s="0" t="s">
        <v>97</v>
      </c>
      <c r="D4966" s="0" t="s">
        <v>14279</v>
      </c>
      <c r="E4966" s="0" t="s">
        <v>14280</v>
      </c>
      <c r="M4966" s="0" t="s">
        <v>136</v>
      </c>
      <c r="N4966" s="0" t="s">
        <v>124</v>
      </c>
      <c r="P4966" s="0" t="s">
        <v>102</v>
      </c>
      <c r="Q4966" s="0" t="s">
        <v>102</v>
      </c>
      <c r="R4966" s="0" t="s">
        <v>113</v>
      </c>
      <c r="S4966" s="0" t="s">
        <v>21</v>
      </c>
      <c r="T4966" s="0" t="s">
        <v>104</v>
      </c>
      <c r="W4966" s="0" t="s">
        <v>105</v>
      </c>
    </row>
    <row r="4967" customFormat="false" ht="15" hidden="false" customHeight="false" outlineLevel="0" collapsed="false">
      <c r="A4967" s="0" t="s">
        <v>21</v>
      </c>
      <c r="B4967" s="0" t="s">
        <v>14281</v>
      </c>
      <c r="C4967" s="0" t="s">
        <v>97</v>
      </c>
      <c r="D4967" s="0" t="s">
        <v>2012</v>
      </c>
      <c r="E4967" s="0" t="s">
        <v>14282</v>
      </c>
      <c r="M4967" s="0" t="s">
        <v>136</v>
      </c>
      <c r="N4967" s="0" t="s">
        <v>124</v>
      </c>
      <c r="P4967" s="0" t="s">
        <v>102</v>
      </c>
      <c r="Q4967" s="0" t="s">
        <v>102</v>
      </c>
      <c r="R4967" s="0" t="s">
        <v>144</v>
      </c>
      <c r="S4967" s="0" t="s">
        <v>21</v>
      </c>
      <c r="T4967" s="0" t="s">
        <v>104</v>
      </c>
      <c r="W4967" s="0" t="s">
        <v>105</v>
      </c>
    </row>
    <row r="4968" customFormat="false" ht="15" hidden="false" customHeight="false" outlineLevel="0" collapsed="false">
      <c r="A4968" s="0" t="s">
        <v>21</v>
      </c>
      <c r="B4968" s="0" t="s">
        <v>14283</v>
      </c>
      <c r="C4968" s="0" t="s">
        <v>97</v>
      </c>
      <c r="D4968" s="0" t="s">
        <v>14284</v>
      </c>
      <c r="E4968" s="0" t="s">
        <v>14285</v>
      </c>
      <c r="H4968" s="0" t="s">
        <v>654</v>
      </c>
      <c r="I4968" s="0" t="s">
        <v>655</v>
      </c>
      <c r="J4968" s="0" t="s">
        <v>100</v>
      </c>
      <c r="K4968" s="0" t="s">
        <v>168</v>
      </c>
      <c r="L4968" s="0" t="s">
        <v>101</v>
      </c>
      <c r="M4968" s="0" t="s">
        <v>656</v>
      </c>
      <c r="N4968" s="0" t="s">
        <v>101</v>
      </c>
      <c r="P4968" s="0" t="s">
        <v>102</v>
      </c>
      <c r="Q4968" s="0" t="s">
        <v>102</v>
      </c>
      <c r="R4968" s="0" t="s">
        <v>113</v>
      </c>
      <c r="S4968" s="0" t="s">
        <v>21</v>
      </c>
      <c r="T4968" s="0" t="s">
        <v>104</v>
      </c>
      <c r="W4968" s="0" t="s">
        <v>105</v>
      </c>
      <c r="X4968" s="0" t="s">
        <v>658</v>
      </c>
      <c r="Y4968" s="0" t="s">
        <v>659</v>
      </c>
    </row>
    <row r="4969" customFormat="false" ht="15" hidden="false" customHeight="false" outlineLevel="0" collapsed="false">
      <c r="A4969" s="0" t="s">
        <v>21</v>
      </c>
      <c r="B4969" s="0" t="s">
        <v>14286</v>
      </c>
      <c r="C4969" s="0" t="s">
        <v>7200</v>
      </c>
      <c r="D4969" s="0" t="s">
        <v>14287</v>
      </c>
      <c r="E4969" s="0" t="s">
        <v>14288</v>
      </c>
      <c r="F4969" s="0" t="s">
        <v>14288</v>
      </c>
      <c r="G4969" s="0" t="s">
        <v>14289</v>
      </c>
      <c r="H4969" s="0" t="s">
        <v>6480</v>
      </c>
      <c r="I4969" s="0" t="s">
        <v>6481</v>
      </c>
      <c r="J4969" s="0" t="s">
        <v>275</v>
      </c>
      <c r="K4969" s="0" t="s">
        <v>6482</v>
      </c>
      <c r="L4969" s="0" t="s">
        <v>124</v>
      </c>
      <c r="M4969" s="0" t="s">
        <v>178</v>
      </c>
      <c r="N4969" s="0" t="s">
        <v>124</v>
      </c>
      <c r="P4969" s="0" t="s">
        <v>102</v>
      </c>
      <c r="Q4969" s="0" t="s">
        <v>102</v>
      </c>
      <c r="R4969" s="0" t="s">
        <v>113</v>
      </c>
      <c r="S4969" s="0" t="s">
        <v>21</v>
      </c>
      <c r="T4969" s="0" t="s">
        <v>104</v>
      </c>
      <c r="W4969" s="0" t="s">
        <v>105</v>
      </c>
      <c r="X4969" s="0" t="s">
        <v>6483</v>
      </c>
      <c r="Y4969" s="0" t="s">
        <v>6484</v>
      </c>
      <c r="Z4969" s="0" t="s">
        <v>382</v>
      </c>
      <c r="AA4969" s="0" t="s">
        <v>6418</v>
      </c>
    </row>
    <row r="4970" customFormat="false" ht="15" hidden="false" customHeight="false" outlineLevel="0" collapsed="false">
      <c r="A4970" s="0" t="s">
        <v>21</v>
      </c>
      <c r="B4970" s="0" t="s">
        <v>14290</v>
      </c>
      <c r="C4970" s="0" t="s">
        <v>110</v>
      </c>
      <c r="D4970" s="0" t="s">
        <v>14291</v>
      </c>
      <c r="E4970" s="0" t="s">
        <v>14291</v>
      </c>
      <c r="H4970" s="0" t="s">
        <v>6480</v>
      </c>
      <c r="I4970" s="0" t="s">
        <v>6481</v>
      </c>
      <c r="J4970" s="0" t="s">
        <v>275</v>
      </c>
      <c r="K4970" s="0" t="s">
        <v>6482</v>
      </c>
      <c r="L4970" s="0" t="s">
        <v>124</v>
      </c>
      <c r="M4970" s="0" t="s">
        <v>178</v>
      </c>
      <c r="N4970" s="0" t="s">
        <v>124</v>
      </c>
      <c r="P4970" s="0" t="s">
        <v>102</v>
      </c>
      <c r="Q4970" s="0" t="s">
        <v>102</v>
      </c>
      <c r="R4970" s="0" t="s">
        <v>113</v>
      </c>
      <c r="S4970" s="0" t="s">
        <v>21</v>
      </c>
      <c r="T4970" s="0" t="s">
        <v>104</v>
      </c>
      <c r="W4970" s="0" t="s">
        <v>105</v>
      </c>
      <c r="X4970" s="0" t="s">
        <v>6483</v>
      </c>
      <c r="Y4970" s="0" t="s">
        <v>6484</v>
      </c>
      <c r="Z4970" s="0" t="s">
        <v>134</v>
      </c>
    </row>
    <row r="4971" customFormat="false" ht="15" hidden="false" customHeight="false" outlineLevel="0" collapsed="false">
      <c r="A4971" s="0" t="s">
        <v>21</v>
      </c>
      <c r="B4971" s="0" t="s">
        <v>14292</v>
      </c>
      <c r="C4971" s="0" t="s">
        <v>97</v>
      </c>
      <c r="D4971" s="0" t="s">
        <v>14293</v>
      </c>
      <c r="E4971" s="0" t="s">
        <v>14294</v>
      </c>
      <c r="G4971" s="0" t="s">
        <v>14295</v>
      </c>
      <c r="M4971" s="0" t="s">
        <v>366</v>
      </c>
      <c r="N4971" s="0" t="s">
        <v>101</v>
      </c>
      <c r="P4971" s="0" t="s">
        <v>102</v>
      </c>
      <c r="Q4971" s="0" t="s">
        <v>102</v>
      </c>
      <c r="R4971" s="0" t="s">
        <v>113</v>
      </c>
      <c r="S4971" s="0" t="s">
        <v>21</v>
      </c>
      <c r="T4971" s="0" t="s">
        <v>104</v>
      </c>
      <c r="W4971" s="0" t="s">
        <v>105</v>
      </c>
    </row>
    <row r="4972" customFormat="false" ht="15" hidden="false" customHeight="false" outlineLevel="0" collapsed="false">
      <c r="A4972" s="0" t="s">
        <v>21</v>
      </c>
      <c r="B4972" s="0" t="s">
        <v>14296</v>
      </c>
      <c r="C4972" s="0" t="s">
        <v>97</v>
      </c>
      <c r="D4972" s="0" t="s">
        <v>14297</v>
      </c>
      <c r="E4972" s="0" t="s">
        <v>14298</v>
      </c>
      <c r="G4972" s="0" t="s">
        <v>14299</v>
      </c>
      <c r="M4972" s="0" t="s">
        <v>430</v>
      </c>
      <c r="N4972" s="0" t="s">
        <v>101</v>
      </c>
      <c r="P4972" s="0" t="s">
        <v>102</v>
      </c>
      <c r="Q4972" s="0" t="s">
        <v>102</v>
      </c>
      <c r="R4972" s="0" t="s">
        <v>113</v>
      </c>
      <c r="S4972" s="0" t="s">
        <v>21</v>
      </c>
      <c r="T4972" s="0" t="s">
        <v>104</v>
      </c>
      <c r="W4972" s="0" t="s">
        <v>105</v>
      </c>
    </row>
    <row r="4973" customFormat="false" ht="15" hidden="false" customHeight="false" outlineLevel="0" collapsed="false">
      <c r="A4973" s="0" t="s">
        <v>21</v>
      </c>
      <c r="B4973" s="0" t="s">
        <v>14300</v>
      </c>
      <c r="C4973" s="0" t="s">
        <v>97</v>
      </c>
      <c r="D4973" s="0" t="s">
        <v>14301</v>
      </c>
      <c r="E4973" s="0" t="s">
        <v>14302</v>
      </c>
      <c r="M4973" s="0" t="s">
        <v>136</v>
      </c>
      <c r="N4973" s="0" t="s">
        <v>124</v>
      </c>
      <c r="P4973" s="0" t="s">
        <v>102</v>
      </c>
      <c r="Q4973" s="0" t="s">
        <v>102</v>
      </c>
      <c r="R4973" s="0" t="s">
        <v>144</v>
      </c>
      <c r="S4973" s="0" t="s">
        <v>21</v>
      </c>
      <c r="T4973" s="0" t="s">
        <v>104</v>
      </c>
      <c r="W4973" s="0" t="s">
        <v>105</v>
      </c>
    </row>
    <row r="4974" customFormat="false" ht="15" hidden="false" customHeight="false" outlineLevel="0" collapsed="false">
      <c r="A4974" s="0" t="s">
        <v>21</v>
      </c>
      <c r="B4974" s="0" t="s">
        <v>14303</v>
      </c>
      <c r="C4974" s="0" t="s">
        <v>97</v>
      </c>
      <c r="D4974" s="0" t="s">
        <v>14304</v>
      </c>
      <c r="E4974" s="0" t="s">
        <v>14305</v>
      </c>
      <c r="G4974" s="0" t="s">
        <v>14306</v>
      </c>
      <c r="M4974" s="0" t="s">
        <v>430</v>
      </c>
      <c r="N4974" s="0" t="s">
        <v>101</v>
      </c>
      <c r="P4974" s="0" t="s">
        <v>102</v>
      </c>
      <c r="Q4974" s="0" t="s">
        <v>102</v>
      </c>
      <c r="R4974" s="0" t="s">
        <v>113</v>
      </c>
      <c r="S4974" s="0" t="s">
        <v>21</v>
      </c>
      <c r="T4974" s="0" t="s">
        <v>104</v>
      </c>
      <c r="W4974" s="0" t="s">
        <v>105</v>
      </c>
    </row>
    <row r="4975" customFormat="false" ht="15" hidden="false" customHeight="false" outlineLevel="0" collapsed="false">
      <c r="A4975" s="0" t="s">
        <v>21</v>
      </c>
      <c r="B4975" s="0" t="s">
        <v>14307</v>
      </c>
      <c r="C4975" s="0" t="s">
        <v>97</v>
      </c>
      <c r="D4975" s="0" t="s">
        <v>14308</v>
      </c>
      <c r="E4975" s="0" t="s">
        <v>14309</v>
      </c>
      <c r="G4975" s="0" t="s">
        <v>14310</v>
      </c>
      <c r="H4975" s="0" t="s">
        <v>654</v>
      </c>
      <c r="I4975" s="0" t="s">
        <v>655</v>
      </c>
      <c r="J4975" s="0" t="s">
        <v>100</v>
      </c>
      <c r="K4975" s="0" t="s">
        <v>168</v>
      </c>
      <c r="L4975" s="0" t="s">
        <v>101</v>
      </c>
      <c r="M4975" s="0" t="s">
        <v>656</v>
      </c>
      <c r="N4975" s="0" t="s">
        <v>101</v>
      </c>
      <c r="P4975" s="0" t="s">
        <v>102</v>
      </c>
      <c r="Q4975" s="0" t="s">
        <v>102</v>
      </c>
      <c r="R4975" s="0" t="s">
        <v>131</v>
      </c>
      <c r="S4975" s="0" t="s">
        <v>21</v>
      </c>
      <c r="T4975" s="0" t="s">
        <v>104</v>
      </c>
      <c r="W4975" s="0" t="s">
        <v>105</v>
      </c>
      <c r="X4975" s="0" t="s">
        <v>658</v>
      </c>
      <c r="Y4975" s="0" t="s">
        <v>659</v>
      </c>
    </row>
    <row r="4976" customFormat="false" ht="15" hidden="false" customHeight="false" outlineLevel="0" collapsed="false">
      <c r="A4976" s="0" t="s">
        <v>21</v>
      </c>
      <c r="B4976" s="0" t="s">
        <v>14311</v>
      </c>
      <c r="C4976" s="0" t="s">
        <v>97</v>
      </c>
      <c r="D4976" s="0" t="s">
        <v>14312</v>
      </c>
      <c r="E4976" s="0" t="s">
        <v>14313</v>
      </c>
      <c r="M4976" s="0" t="s">
        <v>136</v>
      </c>
      <c r="N4976" s="0" t="s">
        <v>124</v>
      </c>
      <c r="P4976" s="0" t="s">
        <v>102</v>
      </c>
      <c r="Q4976" s="0" t="s">
        <v>102</v>
      </c>
      <c r="R4976" s="0" t="s">
        <v>224</v>
      </c>
      <c r="S4976" s="0" t="s">
        <v>21</v>
      </c>
      <c r="T4976" s="0" t="s">
        <v>104</v>
      </c>
      <c r="W4976" s="0" t="s">
        <v>105</v>
      </c>
    </row>
    <row r="4977" customFormat="false" ht="15" hidden="false" customHeight="false" outlineLevel="0" collapsed="false">
      <c r="A4977" s="0" t="s">
        <v>21</v>
      </c>
      <c r="B4977" s="0" t="s">
        <v>14314</v>
      </c>
      <c r="C4977" s="0" t="s">
        <v>97</v>
      </c>
      <c r="D4977" s="0" t="s">
        <v>14315</v>
      </c>
      <c r="E4977" s="0" t="s">
        <v>14315</v>
      </c>
      <c r="M4977" s="0" t="s">
        <v>136</v>
      </c>
      <c r="N4977" s="0" t="s">
        <v>124</v>
      </c>
      <c r="P4977" s="0" t="s">
        <v>102</v>
      </c>
      <c r="Q4977" s="0" t="s">
        <v>102</v>
      </c>
      <c r="R4977" s="0" t="s">
        <v>131</v>
      </c>
      <c r="S4977" s="0" t="s">
        <v>21</v>
      </c>
      <c r="T4977" s="0" t="s">
        <v>104</v>
      </c>
      <c r="W4977" s="0" t="s">
        <v>105</v>
      </c>
    </row>
    <row r="4978" customFormat="false" ht="15" hidden="false" customHeight="false" outlineLevel="0" collapsed="false">
      <c r="A4978" s="0" t="s">
        <v>21</v>
      </c>
      <c r="B4978" s="0" t="s">
        <v>14316</v>
      </c>
      <c r="C4978" s="0" t="s">
        <v>97</v>
      </c>
      <c r="D4978" s="0" t="s">
        <v>14317</v>
      </c>
      <c r="E4978" s="0" t="s">
        <v>14318</v>
      </c>
      <c r="M4978" s="0" t="s">
        <v>136</v>
      </c>
      <c r="N4978" s="0" t="s">
        <v>124</v>
      </c>
      <c r="P4978" s="0" t="s">
        <v>102</v>
      </c>
      <c r="Q4978" s="0" t="s">
        <v>102</v>
      </c>
      <c r="R4978" s="0" t="s">
        <v>131</v>
      </c>
      <c r="S4978" s="0" t="s">
        <v>21</v>
      </c>
      <c r="T4978" s="0" t="s">
        <v>104</v>
      </c>
      <c r="W4978" s="0" t="s">
        <v>105</v>
      </c>
    </row>
    <row r="4979" customFormat="false" ht="15" hidden="false" customHeight="false" outlineLevel="0" collapsed="false">
      <c r="A4979" s="0" t="s">
        <v>21</v>
      </c>
      <c r="B4979" s="0" t="s">
        <v>14319</v>
      </c>
      <c r="C4979" s="0" t="s">
        <v>97</v>
      </c>
      <c r="D4979" s="0" t="s">
        <v>14320</v>
      </c>
      <c r="E4979" s="0" t="s">
        <v>14321</v>
      </c>
      <c r="M4979" s="0" t="s">
        <v>656</v>
      </c>
      <c r="N4979" s="0" t="s">
        <v>101</v>
      </c>
      <c r="P4979" s="0" t="s">
        <v>102</v>
      </c>
      <c r="Q4979" s="0" t="s">
        <v>102</v>
      </c>
      <c r="R4979" s="0" t="s">
        <v>144</v>
      </c>
      <c r="S4979" s="0" t="s">
        <v>21</v>
      </c>
      <c r="T4979" s="0" t="s">
        <v>104</v>
      </c>
      <c r="W4979" s="0" t="s">
        <v>105</v>
      </c>
    </row>
    <row r="4980" customFormat="false" ht="15" hidden="false" customHeight="false" outlineLevel="0" collapsed="false">
      <c r="A4980" s="0" t="s">
        <v>21</v>
      </c>
      <c r="B4980" s="0" t="s">
        <v>14322</v>
      </c>
      <c r="C4980" s="0" t="s">
        <v>97</v>
      </c>
      <c r="D4980" s="0" t="s">
        <v>14323</v>
      </c>
      <c r="E4980" s="0" t="s">
        <v>14324</v>
      </c>
      <c r="G4980" s="0" t="s">
        <v>14325</v>
      </c>
      <c r="H4980" s="0" t="s">
        <v>654</v>
      </c>
      <c r="I4980" s="0" t="s">
        <v>655</v>
      </c>
      <c r="J4980" s="0" t="s">
        <v>100</v>
      </c>
      <c r="K4980" s="0" t="s">
        <v>168</v>
      </c>
      <c r="L4980" s="0" t="s">
        <v>101</v>
      </c>
      <c r="M4980" s="0" t="s">
        <v>656</v>
      </c>
      <c r="N4980" s="0" t="s">
        <v>101</v>
      </c>
      <c r="P4980" s="0" t="s">
        <v>102</v>
      </c>
      <c r="Q4980" s="0" t="s">
        <v>102</v>
      </c>
      <c r="R4980" s="0" t="s">
        <v>144</v>
      </c>
      <c r="S4980" s="0" t="s">
        <v>21</v>
      </c>
      <c r="T4980" s="0" t="s">
        <v>104</v>
      </c>
      <c r="W4980" s="0" t="s">
        <v>105</v>
      </c>
      <c r="X4980" s="0" t="s">
        <v>658</v>
      </c>
      <c r="Y4980" s="0" t="s">
        <v>659</v>
      </c>
    </row>
    <row r="4981" customFormat="false" ht="15" hidden="false" customHeight="false" outlineLevel="0" collapsed="false">
      <c r="A4981" s="0" t="s">
        <v>21</v>
      </c>
      <c r="B4981" s="0" t="s">
        <v>14326</v>
      </c>
      <c r="C4981" s="0" t="s">
        <v>97</v>
      </c>
      <c r="D4981" s="0" t="s">
        <v>14327</v>
      </c>
      <c r="E4981" s="0" t="s">
        <v>14328</v>
      </c>
      <c r="G4981" s="0" t="s">
        <v>14329</v>
      </c>
      <c r="H4981" s="0" t="s">
        <v>654</v>
      </c>
      <c r="I4981" s="0" t="s">
        <v>655</v>
      </c>
      <c r="J4981" s="0" t="s">
        <v>100</v>
      </c>
      <c r="K4981" s="0" t="s">
        <v>168</v>
      </c>
      <c r="L4981" s="0" t="s">
        <v>101</v>
      </c>
      <c r="M4981" s="0" t="s">
        <v>656</v>
      </c>
      <c r="N4981" s="0" t="s">
        <v>101</v>
      </c>
      <c r="P4981" s="0" t="s">
        <v>102</v>
      </c>
      <c r="Q4981" s="0" t="s">
        <v>102</v>
      </c>
      <c r="R4981" s="0" t="s">
        <v>144</v>
      </c>
      <c r="S4981" s="0" t="s">
        <v>21</v>
      </c>
      <c r="T4981" s="0" t="s">
        <v>104</v>
      </c>
      <c r="W4981" s="0" t="s">
        <v>105</v>
      </c>
      <c r="X4981" s="0" t="s">
        <v>658</v>
      </c>
      <c r="Y4981" s="0" t="s">
        <v>659</v>
      </c>
    </row>
    <row r="4982" customFormat="false" ht="15" hidden="false" customHeight="false" outlineLevel="0" collapsed="false">
      <c r="A4982" s="0" t="s">
        <v>21</v>
      </c>
      <c r="B4982" s="0" t="s">
        <v>14330</v>
      </c>
      <c r="C4982" s="0" t="s">
        <v>97</v>
      </c>
      <c r="D4982" s="0" t="s">
        <v>14331</v>
      </c>
      <c r="E4982" s="0" t="s">
        <v>14328</v>
      </c>
      <c r="M4982" s="0" t="s">
        <v>100</v>
      </c>
      <c r="N4982" s="0" t="s">
        <v>101</v>
      </c>
      <c r="P4982" s="0" t="s">
        <v>102</v>
      </c>
      <c r="Q4982" s="0" t="s">
        <v>102</v>
      </c>
      <c r="R4982" s="0" t="s">
        <v>144</v>
      </c>
      <c r="S4982" s="0" t="s">
        <v>21</v>
      </c>
      <c r="T4982" s="0" t="s">
        <v>104</v>
      </c>
      <c r="W4982" s="0" t="s">
        <v>105</v>
      </c>
    </row>
    <row r="4983" customFormat="false" ht="15" hidden="false" customHeight="false" outlineLevel="0" collapsed="false">
      <c r="A4983" s="0" t="s">
        <v>21</v>
      </c>
      <c r="B4983" s="0" t="s">
        <v>14332</v>
      </c>
      <c r="C4983" s="0" t="s">
        <v>97</v>
      </c>
      <c r="D4983" s="0" t="s">
        <v>14333</v>
      </c>
      <c r="E4983" s="0" t="s">
        <v>14334</v>
      </c>
      <c r="H4983" s="0" t="s">
        <v>654</v>
      </c>
      <c r="I4983" s="0" t="s">
        <v>655</v>
      </c>
      <c r="J4983" s="0" t="s">
        <v>100</v>
      </c>
      <c r="K4983" s="0" t="s">
        <v>168</v>
      </c>
      <c r="L4983" s="0" t="s">
        <v>101</v>
      </c>
      <c r="M4983" s="0" t="s">
        <v>656</v>
      </c>
      <c r="N4983" s="0" t="s">
        <v>101</v>
      </c>
      <c r="P4983" s="0" t="s">
        <v>102</v>
      </c>
      <c r="Q4983" s="0" t="s">
        <v>102</v>
      </c>
      <c r="R4983" s="0" t="s">
        <v>113</v>
      </c>
      <c r="S4983" s="0" t="s">
        <v>21</v>
      </c>
      <c r="T4983" s="0" t="s">
        <v>104</v>
      </c>
      <c r="W4983" s="0" t="s">
        <v>105</v>
      </c>
      <c r="X4983" s="0" t="s">
        <v>658</v>
      </c>
      <c r="Y4983" s="0" t="s">
        <v>659</v>
      </c>
    </row>
    <row r="4984" customFormat="false" ht="15" hidden="false" customHeight="false" outlineLevel="0" collapsed="false">
      <c r="A4984" s="0" t="s">
        <v>21</v>
      </c>
      <c r="B4984" s="0" t="s">
        <v>14335</v>
      </c>
      <c r="C4984" s="0" t="s">
        <v>97</v>
      </c>
      <c r="D4984" s="0" t="s">
        <v>14336</v>
      </c>
      <c r="E4984" s="0" t="s">
        <v>14337</v>
      </c>
      <c r="G4984" s="0" t="s">
        <v>14338</v>
      </c>
      <c r="H4984" s="0" t="s">
        <v>654</v>
      </c>
      <c r="I4984" s="0" t="s">
        <v>655</v>
      </c>
      <c r="J4984" s="0" t="s">
        <v>100</v>
      </c>
      <c r="K4984" s="0" t="s">
        <v>168</v>
      </c>
      <c r="L4984" s="0" t="s">
        <v>101</v>
      </c>
      <c r="M4984" s="0" t="s">
        <v>656</v>
      </c>
      <c r="N4984" s="0" t="s">
        <v>101</v>
      </c>
      <c r="P4984" s="0" t="s">
        <v>102</v>
      </c>
      <c r="Q4984" s="0" t="s">
        <v>102</v>
      </c>
      <c r="R4984" s="0" t="s">
        <v>144</v>
      </c>
      <c r="S4984" s="0" t="s">
        <v>21</v>
      </c>
      <c r="T4984" s="0" t="s">
        <v>104</v>
      </c>
      <c r="W4984" s="0" t="s">
        <v>105</v>
      </c>
      <c r="X4984" s="0" t="s">
        <v>658</v>
      </c>
      <c r="Y4984" s="0" t="s">
        <v>659</v>
      </c>
    </row>
    <row r="4985" customFormat="false" ht="15" hidden="false" customHeight="false" outlineLevel="0" collapsed="false">
      <c r="A4985" s="0" t="s">
        <v>21</v>
      </c>
      <c r="B4985" s="0" t="s">
        <v>14339</v>
      </c>
      <c r="C4985" s="0" t="s">
        <v>97</v>
      </c>
      <c r="D4985" s="0" t="s">
        <v>14340</v>
      </c>
      <c r="E4985" s="0" t="s">
        <v>14341</v>
      </c>
      <c r="M4985" s="0" t="s">
        <v>136</v>
      </c>
      <c r="N4985" s="0" t="s">
        <v>124</v>
      </c>
      <c r="P4985" s="0" t="s">
        <v>102</v>
      </c>
      <c r="Q4985" s="0" t="s">
        <v>102</v>
      </c>
      <c r="R4985" s="0" t="s">
        <v>131</v>
      </c>
      <c r="S4985" s="0" t="s">
        <v>21</v>
      </c>
      <c r="T4985" s="0" t="s">
        <v>104</v>
      </c>
      <c r="W4985" s="0" t="s">
        <v>105</v>
      </c>
    </row>
    <row r="4986" customFormat="false" ht="15" hidden="false" customHeight="false" outlineLevel="0" collapsed="false">
      <c r="A4986" s="0" t="s">
        <v>21</v>
      </c>
      <c r="B4986" s="0" t="s">
        <v>14342</v>
      </c>
      <c r="C4986" s="0" t="s">
        <v>97</v>
      </c>
      <c r="D4986" s="0" t="s">
        <v>14340</v>
      </c>
      <c r="E4986" s="0" t="s">
        <v>14341</v>
      </c>
      <c r="M4986" s="0" t="s">
        <v>136</v>
      </c>
      <c r="N4986" s="0" t="s">
        <v>124</v>
      </c>
      <c r="P4986" s="0" t="s">
        <v>102</v>
      </c>
      <c r="Q4986" s="0" t="s">
        <v>102</v>
      </c>
      <c r="R4986" s="0" t="s">
        <v>131</v>
      </c>
      <c r="S4986" s="0" t="s">
        <v>21</v>
      </c>
      <c r="T4986" s="0" t="s">
        <v>104</v>
      </c>
      <c r="W4986" s="0" t="s">
        <v>105</v>
      </c>
    </row>
    <row r="4987" customFormat="false" ht="15" hidden="false" customHeight="false" outlineLevel="0" collapsed="false">
      <c r="A4987" s="0" t="s">
        <v>21</v>
      </c>
      <c r="B4987" s="0" t="s">
        <v>14343</v>
      </c>
      <c r="C4987" s="0" t="s">
        <v>97</v>
      </c>
      <c r="D4987" s="0" t="s">
        <v>14344</v>
      </c>
      <c r="E4987" s="0" t="s">
        <v>14345</v>
      </c>
      <c r="H4987" s="0" t="s">
        <v>654</v>
      </c>
      <c r="I4987" s="0" t="s">
        <v>655</v>
      </c>
      <c r="J4987" s="0" t="s">
        <v>100</v>
      </c>
      <c r="K4987" s="0" t="s">
        <v>168</v>
      </c>
      <c r="L4987" s="0" t="s">
        <v>101</v>
      </c>
      <c r="M4987" s="0" t="s">
        <v>656</v>
      </c>
      <c r="N4987" s="0" t="s">
        <v>101</v>
      </c>
      <c r="P4987" s="0" t="s">
        <v>102</v>
      </c>
      <c r="Q4987" s="0" t="s">
        <v>102</v>
      </c>
      <c r="R4987" s="0" t="s">
        <v>144</v>
      </c>
      <c r="S4987" s="0" t="s">
        <v>21</v>
      </c>
      <c r="T4987" s="0" t="s">
        <v>104</v>
      </c>
      <c r="W4987" s="0" t="s">
        <v>105</v>
      </c>
      <c r="X4987" s="0" t="s">
        <v>658</v>
      </c>
      <c r="Y4987" s="0" t="s">
        <v>659</v>
      </c>
    </row>
    <row r="4988" customFormat="false" ht="15" hidden="false" customHeight="false" outlineLevel="0" collapsed="false">
      <c r="A4988" s="0" t="s">
        <v>21</v>
      </c>
      <c r="B4988" s="0" t="s">
        <v>14346</v>
      </c>
      <c r="C4988" s="0" t="s">
        <v>97</v>
      </c>
      <c r="D4988" s="0" t="s">
        <v>14347</v>
      </c>
      <c r="E4988" s="0" t="s">
        <v>14348</v>
      </c>
      <c r="H4988" s="0" t="s">
        <v>654</v>
      </c>
      <c r="I4988" s="0" t="s">
        <v>655</v>
      </c>
      <c r="J4988" s="0" t="s">
        <v>100</v>
      </c>
      <c r="K4988" s="0" t="s">
        <v>168</v>
      </c>
      <c r="L4988" s="0" t="s">
        <v>101</v>
      </c>
      <c r="M4988" s="0" t="s">
        <v>656</v>
      </c>
      <c r="N4988" s="0" t="s">
        <v>101</v>
      </c>
      <c r="P4988" s="0" t="s">
        <v>102</v>
      </c>
      <c r="Q4988" s="0" t="s">
        <v>102</v>
      </c>
      <c r="R4988" s="0" t="s">
        <v>113</v>
      </c>
      <c r="S4988" s="0" t="s">
        <v>21</v>
      </c>
      <c r="T4988" s="0" t="s">
        <v>104</v>
      </c>
      <c r="W4988" s="0" t="s">
        <v>105</v>
      </c>
      <c r="X4988" s="0" t="s">
        <v>658</v>
      </c>
      <c r="Y4988" s="0" t="s">
        <v>659</v>
      </c>
    </row>
    <row r="4989" customFormat="false" ht="15" hidden="false" customHeight="false" outlineLevel="0" collapsed="false">
      <c r="A4989" s="0" t="s">
        <v>21</v>
      </c>
      <c r="B4989" s="0" t="s">
        <v>14349</v>
      </c>
      <c r="C4989" s="0" t="s">
        <v>97</v>
      </c>
      <c r="D4989" s="0" t="s">
        <v>14350</v>
      </c>
      <c r="E4989" s="0" t="s">
        <v>14351</v>
      </c>
      <c r="M4989" s="0" t="s">
        <v>448</v>
      </c>
      <c r="N4989" s="0" t="s">
        <v>101</v>
      </c>
      <c r="P4989" s="0" t="s">
        <v>102</v>
      </c>
      <c r="Q4989" s="0" t="s">
        <v>102</v>
      </c>
      <c r="R4989" s="0" t="s">
        <v>113</v>
      </c>
      <c r="S4989" s="0" t="s">
        <v>21</v>
      </c>
      <c r="T4989" s="0" t="s">
        <v>104</v>
      </c>
      <c r="W4989" s="0" t="s">
        <v>105</v>
      </c>
    </row>
    <row r="4990" customFormat="false" ht="15" hidden="false" customHeight="false" outlineLevel="0" collapsed="false">
      <c r="A4990" s="0" t="s">
        <v>21</v>
      </c>
      <c r="B4990" s="0" t="s">
        <v>14352</v>
      </c>
      <c r="C4990" s="0" t="s">
        <v>97</v>
      </c>
      <c r="D4990" s="0" t="s">
        <v>14353</v>
      </c>
      <c r="E4990" s="0" t="s">
        <v>14354</v>
      </c>
      <c r="M4990" s="0" t="s">
        <v>136</v>
      </c>
      <c r="N4990" s="0" t="s">
        <v>124</v>
      </c>
      <c r="P4990" s="0" t="s">
        <v>102</v>
      </c>
      <c r="Q4990" s="0" t="s">
        <v>102</v>
      </c>
      <c r="R4990" s="0" t="s">
        <v>144</v>
      </c>
      <c r="S4990" s="0" t="s">
        <v>21</v>
      </c>
      <c r="T4990" s="0" t="s">
        <v>104</v>
      </c>
      <c r="W4990" s="0" t="s">
        <v>105</v>
      </c>
    </row>
    <row r="4991" customFormat="false" ht="15" hidden="false" customHeight="false" outlineLevel="0" collapsed="false">
      <c r="A4991" s="0" t="s">
        <v>21</v>
      </c>
      <c r="B4991" s="0" t="s">
        <v>14355</v>
      </c>
      <c r="C4991" s="0" t="s">
        <v>97</v>
      </c>
      <c r="D4991" s="0" t="s">
        <v>14356</v>
      </c>
      <c r="E4991" s="0" t="s">
        <v>14357</v>
      </c>
      <c r="G4991" s="0" t="s">
        <v>14358</v>
      </c>
      <c r="H4991" s="0" t="s">
        <v>654</v>
      </c>
      <c r="I4991" s="0" t="s">
        <v>655</v>
      </c>
      <c r="J4991" s="0" t="s">
        <v>100</v>
      </c>
      <c r="K4991" s="0" t="s">
        <v>168</v>
      </c>
      <c r="L4991" s="0" t="s">
        <v>101</v>
      </c>
      <c r="M4991" s="0" t="s">
        <v>656</v>
      </c>
      <c r="N4991" s="0" t="s">
        <v>101</v>
      </c>
      <c r="P4991" s="0" t="s">
        <v>102</v>
      </c>
      <c r="Q4991" s="0" t="s">
        <v>102</v>
      </c>
      <c r="R4991" s="0" t="s">
        <v>131</v>
      </c>
      <c r="S4991" s="0" t="s">
        <v>21</v>
      </c>
      <c r="T4991" s="0" t="s">
        <v>104</v>
      </c>
      <c r="W4991" s="0" t="s">
        <v>105</v>
      </c>
      <c r="X4991" s="0" t="s">
        <v>658</v>
      </c>
      <c r="Y4991" s="0" t="s">
        <v>659</v>
      </c>
    </row>
    <row r="4992" customFormat="false" ht="15" hidden="false" customHeight="false" outlineLevel="0" collapsed="false">
      <c r="A4992" s="0" t="s">
        <v>21</v>
      </c>
      <c r="B4992" s="0" t="s">
        <v>14359</v>
      </c>
      <c r="C4992" s="0" t="s">
        <v>97</v>
      </c>
      <c r="D4992" s="0" t="s">
        <v>14360</v>
      </c>
      <c r="E4992" s="0" t="s">
        <v>14361</v>
      </c>
      <c r="M4992" s="0" t="s">
        <v>100</v>
      </c>
      <c r="N4992" s="0" t="s">
        <v>101</v>
      </c>
      <c r="P4992" s="0" t="s">
        <v>102</v>
      </c>
      <c r="Q4992" s="0" t="s">
        <v>102</v>
      </c>
      <c r="R4992" s="0" t="s">
        <v>144</v>
      </c>
      <c r="S4992" s="0" t="s">
        <v>21</v>
      </c>
      <c r="T4992" s="0" t="s">
        <v>104</v>
      </c>
      <c r="W4992" s="0" t="s">
        <v>105</v>
      </c>
    </row>
    <row r="4993" customFormat="false" ht="15" hidden="false" customHeight="false" outlineLevel="0" collapsed="false">
      <c r="A4993" s="0" t="s">
        <v>21</v>
      </c>
      <c r="B4993" s="0" t="s">
        <v>14362</v>
      </c>
      <c r="C4993" s="0" t="s">
        <v>97</v>
      </c>
      <c r="D4993" s="0" t="s">
        <v>14363</v>
      </c>
      <c r="E4993" s="0" t="s">
        <v>14364</v>
      </c>
      <c r="G4993" s="0" t="s">
        <v>14365</v>
      </c>
      <c r="H4993" s="0" t="s">
        <v>654</v>
      </c>
      <c r="I4993" s="0" t="s">
        <v>655</v>
      </c>
      <c r="J4993" s="0" t="s">
        <v>100</v>
      </c>
      <c r="K4993" s="0" t="s">
        <v>168</v>
      </c>
      <c r="L4993" s="0" t="s">
        <v>101</v>
      </c>
      <c r="M4993" s="0" t="s">
        <v>656</v>
      </c>
      <c r="N4993" s="0" t="s">
        <v>101</v>
      </c>
      <c r="P4993" s="0" t="s">
        <v>102</v>
      </c>
      <c r="Q4993" s="0" t="s">
        <v>102</v>
      </c>
      <c r="R4993" s="0" t="s">
        <v>131</v>
      </c>
      <c r="S4993" s="0" t="s">
        <v>21</v>
      </c>
      <c r="T4993" s="0" t="s">
        <v>104</v>
      </c>
      <c r="W4993" s="0" t="s">
        <v>105</v>
      </c>
      <c r="X4993" s="0" t="s">
        <v>658</v>
      </c>
      <c r="Y4993" s="0" t="s">
        <v>659</v>
      </c>
    </row>
    <row r="4994" customFormat="false" ht="15" hidden="false" customHeight="false" outlineLevel="0" collapsed="false">
      <c r="A4994" s="0" t="s">
        <v>21</v>
      </c>
      <c r="B4994" s="0" t="s">
        <v>14366</v>
      </c>
      <c r="C4994" s="0" t="s">
        <v>97</v>
      </c>
      <c r="D4994" s="0" t="s">
        <v>14367</v>
      </c>
      <c r="E4994" s="0" t="s">
        <v>14368</v>
      </c>
      <c r="M4994" s="0" t="s">
        <v>100</v>
      </c>
      <c r="N4994" s="0" t="s">
        <v>101</v>
      </c>
      <c r="P4994" s="0" t="s">
        <v>102</v>
      </c>
      <c r="Q4994" s="0" t="s">
        <v>102</v>
      </c>
      <c r="R4994" s="0" t="s">
        <v>144</v>
      </c>
      <c r="S4994" s="0" t="s">
        <v>21</v>
      </c>
      <c r="T4994" s="0" t="s">
        <v>104</v>
      </c>
      <c r="W4994" s="0" t="s">
        <v>105</v>
      </c>
    </row>
    <row r="4995" customFormat="false" ht="15" hidden="false" customHeight="false" outlineLevel="0" collapsed="false">
      <c r="A4995" s="0" t="s">
        <v>21</v>
      </c>
      <c r="B4995" s="0" t="s">
        <v>14369</v>
      </c>
      <c r="C4995" s="0" t="s">
        <v>97</v>
      </c>
      <c r="D4995" s="0" t="s">
        <v>14370</v>
      </c>
      <c r="E4995" s="0" t="s">
        <v>14371</v>
      </c>
      <c r="H4995" s="0" t="s">
        <v>654</v>
      </c>
      <c r="I4995" s="0" t="s">
        <v>655</v>
      </c>
      <c r="J4995" s="0" t="s">
        <v>100</v>
      </c>
      <c r="K4995" s="0" t="s">
        <v>168</v>
      </c>
      <c r="L4995" s="0" t="s">
        <v>101</v>
      </c>
      <c r="M4995" s="0" t="s">
        <v>656</v>
      </c>
      <c r="N4995" s="0" t="s">
        <v>101</v>
      </c>
      <c r="P4995" s="0" t="s">
        <v>102</v>
      </c>
      <c r="Q4995" s="0" t="s">
        <v>102</v>
      </c>
      <c r="R4995" s="0" t="s">
        <v>144</v>
      </c>
      <c r="S4995" s="0" t="s">
        <v>21</v>
      </c>
      <c r="T4995" s="0" t="s">
        <v>104</v>
      </c>
      <c r="W4995" s="0" t="s">
        <v>105</v>
      </c>
      <c r="X4995" s="0" t="s">
        <v>658</v>
      </c>
      <c r="Y4995" s="0" t="s">
        <v>659</v>
      </c>
    </row>
    <row r="4996" customFormat="false" ht="15" hidden="false" customHeight="false" outlineLevel="0" collapsed="false">
      <c r="A4996" s="0" t="s">
        <v>21</v>
      </c>
      <c r="B4996" s="0" t="s">
        <v>14372</v>
      </c>
      <c r="C4996" s="0" t="s">
        <v>97</v>
      </c>
      <c r="D4996" s="0" t="s">
        <v>14373</v>
      </c>
      <c r="E4996" s="0" t="s">
        <v>14373</v>
      </c>
      <c r="F4996" s="0" t="s">
        <v>14373</v>
      </c>
      <c r="M4996" s="0" t="s">
        <v>136</v>
      </c>
      <c r="N4996" s="0" t="s">
        <v>124</v>
      </c>
      <c r="P4996" s="0" t="s">
        <v>102</v>
      </c>
      <c r="Q4996" s="0" t="s">
        <v>102</v>
      </c>
      <c r="R4996" s="0" t="s">
        <v>131</v>
      </c>
      <c r="S4996" s="0" t="s">
        <v>21</v>
      </c>
      <c r="T4996" s="0" t="s">
        <v>104</v>
      </c>
      <c r="W4996" s="0" t="s">
        <v>105</v>
      </c>
    </row>
    <row r="4997" customFormat="false" ht="15" hidden="false" customHeight="false" outlineLevel="0" collapsed="false">
      <c r="A4997" s="0" t="s">
        <v>21</v>
      </c>
      <c r="B4997" s="0" t="s">
        <v>14374</v>
      </c>
      <c r="C4997" s="0" t="s">
        <v>4845</v>
      </c>
      <c r="D4997" s="0" t="s">
        <v>14375</v>
      </c>
      <c r="E4997" s="0" t="s">
        <v>14376</v>
      </c>
      <c r="G4997" s="0" t="s">
        <v>14377</v>
      </c>
      <c r="M4997" s="0" t="s">
        <v>430</v>
      </c>
      <c r="N4997" s="0" t="s">
        <v>101</v>
      </c>
      <c r="P4997" s="0" t="s">
        <v>102</v>
      </c>
      <c r="Q4997" s="0" t="s">
        <v>102</v>
      </c>
      <c r="R4997" s="0" t="s">
        <v>131</v>
      </c>
      <c r="S4997" s="0" t="s">
        <v>21</v>
      </c>
      <c r="T4997" s="0" t="s">
        <v>104</v>
      </c>
      <c r="W4997" s="0" t="s">
        <v>105</v>
      </c>
    </row>
    <row r="4998" customFormat="false" ht="15" hidden="false" customHeight="false" outlineLevel="0" collapsed="false">
      <c r="A4998" s="0" t="s">
        <v>21</v>
      </c>
      <c r="B4998" s="0" t="s">
        <v>14378</v>
      </c>
      <c r="C4998" s="0" t="s">
        <v>97</v>
      </c>
      <c r="D4998" s="0" t="s">
        <v>4601</v>
      </c>
      <c r="E4998" s="0" t="s">
        <v>4601</v>
      </c>
      <c r="M4998" s="0" t="s">
        <v>442</v>
      </c>
      <c r="N4998" s="0" t="s">
        <v>101</v>
      </c>
      <c r="P4998" s="0" t="s">
        <v>102</v>
      </c>
      <c r="Q4998" s="0" t="s">
        <v>102</v>
      </c>
      <c r="R4998" s="0" t="s">
        <v>131</v>
      </c>
      <c r="S4998" s="0" t="s">
        <v>21</v>
      </c>
      <c r="T4998" s="0" t="s">
        <v>104</v>
      </c>
      <c r="W4998" s="0" t="s">
        <v>105</v>
      </c>
    </row>
    <row r="4999" customFormat="false" ht="15" hidden="false" customHeight="false" outlineLevel="0" collapsed="false">
      <c r="A4999" s="0" t="s">
        <v>21</v>
      </c>
      <c r="B4999" s="0" t="s">
        <v>14379</v>
      </c>
      <c r="C4999" s="0" t="s">
        <v>2145</v>
      </c>
      <c r="D4999" s="0" t="s">
        <v>14380</v>
      </c>
      <c r="E4999" s="0" t="s">
        <v>14381</v>
      </c>
      <c r="G4999" s="0" t="s">
        <v>14382</v>
      </c>
      <c r="M4999" s="0" t="s">
        <v>167</v>
      </c>
      <c r="N4999" s="0" t="s">
        <v>101</v>
      </c>
      <c r="P4999" s="0" t="s">
        <v>102</v>
      </c>
      <c r="Q4999" s="0" t="s">
        <v>102</v>
      </c>
      <c r="R4999" s="0" t="s">
        <v>113</v>
      </c>
      <c r="S4999" s="0" t="s">
        <v>21</v>
      </c>
      <c r="T4999" s="0" t="s">
        <v>104</v>
      </c>
      <c r="W4999" s="0" t="s">
        <v>105</v>
      </c>
    </row>
    <row r="5000" customFormat="false" ht="15" hidden="false" customHeight="false" outlineLevel="0" collapsed="false">
      <c r="A5000" s="0" t="s">
        <v>21</v>
      </c>
      <c r="B5000" s="0" t="s">
        <v>14383</v>
      </c>
      <c r="C5000" s="0" t="s">
        <v>97</v>
      </c>
      <c r="D5000" s="0" t="s">
        <v>14384</v>
      </c>
      <c r="E5000" s="0" t="s">
        <v>14385</v>
      </c>
      <c r="G5000" s="0" t="s">
        <v>14386</v>
      </c>
      <c r="H5000" s="0" t="s">
        <v>654</v>
      </c>
      <c r="I5000" s="0" t="s">
        <v>655</v>
      </c>
      <c r="J5000" s="0" t="s">
        <v>100</v>
      </c>
      <c r="K5000" s="0" t="s">
        <v>168</v>
      </c>
      <c r="L5000" s="0" t="s">
        <v>101</v>
      </c>
      <c r="M5000" s="0" t="s">
        <v>656</v>
      </c>
      <c r="N5000" s="0" t="s">
        <v>101</v>
      </c>
      <c r="P5000" s="0" t="s">
        <v>102</v>
      </c>
      <c r="Q5000" s="0" t="s">
        <v>102</v>
      </c>
      <c r="R5000" s="0" t="s">
        <v>131</v>
      </c>
      <c r="S5000" s="0" t="s">
        <v>21</v>
      </c>
      <c r="T5000" s="0" t="s">
        <v>104</v>
      </c>
      <c r="W5000" s="0" t="s">
        <v>105</v>
      </c>
      <c r="X5000" s="0" t="s">
        <v>658</v>
      </c>
      <c r="Y5000" s="0" t="s">
        <v>659</v>
      </c>
    </row>
    <row r="5001" customFormat="false" ht="15" hidden="false" customHeight="false" outlineLevel="0" collapsed="false">
      <c r="A5001" s="0" t="s">
        <v>21</v>
      </c>
      <c r="B5001" s="0" t="s">
        <v>14387</v>
      </c>
      <c r="C5001" s="0" t="s">
        <v>97</v>
      </c>
      <c r="D5001" s="0" t="s">
        <v>14388</v>
      </c>
      <c r="E5001" s="0" t="s">
        <v>14388</v>
      </c>
      <c r="M5001" s="0" t="s">
        <v>442</v>
      </c>
      <c r="N5001" s="0" t="s">
        <v>101</v>
      </c>
      <c r="P5001" s="0" t="s">
        <v>102</v>
      </c>
      <c r="Q5001" s="0" t="s">
        <v>102</v>
      </c>
      <c r="R5001" s="0" t="s">
        <v>131</v>
      </c>
      <c r="S5001" s="0" t="s">
        <v>21</v>
      </c>
      <c r="T5001" s="0" t="s">
        <v>104</v>
      </c>
      <c r="W5001" s="0" t="s">
        <v>105</v>
      </c>
    </row>
    <row r="5002" customFormat="false" ht="15" hidden="false" customHeight="false" outlineLevel="0" collapsed="false">
      <c r="A5002" s="0" t="s">
        <v>21</v>
      </c>
      <c r="B5002" s="0" t="s">
        <v>14389</v>
      </c>
      <c r="C5002" s="0" t="s">
        <v>97</v>
      </c>
      <c r="D5002" s="0" t="s">
        <v>14390</v>
      </c>
      <c r="E5002" s="0" t="s">
        <v>14390</v>
      </c>
      <c r="F5002" s="0" t="s">
        <v>14390</v>
      </c>
      <c r="M5002" s="0" t="s">
        <v>136</v>
      </c>
      <c r="N5002" s="0" t="s">
        <v>124</v>
      </c>
      <c r="P5002" s="0" t="s">
        <v>102</v>
      </c>
      <c r="Q5002" s="0" t="s">
        <v>102</v>
      </c>
      <c r="R5002" s="0" t="s">
        <v>131</v>
      </c>
      <c r="S5002" s="0" t="s">
        <v>21</v>
      </c>
      <c r="T5002" s="0" t="s">
        <v>104</v>
      </c>
      <c r="W5002" s="0" t="s">
        <v>105</v>
      </c>
    </row>
    <row r="5003" customFormat="false" ht="15" hidden="false" customHeight="false" outlineLevel="0" collapsed="false">
      <c r="A5003" s="0" t="s">
        <v>21</v>
      </c>
      <c r="B5003" s="0" t="s">
        <v>14391</v>
      </c>
      <c r="C5003" s="0" t="s">
        <v>97</v>
      </c>
      <c r="D5003" s="0" t="s">
        <v>14392</v>
      </c>
      <c r="E5003" s="0" t="s">
        <v>14392</v>
      </c>
      <c r="F5003" s="0" t="s">
        <v>14392</v>
      </c>
      <c r="M5003" s="0" t="s">
        <v>100</v>
      </c>
      <c r="N5003" s="0" t="s">
        <v>101</v>
      </c>
      <c r="P5003" s="0" t="s">
        <v>102</v>
      </c>
      <c r="Q5003" s="0" t="s">
        <v>102</v>
      </c>
      <c r="R5003" s="0" t="s">
        <v>131</v>
      </c>
      <c r="S5003" s="0" t="s">
        <v>21</v>
      </c>
      <c r="T5003" s="0" t="s">
        <v>104</v>
      </c>
      <c r="W5003" s="0" t="s">
        <v>105</v>
      </c>
    </row>
    <row r="5004" customFormat="false" ht="15" hidden="false" customHeight="false" outlineLevel="0" collapsed="false">
      <c r="A5004" s="0" t="s">
        <v>21</v>
      </c>
      <c r="B5004" s="0" t="s">
        <v>14393</v>
      </c>
      <c r="C5004" s="0" t="s">
        <v>97</v>
      </c>
      <c r="D5004" s="0" t="s">
        <v>14394</v>
      </c>
      <c r="E5004" s="0" t="s">
        <v>14394</v>
      </c>
      <c r="F5004" s="0" t="s">
        <v>14394</v>
      </c>
      <c r="M5004" s="0" t="s">
        <v>100</v>
      </c>
      <c r="N5004" s="0" t="s">
        <v>101</v>
      </c>
      <c r="P5004" s="0" t="s">
        <v>102</v>
      </c>
      <c r="Q5004" s="0" t="s">
        <v>102</v>
      </c>
      <c r="R5004" s="0" t="s">
        <v>131</v>
      </c>
      <c r="S5004" s="0" t="s">
        <v>21</v>
      </c>
      <c r="T5004" s="0" t="s">
        <v>104</v>
      </c>
      <c r="W5004" s="0" t="s">
        <v>105</v>
      </c>
    </row>
    <row r="5005" customFormat="false" ht="15" hidden="false" customHeight="false" outlineLevel="0" collapsed="false">
      <c r="A5005" s="0" t="s">
        <v>21</v>
      </c>
      <c r="B5005" s="0" t="s">
        <v>14395</v>
      </c>
      <c r="C5005" s="0" t="s">
        <v>97</v>
      </c>
      <c r="D5005" s="0" t="s">
        <v>14396</v>
      </c>
      <c r="E5005" s="0" t="s">
        <v>14396</v>
      </c>
      <c r="M5005" s="0" t="s">
        <v>442</v>
      </c>
      <c r="N5005" s="0" t="s">
        <v>101</v>
      </c>
      <c r="P5005" s="0" t="s">
        <v>102</v>
      </c>
      <c r="Q5005" s="0" t="s">
        <v>102</v>
      </c>
      <c r="R5005" s="0" t="s">
        <v>131</v>
      </c>
      <c r="S5005" s="0" t="s">
        <v>21</v>
      </c>
      <c r="T5005" s="0" t="s">
        <v>104</v>
      </c>
      <c r="W5005" s="0" t="s">
        <v>105</v>
      </c>
    </row>
    <row r="5006" customFormat="false" ht="15" hidden="false" customHeight="false" outlineLevel="0" collapsed="false">
      <c r="A5006" s="0" t="s">
        <v>21</v>
      </c>
      <c r="B5006" s="0" t="s">
        <v>14397</v>
      </c>
      <c r="C5006" s="0" t="s">
        <v>97</v>
      </c>
      <c r="D5006" s="0" t="s">
        <v>14398</v>
      </c>
      <c r="E5006" s="0" t="s">
        <v>14398</v>
      </c>
      <c r="M5006" s="0" t="s">
        <v>442</v>
      </c>
      <c r="N5006" s="0" t="s">
        <v>101</v>
      </c>
      <c r="P5006" s="0" t="s">
        <v>102</v>
      </c>
      <c r="Q5006" s="0" t="s">
        <v>102</v>
      </c>
      <c r="R5006" s="0" t="s">
        <v>131</v>
      </c>
      <c r="S5006" s="0" t="s">
        <v>21</v>
      </c>
      <c r="T5006" s="0" t="s">
        <v>104</v>
      </c>
      <c r="W5006" s="0" t="s">
        <v>105</v>
      </c>
    </row>
    <row r="5007" customFormat="false" ht="15" hidden="false" customHeight="false" outlineLevel="0" collapsed="false">
      <c r="A5007" s="0" t="s">
        <v>21</v>
      </c>
      <c r="B5007" s="0" t="s">
        <v>14399</v>
      </c>
      <c r="C5007" s="0" t="s">
        <v>97</v>
      </c>
      <c r="D5007" s="0" t="s">
        <v>14394</v>
      </c>
      <c r="E5007" s="0" t="s">
        <v>14394</v>
      </c>
      <c r="M5007" s="0" t="s">
        <v>442</v>
      </c>
      <c r="N5007" s="0" t="s">
        <v>101</v>
      </c>
      <c r="P5007" s="0" t="s">
        <v>102</v>
      </c>
      <c r="Q5007" s="0" t="s">
        <v>102</v>
      </c>
      <c r="R5007" s="0" t="s">
        <v>131</v>
      </c>
      <c r="S5007" s="0" t="s">
        <v>21</v>
      </c>
      <c r="T5007" s="0" t="s">
        <v>104</v>
      </c>
      <c r="W5007" s="0" t="s">
        <v>105</v>
      </c>
    </row>
    <row r="5008" customFormat="false" ht="15" hidden="false" customHeight="false" outlineLevel="0" collapsed="false">
      <c r="A5008" s="0" t="s">
        <v>21</v>
      </c>
      <c r="B5008" s="0" t="s">
        <v>14400</v>
      </c>
      <c r="C5008" s="0" t="s">
        <v>97</v>
      </c>
      <c r="D5008" s="0" t="s">
        <v>14401</v>
      </c>
      <c r="E5008" s="0" t="s">
        <v>14401</v>
      </c>
      <c r="F5008" s="0" t="s">
        <v>14401</v>
      </c>
      <c r="M5008" s="0" t="s">
        <v>136</v>
      </c>
      <c r="N5008" s="0" t="s">
        <v>124</v>
      </c>
      <c r="P5008" s="0" t="s">
        <v>102</v>
      </c>
      <c r="Q5008" s="0" t="s">
        <v>102</v>
      </c>
      <c r="R5008" s="0" t="s">
        <v>131</v>
      </c>
      <c r="S5008" s="0" t="s">
        <v>21</v>
      </c>
      <c r="T5008" s="0" t="s">
        <v>104</v>
      </c>
      <c r="W5008" s="0" t="s">
        <v>105</v>
      </c>
    </row>
    <row r="5009" customFormat="false" ht="15" hidden="false" customHeight="false" outlineLevel="0" collapsed="false">
      <c r="A5009" s="0" t="s">
        <v>21</v>
      </c>
      <c r="B5009" s="0" t="s">
        <v>14402</v>
      </c>
      <c r="C5009" s="0" t="s">
        <v>97</v>
      </c>
      <c r="D5009" s="0" t="s">
        <v>14403</v>
      </c>
      <c r="E5009" s="0" t="s">
        <v>14403</v>
      </c>
      <c r="F5009" s="0" t="s">
        <v>14403</v>
      </c>
      <c r="M5009" s="0" t="s">
        <v>100</v>
      </c>
      <c r="N5009" s="0" t="s">
        <v>101</v>
      </c>
      <c r="P5009" s="0" t="s">
        <v>102</v>
      </c>
      <c r="Q5009" s="0" t="s">
        <v>102</v>
      </c>
      <c r="R5009" s="0" t="s">
        <v>131</v>
      </c>
      <c r="S5009" s="0" t="s">
        <v>21</v>
      </c>
      <c r="T5009" s="0" t="s">
        <v>104</v>
      </c>
      <c r="W5009" s="0" t="s">
        <v>105</v>
      </c>
    </row>
    <row r="5010" customFormat="false" ht="15" hidden="false" customHeight="false" outlineLevel="0" collapsed="false">
      <c r="A5010" s="0" t="s">
        <v>21</v>
      </c>
      <c r="B5010" s="0" t="s">
        <v>14404</v>
      </c>
      <c r="C5010" s="0" t="s">
        <v>97</v>
      </c>
      <c r="D5010" s="0" t="s">
        <v>14405</v>
      </c>
      <c r="E5010" s="0" t="s">
        <v>10702</v>
      </c>
      <c r="G5010" s="0" t="s">
        <v>14406</v>
      </c>
      <c r="H5010" s="0" t="s">
        <v>654</v>
      </c>
      <c r="I5010" s="0" t="s">
        <v>655</v>
      </c>
      <c r="J5010" s="0" t="s">
        <v>100</v>
      </c>
      <c r="K5010" s="0" t="s">
        <v>168</v>
      </c>
      <c r="L5010" s="0" t="s">
        <v>101</v>
      </c>
      <c r="M5010" s="0" t="s">
        <v>656</v>
      </c>
      <c r="N5010" s="0" t="s">
        <v>101</v>
      </c>
      <c r="P5010" s="0" t="s">
        <v>102</v>
      </c>
      <c r="Q5010" s="0" t="s">
        <v>102</v>
      </c>
      <c r="R5010" s="0" t="s">
        <v>131</v>
      </c>
      <c r="S5010" s="0" t="s">
        <v>21</v>
      </c>
      <c r="T5010" s="0" t="s">
        <v>104</v>
      </c>
      <c r="W5010" s="0" t="s">
        <v>105</v>
      </c>
      <c r="X5010" s="0" t="s">
        <v>658</v>
      </c>
      <c r="Y5010" s="0" t="s">
        <v>659</v>
      </c>
    </row>
    <row r="5011" customFormat="false" ht="15" hidden="false" customHeight="false" outlineLevel="0" collapsed="false">
      <c r="A5011" s="0" t="s">
        <v>21</v>
      </c>
      <c r="B5011" s="0" t="s">
        <v>14407</v>
      </c>
      <c r="C5011" s="0" t="s">
        <v>97</v>
      </c>
      <c r="D5011" s="0" t="s">
        <v>14408</v>
      </c>
      <c r="E5011" s="0" t="s">
        <v>14409</v>
      </c>
      <c r="G5011" s="0" t="s">
        <v>14410</v>
      </c>
      <c r="H5011" s="0" t="s">
        <v>654</v>
      </c>
      <c r="I5011" s="0" t="s">
        <v>655</v>
      </c>
      <c r="J5011" s="0" t="s">
        <v>100</v>
      </c>
      <c r="K5011" s="0" t="s">
        <v>168</v>
      </c>
      <c r="L5011" s="0" t="s">
        <v>101</v>
      </c>
      <c r="M5011" s="0" t="s">
        <v>656</v>
      </c>
      <c r="N5011" s="0" t="s">
        <v>101</v>
      </c>
      <c r="P5011" s="0" t="s">
        <v>102</v>
      </c>
      <c r="Q5011" s="0" t="s">
        <v>102</v>
      </c>
      <c r="R5011" s="0" t="s">
        <v>131</v>
      </c>
      <c r="S5011" s="0" t="s">
        <v>21</v>
      </c>
      <c r="T5011" s="0" t="s">
        <v>104</v>
      </c>
      <c r="W5011" s="0" t="s">
        <v>105</v>
      </c>
      <c r="X5011" s="0" t="s">
        <v>658</v>
      </c>
      <c r="Y5011" s="0" t="s">
        <v>659</v>
      </c>
    </row>
    <row r="5012" customFormat="false" ht="15" hidden="false" customHeight="false" outlineLevel="0" collapsed="false">
      <c r="A5012" s="0" t="s">
        <v>21</v>
      </c>
      <c r="B5012" s="0" t="s">
        <v>14411</v>
      </c>
      <c r="C5012" s="0" t="s">
        <v>97</v>
      </c>
      <c r="D5012" s="0" t="s">
        <v>8110</v>
      </c>
      <c r="E5012" s="0" t="s">
        <v>8110</v>
      </c>
      <c r="M5012" s="0" t="s">
        <v>442</v>
      </c>
      <c r="N5012" s="0" t="s">
        <v>101</v>
      </c>
      <c r="P5012" s="0" t="s">
        <v>102</v>
      </c>
      <c r="Q5012" s="0" t="s">
        <v>102</v>
      </c>
      <c r="R5012" s="0" t="s">
        <v>131</v>
      </c>
      <c r="S5012" s="0" t="s">
        <v>21</v>
      </c>
      <c r="T5012" s="0" t="s">
        <v>104</v>
      </c>
      <c r="W5012" s="0" t="s">
        <v>105</v>
      </c>
    </row>
    <row r="5013" customFormat="false" ht="15" hidden="false" customHeight="false" outlineLevel="0" collapsed="false">
      <c r="A5013" s="0" t="s">
        <v>21</v>
      </c>
      <c r="B5013" s="0" t="s">
        <v>14412</v>
      </c>
      <c r="C5013" s="0" t="s">
        <v>97</v>
      </c>
      <c r="D5013" s="0" t="s">
        <v>14413</v>
      </c>
      <c r="E5013" s="0" t="s">
        <v>14414</v>
      </c>
      <c r="M5013" s="0" t="s">
        <v>136</v>
      </c>
      <c r="N5013" s="0" t="s">
        <v>124</v>
      </c>
      <c r="P5013" s="0" t="s">
        <v>102</v>
      </c>
      <c r="Q5013" s="0" t="s">
        <v>102</v>
      </c>
      <c r="R5013" s="0" t="s">
        <v>144</v>
      </c>
      <c r="S5013" s="0" t="s">
        <v>21</v>
      </c>
      <c r="T5013" s="0" t="s">
        <v>104</v>
      </c>
      <c r="W5013" s="0" t="s">
        <v>105</v>
      </c>
    </row>
    <row r="5014" customFormat="false" ht="15" hidden="false" customHeight="false" outlineLevel="0" collapsed="false">
      <c r="A5014" s="0" t="s">
        <v>21</v>
      </c>
      <c r="B5014" s="0" t="s">
        <v>14415</v>
      </c>
      <c r="C5014" s="0" t="s">
        <v>97</v>
      </c>
      <c r="D5014" s="0" t="s">
        <v>14416</v>
      </c>
      <c r="E5014" s="0" t="s">
        <v>14417</v>
      </c>
      <c r="M5014" s="0" t="s">
        <v>656</v>
      </c>
      <c r="N5014" s="0" t="s">
        <v>101</v>
      </c>
      <c r="P5014" s="0" t="s">
        <v>102</v>
      </c>
      <c r="Q5014" s="0" t="s">
        <v>102</v>
      </c>
      <c r="R5014" s="0" t="s">
        <v>131</v>
      </c>
      <c r="S5014" s="0" t="s">
        <v>21</v>
      </c>
      <c r="T5014" s="0" t="s">
        <v>104</v>
      </c>
      <c r="W5014" s="0" t="s">
        <v>105</v>
      </c>
    </row>
    <row r="5015" customFormat="false" ht="15" hidden="false" customHeight="false" outlineLevel="0" collapsed="false">
      <c r="A5015" s="0" t="s">
        <v>21</v>
      </c>
      <c r="B5015" s="0" t="s">
        <v>14418</v>
      </c>
      <c r="C5015" s="0" t="s">
        <v>97</v>
      </c>
      <c r="D5015" s="0" t="s">
        <v>14419</v>
      </c>
      <c r="E5015" s="0" t="s">
        <v>14420</v>
      </c>
      <c r="M5015" s="0" t="s">
        <v>136</v>
      </c>
      <c r="N5015" s="0" t="s">
        <v>124</v>
      </c>
      <c r="P5015" s="0" t="s">
        <v>102</v>
      </c>
      <c r="Q5015" s="0" t="s">
        <v>102</v>
      </c>
      <c r="R5015" s="0" t="s">
        <v>137</v>
      </c>
      <c r="S5015" s="0" t="s">
        <v>21</v>
      </c>
      <c r="T5015" s="0" t="s">
        <v>104</v>
      </c>
      <c r="W5015" s="0" t="s">
        <v>105</v>
      </c>
    </row>
    <row r="5016" customFormat="false" ht="15" hidden="false" customHeight="false" outlineLevel="0" collapsed="false">
      <c r="A5016" s="0" t="s">
        <v>21</v>
      </c>
      <c r="B5016" s="0" t="s">
        <v>14421</v>
      </c>
      <c r="C5016" s="0" t="s">
        <v>97</v>
      </c>
      <c r="D5016" s="0" t="s">
        <v>14422</v>
      </c>
      <c r="E5016" s="0" t="s">
        <v>14423</v>
      </c>
      <c r="M5016" s="0" t="s">
        <v>136</v>
      </c>
      <c r="N5016" s="0" t="s">
        <v>124</v>
      </c>
      <c r="P5016" s="0" t="s">
        <v>102</v>
      </c>
      <c r="Q5016" s="0" t="s">
        <v>102</v>
      </c>
      <c r="R5016" s="0" t="s">
        <v>137</v>
      </c>
      <c r="S5016" s="0" t="s">
        <v>21</v>
      </c>
      <c r="T5016" s="0" t="s">
        <v>104</v>
      </c>
      <c r="W5016" s="0" t="s">
        <v>105</v>
      </c>
    </row>
    <row r="5017" customFormat="false" ht="15" hidden="false" customHeight="false" outlineLevel="0" collapsed="false">
      <c r="A5017" s="0" t="s">
        <v>21</v>
      </c>
      <c r="B5017" s="0" t="s">
        <v>14424</v>
      </c>
      <c r="C5017" s="0" t="s">
        <v>97</v>
      </c>
      <c r="D5017" s="0" t="s">
        <v>14425</v>
      </c>
      <c r="E5017" s="0" t="s">
        <v>14426</v>
      </c>
      <c r="M5017" s="0" t="s">
        <v>136</v>
      </c>
      <c r="N5017" s="0" t="s">
        <v>124</v>
      </c>
      <c r="P5017" s="0" t="s">
        <v>102</v>
      </c>
      <c r="Q5017" s="0" t="s">
        <v>102</v>
      </c>
      <c r="R5017" s="0" t="s">
        <v>113</v>
      </c>
      <c r="S5017" s="0" t="s">
        <v>21</v>
      </c>
      <c r="T5017" s="0" t="s">
        <v>104</v>
      </c>
      <c r="W5017" s="0" t="s">
        <v>105</v>
      </c>
    </row>
    <row r="5018" customFormat="false" ht="15" hidden="false" customHeight="false" outlineLevel="0" collapsed="false">
      <c r="A5018" s="0" t="s">
        <v>21</v>
      </c>
      <c r="B5018" s="0" t="s">
        <v>14427</v>
      </c>
      <c r="C5018" s="0" t="s">
        <v>97</v>
      </c>
      <c r="D5018" s="0" t="s">
        <v>14428</v>
      </c>
      <c r="E5018" s="0" t="s">
        <v>14429</v>
      </c>
      <c r="M5018" s="0" t="s">
        <v>136</v>
      </c>
      <c r="N5018" s="0" t="s">
        <v>124</v>
      </c>
      <c r="P5018" s="0" t="s">
        <v>102</v>
      </c>
      <c r="Q5018" s="0" t="s">
        <v>102</v>
      </c>
      <c r="R5018" s="0" t="s">
        <v>113</v>
      </c>
      <c r="S5018" s="0" t="s">
        <v>21</v>
      </c>
      <c r="T5018" s="0" t="s">
        <v>104</v>
      </c>
      <c r="W5018" s="0" t="s">
        <v>105</v>
      </c>
    </row>
    <row r="5019" customFormat="false" ht="15" hidden="false" customHeight="false" outlineLevel="0" collapsed="false">
      <c r="A5019" s="0" t="s">
        <v>21</v>
      </c>
      <c r="B5019" s="0" t="s">
        <v>14430</v>
      </c>
      <c r="C5019" s="0" t="s">
        <v>97</v>
      </c>
      <c r="D5019" s="0" t="s">
        <v>14431</v>
      </c>
      <c r="E5019" s="0" t="s">
        <v>14432</v>
      </c>
      <c r="G5019" s="0" t="s">
        <v>14433</v>
      </c>
      <c r="H5019" s="0" t="s">
        <v>654</v>
      </c>
      <c r="I5019" s="0" t="s">
        <v>655</v>
      </c>
      <c r="J5019" s="0" t="s">
        <v>100</v>
      </c>
      <c r="K5019" s="0" t="s">
        <v>168</v>
      </c>
      <c r="L5019" s="0" t="s">
        <v>101</v>
      </c>
      <c r="M5019" s="0" t="s">
        <v>656</v>
      </c>
      <c r="N5019" s="0" t="s">
        <v>101</v>
      </c>
      <c r="P5019" s="0" t="s">
        <v>102</v>
      </c>
      <c r="Q5019" s="0" t="s">
        <v>102</v>
      </c>
      <c r="R5019" s="0" t="s">
        <v>113</v>
      </c>
      <c r="S5019" s="0" t="s">
        <v>21</v>
      </c>
      <c r="T5019" s="0" t="s">
        <v>104</v>
      </c>
      <c r="W5019" s="0" t="s">
        <v>105</v>
      </c>
      <c r="X5019" s="0" t="s">
        <v>658</v>
      </c>
      <c r="Y5019" s="0" t="s">
        <v>659</v>
      </c>
    </row>
    <row r="5020" customFormat="false" ht="15" hidden="false" customHeight="false" outlineLevel="0" collapsed="false">
      <c r="A5020" s="0" t="s">
        <v>21</v>
      </c>
      <c r="B5020" s="0" t="s">
        <v>14434</v>
      </c>
      <c r="C5020" s="0" t="s">
        <v>97</v>
      </c>
      <c r="D5020" s="0" t="s">
        <v>14435</v>
      </c>
      <c r="E5020" s="0" t="s">
        <v>14436</v>
      </c>
      <c r="M5020" s="0" t="s">
        <v>136</v>
      </c>
      <c r="N5020" s="0" t="s">
        <v>124</v>
      </c>
      <c r="P5020" s="0" t="s">
        <v>102</v>
      </c>
      <c r="Q5020" s="0" t="s">
        <v>102</v>
      </c>
      <c r="R5020" s="0" t="s">
        <v>144</v>
      </c>
      <c r="S5020" s="0" t="s">
        <v>21</v>
      </c>
      <c r="T5020" s="0" t="s">
        <v>104</v>
      </c>
      <c r="W5020" s="0" t="s">
        <v>105</v>
      </c>
    </row>
    <row r="5021" customFormat="false" ht="15" hidden="false" customHeight="false" outlineLevel="0" collapsed="false">
      <c r="A5021" s="0" t="s">
        <v>21</v>
      </c>
      <c r="B5021" s="0" t="s">
        <v>14437</v>
      </c>
      <c r="C5021" s="0" t="s">
        <v>97</v>
      </c>
      <c r="D5021" s="0" t="s">
        <v>14438</v>
      </c>
      <c r="E5021" s="0" t="s">
        <v>14439</v>
      </c>
      <c r="M5021" s="0" t="s">
        <v>136</v>
      </c>
      <c r="N5021" s="0" t="s">
        <v>124</v>
      </c>
      <c r="P5021" s="0" t="s">
        <v>102</v>
      </c>
      <c r="Q5021" s="0" t="s">
        <v>102</v>
      </c>
      <c r="R5021" s="0" t="s">
        <v>131</v>
      </c>
      <c r="S5021" s="0" t="s">
        <v>21</v>
      </c>
      <c r="T5021" s="0" t="s">
        <v>104</v>
      </c>
      <c r="W5021" s="0" t="s">
        <v>105</v>
      </c>
    </row>
    <row r="5022" customFormat="false" ht="15" hidden="false" customHeight="false" outlineLevel="0" collapsed="false">
      <c r="A5022" s="0" t="s">
        <v>21</v>
      </c>
      <c r="B5022" s="0" t="s">
        <v>14440</v>
      </c>
      <c r="C5022" s="0" t="s">
        <v>139</v>
      </c>
      <c r="G5022" s="0" t="s">
        <v>14441</v>
      </c>
      <c r="H5022" s="0" t="s">
        <v>14442</v>
      </c>
      <c r="I5022" s="0" t="s">
        <v>14443</v>
      </c>
      <c r="J5022" s="0" t="s">
        <v>157</v>
      </c>
      <c r="K5022" s="0" t="s">
        <v>14444</v>
      </c>
      <c r="M5022" s="0" t="s">
        <v>232</v>
      </c>
      <c r="N5022" s="0" t="s">
        <v>124</v>
      </c>
      <c r="P5022" s="0" t="s">
        <v>130</v>
      </c>
      <c r="Q5022" s="0" t="s">
        <v>130</v>
      </c>
      <c r="R5022" s="0" t="s">
        <v>144</v>
      </c>
      <c r="S5022" s="0" t="s">
        <v>21</v>
      </c>
      <c r="T5022" s="0" t="s">
        <v>104</v>
      </c>
      <c r="W5022" s="0" t="s">
        <v>105</v>
      </c>
    </row>
    <row r="5023" customFormat="false" ht="28.35" hidden="false" customHeight="false" outlineLevel="0" collapsed="false">
      <c r="A5023" s="0" t="s">
        <v>21</v>
      </c>
      <c r="B5023" s="0" t="s">
        <v>14445</v>
      </c>
      <c r="C5023" s="0" t="s">
        <v>190</v>
      </c>
      <c r="D5023" s="0" t="s">
        <v>14446</v>
      </c>
      <c r="E5023" s="0" t="s">
        <v>14447</v>
      </c>
      <c r="G5023" s="9" t="s">
        <v>14448</v>
      </c>
      <c r="H5023" s="0" t="s">
        <v>14449</v>
      </c>
      <c r="I5023" s="0" t="s">
        <v>219</v>
      </c>
      <c r="J5023" s="0" t="s">
        <v>220</v>
      </c>
      <c r="K5023" s="0" t="s">
        <v>12788</v>
      </c>
      <c r="M5023" s="0" t="s">
        <v>219</v>
      </c>
      <c r="N5023" s="0" t="s">
        <v>124</v>
      </c>
      <c r="P5023" s="0" t="s">
        <v>102</v>
      </c>
      <c r="Q5023" s="0" t="s">
        <v>102</v>
      </c>
      <c r="R5023" s="0" t="s">
        <v>144</v>
      </c>
      <c r="S5023" s="0" t="s">
        <v>21</v>
      </c>
      <c r="T5023" s="0" t="s">
        <v>104</v>
      </c>
      <c r="W5023" s="0" t="s">
        <v>105</v>
      </c>
    </row>
    <row r="5024" customFormat="false" ht="15" hidden="false" customHeight="false" outlineLevel="0" collapsed="false">
      <c r="A5024" s="0" t="s">
        <v>21</v>
      </c>
      <c r="B5024" s="0" t="s">
        <v>14450</v>
      </c>
      <c r="C5024" s="0" t="s">
        <v>97</v>
      </c>
      <c r="D5024" s="0" t="s">
        <v>14451</v>
      </c>
      <c r="E5024" s="0" t="s">
        <v>14452</v>
      </c>
      <c r="M5024" s="0" t="s">
        <v>136</v>
      </c>
      <c r="N5024" s="0" t="s">
        <v>124</v>
      </c>
      <c r="P5024" s="0" t="s">
        <v>102</v>
      </c>
      <c r="Q5024" s="0" t="s">
        <v>102</v>
      </c>
      <c r="R5024" s="0" t="s">
        <v>137</v>
      </c>
      <c r="S5024" s="0" t="s">
        <v>21</v>
      </c>
      <c r="T5024" s="0" t="s">
        <v>104</v>
      </c>
      <c r="W5024" s="0" t="s">
        <v>105</v>
      </c>
    </row>
    <row r="5025" customFormat="false" ht="15" hidden="false" customHeight="false" outlineLevel="0" collapsed="false">
      <c r="A5025" s="0" t="s">
        <v>21</v>
      </c>
      <c r="B5025" s="0" t="s">
        <v>14453</v>
      </c>
      <c r="C5025" s="0" t="s">
        <v>97</v>
      </c>
      <c r="D5025" s="0" t="s">
        <v>8668</v>
      </c>
      <c r="E5025" s="0" t="s">
        <v>8669</v>
      </c>
      <c r="M5025" s="0" t="s">
        <v>136</v>
      </c>
      <c r="N5025" s="0" t="s">
        <v>124</v>
      </c>
      <c r="P5025" s="0" t="s">
        <v>102</v>
      </c>
      <c r="Q5025" s="0" t="s">
        <v>102</v>
      </c>
      <c r="R5025" s="0" t="s">
        <v>113</v>
      </c>
      <c r="S5025" s="0" t="s">
        <v>21</v>
      </c>
      <c r="T5025" s="0" t="s">
        <v>104</v>
      </c>
      <c r="W5025" s="0" t="s">
        <v>105</v>
      </c>
    </row>
    <row r="5026" customFormat="false" ht="41.75" hidden="false" customHeight="false" outlineLevel="0" collapsed="false">
      <c r="A5026" s="0" t="s">
        <v>21</v>
      </c>
      <c r="B5026" s="0" t="s">
        <v>14454</v>
      </c>
      <c r="C5026" s="0" t="s">
        <v>97</v>
      </c>
      <c r="D5026" s="0" t="s">
        <v>9974</v>
      </c>
      <c r="E5026" s="0" t="s">
        <v>9975</v>
      </c>
      <c r="G5026" s="9" t="s">
        <v>14455</v>
      </c>
      <c r="M5026" s="0" t="s">
        <v>100</v>
      </c>
      <c r="N5026" s="0" t="s">
        <v>101</v>
      </c>
      <c r="P5026" s="0" t="s">
        <v>102</v>
      </c>
      <c r="Q5026" s="0" t="s">
        <v>102</v>
      </c>
      <c r="R5026" s="0" t="s">
        <v>113</v>
      </c>
      <c r="S5026" s="0" t="s">
        <v>21</v>
      </c>
      <c r="T5026" s="0" t="s">
        <v>104</v>
      </c>
      <c r="W5026" s="0" t="s">
        <v>105</v>
      </c>
    </row>
    <row r="5027" customFormat="false" ht="15" hidden="false" customHeight="false" outlineLevel="0" collapsed="false">
      <c r="A5027" s="0" t="s">
        <v>21</v>
      </c>
      <c r="B5027" s="0" t="s">
        <v>14456</v>
      </c>
      <c r="C5027" s="0" t="s">
        <v>97</v>
      </c>
      <c r="D5027" s="0" t="s">
        <v>14457</v>
      </c>
      <c r="E5027" s="0" t="s">
        <v>14458</v>
      </c>
      <c r="M5027" s="0" t="s">
        <v>136</v>
      </c>
      <c r="N5027" s="0" t="s">
        <v>124</v>
      </c>
      <c r="P5027" s="0" t="s">
        <v>102</v>
      </c>
      <c r="Q5027" s="0" t="s">
        <v>102</v>
      </c>
      <c r="R5027" s="0" t="s">
        <v>113</v>
      </c>
      <c r="S5027" s="0" t="s">
        <v>21</v>
      </c>
      <c r="T5027" s="0" t="s">
        <v>104</v>
      </c>
      <c r="W5027" s="0" t="s">
        <v>105</v>
      </c>
    </row>
    <row r="5028" customFormat="false" ht="15" hidden="false" customHeight="false" outlineLevel="0" collapsed="false">
      <c r="A5028" s="0" t="s">
        <v>21</v>
      </c>
      <c r="B5028" s="0" t="s">
        <v>14459</v>
      </c>
      <c r="C5028" s="0" t="s">
        <v>97</v>
      </c>
      <c r="D5028" s="0" t="s">
        <v>14460</v>
      </c>
      <c r="E5028" s="0" t="s">
        <v>14461</v>
      </c>
      <c r="M5028" s="0" t="s">
        <v>136</v>
      </c>
      <c r="N5028" s="0" t="s">
        <v>124</v>
      </c>
      <c r="P5028" s="0" t="s">
        <v>102</v>
      </c>
      <c r="Q5028" s="0" t="s">
        <v>102</v>
      </c>
      <c r="R5028" s="0" t="s">
        <v>113</v>
      </c>
      <c r="S5028" s="0" t="s">
        <v>21</v>
      </c>
      <c r="T5028" s="0" t="s">
        <v>104</v>
      </c>
      <c r="W5028" s="0" t="s">
        <v>105</v>
      </c>
    </row>
    <row r="5029" customFormat="false" ht="15" hidden="false" customHeight="false" outlineLevel="0" collapsed="false">
      <c r="A5029" s="0" t="s">
        <v>21</v>
      </c>
      <c r="B5029" s="0" t="s">
        <v>14462</v>
      </c>
      <c r="C5029" s="0" t="s">
        <v>97</v>
      </c>
      <c r="D5029" s="0" t="s">
        <v>14463</v>
      </c>
      <c r="E5029" s="0" t="s">
        <v>14464</v>
      </c>
      <c r="M5029" s="0" t="s">
        <v>136</v>
      </c>
      <c r="N5029" s="0" t="s">
        <v>124</v>
      </c>
      <c r="P5029" s="0" t="s">
        <v>102</v>
      </c>
      <c r="Q5029" s="0" t="s">
        <v>102</v>
      </c>
      <c r="R5029" s="0" t="s">
        <v>131</v>
      </c>
      <c r="S5029" s="0" t="s">
        <v>21</v>
      </c>
      <c r="T5029" s="0" t="s">
        <v>104</v>
      </c>
      <c r="W5029" s="0" t="s">
        <v>105</v>
      </c>
    </row>
    <row r="5030" customFormat="false" ht="15" hidden="false" customHeight="false" outlineLevel="0" collapsed="false">
      <c r="A5030" s="0" t="s">
        <v>21</v>
      </c>
      <c r="B5030" s="0" t="s">
        <v>14465</v>
      </c>
      <c r="C5030" s="0" t="s">
        <v>97</v>
      </c>
      <c r="D5030" s="0" t="s">
        <v>14466</v>
      </c>
      <c r="E5030" s="0" t="s">
        <v>14467</v>
      </c>
      <c r="M5030" s="0" t="s">
        <v>136</v>
      </c>
      <c r="N5030" s="0" t="s">
        <v>124</v>
      </c>
      <c r="P5030" s="0" t="s">
        <v>102</v>
      </c>
      <c r="Q5030" s="0" t="s">
        <v>102</v>
      </c>
      <c r="R5030" s="0" t="s">
        <v>131</v>
      </c>
      <c r="S5030" s="0" t="s">
        <v>21</v>
      </c>
      <c r="T5030" s="0" t="s">
        <v>104</v>
      </c>
      <c r="W5030" s="0" t="s">
        <v>105</v>
      </c>
    </row>
    <row r="5031" customFormat="false" ht="15" hidden="false" customHeight="false" outlineLevel="0" collapsed="false">
      <c r="A5031" s="0" t="s">
        <v>21</v>
      </c>
      <c r="B5031" s="0" t="s">
        <v>14468</v>
      </c>
      <c r="C5031" s="0" t="s">
        <v>97</v>
      </c>
      <c r="D5031" s="0" t="s">
        <v>14469</v>
      </c>
      <c r="E5031" s="0" t="s">
        <v>14470</v>
      </c>
      <c r="M5031" s="0" t="s">
        <v>136</v>
      </c>
      <c r="N5031" s="0" t="s">
        <v>124</v>
      </c>
      <c r="P5031" s="0" t="s">
        <v>102</v>
      </c>
      <c r="Q5031" s="0" t="s">
        <v>102</v>
      </c>
      <c r="R5031" s="0" t="s">
        <v>131</v>
      </c>
      <c r="S5031" s="0" t="s">
        <v>21</v>
      </c>
      <c r="T5031" s="0" t="s">
        <v>104</v>
      </c>
      <c r="W5031" s="0" t="s">
        <v>105</v>
      </c>
    </row>
    <row r="5032" customFormat="false" ht="15" hidden="false" customHeight="false" outlineLevel="0" collapsed="false">
      <c r="A5032" s="0" t="s">
        <v>21</v>
      </c>
      <c r="B5032" s="0" t="s">
        <v>14471</v>
      </c>
      <c r="C5032" s="0" t="s">
        <v>2145</v>
      </c>
      <c r="M5032" s="0" t="s">
        <v>247</v>
      </c>
      <c r="N5032" s="0" t="s">
        <v>124</v>
      </c>
      <c r="P5032" s="0" t="s">
        <v>130</v>
      </c>
      <c r="Q5032" s="0" t="s">
        <v>130</v>
      </c>
      <c r="R5032" s="0" t="s">
        <v>144</v>
      </c>
      <c r="S5032" s="0" t="s">
        <v>21</v>
      </c>
      <c r="T5032" s="0" t="s">
        <v>104</v>
      </c>
      <c r="W5032" s="0" t="s">
        <v>105</v>
      </c>
    </row>
    <row r="5033" customFormat="false" ht="15" hidden="false" customHeight="false" outlineLevel="0" collapsed="false">
      <c r="A5033" s="0" t="s">
        <v>21</v>
      </c>
      <c r="B5033" s="0" t="s">
        <v>14472</v>
      </c>
      <c r="C5033" s="0" t="s">
        <v>97</v>
      </c>
      <c r="D5033" s="0" t="s">
        <v>14473</v>
      </c>
      <c r="E5033" s="0" t="s">
        <v>14474</v>
      </c>
      <c r="M5033" s="0" t="s">
        <v>100</v>
      </c>
      <c r="N5033" s="0" t="s">
        <v>101</v>
      </c>
      <c r="P5033" s="0" t="s">
        <v>102</v>
      </c>
      <c r="Q5033" s="0" t="s">
        <v>102</v>
      </c>
      <c r="R5033" s="0" t="s">
        <v>131</v>
      </c>
      <c r="S5033" s="0" t="s">
        <v>21</v>
      </c>
      <c r="T5033" s="0" t="s">
        <v>104</v>
      </c>
      <c r="W5033" s="0" t="s">
        <v>105</v>
      </c>
    </row>
    <row r="5034" customFormat="false" ht="15" hidden="false" customHeight="false" outlineLevel="0" collapsed="false">
      <c r="A5034" s="0" t="s">
        <v>21</v>
      </c>
      <c r="B5034" s="0" t="s">
        <v>14475</v>
      </c>
      <c r="C5034" s="0" t="s">
        <v>97</v>
      </c>
      <c r="D5034" s="0" t="s">
        <v>14476</v>
      </c>
      <c r="E5034" s="0" t="s">
        <v>14477</v>
      </c>
      <c r="M5034" s="0" t="s">
        <v>100</v>
      </c>
      <c r="N5034" s="0" t="s">
        <v>101</v>
      </c>
      <c r="P5034" s="0" t="s">
        <v>102</v>
      </c>
      <c r="Q5034" s="0" t="s">
        <v>102</v>
      </c>
      <c r="R5034" s="0" t="s">
        <v>144</v>
      </c>
      <c r="S5034" s="0" t="s">
        <v>21</v>
      </c>
      <c r="T5034" s="0" t="s">
        <v>104</v>
      </c>
      <c r="W5034" s="0" t="s">
        <v>105</v>
      </c>
    </row>
    <row r="5035" customFormat="false" ht="15" hidden="false" customHeight="false" outlineLevel="0" collapsed="false">
      <c r="A5035" s="0" t="s">
        <v>21</v>
      </c>
      <c r="B5035" s="0" t="s">
        <v>14478</v>
      </c>
      <c r="C5035" s="0" t="s">
        <v>97</v>
      </c>
      <c r="D5035" s="0" t="s">
        <v>14479</v>
      </c>
      <c r="E5035" s="0" t="s">
        <v>14480</v>
      </c>
      <c r="M5035" s="0" t="s">
        <v>656</v>
      </c>
      <c r="N5035" s="0" t="s">
        <v>101</v>
      </c>
      <c r="P5035" s="0" t="s">
        <v>102</v>
      </c>
      <c r="Q5035" s="0" t="s">
        <v>102</v>
      </c>
      <c r="R5035" s="0" t="s">
        <v>144</v>
      </c>
      <c r="S5035" s="0" t="s">
        <v>21</v>
      </c>
      <c r="T5035" s="0" t="s">
        <v>104</v>
      </c>
      <c r="W5035" s="0" t="s">
        <v>105</v>
      </c>
    </row>
    <row r="5036" customFormat="false" ht="15" hidden="false" customHeight="false" outlineLevel="0" collapsed="false">
      <c r="A5036" s="0" t="s">
        <v>21</v>
      </c>
      <c r="B5036" s="0" t="s">
        <v>14481</v>
      </c>
      <c r="C5036" s="0" t="s">
        <v>97</v>
      </c>
      <c r="D5036" s="0" t="s">
        <v>14482</v>
      </c>
      <c r="E5036" s="0" t="s">
        <v>4496</v>
      </c>
      <c r="M5036" s="0" t="s">
        <v>100</v>
      </c>
      <c r="N5036" s="0" t="s">
        <v>101</v>
      </c>
      <c r="P5036" s="0" t="s">
        <v>102</v>
      </c>
      <c r="Q5036" s="0" t="s">
        <v>102</v>
      </c>
      <c r="R5036" s="0" t="s">
        <v>14483</v>
      </c>
      <c r="S5036" s="0" t="s">
        <v>21</v>
      </c>
      <c r="T5036" s="0" t="s">
        <v>104</v>
      </c>
      <c r="W5036" s="0" t="s">
        <v>105</v>
      </c>
    </row>
    <row r="5037" customFormat="false" ht="15" hidden="false" customHeight="false" outlineLevel="0" collapsed="false">
      <c r="A5037" s="0" t="s">
        <v>21</v>
      </c>
      <c r="B5037" s="0" t="s">
        <v>14484</v>
      </c>
      <c r="C5037" s="0" t="s">
        <v>97</v>
      </c>
      <c r="D5037" s="0" t="s">
        <v>14485</v>
      </c>
      <c r="E5037" s="0" t="s">
        <v>14486</v>
      </c>
      <c r="M5037" s="0" t="s">
        <v>136</v>
      </c>
      <c r="N5037" s="0" t="s">
        <v>124</v>
      </c>
      <c r="P5037" s="0" t="s">
        <v>1044</v>
      </c>
      <c r="Q5037" s="0" t="s">
        <v>1044</v>
      </c>
      <c r="R5037" s="0" t="s">
        <v>103</v>
      </c>
      <c r="S5037" s="0" t="s">
        <v>21</v>
      </c>
      <c r="T5037" s="0" t="s">
        <v>104</v>
      </c>
      <c r="W5037" s="0" t="s">
        <v>105</v>
      </c>
    </row>
    <row r="5038" customFormat="false" ht="15" hidden="false" customHeight="false" outlineLevel="0" collapsed="false">
      <c r="A5038" s="0" t="s">
        <v>21</v>
      </c>
      <c r="B5038" s="0" t="s">
        <v>14487</v>
      </c>
      <c r="C5038" s="0" t="s">
        <v>97</v>
      </c>
      <c r="D5038" s="0" t="s">
        <v>14488</v>
      </c>
      <c r="E5038" s="0" t="s">
        <v>14489</v>
      </c>
      <c r="M5038" s="0" t="s">
        <v>136</v>
      </c>
      <c r="N5038" s="0" t="s">
        <v>124</v>
      </c>
      <c r="P5038" s="0" t="s">
        <v>102</v>
      </c>
      <c r="Q5038" s="0" t="s">
        <v>102</v>
      </c>
      <c r="R5038" s="0" t="s">
        <v>113</v>
      </c>
      <c r="S5038" s="0" t="s">
        <v>21</v>
      </c>
      <c r="T5038" s="0" t="s">
        <v>104</v>
      </c>
      <c r="W5038" s="0" t="s">
        <v>105</v>
      </c>
    </row>
    <row r="5039" customFormat="false" ht="15" hidden="false" customHeight="false" outlineLevel="0" collapsed="false">
      <c r="A5039" s="0" t="s">
        <v>21</v>
      </c>
      <c r="B5039" s="0" t="s">
        <v>14490</v>
      </c>
      <c r="C5039" s="0" t="s">
        <v>2145</v>
      </c>
      <c r="M5039" s="0" t="s">
        <v>14491</v>
      </c>
      <c r="N5039" s="0" t="s">
        <v>124</v>
      </c>
      <c r="P5039" s="0" t="s">
        <v>130</v>
      </c>
      <c r="Q5039" s="0" t="s">
        <v>130</v>
      </c>
      <c r="R5039" s="0" t="s">
        <v>144</v>
      </c>
      <c r="S5039" s="0" t="s">
        <v>21</v>
      </c>
      <c r="T5039" s="0" t="s">
        <v>104</v>
      </c>
      <c r="W5039" s="0" t="s">
        <v>105</v>
      </c>
    </row>
    <row r="5040" customFormat="false" ht="15" hidden="false" customHeight="false" outlineLevel="0" collapsed="false">
      <c r="A5040" s="0" t="s">
        <v>21</v>
      </c>
      <c r="B5040" s="0" t="s">
        <v>14492</v>
      </c>
      <c r="C5040" s="0" t="s">
        <v>2098</v>
      </c>
      <c r="E5040" s="0" t="s">
        <v>14493</v>
      </c>
      <c r="M5040" s="0" t="s">
        <v>2678</v>
      </c>
      <c r="N5040" s="0" t="s">
        <v>124</v>
      </c>
      <c r="P5040" s="0" t="s">
        <v>130</v>
      </c>
      <c r="Q5040" s="0" t="s">
        <v>130</v>
      </c>
      <c r="R5040" s="0" t="s">
        <v>144</v>
      </c>
      <c r="S5040" s="0" t="s">
        <v>21</v>
      </c>
      <c r="T5040" s="0" t="s">
        <v>104</v>
      </c>
      <c r="W5040" s="0" t="s">
        <v>105</v>
      </c>
      <c r="Z5040" s="0" t="s">
        <v>2546</v>
      </c>
    </row>
    <row r="5041" customFormat="false" ht="15" hidden="false" customHeight="false" outlineLevel="0" collapsed="false">
      <c r="A5041" s="0" t="s">
        <v>21</v>
      </c>
      <c r="B5041" s="0" t="s">
        <v>14494</v>
      </c>
      <c r="C5041" s="0" t="s">
        <v>200</v>
      </c>
      <c r="E5041" s="0" t="s">
        <v>14495</v>
      </c>
      <c r="M5041" s="0" t="s">
        <v>14496</v>
      </c>
      <c r="N5041" s="0" t="s">
        <v>124</v>
      </c>
      <c r="P5041" s="0" t="s">
        <v>130</v>
      </c>
      <c r="Q5041" s="0" t="s">
        <v>130</v>
      </c>
      <c r="R5041" s="0" t="s">
        <v>144</v>
      </c>
      <c r="S5041" s="0" t="s">
        <v>21</v>
      </c>
      <c r="T5041" s="0" t="s">
        <v>104</v>
      </c>
      <c r="W5041" s="0" t="s">
        <v>105</v>
      </c>
      <c r="Z5041" s="0" t="s">
        <v>2546</v>
      </c>
    </row>
    <row r="5042" customFormat="false" ht="15" hidden="false" customHeight="false" outlineLevel="0" collapsed="false">
      <c r="A5042" s="0" t="s">
        <v>21</v>
      </c>
      <c r="B5042" s="0" t="s">
        <v>14497</v>
      </c>
      <c r="C5042" s="0" t="s">
        <v>200</v>
      </c>
      <c r="E5042" s="0" t="s">
        <v>14498</v>
      </c>
      <c r="M5042" s="0" t="s">
        <v>14499</v>
      </c>
      <c r="N5042" s="0" t="s">
        <v>124</v>
      </c>
      <c r="P5042" s="0" t="s">
        <v>130</v>
      </c>
      <c r="Q5042" s="0" t="s">
        <v>130</v>
      </c>
      <c r="R5042" s="0" t="s">
        <v>144</v>
      </c>
      <c r="S5042" s="0" t="s">
        <v>21</v>
      </c>
      <c r="T5042" s="0" t="s">
        <v>104</v>
      </c>
      <c r="W5042" s="0" t="s">
        <v>105</v>
      </c>
    </row>
    <row r="5043" customFormat="false" ht="15" hidden="false" customHeight="false" outlineLevel="0" collapsed="false">
      <c r="A5043" s="0" t="s">
        <v>21</v>
      </c>
      <c r="B5043" s="0" t="s">
        <v>14500</v>
      </c>
      <c r="C5043" s="0" t="s">
        <v>97</v>
      </c>
      <c r="D5043" s="0" t="s">
        <v>14501</v>
      </c>
      <c r="E5043" s="0" t="s">
        <v>14502</v>
      </c>
      <c r="M5043" s="0" t="s">
        <v>136</v>
      </c>
      <c r="N5043" s="0" t="s">
        <v>124</v>
      </c>
      <c r="P5043" s="0" t="s">
        <v>102</v>
      </c>
      <c r="Q5043" s="0" t="s">
        <v>102</v>
      </c>
      <c r="R5043" s="0" t="s">
        <v>131</v>
      </c>
      <c r="S5043" s="0" t="s">
        <v>21</v>
      </c>
      <c r="T5043" s="0" t="s">
        <v>104</v>
      </c>
      <c r="W5043" s="0" t="s">
        <v>105</v>
      </c>
    </row>
    <row r="5044" customFormat="false" ht="15" hidden="false" customHeight="false" outlineLevel="0" collapsed="false">
      <c r="A5044" s="0" t="s">
        <v>21</v>
      </c>
      <c r="B5044" s="0" t="s">
        <v>14503</v>
      </c>
      <c r="C5044" s="0" t="s">
        <v>97</v>
      </c>
      <c r="D5044" s="0" t="s">
        <v>14504</v>
      </c>
      <c r="E5044" s="0" t="s">
        <v>14505</v>
      </c>
      <c r="M5044" s="0" t="s">
        <v>136</v>
      </c>
      <c r="N5044" s="0" t="s">
        <v>124</v>
      </c>
      <c r="P5044" s="0" t="s">
        <v>102</v>
      </c>
      <c r="Q5044" s="0" t="s">
        <v>102</v>
      </c>
      <c r="R5044" s="0" t="s">
        <v>131</v>
      </c>
      <c r="S5044" s="0" t="s">
        <v>21</v>
      </c>
      <c r="T5044" s="0" t="s">
        <v>104</v>
      </c>
      <c r="W5044" s="0" t="s">
        <v>105</v>
      </c>
    </row>
    <row r="5045" customFormat="false" ht="15" hidden="false" customHeight="false" outlineLevel="0" collapsed="false">
      <c r="A5045" s="0" t="s">
        <v>21</v>
      </c>
      <c r="B5045" s="0" t="s">
        <v>14506</v>
      </c>
      <c r="C5045" s="0" t="s">
        <v>97</v>
      </c>
      <c r="D5045" s="0" t="s">
        <v>14507</v>
      </c>
      <c r="E5045" s="0" t="s">
        <v>14508</v>
      </c>
      <c r="G5045" s="0" t="s">
        <v>14509</v>
      </c>
      <c r="H5045" s="0" t="s">
        <v>654</v>
      </c>
      <c r="I5045" s="0" t="s">
        <v>655</v>
      </c>
      <c r="J5045" s="0" t="s">
        <v>100</v>
      </c>
      <c r="K5045" s="0" t="s">
        <v>168</v>
      </c>
      <c r="L5045" s="0" t="s">
        <v>101</v>
      </c>
      <c r="M5045" s="0" t="s">
        <v>656</v>
      </c>
      <c r="N5045" s="0" t="s">
        <v>101</v>
      </c>
      <c r="P5045" s="0" t="s">
        <v>102</v>
      </c>
      <c r="Q5045" s="0" t="s">
        <v>102</v>
      </c>
      <c r="R5045" s="0" t="s">
        <v>131</v>
      </c>
      <c r="S5045" s="0" t="s">
        <v>21</v>
      </c>
      <c r="T5045" s="0" t="s">
        <v>104</v>
      </c>
      <c r="W5045" s="0" t="s">
        <v>105</v>
      </c>
      <c r="X5045" s="0" t="s">
        <v>658</v>
      </c>
      <c r="Y5045" s="0" t="s">
        <v>659</v>
      </c>
    </row>
    <row r="5046" customFormat="false" ht="15" hidden="false" customHeight="false" outlineLevel="0" collapsed="false">
      <c r="A5046" s="0" t="s">
        <v>21</v>
      </c>
      <c r="B5046" s="0" t="s">
        <v>14510</v>
      </c>
      <c r="C5046" s="0" t="s">
        <v>97</v>
      </c>
      <c r="D5046" s="0" t="s">
        <v>14511</v>
      </c>
      <c r="E5046" s="0" t="s">
        <v>14512</v>
      </c>
      <c r="M5046" s="0" t="s">
        <v>656</v>
      </c>
      <c r="N5046" s="0" t="s">
        <v>101</v>
      </c>
      <c r="P5046" s="0" t="s">
        <v>102</v>
      </c>
      <c r="Q5046" s="0" t="s">
        <v>102</v>
      </c>
      <c r="R5046" s="0" t="s">
        <v>113</v>
      </c>
      <c r="S5046" s="0" t="s">
        <v>21</v>
      </c>
      <c r="T5046" s="0" t="s">
        <v>104</v>
      </c>
      <c r="W5046" s="0" t="s">
        <v>105</v>
      </c>
    </row>
    <row r="5047" customFormat="false" ht="15" hidden="false" customHeight="false" outlineLevel="0" collapsed="false">
      <c r="A5047" s="0" t="s">
        <v>21</v>
      </c>
      <c r="B5047" s="0" t="s">
        <v>14513</v>
      </c>
      <c r="C5047" s="0" t="s">
        <v>97</v>
      </c>
      <c r="D5047" s="0" t="s">
        <v>14514</v>
      </c>
      <c r="E5047" s="0" t="s">
        <v>14515</v>
      </c>
      <c r="H5047" s="0" t="s">
        <v>654</v>
      </c>
      <c r="I5047" s="0" t="s">
        <v>655</v>
      </c>
      <c r="J5047" s="0" t="s">
        <v>100</v>
      </c>
      <c r="K5047" s="0" t="s">
        <v>168</v>
      </c>
      <c r="L5047" s="0" t="s">
        <v>101</v>
      </c>
      <c r="M5047" s="0" t="s">
        <v>656</v>
      </c>
      <c r="N5047" s="0" t="s">
        <v>101</v>
      </c>
      <c r="P5047" s="0" t="s">
        <v>102</v>
      </c>
      <c r="Q5047" s="0" t="s">
        <v>102</v>
      </c>
      <c r="R5047" s="0" t="s">
        <v>137</v>
      </c>
      <c r="S5047" s="0" t="s">
        <v>21</v>
      </c>
      <c r="T5047" s="0" t="s">
        <v>104</v>
      </c>
      <c r="W5047" s="0" t="s">
        <v>105</v>
      </c>
      <c r="X5047" s="0" t="s">
        <v>658</v>
      </c>
      <c r="Y5047" s="0" t="s">
        <v>659</v>
      </c>
    </row>
    <row r="5048" customFormat="false" ht="15" hidden="false" customHeight="false" outlineLevel="0" collapsed="false">
      <c r="A5048" s="0" t="s">
        <v>21</v>
      </c>
      <c r="B5048" s="0" t="s">
        <v>14516</v>
      </c>
      <c r="C5048" s="0" t="s">
        <v>97</v>
      </c>
      <c r="D5048" s="0" t="s">
        <v>14517</v>
      </c>
      <c r="E5048" s="0" t="s">
        <v>14518</v>
      </c>
      <c r="M5048" s="0" t="s">
        <v>100</v>
      </c>
      <c r="N5048" s="0" t="s">
        <v>101</v>
      </c>
      <c r="P5048" s="0" t="s">
        <v>102</v>
      </c>
      <c r="Q5048" s="0" t="s">
        <v>102</v>
      </c>
      <c r="R5048" s="0" t="s">
        <v>113</v>
      </c>
      <c r="S5048" s="0" t="s">
        <v>21</v>
      </c>
      <c r="T5048" s="0" t="s">
        <v>104</v>
      </c>
      <c r="W5048" s="0" t="s">
        <v>105</v>
      </c>
    </row>
    <row r="5049" customFormat="false" ht="15" hidden="false" customHeight="false" outlineLevel="0" collapsed="false">
      <c r="A5049" s="0" t="s">
        <v>21</v>
      </c>
      <c r="B5049" s="0" t="s">
        <v>14519</v>
      </c>
      <c r="C5049" s="0" t="s">
        <v>97</v>
      </c>
      <c r="D5049" s="0" t="s">
        <v>14520</v>
      </c>
      <c r="E5049" s="0" t="s">
        <v>14520</v>
      </c>
      <c r="F5049" s="0" t="s">
        <v>14520</v>
      </c>
      <c r="M5049" s="0" t="s">
        <v>100</v>
      </c>
      <c r="N5049" s="0" t="s">
        <v>101</v>
      </c>
      <c r="P5049" s="0" t="s">
        <v>102</v>
      </c>
      <c r="Q5049" s="0" t="s">
        <v>102</v>
      </c>
      <c r="R5049" s="0" t="s">
        <v>131</v>
      </c>
      <c r="S5049" s="0" t="s">
        <v>21</v>
      </c>
      <c r="T5049" s="0" t="s">
        <v>104</v>
      </c>
      <c r="W5049" s="0" t="s">
        <v>105</v>
      </c>
    </row>
    <row r="5050" customFormat="false" ht="15" hidden="false" customHeight="false" outlineLevel="0" collapsed="false">
      <c r="A5050" s="0" t="s">
        <v>21</v>
      </c>
      <c r="B5050" s="0" t="s">
        <v>14521</v>
      </c>
      <c r="C5050" s="0" t="s">
        <v>97</v>
      </c>
      <c r="D5050" s="0" t="s">
        <v>1415</v>
      </c>
      <c r="E5050" s="0" t="s">
        <v>14522</v>
      </c>
      <c r="H5050" s="0" t="s">
        <v>1417</v>
      </c>
      <c r="I5050" s="0" t="s">
        <v>1418</v>
      </c>
      <c r="J5050" s="0" t="s">
        <v>1418</v>
      </c>
      <c r="K5050" s="0" t="s">
        <v>1401</v>
      </c>
      <c r="L5050" s="0" t="s">
        <v>101</v>
      </c>
      <c r="M5050" s="0" t="s">
        <v>1420</v>
      </c>
      <c r="N5050" s="0" t="s">
        <v>101</v>
      </c>
      <c r="P5050" s="0" t="s">
        <v>102</v>
      </c>
      <c r="Q5050" s="0" t="s">
        <v>102</v>
      </c>
      <c r="R5050" s="0" t="s">
        <v>113</v>
      </c>
      <c r="S5050" s="0" t="s">
        <v>21</v>
      </c>
      <c r="T5050" s="0" t="s">
        <v>104</v>
      </c>
      <c r="W5050" s="0" t="s">
        <v>105</v>
      </c>
      <c r="X5050" s="0" t="s">
        <v>14523</v>
      </c>
      <c r="Y5050" s="0" t="s">
        <v>14524</v>
      </c>
    </row>
    <row r="5051" customFormat="false" ht="15" hidden="false" customHeight="false" outlineLevel="0" collapsed="false">
      <c r="A5051" s="0" t="s">
        <v>21</v>
      </c>
      <c r="B5051" s="0" t="s">
        <v>14525</v>
      </c>
      <c r="C5051" s="0" t="s">
        <v>97</v>
      </c>
      <c r="D5051" s="0" t="s">
        <v>14526</v>
      </c>
      <c r="E5051" s="0" t="s">
        <v>14527</v>
      </c>
      <c r="H5051" s="0" t="s">
        <v>654</v>
      </c>
      <c r="I5051" s="0" t="s">
        <v>655</v>
      </c>
      <c r="J5051" s="0" t="s">
        <v>100</v>
      </c>
      <c r="K5051" s="0" t="s">
        <v>168</v>
      </c>
      <c r="L5051" s="0" t="s">
        <v>101</v>
      </c>
      <c r="M5051" s="0" t="s">
        <v>656</v>
      </c>
      <c r="N5051" s="0" t="s">
        <v>101</v>
      </c>
      <c r="P5051" s="0" t="s">
        <v>102</v>
      </c>
      <c r="Q5051" s="0" t="s">
        <v>102</v>
      </c>
      <c r="R5051" s="0" t="s">
        <v>113</v>
      </c>
      <c r="S5051" s="0" t="s">
        <v>21</v>
      </c>
      <c r="T5051" s="0" t="s">
        <v>104</v>
      </c>
      <c r="W5051" s="0" t="s">
        <v>105</v>
      </c>
      <c r="X5051" s="0" t="s">
        <v>658</v>
      </c>
      <c r="Y5051" s="0" t="s">
        <v>659</v>
      </c>
    </row>
    <row r="5052" customFormat="false" ht="15" hidden="false" customHeight="false" outlineLevel="0" collapsed="false">
      <c r="A5052" s="0" t="s">
        <v>21</v>
      </c>
      <c r="B5052" s="0" t="s">
        <v>14528</v>
      </c>
      <c r="C5052" s="0" t="s">
        <v>97</v>
      </c>
      <c r="D5052" s="0" t="s">
        <v>14529</v>
      </c>
      <c r="E5052" s="0" t="s">
        <v>14530</v>
      </c>
      <c r="M5052" s="0" t="s">
        <v>100</v>
      </c>
      <c r="N5052" s="0" t="s">
        <v>101</v>
      </c>
      <c r="P5052" s="0" t="s">
        <v>102</v>
      </c>
      <c r="Q5052" s="0" t="s">
        <v>102</v>
      </c>
      <c r="R5052" s="0" t="s">
        <v>113</v>
      </c>
      <c r="S5052" s="0" t="s">
        <v>21</v>
      </c>
      <c r="T5052" s="0" t="s">
        <v>104</v>
      </c>
      <c r="W5052" s="0" t="s">
        <v>105</v>
      </c>
    </row>
    <row r="5053" customFormat="false" ht="15" hidden="false" customHeight="false" outlineLevel="0" collapsed="false">
      <c r="A5053" s="0" t="s">
        <v>21</v>
      </c>
      <c r="B5053" s="0" t="s">
        <v>14531</v>
      </c>
      <c r="C5053" s="0" t="s">
        <v>97</v>
      </c>
      <c r="D5053" s="0" t="s">
        <v>14532</v>
      </c>
      <c r="E5053" s="0" t="s">
        <v>14533</v>
      </c>
      <c r="H5053" s="0" t="s">
        <v>654</v>
      </c>
      <c r="I5053" s="0" t="s">
        <v>655</v>
      </c>
      <c r="J5053" s="0" t="s">
        <v>100</v>
      </c>
      <c r="K5053" s="0" t="s">
        <v>168</v>
      </c>
      <c r="L5053" s="0" t="s">
        <v>101</v>
      </c>
      <c r="M5053" s="0" t="s">
        <v>656</v>
      </c>
      <c r="N5053" s="0" t="s">
        <v>101</v>
      </c>
      <c r="P5053" s="0" t="s">
        <v>102</v>
      </c>
      <c r="Q5053" s="0" t="s">
        <v>102</v>
      </c>
      <c r="R5053" s="0" t="s">
        <v>131</v>
      </c>
      <c r="S5053" s="0" t="s">
        <v>21</v>
      </c>
      <c r="T5053" s="0" t="s">
        <v>104</v>
      </c>
      <c r="W5053" s="0" t="s">
        <v>105</v>
      </c>
      <c r="X5053" s="0" t="s">
        <v>658</v>
      </c>
      <c r="Y5053" s="0" t="s">
        <v>659</v>
      </c>
    </row>
    <row r="5054" customFormat="false" ht="15" hidden="false" customHeight="false" outlineLevel="0" collapsed="false">
      <c r="A5054" s="0" t="s">
        <v>21</v>
      </c>
      <c r="B5054" s="0" t="s">
        <v>14534</v>
      </c>
      <c r="C5054" s="0" t="s">
        <v>174</v>
      </c>
      <c r="D5054" s="0" t="s">
        <v>14535</v>
      </c>
      <c r="E5054" s="0" t="s">
        <v>14536</v>
      </c>
      <c r="M5054" s="0" t="s">
        <v>100</v>
      </c>
      <c r="N5054" s="0" t="s">
        <v>101</v>
      </c>
      <c r="P5054" s="0" t="s">
        <v>102</v>
      </c>
      <c r="Q5054" s="0" t="s">
        <v>102</v>
      </c>
      <c r="R5054" s="0" t="s">
        <v>113</v>
      </c>
      <c r="S5054" s="0" t="s">
        <v>21</v>
      </c>
      <c r="T5054" s="0" t="s">
        <v>104</v>
      </c>
      <c r="W5054" s="0" t="s">
        <v>105</v>
      </c>
    </row>
    <row r="5055" customFormat="false" ht="15" hidden="false" customHeight="false" outlineLevel="0" collapsed="false">
      <c r="A5055" s="0" t="s">
        <v>21</v>
      </c>
      <c r="B5055" s="0" t="s">
        <v>14537</v>
      </c>
      <c r="C5055" s="0" t="s">
        <v>110</v>
      </c>
      <c r="D5055" s="0" t="s">
        <v>14538</v>
      </c>
      <c r="E5055" s="0" t="s">
        <v>14539</v>
      </c>
      <c r="H5055" s="0" t="s">
        <v>14540</v>
      </c>
      <c r="I5055" s="0" t="s">
        <v>14541</v>
      </c>
      <c r="J5055" s="0" t="s">
        <v>220</v>
      </c>
      <c r="M5055" s="0" t="s">
        <v>14541</v>
      </c>
      <c r="N5055" s="0" t="s">
        <v>124</v>
      </c>
      <c r="P5055" s="0" t="s">
        <v>102</v>
      </c>
      <c r="Q5055" s="0" t="s">
        <v>102</v>
      </c>
      <c r="R5055" s="0" t="s">
        <v>113</v>
      </c>
      <c r="S5055" s="0" t="s">
        <v>21</v>
      </c>
      <c r="T5055" s="0" t="s">
        <v>104</v>
      </c>
      <c r="W5055" s="0" t="s">
        <v>105</v>
      </c>
    </row>
    <row r="5056" customFormat="false" ht="15" hidden="false" customHeight="false" outlineLevel="0" collapsed="false">
      <c r="A5056" s="0" t="s">
        <v>21</v>
      </c>
      <c r="B5056" s="0" t="s">
        <v>14537</v>
      </c>
      <c r="C5056" s="0" t="s">
        <v>110</v>
      </c>
      <c r="D5056" s="0" t="s">
        <v>14538</v>
      </c>
      <c r="E5056" s="0" t="s">
        <v>14539</v>
      </c>
      <c r="H5056" s="0" t="s">
        <v>14540</v>
      </c>
      <c r="I5056" s="0" t="s">
        <v>14541</v>
      </c>
      <c r="J5056" s="0" t="s">
        <v>220</v>
      </c>
      <c r="M5056" s="0" t="s">
        <v>14541</v>
      </c>
      <c r="N5056" s="0" t="s">
        <v>124</v>
      </c>
      <c r="P5056" s="0" t="s">
        <v>4272</v>
      </c>
      <c r="Q5056" s="0" t="s">
        <v>6335</v>
      </c>
      <c r="R5056" s="0" t="s">
        <v>14542</v>
      </c>
      <c r="S5056" s="0" t="s">
        <v>21</v>
      </c>
      <c r="T5056" s="0" t="s">
        <v>104</v>
      </c>
      <c r="W5056" s="0" t="s">
        <v>183</v>
      </c>
    </row>
    <row r="5057" customFormat="false" ht="15" hidden="false" customHeight="false" outlineLevel="0" collapsed="false">
      <c r="A5057" s="0" t="s">
        <v>21</v>
      </c>
      <c r="B5057" s="0" t="s">
        <v>14543</v>
      </c>
      <c r="C5057" s="0" t="s">
        <v>2145</v>
      </c>
      <c r="M5057" s="0" t="s">
        <v>14544</v>
      </c>
      <c r="N5057" s="0" t="s">
        <v>124</v>
      </c>
      <c r="P5057" s="0" t="s">
        <v>130</v>
      </c>
      <c r="Q5057" s="0" t="s">
        <v>130</v>
      </c>
      <c r="R5057" s="0" t="s">
        <v>144</v>
      </c>
      <c r="S5057" s="0" t="s">
        <v>21</v>
      </c>
      <c r="T5057" s="0" t="s">
        <v>104</v>
      </c>
      <c r="W5057" s="0" t="s">
        <v>105</v>
      </c>
    </row>
    <row r="5058" customFormat="false" ht="15" hidden="false" customHeight="false" outlineLevel="0" collapsed="false">
      <c r="A5058" s="0" t="s">
        <v>21</v>
      </c>
      <c r="B5058" s="0" t="s">
        <v>14545</v>
      </c>
      <c r="C5058" s="0" t="s">
        <v>97</v>
      </c>
      <c r="D5058" s="0" t="s">
        <v>14546</v>
      </c>
      <c r="E5058" s="0" t="s">
        <v>14547</v>
      </c>
      <c r="M5058" s="0" t="s">
        <v>136</v>
      </c>
      <c r="N5058" s="0" t="s">
        <v>124</v>
      </c>
      <c r="P5058" s="0" t="s">
        <v>102</v>
      </c>
      <c r="Q5058" s="0" t="s">
        <v>102</v>
      </c>
      <c r="R5058" s="0" t="s">
        <v>131</v>
      </c>
      <c r="S5058" s="0" t="s">
        <v>21</v>
      </c>
      <c r="T5058" s="0" t="s">
        <v>104</v>
      </c>
      <c r="W5058" s="0" t="s">
        <v>105</v>
      </c>
    </row>
    <row r="5059" customFormat="false" ht="15" hidden="false" customHeight="false" outlineLevel="0" collapsed="false">
      <c r="A5059" s="0" t="s">
        <v>21</v>
      </c>
      <c r="B5059" s="0" t="s">
        <v>14548</v>
      </c>
      <c r="C5059" s="0" t="s">
        <v>97</v>
      </c>
      <c r="D5059" s="0" t="s">
        <v>13352</v>
      </c>
      <c r="E5059" s="0" t="s">
        <v>13352</v>
      </c>
      <c r="M5059" s="0" t="s">
        <v>136</v>
      </c>
      <c r="N5059" s="0" t="s">
        <v>124</v>
      </c>
      <c r="P5059" s="0" t="s">
        <v>102</v>
      </c>
      <c r="Q5059" s="0" t="s">
        <v>102</v>
      </c>
      <c r="R5059" s="0" t="s">
        <v>131</v>
      </c>
      <c r="S5059" s="0" t="s">
        <v>21</v>
      </c>
      <c r="T5059" s="0" t="s">
        <v>104</v>
      </c>
      <c r="W5059" s="0" t="s">
        <v>105</v>
      </c>
    </row>
    <row r="5060" customFormat="false" ht="15" hidden="false" customHeight="false" outlineLevel="0" collapsed="false">
      <c r="A5060" s="0" t="s">
        <v>21</v>
      </c>
      <c r="B5060" s="0" t="s">
        <v>14549</v>
      </c>
      <c r="C5060" s="0" t="s">
        <v>97</v>
      </c>
      <c r="D5060" s="0" t="s">
        <v>4741</v>
      </c>
      <c r="E5060" s="0" t="s">
        <v>14550</v>
      </c>
      <c r="M5060" s="0" t="s">
        <v>136</v>
      </c>
      <c r="N5060" s="0" t="s">
        <v>124</v>
      </c>
      <c r="P5060" s="0" t="s">
        <v>102</v>
      </c>
      <c r="Q5060" s="0" t="s">
        <v>102</v>
      </c>
      <c r="R5060" s="0" t="s">
        <v>131</v>
      </c>
      <c r="S5060" s="0" t="s">
        <v>21</v>
      </c>
      <c r="T5060" s="0" t="s">
        <v>104</v>
      </c>
      <c r="W5060" s="0" t="s">
        <v>105</v>
      </c>
      <c r="AB5060" s="0" t="s">
        <v>114</v>
      </c>
    </row>
    <row r="5061" customFormat="false" ht="15" hidden="false" customHeight="false" outlineLevel="0" collapsed="false">
      <c r="A5061" s="0" t="s">
        <v>21</v>
      </c>
      <c r="B5061" s="0" t="s">
        <v>14551</v>
      </c>
      <c r="C5061" s="0" t="s">
        <v>97</v>
      </c>
      <c r="D5061" s="0" t="s">
        <v>14552</v>
      </c>
      <c r="E5061" s="0" t="s">
        <v>14553</v>
      </c>
      <c r="M5061" s="0" t="s">
        <v>136</v>
      </c>
      <c r="N5061" s="0" t="s">
        <v>124</v>
      </c>
      <c r="P5061" s="0" t="s">
        <v>102</v>
      </c>
      <c r="Q5061" s="0" t="s">
        <v>102</v>
      </c>
      <c r="R5061" s="0" t="s">
        <v>131</v>
      </c>
      <c r="S5061" s="0" t="s">
        <v>21</v>
      </c>
      <c r="T5061" s="0" t="s">
        <v>104</v>
      </c>
      <c r="W5061" s="0" t="s">
        <v>105</v>
      </c>
      <c r="AB5061" s="0" t="s">
        <v>114</v>
      </c>
    </row>
    <row r="5062" customFormat="false" ht="15" hidden="false" customHeight="false" outlineLevel="0" collapsed="false">
      <c r="A5062" s="0" t="s">
        <v>21</v>
      </c>
      <c r="B5062" s="0" t="s">
        <v>14554</v>
      </c>
      <c r="C5062" s="0" t="s">
        <v>97</v>
      </c>
      <c r="M5062" s="0" t="s">
        <v>100</v>
      </c>
      <c r="N5062" s="0" t="s">
        <v>101</v>
      </c>
      <c r="P5062" s="0" t="s">
        <v>102</v>
      </c>
      <c r="Q5062" s="0" t="s">
        <v>102</v>
      </c>
      <c r="R5062" s="0" t="s">
        <v>234</v>
      </c>
      <c r="S5062" s="0" t="s">
        <v>21</v>
      </c>
      <c r="T5062" s="0" t="s">
        <v>104</v>
      </c>
      <c r="W5062" s="0" t="s">
        <v>105</v>
      </c>
    </row>
    <row r="5063" customFormat="false" ht="15" hidden="false" customHeight="false" outlineLevel="0" collapsed="false">
      <c r="A5063" s="0" t="s">
        <v>21</v>
      </c>
      <c r="B5063" s="0" t="s">
        <v>14555</v>
      </c>
      <c r="C5063" s="0" t="s">
        <v>97</v>
      </c>
      <c r="D5063" s="0" t="s">
        <v>14556</v>
      </c>
      <c r="E5063" s="0" t="s">
        <v>14557</v>
      </c>
      <c r="M5063" s="0" t="s">
        <v>136</v>
      </c>
      <c r="N5063" s="0" t="s">
        <v>124</v>
      </c>
      <c r="P5063" s="0" t="s">
        <v>102</v>
      </c>
      <c r="Q5063" s="0" t="s">
        <v>102</v>
      </c>
      <c r="R5063" s="0" t="s">
        <v>131</v>
      </c>
      <c r="S5063" s="0" t="s">
        <v>21</v>
      </c>
      <c r="T5063" s="0" t="s">
        <v>104</v>
      </c>
      <c r="W5063" s="0" t="s">
        <v>105</v>
      </c>
    </row>
    <row r="5064" customFormat="false" ht="15" hidden="false" customHeight="false" outlineLevel="0" collapsed="false">
      <c r="A5064" s="0" t="s">
        <v>21</v>
      </c>
      <c r="B5064" s="0" t="s">
        <v>14558</v>
      </c>
      <c r="C5064" s="0" t="s">
        <v>97</v>
      </c>
      <c r="D5064" s="0" t="s">
        <v>14559</v>
      </c>
      <c r="E5064" s="0" t="s">
        <v>14560</v>
      </c>
      <c r="M5064" s="0" t="s">
        <v>136</v>
      </c>
      <c r="N5064" s="0" t="s">
        <v>124</v>
      </c>
      <c r="P5064" s="0" t="s">
        <v>102</v>
      </c>
      <c r="Q5064" s="0" t="s">
        <v>102</v>
      </c>
      <c r="R5064" s="0" t="s">
        <v>113</v>
      </c>
      <c r="S5064" s="0" t="s">
        <v>21</v>
      </c>
      <c r="T5064" s="0" t="s">
        <v>104</v>
      </c>
      <c r="W5064" s="0" t="s">
        <v>105</v>
      </c>
    </row>
    <row r="5065" customFormat="false" ht="15" hidden="false" customHeight="false" outlineLevel="0" collapsed="false">
      <c r="A5065" s="0" t="s">
        <v>21</v>
      </c>
      <c r="B5065" s="0" t="s">
        <v>14561</v>
      </c>
      <c r="C5065" s="0" t="s">
        <v>97</v>
      </c>
      <c r="D5065" s="0" t="s">
        <v>14562</v>
      </c>
      <c r="E5065" s="0" t="s">
        <v>14563</v>
      </c>
      <c r="M5065" s="0" t="s">
        <v>136</v>
      </c>
      <c r="N5065" s="0" t="s">
        <v>124</v>
      </c>
      <c r="P5065" s="0" t="s">
        <v>102</v>
      </c>
      <c r="Q5065" s="0" t="s">
        <v>102</v>
      </c>
      <c r="R5065" s="0" t="s">
        <v>131</v>
      </c>
      <c r="S5065" s="0" t="s">
        <v>21</v>
      </c>
      <c r="T5065" s="0" t="s">
        <v>104</v>
      </c>
      <c r="W5065" s="0" t="s">
        <v>105</v>
      </c>
    </row>
    <row r="5066" customFormat="false" ht="15" hidden="false" customHeight="false" outlineLevel="0" collapsed="false">
      <c r="A5066" s="0" t="s">
        <v>21</v>
      </c>
      <c r="B5066" s="0" t="s">
        <v>14564</v>
      </c>
      <c r="C5066" s="0" t="s">
        <v>97</v>
      </c>
      <c r="D5066" s="0" t="s">
        <v>14565</v>
      </c>
      <c r="E5066" s="0" t="s">
        <v>14566</v>
      </c>
      <c r="M5066" s="0" t="s">
        <v>136</v>
      </c>
      <c r="N5066" s="0" t="s">
        <v>124</v>
      </c>
      <c r="P5066" s="0" t="s">
        <v>102</v>
      </c>
      <c r="Q5066" s="0" t="s">
        <v>102</v>
      </c>
      <c r="R5066" s="0" t="s">
        <v>131</v>
      </c>
      <c r="S5066" s="0" t="s">
        <v>21</v>
      </c>
      <c r="T5066" s="0" t="s">
        <v>104</v>
      </c>
      <c r="W5066" s="0" t="s">
        <v>105</v>
      </c>
    </row>
    <row r="5067" customFormat="false" ht="15" hidden="false" customHeight="false" outlineLevel="0" collapsed="false">
      <c r="A5067" s="0" t="s">
        <v>21</v>
      </c>
      <c r="B5067" s="0" t="s">
        <v>14567</v>
      </c>
      <c r="C5067" s="0" t="s">
        <v>97</v>
      </c>
      <c r="D5067" s="0" t="s">
        <v>14568</v>
      </c>
      <c r="E5067" s="0" t="s">
        <v>14569</v>
      </c>
      <c r="M5067" s="0" t="s">
        <v>136</v>
      </c>
      <c r="N5067" s="0" t="s">
        <v>124</v>
      </c>
      <c r="P5067" s="0" t="s">
        <v>102</v>
      </c>
      <c r="Q5067" s="0" t="s">
        <v>102</v>
      </c>
      <c r="R5067" s="0" t="s">
        <v>131</v>
      </c>
      <c r="S5067" s="0" t="s">
        <v>21</v>
      </c>
      <c r="T5067" s="0" t="s">
        <v>104</v>
      </c>
      <c r="W5067" s="0" t="s">
        <v>105</v>
      </c>
    </row>
    <row r="5068" customFormat="false" ht="15" hidden="false" customHeight="false" outlineLevel="0" collapsed="false">
      <c r="A5068" s="0" t="s">
        <v>21</v>
      </c>
      <c r="B5068" s="0" t="s">
        <v>14570</v>
      </c>
      <c r="C5068" s="0" t="s">
        <v>97</v>
      </c>
      <c r="D5068" s="0" t="s">
        <v>14571</v>
      </c>
      <c r="E5068" s="0" t="s">
        <v>14572</v>
      </c>
      <c r="H5068" s="0" t="s">
        <v>654</v>
      </c>
      <c r="I5068" s="0" t="s">
        <v>655</v>
      </c>
      <c r="J5068" s="0" t="s">
        <v>100</v>
      </c>
      <c r="K5068" s="0" t="s">
        <v>168</v>
      </c>
      <c r="L5068" s="0" t="s">
        <v>101</v>
      </c>
      <c r="M5068" s="0" t="s">
        <v>656</v>
      </c>
      <c r="N5068" s="0" t="s">
        <v>101</v>
      </c>
      <c r="P5068" s="0" t="s">
        <v>102</v>
      </c>
      <c r="Q5068" s="0" t="s">
        <v>102</v>
      </c>
      <c r="R5068" s="0" t="s">
        <v>144</v>
      </c>
      <c r="S5068" s="0" t="s">
        <v>21</v>
      </c>
      <c r="T5068" s="0" t="s">
        <v>104</v>
      </c>
      <c r="W5068" s="0" t="s">
        <v>105</v>
      </c>
      <c r="X5068" s="0" t="s">
        <v>658</v>
      </c>
      <c r="Y5068" s="0" t="s">
        <v>659</v>
      </c>
    </row>
    <row r="5069" customFormat="false" ht="15" hidden="false" customHeight="false" outlineLevel="0" collapsed="false">
      <c r="A5069" s="0" t="s">
        <v>21</v>
      </c>
      <c r="B5069" s="0" t="s">
        <v>14573</v>
      </c>
      <c r="C5069" s="0" t="s">
        <v>97</v>
      </c>
      <c r="D5069" s="0" t="s">
        <v>14574</v>
      </c>
      <c r="E5069" s="0" t="s">
        <v>14575</v>
      </c>
      <c r="H5069" s="0" t="s">
        <v>654</v>
      </c>
      <c r="I5069" s="0" t="s">
        <v>655</v>
      </c>
      <c r="J5069" s="0" t="s">
        <v>100</v>
      </c>
      <c r="K5069" s="0" t="s">
        <v>168</v>
      </c>
      <c r="L5069" s="0" t="s">
        <v>101</v>
      </c>
      <c r="M5069" s="0" t="s">
        <v>656</v>
      </c>
      <c r="N5069" s="0" t="s">
        <v>101</v>
      </c>
      <c r="P5069" s="0" t="s">
        <v>102</v>
      </c>
      <c r="Q5069" s="0" t="s">
        <v>102</v>
      </c>
      <c r="R5069" s="0" t="s">
        <v>144</v>
      </c>
      <c r="S5069" s="0" t="s">
        <v>21</v>
      </c>
      <c r="T5069" s="0" t="s">
        <v>104</v>
      </c>
      <c r="W5069" s="0" t="s">
        <v>105</v>
      </c>
      <c r="X5069" s="0" t="s">
        <v>658</v>
      </c>
      <c r="Y5069" s="0" t="s">
        <v>659</v>
      </c>
    </row>
    <row r="5070" customFormat="false" ht="15" hidden="false" customHeight="false" outlineLevel="0" collapsed="false">
      <c r="A5070" s="0" t="s">
        <v>21</v>
      </c>
      <c r="B5070" s="0" t="s">
        <v>14576</v>
      </c>
      <c r="C5070" s="0" t="s">
        <v>97</v>
      </c>
      <c r="D5070" s="0" t="s">
        <v>14577</v>
      </c>
      <c r="E5070" s="0" t="s">
        <v>14578</v>
      </c>
      <c r="M5070" s="0" t="s">
        <v>100</v>
      </c>
      <c r="N5070" s="0" t="s">
        <v>101</v>
      </c>
      <c r="P5070" s="0" t="s">
        <v>102</v>
      </c>
      <c r="Q5070" s="0" t="s">
        <v>102</v>
      </c>
      <c r="R5070" s="0" t="s">
        <v>113</v>
      </c>
      <c r="S5070" s="0" t="s">
        <v>21</v>
      </c>
      <c r="T5070" s="0" t="s">
        <v>104</v>
      </c>
      <c r="W5070" s="0" t="s">
        <v>105</v>
      </c>
    </row>
    <row r="5071" customFormat="false" ht="15" hidden="false" customHeight="false" outlineLevel="0" collapsed="false">
      <c r="A5071" s="0" t="s">
        <v>21</v>
      </c>
      <c r="B5071" s="0" t="s">
        <v>14579</v>
      </c>
      <c r="C5071" s="0" t="s">
        <v>97</v>
      </c>
      <c r="D5071" s="0" t="s">
        <v>14580</v>
      </c>
      <c r="E5071" s="0" t="s">
        <v>14581</v>
      </c>
      <c r="M5071" s="0" t="s">
        <v>136</v>
      </c>
      <c r="N5071" s="0" t="s">
        <v>124</v>
      </c>
      <c r="P5071" s="0" t="s">
        <v>102</v>
      </c>
      <c r="Q5071" s="0" t="s">
        <v>102</v>
      </c>
      <c r="R5071" s="0" t="s">
        <v>131</v>
      </c>
      <c r="S5071" s="0" t="s">
        <v>21</v>
      </c>
      <c r="T5071" s="0" t="s">
        <v>104</v>
      </c>
      <c r="W5071" s="0" t="s">
        <v>105</v>
      </c>
    </row>
    <row r="5072" customFormat="false" ht="15" hidden="false" customHeight="false" outlineLevel="0" collapsed="false">
      <c r="A5072" s="0" t="s">
        <v>21</v>
      </c>
      <c r="B5072" s="0" t="s">
        <v>14582</v>
      </c>
      <c r="C5072" s="0" t="s">
        <v>97</v>
      </c>
      <c r="D5072" s="0" t="s">
        <v>14583</v>
      </c>
      <c r="E5072" s="0" t="s">
        <v>14584</v>
      </c>
      <c r="M5072" s="0" t="s">
        <v>136</v>
      </c>
      <c r="N5072" s="0" t="s">
        <v>124</v>
      </c>
      <c r="P5072" s="0" t="s">
        <v>102</v>
      </c>
      <c r="Q5072" s="0" t="s">
        <v>102</v>
      </c>
      <c r="R5072" s="0" t="s">
        <v>131</v>
      </c>
      <c r="S5072" s="0" t="s">
        <v>21</v>
      </c>
      <c r="T5072" s="0" t="s">
        <v>104</v>
      </c>
      <c r="W5072" s="0" t="s">
        <v>105</v>
      </c>
    </row>
    <row r="5073" customFormat="false" ht="15" hidden="false" customHeight="false" outlineLevel="0" collapsed="false">
      <c r="A5073" s="0" t="s">
        <v>21</v>
      </c>
      <c r="B5073" s="0" t="s">
        <v>14585</v>
      </c>
      <c r="C5073" s="0" t="s">
        <v>97</v>
      </c>
      <c r="D5073" s="0" t="s">
        <v>14586</v>
      </c>
      <c r="E5073" s="0" t="s">
        <v>14587</v>
      </c>
      <c r="M5073" s="0" t="s">
        <v>136</v>
      </c>
      <c r="N5073" s="0" t="s">
        <v>124</v>
      </c>
      <c r="P5073" s="0" t="s">
        <v>102</v>
      </c>
      <c r="Q5073" s="0" t="s">
        <v>102</v>
      </c>
      <c r="R5073" s="0" t="s">
        <v>113</v>
      </c>
      <c r="S5073" s="0" t="s">
        <v>21</v>
      </c>
      <c r="T5073" s="0" t="s">
        <v>104</v>
      </c>
      <c r="W5073" s="0" t="s">
        <v>105</v>
      </c>
    </row>
    <row r="5074" customFormat="false" ht="15" hidden="false" customHeight="false" outlineLevel="0" collapsed="false">
      <c r="A5074" s="0" t="s">
        <v>21</v>
      </c>
      <c r="B5074" s="0" t="s">
        <v>14588</v>
      </c>
      <c r="C5074" s="0" t="s">
        <v>97</v>
      </c>
      <c r="D5074" s="0" t="s">
        <v>14589</v>
      </c>
      <c r="E5074" s="0" t="s">
        <v>14590</v>
      </c>
      <c r="M5074" s="0" t="s">
        <v>136</v>
      </c>
      <c r="N5074" s="0" t="s">
        <v>124</v>
      </c>
      <c r="P5074" s="0" t="s">
        <v>102</v>
      </c>
      <c r="Q5074" s="0" t="s">
        <v>102</v>
      </c>
      <c r="R5074" s="0" t="s">
        <v>131</v>
      </c>
      <c r="S5074" s="0" t="s">
        <v>21</v>
      </c>
      <c r="T5074" s="0" t="s">
        <v>104</v>
      </c>
      <c r="W5074" s="0" t="s">
        <v>105</v>
      </c>
    </row>
    <row r="5075" customFormat="false" ht="15" hidden="false" customHeight="false" outlineLevel="0" collapsed="false">
      <c r="A5075" s="0" t="s">
        <v>21</v>
      </c>
      <c r="B5075" s="0" t="s">
        <v>14591</v>
      </c>
      <c r="C5075" s="0" t="s">
        <v>97</v>
      </c>
      <c r="D5075" s="0" t="s">
        <v>14592</v>
      </c>
      <c r="E5075" s="0" t="s">
        <v>14593</v>
      </c>
      <c r="M5075" s="0" t="s">
        <v>136</v>
      </c>
      <c r="N5075" s="0" t="s">
        <v>124</v>
      </c>
      <c r="P5075" s="0" t="s">
        <v>102</v>
      </c>
      <c r="Q5075" s="0" t="s">
        <v>102</v>
      </c>
      <c r="R5075" s="0" t="s">
        <v>113</v>
      </c>
      <c r="S5075" s="0" t="s">
        <v>21</v>
      </c>
      <c r="T5075" s="0" t="s">
        <v>104</v>
      </c>
      <c r="W5075" s="0" t="s">
        <v>105</v>
      </c>
    </row>
    <row r="5076" customFormat="false" ht="15" hidden="false" customHeight="false" outlineLevel="0" collapsed="false">
      <c r="A5076" s="0" t="s">
        <v>21</v>
      </c>
      <c r="B5076" s="0" t="s">
        <v>14594</v>
      </c>
      <c r="C5076" s="0" t="s">
        <v>97</v>
      </c>
      <c r="D5076" s="0" t="s">
        <v>14595</v>
      </c>
      <c r="E5076" s="0" t="s">
        <v>14596</v>
      </c>
      <c r="M5076" s="0" t="s">
        <v>136</v>
      </c>
      <c r="N5076" s="0" t="s">
        <v>124</v>
      </c>
      <c r="P5076" s="0" t="s">
        <v>102</v>
      </c>
      <c r="Q5076" s="0" t="s">
        <v>102</v>
      </c>
      <c r="R5076" s="0" t="s">
        <v>131</v>
      </c>
      <c r="S5076" s="0" t="s">
        <v>21</v>
      </c>
      <c r="T5076" s="0" t="s">
        <v>104</v>
      </c>
      <c r="W5076" s="0" t="s">
        <v>105</v>
      </c>
    </row>
    <row r="5077" customFormat="false" ht="15" hidden="false" customHeight="false" outlineLevel="0" collapsed="false">
      <c r="A5077" s="0" t="s">
        <v>21</v>
      </c>
      <c r="B5077" s="0" t="s">
        <v>14597</v>
      </c>
      <c r="C5077" s="0" t="s">
        <v>97</v>
      </c>
      <c r="D5077" s="0" t="s">
        <v>14598</v>
      </c>
      <c r="E5077" s="0" t="s">
        <v>14599</v>
      </c>
      <c r="M5077" s="0" t="s">
        <v>136</v>
      </c>
      <c r="N5077" s="0" t="s">
        <v>124</v>
      </c>
      <c r="P5077" s="0" t="s">
        <v>102</v>
      </c>
      <c r="Q5077" s="0" t="s">
        <v>102</v>
      </c>
      <c r="R5077" s="0" t="s">
        <v>131</v>
      </c>
      <c r="S5077" s="0" t="s">
        <v>21</v>
      </c>
      <c r="T5077" s="0" t="s">
        <v>104</v>
      </c>
      <c r="W5077" s="0" t="s">
        <v>105</v>
      </c>
    </row>
    <row r="5078" customFormat="false" ht="15" hidden="false" customHeight="false" outlineLevel="0" collapsed="false">
      <c r="A5078" s="0" t="s">
        <v>21</v>
      </c>
      <c r="B5078" s="0" t="s">
        <v>14600</v>
      </c>
      <c r="C5078" s="0" t="s">
        <v>97</v>
      </c>
      <c r="D5078" s="0" t="s">
        <v>14601</v>
      </c>
      <c r="E5078" s="0" t="s">
        <v>14601</v>
      </c>
      <c r="M5078" s="0" t="s">
        <v>136</v>
      </c>
      <c r="N5078" s="0" t="s">
        <v>124</v>
      </c>
      <c r="P5078" s="0" t="s">
        <v>102</v>
      </c>
      <c r="Q5078" s="0" t="s">
        <v>102</v>
      </c>
      <c r="R5078" s="0" t="s">
        <v>131</v>
      </c>
      <c r="S5078" s="0" t="s">
        <v>21</v>
      </c>
      <c r="T5078" s="0" t="s">
        <v>104</v>
      </c>
      <c r="W5078" s="0" t="s">
        <v>105</v>
      </c>
    </row>
    <row r="5079" customFormat="false" ht="15" hidden="false" customHeight="false" outlineLevel="0" collapsed="false">
      <c r="A5079" s="0" t="s">
        <v>21</v>
      </c>
      <c r="B5079" s="0" t="s">
        <v>14602</v>
      </c>
      <c r="C5079" s="0" t="s">
        <v>97</v>
      </c>
      <c r="D5079" s="0" t="s">
        <v>14603</v>
      </c>
      <c r="E5079" s="0" t="s">
        <v>14603</v>
      </c>
      <c r="M5079" s="0" t="s">
        <v>136</v>
      </c>
      <c r="N5079" s="0" t="s">
        <v>124</v>
      </c>
      <c r="P5079" s="0" t="s">
        <v>102</v>
      </c>
      <c r="Q5079" s="0" t="s">
        <v>102</v>
      </c>
      <c r="R5079" s="0" t="s">
        <v>131</v>
      </c>
      <c r="S5079" s="0" t="s">
        <v>21</v>
      </c>
      <c r="T5079" s="0" t="s">
        <v>104</v>
      </c>
      <c r="W5079" s="0" t="s">
        <v>105</v>
      </c>
    </row>
    <row r="5080" customFormat="false" ht="15" hidden="false" customHeight="false" outlineLevel="0" collapsed="false">
      <c r="A5080" s="0" t="s">
        <v>21</v>
      </c>
      <c r="B5080" s="0" t="s">
        <v>14604</v>
      </c>
      <c r="C5080" s="0" t="s">
        <v>97</v>
      </c>
      <c r="D5080" s="0" t="s">
        <v>14605</v>
      </c>
      <c r="E5080" s="0" t="s">
        <v>14606</v>
      </c>
      <c r="M5080" s="0" t="s">
        <v>136</v>
      </c>
      <c r="N5080" s="0" t="s">
        <v>124</v>
      </c>
      <c r="P5080" s="0" t="s">
        <v>102</v>
      </c>
      <c r="Q5080" s="0" t="s">
        <v>102</v>
      </c>
      <c r="R5080" s="0" t="s">
        <v>131</v>
      </c>
      <c r="S5080" s="0" t="s">
        <v>21</v>
      </c>
      <c r="T5080" s="0" t="s">
        <v>104</v>
      </c>
      <c r="W5080" s="0" t="s">
        <v>105</v>
      </c>
    </row>
    <row r="5081" customFormat="false" ht="15" hidden="false" customHeight="false" outlineLevel="0" collapsed="false">
      <c r="A5081" s="0" t="s">
        <v>21</v>
      </c>
      <c r="B5081" s="0" t="s">
        <v>14607</v>
      </c>
      <c r="C5081" s="0" t="s">
        <v>97</v>
      </c>
      <c r="D5081" s="0" t="s">
        <v>7982</v>
      </c>
      <c r="E5081" s="0" t="s">
        <v>14608</v>
      </c>
      <c r="M5081" s="0" t="s">
        <v>136</v>
      </c>
      <c r="N5081" s="0" t="s">
        <v>124</v>
      </c>
      <c r="P5081" s="0" t="s">
        <v>102</v>
      </c>
      <c r="Q5081" s="0" t="s">
        <v>102</v>
      </c>
      <c r="R5081" s="0" t="s">
        <v>113</v>
      </c>
      <c r="S5081" s="0" t="s">
        <v>21</v>
      </c>
      <c r="T5081" s="0" t="s">
        <v>104</v>
      </c>
      <c r="W5081" s="0" t="s">
        <v>105</v>
      </c>
    </row>
    <row r="5082" customFormat="false" ht="15" hidden="false" customHeight="false" outlineLevel="0" collapsed="false">
      <c r="A5082" s="0" t="s">
        <v>21</v>
      </c>
      <c r="B5082" s="0" t="s">
        <v>14609</v>
      </c>
      <c r="C5082" s="0" t="s">
        <v>97</v>
      </c>
      <c r="D5082" s="0" t="s">
        <v>14610</v>
      </c>
      <c r="E5082" s="0" t="s">
        <v>14610</v>
      </c>
      <c r="F5082" s="0" t="s">
        <v>14610</v>
      </c>
      <c r="M5082" s="0" t="s">
        <v>136</v>
      </c>
      <c r="N5082" s="0" t="s">
        <v>124</v>
      </c>
      <c r="P5082" s="0" t="s">
        <v>102</v>
      </c>
      <c r="Q5082" s="0" t="s">
        <v>102</v>
      </c>
      <c r="R5082" s="0" t="s">
        <v>131</v>
      </c>
      <c r="S5082" s="0" t="s">
        <v>21</v>
      </c>
      <c r="T5082" s="0" t="s">
        <v>104</v>
      </c>
      <c r="W5082" s="0" t="s">
        <v>105</v>
      </c>
    </row>
    <row r="5083" customFormat="false" ht="15" hidden="false" customHeight="false" outlineLevel="0" collapsed="false">
      <c r="A5083" s="0" t="s">
        <v>21</v>
      </c>
      <c r="B5083" s="0" t="s">
        <v>14611</v>
      </c>
      <c r="C5083" s="0" t="s">
        <v>97</v>
      </c>
      <c r="D5083" s="0" t="s">
        <v>14612</v>
      </c>
      <c r="E5083" s="0" t="s">
        <v>14613</v>
      </c>
      <c r="M5083" s="0" t="s">
        <v>136</v>
      </c>
      <c r="N5083" s="0" t="s">
        <v>124</v>
      </c>
      <c r="P5083" s="0" t="s">
        <v>102</v>
      </c>
      <c r="Q5083" s="0" t="s">
        <v>102</v>
      </c>
      <c r="R5083" s="0" t="s">
        <v>131</v>
      </c>
      <c r="S5083" s="0" t="s">
        <v>21</v>
      </c>
      <c r="T5083" s="0" t="s">
        <v>104</v>
      </c>
      <c r="W5083" s="0" t="s">
        <v>105</v>
      </c>
    </row>
    <row r="5084" customFormat="false" ht="15" hidden="false" customHeight="false" outlineLevel="0" collapsed="false">
      <c r="A5084" s="0" t="s">
        <v>21</v>
      </c>
      <c r="B5084" s="0" t="s">
        <v>14614</v>
      </c>
      <c r="C5084" s="0" t="s">
        <v>97</v>
      </c>
      <c r="D5084" s="0" t="s">
        <v>13516</v>
      </c>
      <c r="E5084" s="0" t="s">
        <v>13516</v>
      </c>
      <c r="M5084" s="0" t="s">
        <v>136</v>
      </c>
      <c r="N5084" s="0" t="s">
        <v>124</v>
      </c>
      <c r="P5084" s="0" t="s">
        <v>130</v>
      </c>
      <c r="Q5084" s="0" t="s">
        <v>130</v>
      </c>
      <c r="R5084" s="0" t="s">
        <v>113</v>
      </c>
      <c r="S5084" s="0" t="s">
        <v>21</v>
      </c>
      <c r="T5084" s="0" t="s">
        <v>104</v>
      </c>
      <c r="W5084" s="0" t="s">
        <v>105</v>
      </c>
    </row>
    <row r="5085" customFormat="false" ht="15" hidden="false" customHeight="false" outlineLevel="0" collapsed="false">
      <c r="A5085" s="0" t="s">
        <v>21</v>
      </c>
      <c r="B5085" s="0" t="s">
        <v>14615</v>
      </c>
      <c r="C5085" s="0" t="s">
        <v>97</v>
      </c>
      <c r="D5085" s="0" t="s">
        <v>14616</v>
      </c>
      <c r="E5085" s="0" t="s">
        <v>14616</v>
      </c>
      <c r="M5085" s="0" t="s">
        <v>136</v>
      </c>
      <c r="N5085" s="0" t="s">
        <v>124</v>
      </c>
      <c r="P5085" s="0" t="s">
        <v>130</v>
      </c>
      <c r="Q5085" s="0" t="s">
        <v>130</v>
      </c>
      <c r="R5085" s="0" t="s">
        <v>113</v>
      </c>
      <c r="S5085" s="0" t="s">
        <v>21</v>
      </c>
      <c r="T5085" s="0" t="s">
        <v>104</v>
      </c>
      <c r="W5085" s="0" t="s">
        <v>105</v>
      </c>
    </row>
    <row r="5086" customFormat="false" ht="15" hidden="false" customHeight="false" outlineLevel="0" collapsed="false">
      <c r="A5086" s="0" t="s">
        <v>21</v>
      </c>
      <c r="B5086" s="0" t="s">
        <v>14617</v>
      </c>
      <c r="C5086" s="0" t="s">
        <v>97</v>
      </c>
      <c r="D5086" s="0" t="s">
        <v>14618</v>
      </c>
      <c r="E5086" s="0" t="s">
        <v>14618</v>
      </c>
      <c r="M5086" s="0" t="s">
        <v>136</v>
      </c>
      <c r="N5086" s="0" t="s">
        <v>124</v>
      </c>
      <c r="P5086" s="0" t="s">
        <v>130</v>
      </c>
      <c r="Q5086" s="0" t="s">
        <v>130</v>
      </c>
      <c r="R5086" s="0" t="s">
        <v>113</v>
      </c>
      <c r="S5086" s="0" t="s">
        <v>21</v>
      </c>
      <c r="T5086" s="0" t="s">
        <v>104</v>
      </c>
      <c r="W5086" s="0" t="s">
        <v>105</v>
      </c>
    </row>
    <row r="5087" customFormat="false" ht="15" hidden="false" customHeight="false" outlineLevel="0" collapsed="false">
      <c r="A5087" s="0" t="s">
        <v>21</v>
      </c>
      <c r="B5087" s="0" t="s">
        <v>14619</v>
      </c>
      <c r="C5087" s="0" t="s">
        <v>97</v>
      </c>
      <c r="D5087" s="0" t="s">
        <v>14620</v>
      </c>
      <c r="E5087" s="0" t="s">
        <v>14620</v>
      </c>
      <c r="M5087" s="0" t="s">
        <v>136</v>
      </c>
      <c r="N5087" s="0" t="s">
        <v>124</v>
      </c>
      <c r="P5087" s="0" t="s">
        <v>130</v>
      </c>
      <c r="Q5087" s="0" t="s">
        <v>130</v>
      </c>
      <c r="R5087" s="0" t="s">
        <v>113</v>
      </c>
      <c r="S5087" s="0" t="s">
        <v>21</v>
      </c>
      <c r="T5087" s="0" t="s">
        <v>104</v>
      </c>
      <c r="W5087" s="0" t="s">
        <v>105</v>
      </c>
    </row>
    <row r="5088" customFormat="false" ht="15" hidden="false" customHeight="false" outlineLevel="0" collapsed="false">
      <c r="A5088" s="0" t="s">
        <v>21</v>
      </c>
      <c r="B5088" s="0" t="s">
        <v>14621</v>
      </c>
      <c r="C5088" s="0" t="s">
        <v>97</v>
      </c>
      <c r="D5088" s="0" t="s">
        <v>7982</v>
      </c>
      <c r="E5088" s="0" t="s">
        <v>7982</v>
      </c>
      <c r="M5088" s="0" t="s">
        <v>136</v>
      </c>
      <c r="N5088" s="0" t="s">
        <v>124</v>
      </c>
      <c r="P5088" s="0" t="s">
        <v>130</v>
      </c>
      <c r="Q5088" s="0" t="s">
        <v>130</v>
      </c>
      <c r="R5088" s="0" t="s">
        <v>113</v>
      </c>
      <c r="S5088" s="0" t="s">
        <v>21</v>
      </c>
      <c r="T5088" s="0" t="s">
        <v>104</v>
      </c>
      <c r="W5088" s="0" t="s">
        <v>105</v>
      </c>
    </row>
    <row r="5089" customFormat="false" ht="15" hidden="false" customHeight="false" outlineLevel="0" collapsed="false">
      <c r="A5089" s="0" t="s">
        <v>21</v>
      </c>
      <c r="B5089" s="0" t="s">
        <v>14622</v>
      </c>
      <c r="C5089" s="0" t="s">
        <v>97</v>
      </c>
      <c r="D5089" s="0" t="s">
        <v>14623</v>
      </c>
      <c r="E5089" s="0" t="s">
        <v>14624</v>
      </c>
      <c r="M5089" s="0" t="s">
        <v>100</v>
      </c>
      <c r="N5089" s="0" t="s">
        <v>101</v>
      </c>
      <c r="P5089" s="0" t="s">
        <v>102</v>
      </c>
      <c r="Q5089" s="0" t="s">
        <v>102</v>
      </c>
      <c r="R5089" s="0" t="s">
        <v>113</v>
      </c>
      <c r="S5089" s="0" t="s">
        <v>21</v>
      </c>
      <c r="T5089" s="0" t="s">
        <v>104</v>
      </c>
      <c r="W5089" s="0" t="s">
        <v>105</v>
      </c>
    </row>
    <row r="5090" customFormat="false" ht="15" hidden="false" customHeight="false" outlineLevel="0" collapsed="false">
      <c r="A5090" s="0" t="s">
        <v>21</v>
      </c>
      <c r="B5090" s="0" t="s">
        <v>14625</v>
      </c>
      <c r="C5090" s="0" t="s">
        <v>395</v>
      </c>
      <c r="D5090" s="0" t="s">
        <v>14626</v>
      </c>
      <c r="E5090" s="0" t="s">
        <v>14627</v>
      </c>
      <c r="M5090" s="0" t="s">
        <v>136</v>
      </c>
      <c r="N5090" s="0" t="s">
        <v>124</v>
      </c>
      <c r="P5090" s="0" t="s">
        <v>130</v>
      </c>
      <c r="Q5090" s="0" t="s">
        <v>130</v>
      </c>
      <c r="R5090" s="0" t="s">
        <v>113</v>
      </c>
      <c r="S5090" s="0" t="s">
        <v>21</v>
      </c>
      <c r="T5090" s="0" t="s">
        <v>104</v>
      </c>
      <c r="W5090" s="0" t="s">
        <v>105</v>
      </c>
    </row>
    <row r="5091" customFormat="false" ht="15" hidden="false" customHeight="false" outlineLevel="0" collapsed="false">
      <c r="A5091" s="0" t="s">
        <v>21</v>
      </c>
      <c r="B5091" s="0" t="s">
        <v>14628</v>
      </c>
      <c r="C5091" s="0" t="s">
        <v>97</v>
      </c>
      <c r="D5091" s="0" t="s">
        <v>14629</v>
      </c>
      <c r="E5091" s="0" t="s">
        <v>14630</v>
      </c>
      <c r="F5091" s="0" t="s">
        <v>14630</v>
      </c>
      <c r="M5091" s="0" t="s">
        <v>100</v>
      </c>
      <c r="N5091" s="0" t="s">
        <v>101</v>
      </c>
      <c r="P5091" s="0" t="s">
        <v>102</v>
      </c>
      <c r="Q5091" s="0" t="s">
        <v>102</v>
      </c>
      <c r="R5091" s="0" t="s">
        <v>113</v>
      </c>
      <c r="S5091" s="0" t="s">
        <v>21</v>
      </c>
      <c r="T5091" s="0" t="s">
        <v>104</v>
      </c>
      <c r="W5091" s="0" t="s">
        <v>105</v>
      </c>
    </row>
    <row r="5092" customFormat="false" ht="15" hidden="false" customHeight="false" outlineLevel="0" collapsed="false">
      <c r="A5092" s="0" t="s">
        <v>21</v>
      </c>
      <c r="B5092" s="0" t="s">
        <v>14631</v>
      </c>
      <c r="C5092" s="0" t="s">
        <v>97</v>
      </c>
      <c r="D5092" s="0" t="s">
        <v>14632</v>
      </c>
      <c r="E5092" s="0" t="s">
        <v>14633</v>
      </c>
      <c r="M5092" s="0" t="s">
        <v>100</v>
      </c>
      <c r="N5092" s="0" t="s">
        <v>101</v>
      </c>
      <c r="P5092" s="0" t="s">
        <v>102</v>
      </c>
      <c r="Q5092" s="0" t="s">
        <v>102</v>
      </c>
      <c r="R5092" s="0" t="s">
        <v>113</v>
      </c>
      <c r="S5092" s="0" t="s">
        <v>21</v>
      </c>
      <c r="T5092" s="0" t="s">
        <v>104</v>
      </c>
      <c r="W5092" s="0" t="s">
        <v>105</v>
      </c>
    </row>
    <row r="5093" customFormat="false" ht="15" hidden="false" customHeight="false" outlineLevel="0" collapsed="false">
      <c r="A5093" s="0" t="s">
        <v>21</v>
      </c>
      <c r="B5093" s="0" t="s">
        <v>14634</v>
      </c>
      <c r="C5093" s="0" t="s">
        <v>97</v>
      </c>
      <c r="D5093" s="0" t="s">
        <v>5991</v>
      </c>
      <c r="E5093" s="0" t="s">
        <v>14635</v>
      </c>
      <c r="M5093" s="0" t="s">
        <v>101</v>
      </c>
      <c r="N5093" s="0" t="s">
        <v>101</v>
      </c>
      <c r="P5093" s="0" t="s">
        <v>102</v>
      </c>
      <c r="Q5093" s="0" t="s">
        <v>102</v>
      </c>
      <c r="R5093" s="0" t="s">
        <v>113</v>
      </c>
      <c r="S5093" s="0" t="s">
        <v>21</v>
      </c>
      <c r="T5093" s="0" t="s">
        <v>104</v>
      </c>
      <c r="W5093" s="0" t="s">
        <v>105</v>
      </c>
    </row>
    <row r="5094" customFormat="false" ht="15" hidden="false" customHeight="false" outlineLevel="0" collapsed="false">
      <c r="A5094" s="0" t="s">
        <v>21</v>
      </c>
      <c r="B5094" s="0" t="s">
        <v>14636</v>
      </c>
      <c r="C5094" s="0" t="s">
        <v>97</v>
      </c>
      <c r="D5094" s="0" t="s">
        <v>14637</v>
      </c>
      <c r="E5094" s="0" t="s">
        <v>14638</v>
      </c>
      <c r="M5094" s="0" t="s">
        <v>100</v>
      </c>
      <c r="N5094" s="0" t="s">
        <v>101</v>
      </c>
      <c r="P5094" s="0" t="s">
        <v>102</v>
      </c>
      <c r="Q5094" s="0" t="s">
        <v>102</v>
      </c>
      <c r="R5094" s="0" t="s">
        <v>113</v>
      </c>
      <c r="S5094" s="0" t="s">
        <v>21</v>
      </c>
      <c r="T5094" s="0" t="s">
        <v>104</v>
      </c>
      <c r="W5094" s="0" t="s">
        <v>105</v>
      </c>
    </row>
    <row r="5095" customFormat="false" ht="15" hidden="false" customHeight="false" outlineLevel="0" collapsed="false">
      <c r="A5095" s="0" t="s">
        <v>21</v>
      </c>
      <c r="B5095" s="0" t="s">
        <v>14639</v>
      </c>
      <c r="C5095" s="0" t="s">
        <v>97</v>
      </c>
      <c r="D5095" s="0" t="s">
        <v>14640</v>
      </c>
      <c r="E5095" s="0" t="s">
        <v>14641</v>
      </c>
      <c r="M5095" s="0" t="s">
        <v>136</v>
      </c>
      <c r="N5095" s="0" t="s">
        <v>124</v>
      </c>
      <c r="P5095" s="0" t="s">
        <v>102</v>
      </c>
      <c r="Q5095" s="0" t="s">
        <v>102</v>
      </c>
      <c r="R5095" s="0" t="s">
        <v>113</v>
      </c>
      <c r="S5095" s="0" t="s">
        <v>21</v>
      </c>
      <c r="T5095" s="0" t="s">
        <v>104</v>
      </c>
      <c r="W5095" s="0" t="s">
        <v>105</v>
      </c>
    </row>
    <row r="5096" customFormat="false" ht="15" hidden="false" customHeight="false" outlineLevel="0" collapsed="false">
      <c r="A5096" s="0" t="s">
        <v>21</v>
      </c>
      <c r="B5096" s="0" t="s">
        <v>14642</v>
      </c>
      <c r="C5096" s="0" t="s">
        <v>97</v>
      </c>
      <c r="D5096" s="0" t="s">
        <v>14643</v>
      </c>
      <c r="E5096" s="0" t="s">
        <v>14644</v>
      </c>
      <c r="F5096" s="0" t="s">
        <v>14644</v>
      </c>
      <c r="M5096" s="0" t="s">
        <v>100</v>
      </c>
      <c r="N5096" s="0" t="s">
        <v>101</v>
      </c>
      <c r="P5096" s="0" t="s">
        <v>102</v>
      </c>
      <c r="Q5096" s="0" t="s">
        <v>102</v>
      </c>
      <c r="R5096" s="0" t="s">
        <v>113</v>
      </c>
      <c r="S5096" s="0" t="s">
        <v>21</v>
      </c>
      <c r="T5096" s="0" t="s">
        <v>104</v>
      </c>
      <c r="W5096" s="0" t="s">
        <v>105</v>
      </c>
    </row>
    <row r="5097" customFormat="false" ht="15" hidden="false" customHeight="false" outlineLevel="0" collapsed="false">
      <c r="A5097" s="0" t="s">
        <v>21</v>
      </c>
      <c r="B5097" s="0" t="s">
        <v>14645</v>
      </c>
      <c r="C5097" s="0" t="s">
        <v>97</v>
      </c>
      <c r="D5097" s="0" t="s">
        <v>14646</v>
      </c>
      <c r="E5097" s="0" t="s">
        <v>14647</v>
      </c>
      <c r="F5097" s="0" t="s">
        <v>14647</v>
      </c>
      <c r="M5097" s="0" t="s">
        <v>100</v>
      </c>
      <c r="N5097" s="0" t="s">
        <v>101</v>
      </c>
      <c r="P5097" s="0" t="s">
        <v>102</v>
      </c>
      <c r="Q5097" s="0" t="s">
        <v>102</v>
      </c>
      <c r="R5097" s="0" t="s">
        <v>113</v>
      </c>
      <c r="S5097" s="0" t="s">
        <v>21</v>
      </c>
      <c r="T5097" s="0" t="s">
        <v>104</v>
      </c>
      <c r="W5097" s="0" t="s">
        <v>105</v>
      </c>
    </row>
    <row r="5098" customFormat="false" ht="15" hidden="false" customHeight="false" outlineLevel="0" collapsed="false">
      <c r="A5098" s="0" t="s">
        <v>21</v>
      </c>
      <c r="B5098" s="0" t="s">
        <v>14648</v>
      </c>
      <c r="C5098" s="0" t="s">
        <v>97</v>
      </c>
      <c r="D5098" s="0" t="s">
        <v>14649</v>
      </c>
      <c r="E5098" s="0" t="s">
        <v>14650</v>
      </c>
      <c r="F5098" s="0" t="s">
        <v>14650</v>
      </c>
      <c r="M5098" s="0" t="s">
        <v>100</v>
      </c>
      <c r="N5098" s="0" t="s">
        <v>101</v>
      </c>
      <c r="P5098" s="0" t="s">
        <v>102</v>
      </c>
      <c r="Q5098" s="0" t="s">
        <v>102</v>
      </c>
      <c r="R5098" s="0" t="s">
        <v>113</v>
      </c>
      <c r="S5098" s="0" t="s">
        <v>21</v>
      </c>
      <c r="T5098" s="0" t="s">
        <v>104</v>
      </c>
      <c r="W5098" s="0" t="s">
        <v>105</v>
      </c>
    </row>
    <row r="5099" customFormat="false" ht="15" hidden="false" customHeight="false" outlineLevel="0" collapsed="false">
      <c r="A5099" s="0" t="s">
        <v>21</v>
      </c>
      <c r="B5099" s="0" t="s">
        <v>14651</v>
      </c>
      <c r="C5099" s="0" t="s">
        <v>661</v>
      </c>
      <c r="E5099" s="0" t="s">
        <v>14652</v>
      </c>
      <c r="G5099" s="0" t="s">
        <v>2292</v>
      </c>
      <c r="M5099" s="0" t="s">
        <v>442</v>
      </c>
      <c r="N5099" s="0" t="s">
        <v>101</v>
      </c>
      <c r="P5099" s="0" t="s">
        <v>130</v>
      </c>
      <c r="Q5099" s="0" t="s">
        <v>130</v>
      </c>
      <c r="R5099" s="0" t="s">
        <v>113</v>
      </c>
      <c r="S5099" s="0" t="s">
        <v>21</v>
      </c>
      <c r="T5099" s="0" t="s">
        <v>104</v>
      </c>
      <c r="W5099" s="0" t="s">
        <v>105</v>
      </c>
      <c r="Z5099" s="0" t="s">
        <v>134</v>
      </c>
      <c r="AB5099" s="0" t="s">
        <v>760</v>
      </c>
    </row>
    <row r="5100" customFormat="false" ht="15" hidden="false" customHeight="false" outlineLevel="0" collapsed="false">
      <c r="A5100" s="0" t="s">
        <v>21</v>
      </c>
      <c r="B5100" s="0" t="s">
        <v>14653</v>
      </c>
      <c r="C5100" s="0" t="s">
        <v>97</v>
      </c>
      <c r="D5100" s="0" t="s">
        <v>4798</v>
      </c>
      <c r="E5100" s="0" t="s">
        <v>14654</v>
      </c>
      <c r="M5100" s="0" t="s">
        <v>100</v>
      </c>
      <c r="N5100" s="0" t="s">
        <v>101</v>
      </c>
      <c r="P5100" s="0" t="s">
        <v>102</v>
      </c>
      <c r="Q5100" s="0" t="s">
        <v>102</v>
      </c>
      <c r="R5100" s="0" t="s">
        <v>113</v>
      </c>
      <c r="S5100" s="0" t="s">
        <v>21</v>
      </c>
      <c r="T5100" s="0" t="s">
        <v>104</v>
      </c>
      <c r="U5100" s="0" t="s">
        <v>368</v>
      </c>
      <c r="W5100" s="0" t="s">
        <v>105</v>
      </c>
    </row>
    <row r="5101" customFormat="false" ht="15" hidden="false" customHeight="false" outlineLevel="0" collapsed="false">
      <c r="A5101" s="0" t="s">
        <v>21</v>
      </c>
      <c r="B5101" s="0" t="s">
        <v>14655</v>
      </c>
      <c r="C5101" s="0" t="s">
        <v>97</v>
      </c>
      <c r="D5101" s="0" t="s">
        <v>14656</v>
      </c>
      <c r="E5101" s="0" t="s">
        <v>14657</v>
      </c>
      <c r="M5101" s="0" t="s">
        <v>136</v>
      </c>
      <c r="N5101" s="0" t="s">
        <v>124</v>
      </c>
      <c r="P5101" s="0" t="s">
        <v>102</v>
      </c>
      <c r="Q5101" s="0" t="s">
        <v>102</v>
      </c>
      <c r="R5101" s="0" t="s">
        <v>144</v>
      </c>
      <c r="S5101" s="0" t="s">
        <v>21</v>
      </c>
      <c r="T5101" s="0" t="s">
        <v>104</v>
      </c>
      <c r="W5101" s="0" t="s">
        <v>105</v>
      </c>
    </row>
    <row r="5102" customFormat="false" ht="15" hidden="false" customHeight="false" outlineLevel="0" collapsed="false">
      <c r="A5102" s="0" t="s">
        <v>21</v>
      </c>
      <c r="B5102" s="0" t="s">
        <v>14658</v>
      </c>
      <c r="C5102" s="0" t="s">
        <v>97</v>
      </c>
      <c r="D5102" s="0" t="s">
        <v>1613</v>
      </c>
      <c r="E5102" s="0" t="s">
        <v>14659</v>
      </c>
      <c r="H5102" s="0" t="s">
        <v>1615</v>
      </c>
      <c r="I5102" s="0" t="s">
        <v>1616</v>
      </c>
      <c r="M5102" s="0" t="s">
        <v>1402</v>
      </c>
      <c r="N5102" s="0" t="s">
        <v>101</v>
      </c>
      <c r="P5102" s="0" t="s">
        <v>102</v>
      </c>
      <c r="Q5102" s="0" t="s">
        <v>102</v>
      </c>
      <c r="R5102" s="0" t="s">
        <v>131</v>
      </c>
      <c r="S5102" s="0" t="s">
        <v>21</v>
      </c>
      <c r="T5102" s="0" t="s">
        <v>104</v>
      </c>
      <c r="W5102" s="0" t="s">
        <v>105</v>
      </c>
      <c r="X5102" s="0" t="s">
        <v>14660</v>
      </c>
      <c r="Y5102" s="0" t="s">
        <v>14661</v>
      </c>
    </row>
    <row r="5103" customFormat="false" ht="15" hidden="false" customHeight="false" outlineLevel="0" collapsed="false">
      <c r="A5103" s="0" t="s">
        <v>21</v>
      </c>
      <c r="B5103" s="0" t="s">
        <v>14662</v>
      </c>
      <c r="C5103" s="0" t="s">
        <v>97</v>
      </c>
      <c r="D5103" s="0" t="s">
        <v>14663</v>
      </c>
      <c r="E5103" s="0" t="s">
        <v>14664</v>
      </c>
      <c r="H5103" s="0" t="s">
        <v>654</v>
      </c>
      <c r="I5103" s="0" t="s">
        <v>655</v>
      </c>
      <c r="J5103" s="0" t="s">
        <v>100</v>
      </c>
      <c r="K5103" s="0" t="s">
        <v>168</v>
      </c>
      <c r="L5103" s="0" t="s">
        <v>101</v>
      </c>
      <c r="M5103" s="0" t="s">
        <v>656</v>
      </c>
      <c r="N5103" s="0" t="s">
        <v>101</v>
      </c>
      <c r="P5103" s="0" t="s">
        <v>102</v>
      </c>
      <c r="Q5103" s="0" t="s">
        <v>102</v>
      </c>
      <c r="R5103" s="0" t="s">
        <v>131</v>
      </c>
      <c r="S5103" s="0" t="s">
        <v>21</v>
      </c>
      <c r="T5103" s="0" t="s">
        <v>104</v>
      </c>
      <c r="W5103" s="0" t="s">
        <v>105</v>
      </c>
      <c r="X5103" s="0" t="s">
        <v>658</v>
      </c>
      <c r="Y5103" s="0" t="s">
        <v>659</v>
      </c>
    </row>
    <row r="5104" customFormat="false" ht="15" hidden="false" customHeight="false" outlineLevel="0" collapsed="false">
      <c r="A5104" s="0" t="s">
        <v>21</v>
      </c>
      <c r="B5104" s="0" t="s">
        <v>14665</v>
      </c>
      <c r="C5104" s="0" t="s">
        <v>97</v>
      </c>
      <c r="D5104" s="0" t="s">
        <v>14666</v>
      </c>
      <c r="E5104" s="0" t="s">
        <v>14667</v>
      </c>
      <c r="H5104" s="0" t="s">
        <v>654</v>
      </c>
      <c r="I5104" s="0" t="s">
        <v>655</v>
      </c>
      <c r="J5104" s="0" t="s">
        <v>100</v>
      </c>
      <c r="K5104" s="0" t="s">
        <v>168</v>
      </c>
      <c r="L5104" s="0" t="s">
        <v>101</v>
      </c>
      <c r="M5104" s="0" t="s">
        <v>656</v>
      </c>
      <c r="N5104" s="0" t="s">
        <v>101</v>
      </c>
      <c r="P5104" s="0" t="s">
        <v>102</v>
      </c>
      <c r="Q5104" s="0" t="s">
        <v>102</v>
      </c>
      <c r="R5104" s="0" t="s">
        <v>113</v>
      </c>
      <c r="S5104" s="0" t="s">
        <v>21</v>
      </c>
      <c r="T5104" s="0" t="s">
        <v>104</v>
      </c>
      <c r="W5104" s="0" t="s">
        <v>105</v>
      </c>
      <c r="X5104" s="0" t="s">
        <v>658</v>
      </c>
      <c r="Y5104" s="0" t="s">
        <v>659</v>
      </c>
    </row>
    <row r="5105" customFormat="false" ht="15" hidden="false" customHeight="false" outlineLevel="0" collapsed="false">
      <c r="A5105" s="0" t="s">
        <v>21</v>
      </c>
      <c r="B5105" s="0" t="s">
        <v>14668</v>
      </c>
      <c r="C5105" s="0" t="s">
        <v>97</v>
      </c>
      <c r="D5105" s="0" t="s">
        <v>14373</v>
      </c>
      <c r="E5105" s="0" t="s">
        <v>14669</v>
      </c>
      <c r="M5105" s="0" t="s">
        <v>136</v>
      </c>
      <c r="N5105" s="0" t="s">
        <v>124</v>
      </c>
      <c r="P5105" s="0" t="s">
        <v>102</v>
      </c>
      <c r="Q5105" s="0" t="s">
        <v>102</v>
      </c>
      <c r="R5105" s="0" t="s">
        <v>131</v>
      </c>
      <c r="S5105" s="0" t="s">
        <v>21</v>
      </c>
      <c r="T5105" s="0" t="s">
        <v>104</v>
      </c>
      <c r="W5105" s="0" t="s">
        <v>105</v>
      </c>
    </row>
    <row r="5106" customFormat="false" ht="15" hidden="false" customHeight="false" outlineLevel="0" collapsed="false">
      <c r="A5106" s="0" t="s">
        <v>21</v>
      </c>
      <c r="B5106" s="0" t="s">
        <v>14670</v>
      </c>
      <c r="C5106" s="0" t="s">
        <v>372</v>
      </c>
      <c r="D5106" s="0" t="s">
        <v>14671</v>
      </c>
      <c r="E5106" s="0" t="s">
        <v>14672</v>
      </c>
      <c r="H5106" s="0" t="s">
        <v>14673</v>
      </c>
      <c r="I5106" s="0" t="s">
        <v>14670</v>
      </c>
      <c r="J5106" s="0" t="s">
        <v>157</v>
      </c>
      <c r="K5106" s="0" t="s">
        <v>14674</v>
      </c>
      <c r="L5106" s="0" t="s">
        <v>124</v>
      </c>
      <c r="M5106" s="0" t="s">
        <v>232</v>
      </c>
      <c r="N5106" s="0" t="s">
        <v>124</v>
      </c>
      <c r="P5106" s="0" t="s">
        <v>379</v>
      </c>
      <c r="Q5106" s="0" t="s">
        <v>379</v>
      </c>
      <c r="R5106" s="0" t="s">
        <v>379</v>
      </c>
      <c r="S5106" s="0" t="s">
        <v>21</v>
      </c>
      <c r="T5106" s="0" t="s">
        <v>104</v>
      </c>
      <c r="W5106" s="0" t="s">
        <v>183</v>
      </c>
      <c r="X5106" s="0" t="s">
        <v>14675</v>
      </c>
      <c r="Y5106" s="0" t="s">
        <v>14676</v>
      </c>
      <c r="Z5106" s="0" t="s">
        <v>382</v>
      </c>
    </row>
    <row r="5107" customFormat="false" ht="15" hidden="false" customHeight="false" outlineLevel="0" collapsed="false">
      <c r="A5107" s="0" t="s">
        <v>21</v>
      </c>
      <c r="B5107" s="0" t="s">
        <v>14670</v>
      </c>
      <c r="C5107" s="0" t="s">
        <v>372</v>
      </c>
      <c r="D5107" s="0" t="s">
        <v>14671</v>
      </c>
      <c r="E5107" s="0" t="s">
        <v>14672</v>
      </c>
      <c r="H5107" s="0" t="s">
        <v>14673</v>
      </c>
      <c r="I5107" s="0" t="s">
        <v>14670</v>
      </c>
      <c r="J5107" s="0" t="s">
        <v>157</v>
      </c>
      <c r="K5107" s="0" t="s">
        <v>14674</v>
      </c>
      <c r="L5107" s="0" t="s">
        <v>124</v>
      </c>
      <c r="M5107" s="0" t="s">
        <v>232</v>
      </c>
      <c r="N5107" s="0" t="s">
        <v>124</v>
      </c>
      <c r="P5107" s="0" t="s">
        <v>102</v>
      </c>
      <c r="Q5107" s="0" t="s">
        <v>102</v>
      </c>
      <c r="R5107" s="0" t="s">
        <v>113</v>
      </c>
      <c r="S5107" s="0" t="s">
        <v>21</v>
      </c>
      <c r="T5107" s="0" t="s">
        <v>104</v>
      </c>
      <c r="W5107" s="0" t="s">
        <v>105</v>
      </c>
      <c r="X5107" s="0" t="s">
        <v>14675</v>
      </c>
      <c r="Y5107" s="0" t="s">
        <v>14676</v>
      </c>
      <c r="Z5107" s="0" t="s">
        <v>382</v>
      </c>
    </row>
    <row r="5108" customFormat="false" ht="15" hidden="false" customHeight="false" outlineLevel="0" collapsed="false">
      <c r="A5108" s="0" t="s">
        <v>21</v>
      </c>
      <c r="B5108" s="0" t="s">
        <v>14677</v>
      </c>
      <c r="C5108" s="0" t="s">
        <v>97</v>
      </c>
      <c r="D5108" s="0" t="s">
        <v>14678</v>
      </c>
      <c r="E5108" s="0" t="s">
        <v>14679</v>
      </c>
      <c r="M5108" s="0" t="s">
        <v>136</v>
      </c>
      <c r="N5108" s="0" t="s">
        <v>124</v>
      </c>
      <c r="P5108" s="0" t="s">
        <v>102</v>
      </c>
      <c r="Q5108" s="0" t="s">
        <v>102</v>
      </c>
      <c r="R5108" s="0" t="s">
        <v>113</v>
      </c>
      <c r="S5108" s="0" t="s">
        <v>21</v>
      </c>
      <c r="T5108" s="0" t="s">
        <v>104</v>
      </c>
      <c r="W5108" s="0" t="s">
        <v>105</v>
      </c>
    </row>
    <row r="5109" customFormat="false" ht="15" hidden="false" customHeight="false" outlineLevel="0" collapsed="false">
      <c r="A5109" s="0" t="s">
        <v>21</v>
      </c>
      <c r="B5109" s="0" t="s">
        <v>14680</v>
      </c>
      <c r="C5109" s="0" t="s">
        <v>97</v>
      </c>
      <c r="D5109" s="0" t="s">
        <v>9814</v>
      </c>
      <c r="E5109" s="0" t="s">
        <v>9815</v>
      </c>
      <c r="G5109" s="0" t="s">
        <v>14681</v>
      </c>
      <c r="M5109" s="0" t="s">
        <v>448</v>
      </c>
      <c r="N5109" s="0" t="s">
        <v>101</v>
      </c>
      <c r="P5109" s="0" t="s">
        <v>102</v>
      </c>
      <c r="Q5109" s="0" t="s">
        <v>102</v>
      </c>
      <c r="R5109" s="0" t="s">
        <v>113</v>
      </c>
      <c r="S5109" s="0" t="s">
        <v>21</v>
      </c>
      <c r="T5109" s="0" t="s">
        <v>104</v>
      </c>
      <c r="W5109" s="0" t="s">
        <v>105</v>
      </c>
    </row>
    <row r="5110" customFormat="false" ht="15" hidden="false" customHeight="false" outlineLevel="0" collapsed="false">
      <c r="A5110" s="0" t="s">
        <v>21</v>
      </c>
      <c r="B5110" s="0" t="s">
        <v>14682</v>
      </c>
      <c r="C5110" s="0" t="s">
        <v>97</v>
      </c>
      <c r="D5110" s="0" t="s">
        <v>4960</v>
      </c>
      <c r="E5110" s="0" t="s">
        <v>14683</v>
      </c>
      <c r="H5110" s="0" t="s">
        <v>14684</v>
      </c>
      <c r="I5110" s="0" t="s">
        <v>14685</v>
      </c>
      <c r="J5110" s="0" t="s">
        <v>366</v>
      </c>
      <c r="K5110" s="0" t="s">
        <v>1565</v>
      </c>
      <c r="L5110" s="0" t="s">
        <v>101</v>
      </c>
      <c r="M5110" s="0" t="s">
        <v>366</v>
      </c>
      <c r="N5110" s="0" t="s">
        <v>101</v>
      </c>
      <c r="P5110" s="0" t="s">
        <v>102</v>
      </c>
      <c r="Q5110" s="0" t="s">
        <v>102</v>
      </c>
      <c r="R5110" s="0" t="s">
        <v>113</v>
      </c>
      <c r="S5110" s="0" t="s">
        <v>21</v>
      </c>
      <c r="T5110" s="0" t="s">
        <v>104</v>
      </c>
      <c r="W5110" s="0" t="s">
        <v>105</v>
      </c>
      <c r="X5110" s="0" t="s">
        <v>14686</v>
      </c>
      <c r="Y5110" s="0" t="s">
        <v>14687</v>
      </c>
    </row>
    <row r="5111" customFormat="false" ht="15" hidden="false" customHeight="false" outlineLevel="0" collapsed="false">
      <c r="A5111" s="0" t="s">
        <v>21</v>
      </c>
      <c r="B5111" s="0" t="s">
        <v>14688</v>
      </c>
      <c r="C5111" s="0" t="s">
        <v>110</v>
      </c>
      <c r="D5111" s="0" t="s">
        <v>3872</v>
      </c>
      <c r="E5111" s="0" t="s">
        <v>3872</v>
      </c>
      <c r="G5111" s="0" t="s">
        <v>14689</v>
      </c>
      <c r="H5111" s="0" t="s">
        <v>14690</v>
      </c>
      <c r="I5111" s="0" t="s">
        <v>14691</v>
      </c>
      <c r="J5111" s="0" t="s">
        <v>157</v>
      </c>
      <c r="K5111" s="0" t="s">
        <v>6728</v>
      </c>
      <c r="M5111" s="0" t="s">
        <v>178</v>
      </c>
      <c r="N5111" s="0" t="s">
        <v>124</v>
      </c>
      <c r="P5111" s="0" t="s">
        <v>102</v>
      </c>
      <c r="Q5111" s="0" t="s">
        <v>102</v>
      </c>
      <c r="R5111" s="0" t="s">
        <v>113</v>
      </c>
      <c r="S5111" s="0" t="s">
        <v>21</v>
      </c>
      <c r="T5111" s="0" t="s">
        <v>104</v>
      </c>
      <c r="W5111" s="0" t="s">
        <v>105</v>
      </c>
    </row>
    <row r="5112" customFormat="false" ht="15" hidden="false" customHeight="false" outlineLevel="0" collapsed="false">
      <c r="A5112" s="0" t="s">
        <v>21</v>
      </c>
      <c r="B5112" s="0" t="s">
        <v>14688</v>
      </c>
      <c r="C5112" s="0" t="s">
        <v>110</v>
      </c>
      <c r="D5112" s="0" t="s">
        <v>3872</v>
      </c>
      <c r="E5112" s="0" t="s">
        <v>3872</v>
      </c>
      <c r="G5112" s="0" t="s">
        <v>14689</v>
      </c>
      <c r="H5112" s="0" t="s">
        <v>14690</v>
      </c>
      <c r="I5112" s="0" t="s">
        <v>14691</v>
      </c>
      <c r="J5112" s="0" t="s">
        <v>157</v>
      </c>
      <c r="K5112" s="0" t="s">
        <v>6728</v>
      </c>
      <c r="M5112" s="0" t="s">
        <v>178</v>
      </c>
      <c r="N5112" s="0" t="s">
        <v>124</v>
      </c>
      <c r="P5112" s="0" t="s">
        <v>4272</v>
      </c>
      <c r="Q5112" s="0" t="s">
        <v>6498</v>
      </c>
      <c r="R5112" s="0" t="s">
        <v>6499</v>
      </c>
      <c r="S5112" s="0" t="s">
        <v>21</v>
      </c>
      <c r="T5112" s="0" t="s">
        <v>104</v>
      </c>
      <c r="W5112" s="0" t="s">
        <v>183</v>
      </c>
    </row>
    <row r="5113" customFormat="false" ht="15" hidden="false" customHeight="false" outlineLevel="0" collapsed="false">
      <c r="A5113" s="0" t="s">
        <v>21</v>
      </c>
      <c r="B5113" s="0" t="s">
        <v>14692</v>
      </c>
      <c r="C5113" s="0" t="s">
        <v>97</v>
      </c>
      <c r="D5113" s="0" t="s">
        <v>14693</v>
      </c>
      <c r="E5113" s="0" t="s">
        <v>14694</v>
      </c>
      <c r="M5113" s="0" t="s">
        <v>136</v>
      </c>
      <c r="N5113" s="0" t="s">
        <v>124</v>
      </c>
      <c r="P5113" s="0" t="s">
        <v>102</v>
      </c>
      <c r="Q5113" s="0" t="s">
        <v>102</v>
      </c>
      <c r="R5113" s="0" t="s">
        <v>131</v>
      </c>
      <c r="S5113" s="0" t="s">
        <v>21</v>
      </c>
      <c r="T5113" s="0" t="s">
        <v>104</v>
      </c>
      <c r="W5113" s="0" t="s">
        <v>105</v>
      </c>
    </row>
    <row r="5114" customFormat="false" ht="15" hidden="false" customHeight="false" outlineLevel="0" collapsed="false">
      <c r="A5114" s="0" t="s">
        <v>21</v>
      </c>
      <c r="B5114" s="0" t="s">
        <v>14695</v>
      </c>
      <c r="C5114" s="0" t="s">
        <v>97</v>
      </c>
      <c r="D5114" s="0" t="s">
        <v>5082</v>
      </c>
      <c r="E5114" s="0" t="s">
        <v>5083</v>
      </c>
      <c r="M5114" s="0" t="s">
        <v>136</v>
      </c>
      <c r="N5114" s="0" t="s">
        <v>124</v>
      </c>
      <c r="P5114" s="0" t="s">
        <v>102</v>
      </c>
      <c r="Q5114" s="0" t="s">
        <v>102</v>
      </c>
      <c r="R5114" s="0" t="s">
        <v>131</v>
      </c>
      <c r="S5114" s="0" t="s">
        <v>21</v>
      </c>
      <c r="T5114" s="0" t="s">
        <v>104</v>
      </c>
      <c r="W5114" s="0" t="s">
        <v>105</v>
      </c>
    </row>
    <row r="5115" customFormat="false" ht="15" hidden="false" customHeight="false" outlineLevel="0" collapsed="false">
      <c r="A5115" s="0" t="s">
        <v>21</v>
      </c>
      <c r="B5115" s="0" t="s">
        <v>14696</v>
      </c>
      <c r="C5115" s="0" t="s">
        <v>97</v>
      </c>
      <c r="D5115" s="0" t="s">
        <v>14697</v>
      </c>
      <c r="E5115" s="0" t="s">
        <v>14698</v>
      </c>
      <c r="H5115" s="0" t="s">
        <v>654</v>
      </c>
      <c r="I5115" s="0" t="s">
        <v>655</v>
      </c>
      <c r="J5115" s="0" t="s">
        <v>100</v>
      </c>
      <c r="K5115" s="0" t="s">
        <v>168</v>
      </c>
      <c r="L5115" s="0" t="s">
        <v>101</v>
      </c>
      <c r="M5115" s="0" t="s">
        <v>656</v>
      </c>
      <c r="N5115" s="0" t="s">
        <v>101</v>
      </c>
      <c r="P5115" s="0" t="s">
        <v>102</v>
      </c>
      <c r="Q5115" s="0" t="s">
        <v>102</v>
      </c>
      <c r="R5115" s="0" t="s">
        <v>113</v>
      </c>
      <c r="S5115" s="0" t="s">
        <v>21</v>
      </c>
      <c r="T5115" s="0" t="s">
        <v>104</v>
      </c>
      <c r="W5115" s="0" t="s">
        <v>105</v>
      </c>
      <c r="X5115" s="0" t="s">
        <v>658</v>
      </c>
      <c r="Y5115" s="0" t="s">
        <v>659</v>
      </c>
    </row>
    <row r="5116" customFormat="false" ht="15" hidden="false" customHeight="false" outlineLevel="0" collapsed="false">
      <c r="A5116" s="0" t="s">
        <v>21</v>
      </c>
      <c r="B5116" s="0" t="s">
        <v>14699</v>
      </c>
      <c r="C5116" s="0" t="s">
        <v>97</v>
      </c>
      <c r="D5116" s="0" t="s">
        <v>14700</v>
      </c>
      <c r="E5116" s="0" t="s">
        <v>14701</v>
      </c>
      <c r="M5116" s="0" t="s">
        <v>100</v>
      </c>
      <c r="N5116" s="0" t="s">
        <v>101</v>
      </c>
      <c r="P5116" s="0" t="s">
        <v>102</v>
      </c>
      <c r="Q5116" s="0" t="s">
        <v>102</v>
      </c>
      <c r="R5116" s="0" t="s">
        <v>113</v>
      </c>
      <c r="S5116" s="0" t="s">
        <v>21</v>
      </c>
      <c r="T5116" s="0" t="s">
        <v>104</v>
      </c>
      <c r="W5116" s="0" t="s">
        <v>105</v>
      </c>
    </row>
    <row r="5117" customFormat="false" ht="15" hidden="false" customHeight="false" outlineLevel="0" collapsed="false">
      <c r="A5117" s="0" t="s">
        <v>21</v>
      </c>
      <c r="B5117" s="0" t="s">
        <v>14702</v>
      </c>
      <c r="C5117" s="0" t="s">
        <v>2145</v>
      </c>
      <c r="D5117" s="0" t="s">
        <v>14703</v>
      </c>
      <c r="E5117" s="0" t="s">
        <v>14704</v>
      </c>
      <c r="G5117" s="0" t="s">
        <v>14705</v>
      </c>
      <c r="M5117" s="0" t="s">
        <v>1332</v>
      </c>
      <c r="N5117" s="0" t="s">
        <v>101</v>
      </c>
      <c r="P5117" s="0" t="s">
        <v>102</v>
      </c>
      <c r="Q5117" s="0" t="s">
        <v>102</v>
      </c>
      <c r="R5117" s="0" t="s">
        <v>113</v>
      </c>
      <c r="S5117" s="0" t="s">
        <v>21</v>
      </c>
      <c r="T5117" s="0" t="s">
        <v>104</v>
      </c>
      <c r="W5117" s="0" t="s">
        <v>105</v>
      </c>
    </row>
    <row r="5118" customFormat="false" ht="15" hidden="false" customHeight="false" outlineLevel="0" collapsed="false">
      <c r="A5118" s="0" t="s">
        <v>21</v>
      </c>
      <c r="B5118" s="0" t="s">
        <v>14706</v>
      </c>
      <c r="C5118" s="0" t="s">
        <v>174</v>
      </c>
      <c r="D5118" s="0" t="s">
        <v>14707</v>
      </c>
      <c r="E5118" s="0" t="s">
        <v>14708</v>
      </c>
      <c r="M5118" s="0" t="s">
        <v>100</v>
      </c>
      <c r="N5118" s="0" t="s">
        <v>101</v>
      </c>
      <c r="P5118" s="0" t="s">
        <v>102</v>
      </c>
      <c r="Q5118" s="0" t="s">
        <v>102</v>
      </c>
      <c r="R5118" s="0" t="s">
        <v>113</v>
      </c>
      <c r="S5118" s="0" t="s">
        <v>21</v>
      </c>
      <c r="T5118" s="0" t="s">
        <v>104</v>
      </c>
      <c r="W5118" s="0" t="s">
        <v>105</v>
      </c>
    </row>
    <row r="5119" customFormat="false" ht="15" hidden="false" customHeight="false" outlineLevel="0" collapsed="false">
      <c r="A5119" s="0" t="s">
        <v>21</v>
      </c>
      <c r="B5119" s="0" t="s">
        <v>14709</v>
      </c>
      <c r="C5119" s="0" t="s">
        <v>97</v>
      </c>
      <c r="D5119" s="0" t="s">
        <v>14710</v>
      </c>
      <c r="E5119" s="0" t="s">
        <v>14711</v>
      </c>
      <c r="M5119" s="0" t="s">
        <v>100</v>
      </c>
      <c r="N5119" s="0" t="s">
        <v>101</v>
      </c>
      <c r="P5119" s="0" t="s">
        <v>102</v>
      </c>
      <c r="Q5119" s="0" t="s">
        <v>102</v>
      </c>
      <c r="R5119" s="0" t="s">
        <v>113</v>
      </c>
      <c r="S5119" s="0" t="s">
        <v>21</v>
      </c>
      <c r="T5119" s="0" t="s">
        <v>104</v>
      </c>
      <c r="W5119" s="0" t="s">
        <v>105</v>
      </c>
    </row>
    <row r="5120" customFormat="false" ht="15" hidden="false" customHeight="false" outlineLevel="0" collapsed="false">
      <c r="A5120" s="0" t="s">
        <v>21</v>
      </c>
      <c r="B5120" s="0" t="s">
        <v>14712</v>
      </c>
      <c r="C5120" s="0" t="s">
        <v>97</v>
      </c>
      <c r="D5120" s="0" t="s">
        <v>12263</v>
      </c>
      <c r="E5120" s="0" t="s">
        <v>12263</v>
      </c>
      <c r="M5120" s="0" t="s">
        <v>442</v>
      </c>
      <c r="N5120" s="0" t="s">
        <v>101</v>
      </c>
      <c r="P5120" s="0" t="s">
        <v>102</v>
      </c>
      <c r="Q5120" s="0" t="s">
        <v>102</v>
      </c>
      <c r="R5120" s="0" t="s">
        <v>131</v>
      </c>
      <c r="S5120" s="0" t="s">
        <v>21</v>
      </c>
      <c r="T5120" s="0" t="s">
        <v>104</v>
      </c>
      <c r="W5120" s="0" t="s">
        <v>105</v>
      </c>
    </row>
    <row r="5121" customFormat="false" ht="15" hidden="false" customHeight="false" outlineLevel="0" collapsed="false">
      <c r="A5121" s="0" t="s">
        <v>21</v>
      </c>
      <c r="B5121" s="0" t="s">
        <v>14713</v>
      </c>
      <c r="C5121" s="0" t="s">
        <v>97</v>
      </c>
      <c r="D5121" s="0" t="s">
        <v>14714</v>
      </c>
      <c r="E5121" s="0" t="s">
        <v>14715</v>
      </c>
      <c r="M5121" s="0" t="s">
        <v>136</v>
      </c>
      <c r="N5121" s="0" t="s">
        <v>124</v>
      </c>
      <c r="P5121" s="0" t="s">
        <v>102</v>
      </c>
      <c r="Q5121" s="0" t="s">
        <v>102</v>
      </c>
      <c r="R5121" s="0" t="s">
        <v>113</v>
      </c>
      <c r="S5121" s="0" t="s">
        <v>21</v>
      </c>
      <c r="T5121" s="0" t="s">
        <v>104</v>
      </c>
      <c r="W5121" s="0" t="s">
        <v>105</v>
      </c>
    </row>
    <row r="5122" customFormat="false" ht="15" hidden="false" customHeight="false" outlineLevel="0" collapsed="false">
      <c r="A5122" s="0" t="s">
        <v>21</v>
      </c>
      <c r="B5122" s="0" t="s">
        <v>14716</v>
      </c>
      <c r="C5122" s="0" t="s">
        <v>97</v>
      </c>
      <c r="D5122" s="0" t="s">
        <v>14717</v>
      </c>
      <c r="E5122" s="0" t="s">
        <v>14718</v>
      </c>
      <c r="M5122" s="0" t="s">
        <v>136</v>
      </c>
      <c r="N5122" s="0" t="s">
        <v>124</v>
      </c>
      <c r="P5122" s="0" t="s">
        <v>102</v>
      </c>
      <c r="Q5122" s="0" t="s">
        <v>102</v>
      </c>
      <c r="R5122" s="0" t="s">
        <v>113</v>
      </c>
      <c r="S5122" s="0" t="s">
        <v>21</v>
      </c>
      <c r="T5122" s="0" t="s">
        <v>104</v>
      </c>
      <c r="W5122" s="0" t="s">
        <v>105</v>
      </c>
    </row>
    <row r="5123" customFormat="false" ht="15" hidden="false" customHeight="false" outlineLevel="0" collapsed="false">
      <c r="A5123" s="0" t="s">
        <v>21</v>
      </c>
      <c r="B5123" s="0" t="s">
        <v>14719</v>
      </c>
      <c r="C5123" s="0" t="s">
        <v>97</v>
      </c>
      <c r="D5123" s="0" t="s">
        <v>14720</v>
      </c>
      <c r="E5123" s="0" t="s">
        <v>14721</v>
      </c>
      <c r="M5123" s="0" t="s">
        <v>136</v>
      </c>
      <c r="N5123" s="0" t="s">
        <v>124</v>
      </c>
      <c r="P5123" s="0" t="s">
        <v>102</v>
      </c>
      <c r="Q5123" s="0" t="s">
        <v>102</v>
      </c>
      <c r="R5123" s="0" t="s">
        <v>113</v>
      </c>
      <c r="S5123" s="0" t="s">
        <v>21</v>
      </c>
      <c r="T5123" s="0" t="s">
        <v>104</v>
      </c>
      <c r="W5123" s="0" t="s">
        <v>105</v>
      </c>
    </row>
    <row r="5124" customFormat="false" ht="15" hidden="false" customHeight="false" outlineLevel="0" collapsed="false">
      <c r="A5124" s="0" t="s">
        <v>21</v>
      </c>
      <c r="B5124" s="0" t="s">
        <v>14722</v>
      </c>
      <c r="C5124" s="0" t="s">
        <v>97</v>
      </c>
      <c r="D5124" s="0" t="s">
        <v>1431</v>
      </c>
      <c r="E5124" s="0" t="s">
        <v>14723</v>
      </c>
      <c r="H5124" s="0" t="s">
        <v>1433</v>
      </c>
      <c r="I5124" s="0" t="s">
        <v>1434</v>
      </c>
      <c r="J5124" s="0" t="s">
        <v>1434</v>
      </c>
      <c r="K5124" s="0" t="s">
        <v>1419</v>
      </c>
      <c r="L5124" s="0" t="s">
        <v>101</v>
      </c>
      <c r="M5124" s="0" t="s">
        <v>1434</v>
      </c>
      <c r="N5124" s="0" t="s">
        <v>101</v>
      </c>
      <c r="P5124" s="0" t="s">
        <v>102</v>
      </c>
      <c r="Q5124" s="0" t="s">
        <v>102</v>
      </c>
      <c r="R5124" s="0" t="s">
        <v>113</v>
      </c>
      <c r="S5124" s="0" t="s">
        <v>21</v>
      </c>
      <c r="T5124" s="0" t="s">
        <v>104</v>
      </c>
      <c r="W5124" s="0" t="s">
        <v>105</v>
      </c>
      <c r="X5124" s="0" t="s">
        <v>14724</v>
      </c>
      <c r="Y5124" s="0" t="s">
        <v>14725</v>
      </c>
    </row>
    <row r="5125" customFormat="false" ht="15" hidden="false" customHeight="false" outlineLevel="0" collapsed="false">
      <c r="A5125" s="0" t="s">
        <v>21</v>
      </c>
      <c r="B5125" s="0" t="s">
        <v>14726</v>
      </c>
      <c r="C5125" s="0" t="s">
        <v>97</v>
      </c>
      <c r="D5125" s="0" t="s">
        <v>14727</v>
      </c>
      <c r="E5125" s="0" t="s">
        <v>14728</v>
      </c>
      <c r="H5125" s="0" t="s">
        <v>654</v>
      </c>
      <c r="I5125" s="0" t="s">
        <v>655</v>
      </c>
      <c r="J5125" s="0" t="s">
        <v>100</v>
      </c>
      <c r="K5125" s="0" t="s">
        <v>168</v>
      </c>
      <c r="L5125" s="0" t="s">
        <v>101</v>
      </c>
      <c r="M5125" s="0" t="s">
        <v>656</v>
      </c>
      <c r="N5125" s="0" t="s">
        <v>101</v>
      </c>
      <c r="P5125" s="0" t="s">
        <v>102</v>
      </c>
      <c r="Q5125" s="0" t="s">
        <v>102</v>
      </c>
      <c r="R5125" s="0" t="s">
        <v>131</v>
      </c>
      <c r="S5125" s="0" t="s">
        <v>21</v>
      </c>
      <c r="T5125" s="0" t="s">
        <v>104</v>
      </c>
      <c r="W5125" s="0" t="s">
        <v>105</v>
      </c>
      <c r="X5125" s="0" t="s">
        <v>658</v>
      </c>
      <c r="Y5125" s="0" t="s">
        <v>659</v>
      </c>
    </row>
    <row r="5126" customFormat="false" ht="15" hidden="false" customHeight="false" outlineLevel="0" collapsed="false">
      <c r="A5126" s="0" t="s">
        <v>21</v>
      </c>
      <c r="B5126" s="0" t="s">
        <v>14729</v>
      </c>
      <c r="C5126" s="0" t="s">
        <v>97</v>
      </c>
      <c r="D5126" s="0" t="s">
        <v>14730</v>
      </c>
      <c r="E5126" s="0" t="s">
        <v>14731</v>
      </c>
      <c r="M5126" s="0" t="s">
        <v>656</v>
      </c>
      <c r="N5126" s="0" t="s">
        <v>101</v>
      </c>
      <c r="P5126" s="0" t="s">
        <v>102</v>
      </c>
      <c r="Q5126" s="0" t="s">
        <v>102</v>
      </c>
      <c r="R5126" s="0" t="s">
        <v>131</v>
      </c>
      <c r="S5126" s="0" t="s">
        <v>21</v>
      </c>
      <c r="T5126" s="0" t="s">
        <v>104</v>
      </c>
      <c r="W5126" s="0" t="s">
        <v>105</v>
      </c>
    </row>
    <row r="5127" customFormat="false" ht="15" hidden="false" customHeight="false" outlineLevel="0" collapsed="false">
      <c r="A5127" s="0" t="s">
        <v>21</v>
      </c>
      <c r="B5127" s="0" t="s">
        <v>14732</v>
      </c>
      <c r="C5127" s="0" t="s">
        <v>4280</v>
      </c>
      <c r="D5127" s="0" t="s">
        <v>14733</v>
      </c>
      <c r="E5127" s="0" t="s">
        <v>14734</v>
      </c>
      <c r="G5127" s="0" t="s">
        <v>14735</v>
      </c>
      <c r="M5127" s="0" t="s">
        <v>1441</v>
      </c>
      <c r="N5127" s="0" t="s">
        <v>101</v>
      </c>
      <c r="P5127" s="0" t="s">
        <v>102</v>
      </c>
      <c r="Q5127" s="0" t="s">
        <v>102</v>
      </c>
      <c r="R5127" s="0" t="s">
        <v>131</v>
      </c>
      <c r="S5127" s="0" t="s">
        <v>21</v>
      </c>
      <c r="T5127" s="0" t="s">
        <v>104</v>
      </c>
      <c r="W5127" s="0" t="s">
        <v>105</v>
      </c>
    </row>
    <row r="5128" customFormat="false" ht="15" hidden="false" customHeight="false" outlineLevel="0" collapsed="false">
      <c r="A5128" s="0" t="s">
        <v>21</v>
      </c>
      <c r="B5128" s="0" t="s">
        <v>14736</v>
      </c>
      <c r="C5128" s="0" t="s">
        <v>97</v>
      </c>
      <c r="D5128" s="0" t="s">
        <v>14737</v>
      </c>
      <c r="E5128" s="0" t="s">
        <v>14738</v>
      </c>
      <c r="M5128" s="0" t="s">
        <v>1441</v>
      </c>
      <c r="N5128" s="0" t="s">
        <v>101</v>
      </c>
      <c r="P5128" s="0" t="s">
        <v>102</v>
      </c>
      <c r="Q5128" s="0" t="s">
        <v>102</v>
      </c>
      <c r="R5128" s="0" t="s">
        <v>131</v>
      </c>
      <c r="S5128" s="0" t="s">
        <v>21</v>
      </c>
      <c r="T5128" s="0" t="s">
        <v>104</v>
      </c>
      <c r="W5128" s="0" t="s">
        <v>105</v>
      </c>
    </row>
    <row r="5129" customFormat="false" ht="15" hidden="false" customHeight="false" outlineLevel="0" collapsed="false">
      <c r="A5129" s="0" t="s">
        <v>21</v>
      </c>
      <c r="B5129" s="0" t="s">
        <v>14739</v>
      </c>
      <c r="C5129" s="0" t="s">
        <v>97</v>
      </c>
      <c r="D5129" s="0" t="s">
        <v>14740</v>
      </c>
      <c r="E5129" s="0" t="s">
        <v>14741</v>
      </c>
      <c r="H5129" s="0" t="s">
        <v>654</v>
      </c>
      <c r="I5129" s="0" t="s">
        <v>655</v>
      </c>
      <c r="J5129" s="0" t="s">
        <v>100</v>
      </c>
      <c r="K5129" s="0" t="s">
        <v>168</v>
      </c>
      <c r="L5129" s="0" t="s">
        <v>101</v>
      </c>
      <c r="M5129" s="0" t="s">
        <v>656</v>
      </c>
      <c r="N5129" s="0" t="s">
        <v>101</v>
      </c>
      <c r="P5129" s="0" t="s">
        <v>102</v>
      </c>
      <c r="Q5129" s="0" t="s">
        <v>102</v>
      </c>
      <c r="R5129" s="0" t="s">
        <v>131</v>
      </c>
      <c r="S5129" s="0" t="s">
        <v>21</v>
      </c>
      <c r="T5129" s="0" t="s">
        <v>104</v>
      </c>
      <c r="W5129" s="0" t="s">
        <v>105</v>
      </c>
      <c r="X5129" s="0" t="s">
        <v>658</v>
      </c>
      <c r="Y5129" s="0" t="s">
        <v>659</v>
      </c>
    </row>
    <row r="5130" customFormat="false" ht="15" hidden="false" customHeight="false" outlineLevel="0" collapsed="false">
      <c r="A5130" s="0" t="s">
        <v>21</v>
      </c>
      <c r="B5130" s="0" t="s">
        <v>14742</v>
      </c>
      <c r="C5130" s="0" t="s">
        <v>97</v>
      </c>
      <c r="D5130" s="0" t="s">
        <v>14743</v>
      </c>
      <c r="E5130" s="0" t="s">
        <v>14744</v>
      </c>
      <c r="H5130" s="0" t="s">
        <v>14745</v>
      </c>
      <c r="I5130" s="0" t="s">
        <v>14746</v>
      </c>
      <c r="J5130" s="0" t="s">
        <v>14747</v>
      </c>
      <c r="K5130" s="0" t="s">
        <v>14748</v>
      </c>
      <c r="M5130" s="0" t="s">
        <v>656</v>
      </c>
      <c r="N5130" s="0" t="s">
        <v>101</v>
      </c>
      <c r="P5130" s="0" t="s">
        <v>102</v>
      </c>
      <c r="Q5130" s="0" t="s">
        <v>102</v>
      </c>
      <c r="R5130" s="0" t="s">
        <v>137</v>
      </c>
      <c r="S5130" s="0" t="s">
        <v>21</v>
      </c>
      <c r="T5130" s="0" t="s">
        <v>104</v>
      </c>
      <c r="W5130" s="0" t="s">
        <v>105</v>
      </c>
    </row>
    <row r="5131" customFormat="false" ht="15" hidden="false" customHeight="false" outlineLevel="0" collapsed="false">
      <c r="A5131" s="0" t="s">
        <v>21</v>
      </c>
      <c r="B5131" s="0" t="s">
        <v>14749</v>
      </c>
      <c r="C5131" s="0" t="s">
        <v>97</v>
      </c>
      <c r="D5131" s="0" t="s">
        <v>14750</v>
      </c>
      <c r="E5131" s="0" t="s">
        <v>14751</v>
      </c>
      <c r="H5131" s="0" t="s">
        <v>14752</v>
      </c>
      <c r="I5131" s="0" t="s">
        <v>1441</v>
      </c>
      <c r="J5131" s="0" t="s">
        <v>1441</v>
      </c>
      <c r="K5131" s="0" t="s">
        <v>1427</v>
      </c>
      <c r="L5131" s="0" t="s">
        <v>101</v>
      </c>
      <c r="M5131" s="0" t="s">
        <v>1441</v>
      </c>
      <c r="N5131" s="0" t="s">
        <v>101</v>
      </c>
      <c r="P5131" s="0" t="s">
        <v>102</v>
      </c>
      <c r="Q5131" s="0" t="s">
        <v>102</v>
      </c>
      <c r="R5131" s="0" t="s">
        <v>137</v>
      </c>
      <c r="S5131" s="0" t="s">
        <v>21</v>
      </c>
      <c r="T5131" s="0" t="s">
        <v>104</v>
      </c>
      <c r="W5131" s="0" t="s">
        <v>105</v>
      </c>
      <c r="X5131" s="0" t="s">
        <v>14753</v>
      </c>
      <c r="Y5131" s="0" t="s">
        <v>14754</v>
      </c>
      <c r="AB5131" s="0" t="s">
        <v>832</v>
      </c>
    </row>
    <row r="5132" customFormat="false" ht="15" hidden="false" customHeight="false" outlineLevel="0" collapsed="false">
      <c r="A5132" s="0" t="s">
        <v>21</v>
      </c>
      <c r="B5132" s="0" t="s">
        <v>14755</v>
      </c>
      <c r="C5132" s="0" t="s">
        <v>97</v>
      </c>
      <c r="D5132" s="0" t="s">
        <v>1446</v>
      </c>
      <c r="E5132" s="0" t="s">
        <v>14756</v>
      </c>
      <c r="H5132" s="0" t="s">
        <v>14757</v>
      </c>
      <c r="I5132" s="0" t="s">
        <v>14746</v>
      </c>
      <c r="J5132" s="0" t="s">
        <v>1441</v>
      </c>
      <c r="K5132" s="0" t="s">
        <v>1427</v>
      </c>
      <c r="L5132" s="0" t="s">
        <v>101</v>
      </c>
      <c r="M5132" s="0" t="s">
        <v>1441</v>
      </c>
      <c r="N5132" s="0" t="s">
        <v>101</v>
      </c>
      <c r="P5132" s="0" t="s">
        <v>102</v>
      </c>
      <c r="Q5132" s="0" t="s">
        <v>102</v>
      </c>
      <c r="R5132" s="0" t="s">
        <v>113</v>
      </c>
      <c r="S5132" s="0" t="s">
        <v>21</v>
      </c>
      <c r="T5132" s="0" t="s">
        <v>104</v>
      </c>
      <c r="W5132" s="0" t="s">
        <v>105</v>
      </c>
      <c r="X5132" s="0" t="s">
        <v>14758</v>
      </c>
      <c r="Y5132" s="0" t="s">
        <v>14759</v>
      </c>
    </row>
    <row r="5133" customFormat="false" ht="15" hidden="false" customHeight="false" outlineLevel="0" collapsed="false">
      <c r="A5133" s="0" t="s">
        <v>21</v>
      </c>
      <c r="B5133" s="0" t="s">
        <v>14760</v>
      </c>
      <c r="C5133" s="0" t="s">
        <v>97</v>
      </c>
      <c r="D5133" s="0" t="s">
        <v>14761</v>
      </c>
      <c r="E5133" s="0" t="s">
        <v>14761</v>
      </c>
      <c r="M5133" s="0" t="s">
        <v>442</v>
      </c>
      <c r="N5133" s="0" t="s">
        <v>101</v>
      </c>
      <c r="P5133" s="0" t="s">
        <v>102</v>
      </c>
      <c r="Q5133" s="0" t="s">
        <v>102</v>
      </c>
      <c r="R5133" s="0" t="s">
        <v>131</v>
      </c>
      <c r="S5133" s="0" t="s">
        <v>21</v>
      </c>
      <c r="T5133" s="0" t="s">
        <v>104</v>
      </c>
      <c r="W5133" s="0" t="s">
        <v>105</v>
      </c>
    </row>
    <row r="5134" customFormat="false" ht="15" hidden="false" customHeight="false" outlineLevel="0" collapsed="false">
      <c r="A5134" s="0" t="s">
        <v>21</v>
      </c>
      <c r="B5134" s="0" t="s">
        <v>14762</v>
      </c>
      <c r="C5134" s="0" t="s">
        <v>97</v>
      </c>
      <c r="D5134" s="0" t="s">
        <v>1438</v>
      </c>
      <c r="E5134" s="0" t="s">
        <v>14763</v>
      </c>
      <c r="H5134" s="0" t="s">
        <v>14764</v>
      </c>
      <c r="I5134" s="0" t="s">
        <v>14746</v>
      </c>
      <c r="J5134" s="0" t="s">
        <v>1441</v>
      </c>
      <c r="K5134" s="0" t="s">
        <v>1427</v>
      </c>
      <c r="L5134" s="0" t="s">
        <v>101</v>
      </c>
      <c r="M5134" s="0" t="s">
        <v>1441</v>
      </c>
      <c r="N5134" s="0" t="s">
        <v>101</v>
      </c>
      <c r="P5134" s="0" t="s">
        <v>102</v>
      </c>
      <c r="Q5134" s="0" t="s">
        <v>102</v>
      </c>
      <c r="R5134" s="0" t="s">
        <v>113</v>
      </c>
      <c r="S5134" s="0" t="s">
        <v>21</v>
      </c>
      <c r="T5134" s="0" t="s">
        <v>104</v>
      </c>
      <c r="W5134" s="0" t="s">
        <v>105</v>
      </c>
      <c r="X5134" s="0" t="s">
        <v>14765</v>
      </c>
      <c r="Y5134" s="0" t="s">
        <v>14766</v>
      </c>
    </row>
    <row r="5135" customFormat="false" ht="15" hidden="false" customHeight="false" outlineLevel="0" collapsed="false">
      <c r="A5135" s="0" t="s">
        <v>21</v>
      </c>
      <c r="B5135" s="0" t="s">
        <v>14767</v>
      </c>
      <c r="C5135" s="0" t="s">
        <v>97</v>
      </c>
      <c r="D5135" s="0" t="s">
        <v>14768</v>
      </c>
      <c r="E5135" s="0" t="s">
        <v>14769</v>
      </c>
      <c r="M5135" s="0" t="s">
        <v>656</v>
      </c>
      <c r="N5135" s="0" t="s">
        <v>101</v>
      </c>
      <c r="P5135" s="0" t="s">
        <v>102</v>
      </c>
      <c r="Q5135" s="0" t="s">
        <v>102</v>
      </c>
      <c r="R5135" s="0" t="s">
        <v>113</v>
      </c>
      <c r="S5135" s="0" t="s">
        <v>21</v>
      </c>
      <c r="T5135" s="0" t="s">
        <v>104</v>
      </c>
      <c r="W5135" s="0" t="s">
        <v>105</v>
      </c>
    </row>
    <row r="5136" customFormat="false" ht="15" hidden="false" customHeight="false" outlineLevel="0" collapsed="false">
      <c r="A5136" s="0" t="s">
        <v>21</v>
      </c>
      <c r="B5136" s="0" t="s">
        <v>14770</v>
      </c>
      <c r="C5136" s="0" t="s">
        <v>97</v>
      </c>
      <c r="D5136" s="0" t="s">
        <v>14771</v>
      </c>
      <c r="E5136" s="0" t="s">
        <v>14772</v>
      </c>
      <c r="H5136" s="0" t="s">
        <v>14773</v>
      </c>
      <c r="I5136" s="0" t="s">
        <v>14774</v>
      </c>
      <c r="J5136" s="0" t="s">
        <v>3272</v>
      </c>
      <c r="K5136" s="0" t="s">
        <v>14775</v>
      </c>
      <c r="L5136" s="0" t="s">
        <v>101</v>
      </c>
      <c r="M5136" s="0" t="s">
        <v>3272</v>
      </c>
      <c r="N5136" s="0" t="s">
        <v>101</v>
      </c>
      <c r="P5136" s="0" t="s">
        <v>102</v>
      </c>
      <c r="Q5136" s="0" t="s">
        <v>102</v>
      </c>
      <c r="R5136" s="0" t="s">
        <v>113</v>
      </c>
      <c r="S5136" s="0" t="s">
        <v>21</v>
      </c>
      <c r="T5136" s="0" t="s">
        <v>104</v>
      </c>
      <c r="W5136" s="0" t="s">
        <v>105</v>
      </c>
      <c r="X5136" s="0" t="s">
        <v>14776</v>
      </c>
      <c r="Y5136" s="0" t="s">
        <v>14777</v>
      </c>
    </row>
    <row r="5137" customFormat="false" ht="15" hidden="false" customHeight="false" outlineLevel="0" collapsed="false">
      <c r="A5137" s="0" t="s">
        <v>21</v>
      </c>
      <c r="B5137" s="0" t="s">
        <v>14778</v>
      </c>
      <c r="C5137" s="0" t="s">
        <v>97</v>
      </c>
      <c r="D5137" s="0" t="s">
        <v>14779</v>
      </c>
      <c r="E5137" s="0" t="s">
        <v>14780</v>
      </c>
      <c r="G5137" s="0" t="s">
        <v>14781</v>
      </c>
      <c r="H5137" s="0" t="s">
        <v>654</v>
      </c>
      <c r="I5137" s="0" t="s">
        <v>655</v>
      </c>
      <c r="J5137" s="0" t="s">
        <v>100</v>
      </c>
      <c r="K5137" s="0" t="s">
        <v>168</v>
      </c>
      <c r="L5137" s="0" t="s">
        <v>101</v>
      </c>
      <c r="M5137" s="0" t="s">
        <v>656</v>
      </c>
      <c r="N5137" s="0" t="s">
        <v>101</v>
      </c>
      <c r="P5137" s="0" t="s">
        <v>102</v>
      </c>
      <c r="Q5137" s="0" t="s">
        <v>102</v>
      </c>
      <c r="R5137" s="0" t="s">
        <v>131</v>
      </c>
      <c r="S5137" s="0" t="s">
        <v>21</v>
      </c>
      <c r="T5137" s="0" t="s">
        <v>104</v>
      </c>
      <c r="W5137" s="0" t="s">
        <v>105</v>
      </c>
      <c r="X5137" s="0" t="s">
        <v>658</v>
      </c>
      <c r="Y5137" s="0" t="s">
        <v>659</v>
      </c>
    </row>
    <row r="5138" customFormat="false" ht="15" hidden="false" customHeight="false" outlineLevel="0" collapsed="false">
      <c r="A5138" s="0" t="s">
        <v>21</v>
      </c>
      <c r="B5138" s="0" t="s">
        <v>14782</v>
      </c>
      <c r="C5138" s="0" t="s">
        <v>97</v>
      </c>
      <c r="D5138" s="0" t="s">
        <v>14783</v>
      </c>
      <c r="E5138" s="0" t="s">
        <v>14784</v>
      </c>
      <c r="H5138" s="0" t="s">
        <v>654</v>
      </c>
      <c r="I5138" s="0" t="s">
        <v>655</v>
      </c>
      <c r="J5138" s="0" t="s">
        <v>100</v>
      </c>
      <c r="K5138" s="0" t="s">
        <v>168</v>
      </c>
      <c r="L5138" s="0" t="s">
        <v>101</v>
      </c>
      <c r="M5138" s="0" t="s">
        <v>656</v>
      </c>
      <c r="N5138" s="0" t="s">
        <v>101</v>
      </c>
      <c r="P5138" s="0" t="s">
        <v>102</v>
      </c>
      <c r="Q5138" s="0" t="s">
        <v>102</v>
      </c>
      <c r="R5138" s="0" t="s">
        <v>131</v>
      </c>
      <c r="S5138" s="0" t="s">
        <v>21</v>
      </c>
      <c r="T5138" s="0" t="s">
        <v>104</v>
      </c>
      <c r="W5138" s="0" t="s">
        <v>105</v>
      </c>
      <c r="X5138" s="0" t="s">
        <v>658</v>
      </c>
      <c r="Y5138" s="0" t="s">
        <v>659</v>
      </c>
    </row>
    <row r="5139" customFormat="false" ht="15" hidden="false" customHeight="false" outlineLevel="0" collapsed="false">
      <c r="A5139" s="0" t="s">
        <v>21</v>
      </c>
      <c r="B5139" s="0" t="s">
        <v>14785</v>
      </c>
      <c r="C5139" s="0" t="s">
        <v>97</v>
      </c>
      <c r="D5139" s="0" t="s">
        <v>5200</v>
      </c>
      <c r="E5139" s="0" t="s">
        <v>14786</v>
      </c>
      <c r="H5139" s="0" t="s">
        <v>654</v>
      </c>
      <c r="I5139" s="0" t="s">
        <v>655</v>
      </c>
      <c r="J5139" s="0" t="s">
        <v>100</v>
      </c>
      <c r="K5139" s="0" t="s">
        <v>168</v>
      </c>
      <c r="L5139" s="0" t="s">
        <v>101</v>
      </c>
      <c r="M5139" s="0" t="s">
        <v>656</v>
      </c>
      <c r="N5139" s="0" t="s">
        <v>101</v>
      </c>
      <c r="P5139" s="0" t="s">
        <v>102</v>
      </c>
      <c r="Q5139" s="0" t="s">
        <v>102</v>
      </c>
      <c r="R5139" s="0" t="s">
        <v>131</v>
      </c>
      <c r="S5139" s="0" t="s">
        <v>21</v>
      </c>
      <c r="T5139" s="0" t="s">
        <v>104</v>
      </c>
      <c r="W5139" s="0" t="s">
        <v>105</v>
      </c>
      <c r="X5139" s="0" t="s">
        <v>658</v>
      </c>
      <c r="Y5139" s="0" t="s">
        <v>659</v>
      </c>
    </row>
    <row r="5140" customFormat="false" ht="15" hidden="false" customHeight="false" outlineLevel="0" collapsed="false">
      <c r="A5140" s="0" t="s">
        <v>21</v>
      </c>
      <c r="B5140" s="0" t="s">
        <v>14787</v>
      </c>
      <c r="C5140" s="0" t="s">
        <v>97</v>
      </c>
      <c r="D5140" s="0" t="s">
        <v>14788</v>
      </c>
      <c r="E5140" s="0" t="s">
        <v>14789</v>
      </c>
      <c r="H5140" s="0" t="s">
        <v>654</v>
      </c>
      <c r="I5140" s="0" t="s">
        <v>655</v>
      </c>
      <c r="J5140" s="0" t="s">
        <v>100</v>
      </c>
      <c r="K5140" s="0" t="s">
        <v>168</v>
      </c>
      <c r="L5140" s="0" t="s">
        <v>101</v>
      </c>
      <c r="M5140" s="0" t="s">
        <v>656</v>
      </c>
      <c r="N5140" s="0" t="s">
        <v>101</v>
      </c>
      <c r="P5140" s="0" t="s">
        <v>102</v>
      </c>
      <c r="Q5140" s="0" t="s">
        <v>102</v>
      </c>
      <c r="R5140" s="0" t="s">
        <v>131</v>
      </c>
      <c r="S5140" s="0" t="s">
        <v>21</v>
      </c>
      <c r="T5140" s="0" t="s">
        <v>104</v>
      </c>
      <c r="W5140" s="0" t="s">
        <v>105</v>
      </c>
      <c r="X5140" s="0" t="s">
        <v>658</v>
      </c>
      <c r="Y5140" s="0" t="s">
        <v>659</v>
      </c>
    </row>
    <row r="5141" customFormat="false" ht="15" hidden="false" customHeight="false" outlineLevel="0" collapsed="false">
      <c r="A5141" s="0" t="s">
        <v>21</v>
      </c>
      <c r="B5141" s="0" t="s">
        <v>14790</v>
      </c>
      <c r="C5141" s="0" t="s">
        <v>7362</v>
      </c>
      <c r="D5141" s="0" t="s">
        <v>14791</v>
      </c>
      <c r="E5141" s="0" t="s">
        <v>14792</v>
      </c>
      <c r="G5141" s="0" t="s">
        <v>14793</v>
      </c>
      <c r="M5141" s="0" t="s">
        <v>398</v>
      </c>
      <c r="N5141" s="0" t="s">
        <v>101</v>
      </c>
      <c r="P5141" s="0" t="s">
        <v>102</v>
      </c>
      <c r="Q5141" s="0" t="s">
        <v>102</v>
      </c>
      <c r="R5141" s="0" t="s">
        <v>137</v>
      </c>
      <c r="S5141" s="0" t="s">
        <v>21</v>
      </c>
      <c r="T5141" s="0" t="s">
        <v>104</v>
      </c>
      <c r="W5141" s="0" t="s">
        <v>105</v>
      </c>
    </row>
    <row r="5142" customFormat="false" ht="15" hidden="false" customHeight="false" outlineLevel="0" collapsed="false">
      <c r="A5142" s="0" t="s">
        <v>21</v>
      </c>
      <c r="B5142" s="0" t="s">
        <v>14794</v>
      </c>
      <c r="C5142" s="0" t="s">
        <v>97</v>
      </c>
      <c r="D5142" s="0" t="s">
        <v>14795</v>
      </c>
      <c r="E5142" s="0" t="s">
        <v>14796</v>
      </c>
      <c r="H5142" s="0" t="s">
        <v>14797</v>
      </c>
      <c r="I5142" s="0" t="s">
        <v>6066</v>
      </c>
      <c r="J5142" s="0" t="s">
        <v>6066</v>
      </c>
      <c r="K5142" s="0" t="s">
        <v>498</v>
      </c>
      <c r="L5142" s="0" t="s">
        <v>101</v>
      </c>
      <c r="M5142" s="0" t="s">
        <v>398</v>
      </c>
      <c r="N5142" s="0" t="s">
        <v>101</v>
      </c>
      <c r="P5142" s="0" t="s">
        <v>102</v>
      </c>
      <c r="Q5142" s="0" t="s">
        <v>102</v>
      </c>
      <c r="R5142" s="0" t="s">
        <v>137</v>
      </c>
      <c r="S5142" s="0" t="s">
        <v>21</v>
      </c>
      <c r="T5142" s="0" t="s">
        <v>104</v>
      </c>
      <c r="W5142" s="0" t="s">
        <v>105</v>
      </c>
      <c r="X5142" s="0" t="s">
        <v>14798</v>
      </c>
      <c r="Y5142" s="0" t="s">
        <v>14799</v>
      </c>
    </row>
    <row r="5143" customFormat="false" ht="15" hidden="false" customHeight="false" outlineLevel="0" collapsed="false">
      <c r="A5143" s="0" t="s">
        <v>21</v>
      </c>
      <c r="B5143" s="0" t="s">
        <v>14800</v>
      </c>
      <c r="C5143" s="0" t="s">
        <v>7362</v>
      </c>
      <c r="D5143" s="0" t="s">
        <v>14801</v>
      </c>
      <c r="E5143" s="0" t="s">
        <v>14802</v>
      </c>
      <c r="M5143" s="0" t="s">
        <v>398</v>
      </c>
      <c r="N5143" s="0" t="s">
        <v>101</v>
      </c>
      <c r="P5143" s="0" t="s">
        <v>102</v>
      </c>
      <c r="Q5143" s="0" t="s">
        <v>102</v>
      </c>
      <c r="R5143" s="0" t="s">
        <v>137</v>
      </c>
      <c r="S5143" s="0" t="s">
        <v>21</v>
      </c>
      <c r="T5143" s="0" t="s">
        <v>104</v>
      </c>
      <c r="W5143" s="0" t="s">
        <v>105</v>
      </c>
    </row>
    <row r="5144" customFormat="false" ht="15" hidden="false" customHeight="false" outlineLevel="0" collapsed="false">
      <c r="A5144" s="0" t="s">
        <v>21</v>
      </c>
      <c r="B5144" s="0" t="s">
        <v>14803</v>
      </c>
      <c r="C5144" s="0" t="s">
        <v>7362</v>
      </c>
      <c r="D5144" s="0" t="s">
        <v>14804</v>
      </c>
      <c r="E5144" s="0" t="s">
        <v>14805</v>
      </c>
      <c r="G5144" s="0" t="s">
        <v>14806</v>
      </c>
      <c r="M5144" s="0" t="s">
        <v>398</v>
      </c>
      <c r="N5144" s="0" t="s">
        <v>101</v>
      </c>
      <c r="P5144" s="0" t="s">
        <v>102</v>
      </c>
      <c r="Q5144" s="0" t="s">
        <v>102</v>
      </c>
      <c r="R5144" s="0" t="s">
        <v>137</v>
      </c>
      <c r="S5144" s="0" t="s">
        <v>21</v>
      </c>
      <c r="T5144" s="0" t="s">
        <v>104</v>
      </c>
      <c r="W5144" s="0" t="s">
        <v>105</v>
      </c>
    </row>
    <row r="5145" customFormat="false" ht="28.35" hidden="false" customHeight="false" outlineLevel="0" collapsed="false">
      <c r="A5145" s="0" t="s">
        <v>21</v>
      </c>
      <c r="B5145" s="0" t="s">
        <v>14807</v>
      </c>
      <c r="C5145" s="0" t="s">
        <v>139</v>
      </c>
      <c r="D5145" s="0" t="s">
        <v>14808</v>
      </c>
      <c r="E5145" s="0" t="s">
        <v>14809</v>
      </c>
      <c r="G5145" s="9" t="s">
        <v>14810</v>
      </c>
      <c r="M5145" s="0" t="s">
        <v>398</v>
      </c>
      <c r="N5145" s="0" t="s">
        <v>101</v>
      </c>
      <c r="P5145" s="0" t="s">
        <v>102</v>
      </c>
      <c r="Q5145" s="0" t="s">
        <v>102</v>
      </c>
      <c r="R5145" s="0" t="s">
        <v>113</v>
      </c>
      <c r="S5145" s="0" t="s">
        <v>21</v>
      </c>
      <c r="T5145" s="0" t="s">
        <v>104</v>
      </c>
      <c r="W5145" s="0" t="s">
        <v>105</v>
      </c>
    </row>
    <row r="5146" customFormat="false" ht="15" hidden="false" customHeight="false" outlineLevel="0" collapsed="false">
      <c r="A5146" s="0" t="s">
        <v>21</v>
      </c>
      <c r="B5146" s="0" t="s">
        <v>14811</v>
      </c>
      <c r="C5146" s="0" t="s">
        <v>97</v>
      </c>
      <c r="D5146" s="0" t="s">
        <v>14812</v>
      </c>
      <c r="E5146" s="0" t="s">
        <v>14813</v>
      </c>
      <c r="G5146" s="0" t="s">
        <v>14814</v>
      </c>
      <c r="M5146" s="0" t="s">
        <v>398</v>
      </c>
      <c r="N5146" s="0" t="s">
        <v>101</v>
      </c>
      <c r="P5146" s="0" t="s">
        <v>130</v>
      </c>
      <c r="Q5146" s="0" t="s">
        <v>130</v>
      </c>
      <c r="R5146" s="0" t="s">
        <v>137</v>
      </c>
      <c r="S5146" s="0" t="s">
        <v>21</v>
      </c>
      <c r="T5146" s="0" t="s">
        <v>104</v>
      </c>
      <c r="W5146" s="0" t="s">
        <v>105</v>
      </c>
    </row>
    <row r="5147" customFormat="false" ht="15" hidden="false" customHeight="false" outlineLevel="0" collapsed="false">
      <c r="A5147" s="0" t="s">
        <v>21</v>
      </c>
      <c r="B5147" s="0" t="s">
        <v>14815</v>
      </c>
      <c r="C5147" s="0" t="s">
        <v>97</v>
      </c>
      <c r="D5147" s="0" t="s">
        <v>14816</v>
      </c>
      <c r="E5147" s="0" t="s">
        <v>14817</v>
      </c>
      <c r="G5147" s="0" t="s">
        <v>14818</v>
      </c>
      <c r="M5147" s="0" t="s">
        <v>398</v>
      </c>
      <c r="N5147" s="0" t="s">
        <v>101</v>
      </c>
      <c r="P5147" s="0" t="s">
        <v>102</v>
      </c>
      <c r="Q5147" s="0" t="s">
        <v>102</v>
      </c>
      <c r="R5147" s="0" t="s">
        <v>137</v>
      </c>
      <c r="S5147" s="0" t="s">
        <v>21</v>
      </c>
      <c r="T5147" s="0" t="s">
        <v>104</v>
      </c>
      <c r="W5147" s="0" t="s">
        <v>105</v>
      </c>
    </row>
    <row r="5148" customFormat="false" ht="15" hidden="false" customHeight="false" outlineLevel="0" collapsed="false">
      <c r="A5148" s="0" t="s">
        <v>21</v>
      </c>
      <c r="B5148" s="0" t="s">
        <v>14819</v>
      </c>
      <c r="C5148" s="0" t="s">
        <v>97</v>
      </c>
      <c r="D5148" s="0" t="s">
        <v>12108</v>
      </c>
      <c r="E5148" s="0" t="s">
        <v>14820</v>
      </c>
      <c r="H5148" s="0" t="s">
        <v>14821</v>
      </c>
      <c r="I5148" s="0" t="s">
        <v>6066</v>
      </c>
      <c r="J5148" s="0" t="s">
        <v>6066</v>
      </c>
      <c r="K5148" s="0" t="s">
        <v>498</v>
      </c>
      <c r="L5148" s="0" t="s">
        <v>101</v>
      </c>
      <c r="M5148" s="0" t="s">
        <v>398</v>
      </c>
      <c r="N5148" s="0" t="s">
        <v>101</v>
      </c>
      <c r="P5148" s="0" t="s">
        <v>102</v>
      </c>
      <c r="Q5148" s="0" t="s">
        <v>102</v>
      </c>
      <c r="R5148" s="0" t="s">
        <v>131</v>
      </c>
      <c r="S5148" s="0" t="s">
        <v>21</v>
      </c>
      <c r="T5148" s="0" t="s">
        <v>104</v>
      </c>
      <c r="W5148" s="0" t="s">
        <v>105</v>
      </c>
      <c r="X5148" s="0" t="s">
        <v>14822</v>
      </c>
      <c r="Y5148" s="0" t="s">
        <v>14823</v>
      </c>
    </row>
    <row r="5149" customFormat="false" ht="15" hidden="false" customHeight="false" outlineLevel="0" collapsed="false">
      <c r="A5149" s="0" t="s">
        <v>21</v>
      </c>
      <c r="B5149" s="0" t="s">
        <v>14824</v>
      </c>
      <c r="C5149" s="0" t="s">
        <v>97</v>
      </c>
      <c r="D5149" s="0" t="s">
        <v>14825</v>
      </c>
      <c r="E5149" s="0" t="s">
        <v>14825</v>
      </c>
      <c r="M5149" s="0" t="s">
        <v>442</v>
      </c>
      <c r="N5149" s="0" t="s">
        <v>101</v>
      </c>
      <c r="P5149" s="0" t="s">
        <v>102</v>
      </c>
      <c r="Q5149" s="0" t="s">
        <v>102</v>
      </c>
      <c r="R5149" s="0" t="s">
        <v>131</v>
      </c>
      <c r="S5149" s="0" t="s">
        <v>21</v>
      </c>
      <c r="T5149" s="0" t="s">
        <v>104</v>
      </c>
      <c r="W5149" s="0" t="s">
        <v>105</v>
      </c>
    </row>
    <row r="5150" customFormat="false" ht="15" hidden="false" customHeight="false" outlineLevel="0" collapsed="false">
      <c r="A5150" s="0" t="s">
        <v>21</v>
      </c>
      <c r="B5150" s="0" t="s">
        <v>14826</v>
      </c>
      <c r="C5150" s="0" t="s">
        <v>4845</v>
      </c>
      <c r="D5150" s="0" t="s">
        <v>14827</v>
      </c>
      <c r="E5150" s="0" t="s">
        <v>14828</v>
      </c>
      <c r="G5150" s="0" t="s">
        <v>14829</v>
      </c>
      <c r="M5150" s="0" t="s">
        <v>398</v>
      </c>
      <c r="N5150" s="0" t="s">
        <v>101</v>
      </c>
      <c r="P5150" s="0" t="s">
        <v>102</v>
      </c>
      <c r="Q5150" s="0" t="s">
        <v>102</v>
      </c>
      <c r="R5150" s="0" t="s">
        <v>113</v>
      </c>
      <c r="S5150" s="0" t="s">
        <v>21</v>
      </c>
      <c r="T5150" s="0" t="s">
        <v>104</v>
      </c>
      <c r="W5150" s="0" t="s">
        <v>105</v>
      </c>
    </row>
    <row r="5151" customFormat="false" ht="15" hidden="false" customHeight="false" outlineLevel="0" collapsed="false">
      <c r="A5151" s="0" t="s">
        <v>21</v>
      </c>
      <c r="B5151" s="0" t="s">
        <v>14830</v>
      </c>
      <c r="C5151" s="0" t="s">
        <v>97</v>
      </c>
      <c r="D5151" s="0" t="s">
        <v>14831</v>
      </c>
      <c r="E5151" s="0" t="s">
        <v>14832</v>
      </c>
      <c r="G5151" s="0" t="s">
        <v>14833</v>
      </c>
      <c r="H5151" s="0" t="s">
        <v>654</v>
      </c>
      <c r="I5151" s="0" t="s">
        <v>655</v>
      </c>
      <c r="J5151" s="0" t="s">
        <v>100</v>
      </c>
      <c r="K5151" s="0" t="s">
        <v>168</v>
      </c>
      <c r="L5151" s="0" t="s">
        <v>101</v>
      </c>
      <c r="M5151" s="0" t="s">
        <v>656</v>
      </c>
      <c r="N5151" s="0" t="s">
        <v>101</v>
      </c>
      <c r="P5151" s="0" t="s">
        <v>102</v>
      </c>
      <c r="Q5151" s="0" t="s">
        <v>102</v>
      </c>
      <c r="R5151" s="0" t="s">
        <v>131</v>
      </c>
      <c r="S5151" s="0" t="s">
        <v>21</v>
      </c>
      <c r="T5151" s="0" t="s">
        <v>104</v>
      </c>
      <c r="W5151" s="0" t="s">
        <v>105</v>
      </c>
      <c r="X5151" s="0" t="s">
        <v>658</v>
      </c>
      <c r="Y5151" s="0" t="s">
        <v>659</v>
      </c>
    </row>
    <row r="5152" customFormat="false" ht="15" hidden="false" customHeight="false" outlineLevel="0" collapsed="false">
      <c r="A5152" s="0" t="s">
        <v>21</v>
      </c>
      <c r="B5152" s="0" t="s">
        <v>14834</v>
      </c>
      <c r="C5152" s="0" t="s">
        <v>4845</v>
      </c>
      <c r="D5152" s="0" t="s">
        <v>14835</v>
      </c>
      <c r="E5152" s="0" t="s">
        <v>14836</v>
      </c>
      <c r="M5152" s="0" t="s">
        <v>398</v>
      </c>
      <c r="N5152" s="0" t="s">
        <v>101</v>
      </c>
      <c r="P5152" s="0" t="s">
        <v>102</v>
      </c>
      <c r="Q5152" s="0" t="s">
        <v>102</v>
      </c>
      <c r="R5152" s="0" t="s">
        <v>137</v>
      </c>
      <c r="S5152" s="0" t="s">
        <v>21</v>
      </c>
      <c r="T5152" s="0" t="s">
        <v>104</v>
      </c>
      <c r="W5152" s="0" t="s">
        <v>105</v>
      </c>
    </row>
    <row r="5153" customFormat="false" ht="15" hidden="false" customHeight="false" outlineLevel="0" collapsed="false">
      <c r="A5153" s="0" t="s">
        <v>21</v>
      </c>
      <c r="B5153" s="0" t="s">
        <v>14837</v>
      </c>
      <c r="C5153" s="0" t="s">
        <v>97</v>
      </c>
      <c r="D5153" s="0" t="s">
        <v>14838</v>
      </c>
      <c r="E5153" s="0" t="s">
        <v>14839</v>
      </c>
      <c r="H5153" s="0" t="s">
        <v>14840</v>
      </c>
      <c r="I5153" s="0" t="s">
        <v>8262</v>
      </c>
      <c r="J5153" s="0" t="s">
        <v>398</v>
      </c>
      <c r="K5153" s="0" t="s">
        <v>687</v>
      </c>
      <c r="L5153" s="0" t="s">
        <v>101</v>
      </c>
      <c r="M5153" s="0" t="s">
        <v>398</v>
      </c>
      <c r="N5153" s="0" t="s">
        <v>101</v>
      </c>
      <c r="P5153" s="0" t="s">
        <v>102</v>
      </c>
      <c r="Q5153" s="0" t="s">
        <v>102</v>
      </c>
      <c r="R5153" s="0" t="s">
        <v>137</v>
      </c>
      <c r="S5153" s="0" t="s">
        <v>21</v>
      </c>
      <c r="T5153" s="0" t="s">
        <v>104</v>
      </c>
      <c r="W5153" s="0" t="s">
        <v>105</v>
      </c>
      <c r="X5153" s="0" t="s">
        <v>14841</v>
      </c>
      <c r="Y5153" s="0" t="s">
        <v>14842</v>
      </c>
    </row>
    <row r="5154" customFormat="false" ht="15" hidden="false" customHeight="false" outlineLevel="0" collapsed="false">
      <c r="A5154" s="0" t="s">
        <v>21</v>
      </c>
      <c r="B5154" s="0" t="s">
        <v>14843</v>
      </c>
      <c r="C5154" s="0" t="s">
        <v>4845</v>
      </c>
      <c r="D5154" s="0" t="s">
        <v>14844</v>
      </c>
      <c r="E5154" s="0" t="s">
        <v>14845</v>
      </c>
      <c r="G5154" s="0" t="s">
        <v>14846</v>
      </c>
      <c r="M5154" s="0" t="s">
        <v>398</v>
      </c>
      <c r="N5154" s="0" t="s">
        <v>101</v>
      </c>
      <c r="P5154" s="0" t="s">
        <v>102</v>
      </c>
      <c r="Q5154" s="0" t="s">
        <v>102</v>
      </c>
      <c r="R5154" s="0" t="s">
        <v>113</v>
      </c>
      <c r="S5154" s="0" t="s">
        <v>21</v>
      </c>
      <c r="T5154" s="0" t="s">
        <v>104</v>
      </c>
      <c r="W5154" s="0" t="s">
        <v>105</v>
      </c>
    </row>
    <row r="5155" customFormat="false" ht="15" hidden="false" customHeight="false" outlineLevel="0" collapsed="false">
      <c r="A5155" s="0" t="s">
        <v>21</v>
      </c>
      <c r="B5155" s="0" t="s">
        <v>14847</v>
      </c>
      <c r="C5155" s="0" t="s">
        <v>97</v>
      </c>
      <c r="D5155" s="0" t="s">
        <v>7815</v>
      </c>
      <c r="E5155" s="0" t="s">
        <v>14848</v>
      </c>
      <c r="M5155" s="0" t="s">
        <v>100</v>
      </c>
      <c r="N5155" s="0" t="s">
        <v>101</v>
      </c>
      <c r="P5155" s="0" t="s">
        <v>102</v>
      </c>
      <c r="Q5155" s="0" t="s">
        <v>102</v>
      </c>
      <c r="R5155" s="0" t="s">
        <v>131</v>
      </c>
      <c r="S5155" s="0" t="s">
        <v>21</v>
      </c>
      <c r="T5155" s="0" t="s">
        <v>104</v>
      </c>
      <c r="W5155" s="0" t="s">
        <v>105</v>
      </c>
    </row>
    <row r="5156" customFormat="false" ht="15" hidden="false" customHeight="false" outlineLevel="0" collapsed="false">
      <c r="A5156" s="0" t="s">
        <v>21</v>
      </c>
      <c r="B5156" s="0" t="s">
        <v>14849</v>
      </c>
      <c r="C5156" s="0" t="s">
        <v>2145</v>
      </c>
      <c r="D5156" s="0" t="s">
        <v>14850</v>
      </c>
      <c r="E5156" s="0" t="s">
        <v>14851</v>
      </c>
      <c r="G5156" s="0" t="s">
        <v>14852</v>
      </c>
      <c r="M5156" s="0" t="s">
        <v>1332</v>
      </c>
      <c r="N5156" s="0" t="s">
        <v>101</v>
      </c>
      <c r="P5156" s="0" t="s">
        <v>102</v>
      </c>
      <c r="Q5156" s="0" t="s">
        <v>102</v>
      </c>
      <c r="R5156" s="0" t="s">
        <v>113</v>
      </c>
      <c r="S5156" s="0" t="s">
        <v>21</v>
      </c>
      <c r="T5156" s="0" t="s">
        <v>104</v>
      </c>
      <c r="W5156" s="0" t="s">
        <v>105</v>
      </c>
    </row>
    <row r="5157" customFormat="false" ht="15" hidden="false" customHeight="false" outlineLevel="0" collapsed="false">
      <c r="A5157" s="0" t="s">
        <v>21</v>
      </c>
      <c r="B5157" s="0" t="s">
        <v>14853</v>
      </c>
      <c r="C5157" s="0" t="s">
        <v>97</v>
      </c>
      <c r="D5157" s="0" t="s">
        <v>14854</v>
      </c>
      <c r="E5157" s="0" t="s">
        <v>14855</v>
      </c>
      <c r="F5157" s="0" t="s">
        <v>14855</v>
      </c>
      <c r="M5157" s="0" t="s">
        <v>100</v>
      </c>
      <c r="N5157" s="0" t="s">
        <v>101</v>
      </c>
      <c r="P5157" s="0" t="s">
        <v>102</v>
      </c>
      <c r="Q5157" s="0" t="s">
        <v>102</v>
      </c>
      <c r="R5157" s="0" t="s">
        <v>131</v>
      </c>
      <c r="S5157" s="0" t="s">
        <v>21</v>
      </c>
      <c r="T5157" s="0" t="s">
        <v>104</v>
      </c>
      <c r="W5157" s="0" t="s">
        <v>105</v>
      </c>
    </row>
    <row r="5158" customFormat="false" ht="15" hidden="false" customHeight="false" outlineLevel="0" collapsed="false">
      <c r="A5158" s="0" t="s">
        <v>21</v>
      </c>
      <c r="B5158" s="0" t="s">
        <v>14856</v>
      </c>
      <c r="C5158" s="0" t="s">
        <v>97</v>
      </c>
      <c r="D5158" s="0" t="s">
        <v>14857</v>
      </c>
      <c r="E5158" s="0" t="s">
        <v>14858</v>
      </c>
      <c r="M5158" s="0" t="s">
        <v>656</v>
      </c>
      <c r="N5158" s="0" t="s">
        <v>101</v>
      </c>
      <c r="P5158" s="0" t="s">
        <v>102</v>
      </c>
      <c r="Q5158" s="0" t="s">
        <v>102</v>
      </c>
      <c r="R5158" s="0" t="s">
        <v>113</v>
      </c>
      <c r="S5158" s="0" t="s">
        <v>21</v>
      </c>
      <c r="T5158" s="0" t="s">
        <v>104</v>
      </c>
      <c r="W5158" s="0" t="s">
        <v>105</v>
      </c>
    </row>
    <row r="5159" customFormat="false" ht="15" hidden="false" customHeight="false" outlineLevel="0" collapsed="false">
      <c r="A5159" s="0" t="s">
        <v>21</v>
      </c>
      <c r="B5159" s="0" t="s">
        <v>14859</v>
      </c>
      <c r="C5159" s="0" t="s">
        <v>97</v>
      </c>
      <c r="D5159" s="0" t="s">
        <v>14860</v>
      </c>
      <c r="E5159" s="0" t="s">
        <v>14861</v>
      </c>
      <c r="H5159" s="0" t="s">
        <v>14862</v>
      </c>
      <c r="I5159" s="0" t="s">
        <v>1463</v>
      </c>
      <c r="J5159" s="0" t="s">
        <v>1463</v>
      </c>
      <c r="K5159" s="0" t="s">
        <v>1449</v>
      </c>
      <c r="L5159" s="0" t="s">
        <v>101</v>
      </c>
      <c r="M5159" s="0" t="s">
        <v>1463</v>
      </c>
      <c r="N5159" s="0" t="s">
        <v>101</v>
      </c>
      <c r="P5159" s="0" t="s">
        <v>102</v>
      </c>
      <c r="Q5159" s="0" t="s">
        <v>102</v>
      </c>
      <c r="R5159" s="0" t="s">
        <v>137</v>
      </c>
      <c r="S5159" s="0" t="s">
        <v>21</v>
      </c>
      <c r="T5159" s="0" t="s">
        <v>104</v>
      </c>
      <c r="W5159" s="0" t="s">
        <v>105</v>
      </c>
      <c r="X5159" s="0" t="s">
        <v>14863</v>
      </c>
      <c r="Y5159" s="0" t="s">
        <v>14864</v>
      </c>
    </row>
    <row r="5160" customFormat="false" ht="15" hidden="false" customHeight="false" outlineLevel="0" collapsed="false">
      <c r="A5160" s="0" t="s">
        <v>21</v>
      </c>
      <c r="B5160" s="0" t="s">
        <v>14865</v>
      </c>
      <c r="C5160" s="0" t="s">
        <v>97</v>
      </c>
      <c r="D5160" s="0" t="s">
        <v>1460</v>
      </c>
      <c r="E5160" s="0" t="s">
        <v>14866</v>
      </c>
      <c r="H5160" s="0" t="s">
        <v>14867</v>
      </c>
      <c r="I5160" s="0" t="s">
        <v>1463</v>
      </c>
      <c r="J5160" s="0" t="s">
        <v>1463</v>
      </c>
      <c r="K5160" s="0" t="s">
        <v>1449</v>
      </c>
      <c r="L5160" s="0" t="s">
        <v>101</v>
      </c>
      <c r="M5160" s="0" t="s">
        <v>1463</v>
      </c>
      <c r="N5160" s="0" t="s">
        <v>101</v>
      </c>
      <c r="P5160" s="0" t="s">
        <v>102</v>
      </c>
      <c r="Q5160" s="0" t="s">
        <v>102</v>
      </c>
      <c r="R5160" s="0" t="s">
        <v>113</v>
      </c>
      <c r="S5160" s="0" t="s">
        <v>21</v>
      </c>
      <c r="T5160" s="0" t="s">
        <v>104</v>
      </c>
      <c r="W5160" s="0" t="s">
        <v>105</v>
      </c>
      <c r="X5160" s="0" t="s">
        <v>14868</v>
      </c>
      <c r="Y5160" s="0" t="s">
        <v>14869</v>
      </c>
    </row>
    <row r="5161" customFormat="false" ht="15" hidden="false" customHeight="false" outlineLevel="0" collapsed="false">
      <c r="A5161" s="0" t="s">
        <v>21</v>
      </c>
      <c r="B5161" s="0" t="s">
        <v>14870</v>
      </c>
      <c r="C5161" s="0" t="s">
        <v>97</v>
      </c>
      <c r="D5161" s="0" t="s">
        <v>14871</v>
      </c>
      <c r="E5161" s="0" t="s">
        <v>14872</v>
      </c>
      <c r="F5161" s="0" t="s">
        <v>14873</v>
      </c>
      <c r="G5161" s="0" t="s">
        <v>14874</v>
      </c>
      <c r="M5161" s="0" t="s">
        <v>456</v>
      </c>
      <c r="N5161" s="0" t="s">
        <v>101</v>
      </c>
      <c r="P5161" s="0" t="s">
        <v>130</v>
      </c>
      <c r="Q5161" s="0" t="s">
        <v>130</v>
      </c>
      <c r="R5161" s="0" t="s">
        <v>113</v>
      </c>
      <c r="S5161" s="0" t="s">
        <v>21</v>
      </c>
      <c r="T5161" s="0" t="s">
        <v>104</v>
      </c>
      <c r="W5161" s="0" t="s">
        <v>105</v>
      </c>
    </row>
    <row r="5162" customFormat="false" ht="15" hidden="false" customHeight="false" outlineLevel="0" collapsed="false">
      <c r="A5162" s="0" t="s">
        <v>21</v>
      </c>
      <c r="B5162" s="0" t="s">
        <v>14875</v>
      </c>
      <c r="C5162" s="0" t="s">
        <v>97</v>
      </c>
      <c r="D5162" s="0" t="s">
        <v>14876</v>
      </c>
      <c r="E5162" s="0" t="s">
        <v>14877</v>
      </c>
      <c r="H5162" s="0" t="s">
        <v>14878</v>
      </c>
      <c r="I5162" s="0" t="s">
        <v>1392</v>
      </c>
      <c r="J5162" s="0" t="s">
        <v>1392</v>
      </c>
      <c r="K5162" s="0" t="s">
        <v>3033</v>
      </c>
      <c r="L5162" s="0" t="s">
        <v>101</v>
      </c>
      <c r="M5162" s="0" t="s">
        <v>1392</v>
      </c>
      <c r="N5162" s="0" t="s">
        <v>101</v>
      </c>
      <c r="P5162" s="0" t="s">
        <v>102</v>
      </c>
      <c r="Q5162" s="0" t="s">
        <v>102</v>
      </c>
      <c r="R5162" s="0" t="s">
        <v>113</v>
      </c>
      <c r="S5162" s="0" t="s">
        <v>21</v>
      </c>
      <c r="T5162" s="0" t="s">
        <v>104</v>
      </c>
      <c r="W5162" s="0" t="s">
        <v>105</v>
      </c>
      <c r="X5162" s="0" t="s">
        <v>14879</v>
      </c>
      <c r="Y5162" s="0" t="s">
        <v>14880</v>
      </c>
    </row>
    <row r="5163" customFormat="false" ht="15" hidden="false" customHeight="false" outlineLevel="0" collapsed="false">
      <c r="A5163" s="0" t="s">
        <v>21</v>
      </c>
      <c r="B5163" s="0" t="s">
        <v>14881</v>
      </c>
      <c r="C5163" s="0" t="s">
        <v>97</v>
      </c>
      <c r="D5163" s="0" t="s">
        <v>1242</v>
      </c>
      <c r="E5163" s="0" t="s">
        <v>14882</v>
      </c>
      <c r="H5163" s="0" t="s">
        <v>14883</v>
      </c>
      <c r="I5163" s="0" t="s">
        <v>14884</v>
      </c>
      <c r="J5163" s="0" t="s">
        <v>14884</v>
      </c>
      <c r="K5163" s="0" t="s">
        <v>14885</v>
      </c>
      <c r="L5163" s="0" t="s">
        <v>101</v>
      </c>
      <c r="M5163" s="0" t="s">
        <v>14886</v>
      </c>
      <c r="N5163" s="0" t="s">
        <v>101</v>
      </c>
      <c r="P5163" s="0" t="s">
        <v>102</v>
      </c>
      <c r="Q5163" s="0" t="s">
        <v>102</v>
      </c>
      <c r="R5163" s="0" t="s">
        <v>113</v>
      </c>
      <c r="S5163" s="0" t="s">
        <v>21</v>
      </c>
      <c r="T5163" s="0" t="s">
        <v>104</v>
      </c>
      <c r="W5163" s="0" t="s">
        <v>105</v>
      </c>
      <c r="X5163" s="0" t="s">
        <v>14887</v>
      </c>
      <c r="Y5163" s="0" t="s">
        <v>14888</v>
      </c>
    </row>
    <row r="5164" customFormat="false" ht="15" hidden="false" customHeight="false" outlineLevel="0" collapsed="false">
      <c r="A5164" s="0" t="s">
        <v>21</v>
      </c>
      <c r="B5164" s="0" t="s">
        <v>14889</v>
      </c>
      <c r="C5164" s="0" t="s">
        <v>97</v>
      </c>
      <c r="D5164" s="0" t="s">
        <v>14890</v>
      </c>
      <c r="E5164" s="0" t="s">
        <v>14891</v>
      </c>
      <c r="H5164" s="0" t="s">
        <v>14892</v>
      </c>
      <c r="I5164" s="0" t="s">
        <v>14893</v>
      </c>
      <c r="J5164" s="0" t="s">
        <v>14893</v>
      </c>
      <c r="K5164" s="0" t="s">
        <v>14894</v>
      </c>
      <c r="L5164" s="0" t="s">
        <v>101</v>
      </c>
      <c r="M5164" s="0" t="s">
        <v>14893</v>
      </c>
      <c r="N5164" s="0" t="s">
        <v>101</v>
      </c>
      <c r="P5164" s="0" t="s">
        <v>102</v>
      </c>
      <c r="Q5164" s="0" t="s">
        <v>102</v>
      </c>
      <c r="R5164" s="0" t="s">
        <v>137</v>
      </c>
      <c r="S5164" s="0" t="s">
        <v>21</v>
      </c>
      <c r="T5164" s="0" t="s">
        <v>104</v>
      </c>
      <c r="W5164" s="0" t="s">
        <v>105</v>
      </c>
      <c r="X5164" s="0" t="s">
        <v>14895</v>
      </c>
      <c r="Y5164" s="0" t="s">
        <v>14896</v>
      </c>
    </row>
    <row r="5165" customFormat="false" ht="15" hidden="false" customHeight="false" outlineLevel="0" collapsed="false">
      <c r="A5165" s="0" t="s">
        <v>21</v>
      </c>
      <c r="B5165" s="0" t="s">
        <v>14897</v>
      </c>
      <c r="C5165" s="0" t="s">
        <v>14898</v>
      </c>
      <c r="D5165" s="0" t="s">
        <v>14899</v>
      </c>
      <c r="E5165" s="0" t="s">
        <v>14900</v>
      </c>
      <c r="G5165" s="0" t="s">
        <v>14901</v>
      </c>
      <c r="M5165" s="0" t="s">
        <v>167</v>
      </c>
      <c r="N5165" s="0" t="s">
        <v>101</v>
      </c>
      <c r="P5165" s="0" t="s">
        <v>102</v>
      </c>
      <c r="Q5165" s="0" t="s">
        <v>102</v>
      </c>
      <c r="R5165" s="0" t="s">
        <v>144</v>
      </c>
      <c r="S5165" s="0" t="s">
        <v>21</v>
      </c>
      <c r="T5165" s="0" t="s">
        <v>104</v>
      </c>
      <c r="W5165" s="0" t="s">
        <v>105</v>
      </c>
    </row>
    <row r="5166" customFormat="false" ht="15" hidden="false" customHeight="false" outlineLevel="0" collapsed="false">
      <c r="A5166" s="0" t="s">
        <v>21</v>
      </c>
      <c r="B5166" s="0" t="s">
        <v>14902</v>
      </c>
      <c r="C5166" s="0" t="s">
        <v>97</v>
      </c>
      <c r="D5166" s="0" t="s">
        <v>14903</v>
      </c>
      <c r="E5166" s="0" t="s">
        <v>14904</v>
      </c>
      <c r="M5166" s="0" t="s">
        <v>100</v>
      </c>
      <c r="N5166" s="0" t="s">
        <v>101</v>
      </c>
      <c r="P5166" s="0" t="s">
        <v>102</v>
      </c>
      <c r="Q5166" s="0" t="s">
        <v>102</v>
      </c>
      <c r="R5166" s="0" t="s">
        <v>144</v>
      </c>
      <c r="S5166" s="0" t="s">
        <v>21</v>
      </c>
      <c r="T5166" s="0" t="s">
        <v>104</v>
      </c>
      <c r="W5166" s="0" t="s">
        <v>105</v>
      </c>
    </row>
    <row r="5167" customFormat="false" ht="15" hidden="false" customHeight="false" outlineLevel="0" collapsed="false">
      <c r="A5167" s="0" t="s">
        <v>21</v>
      </c>
      <c r="B5167" s="0" t="s">
        <v>14905</v>
      </c>
      <c r="C5167" s="0" t="s">
        <v>97</v>
      </c>
      <c r="D5167" s="0" t="s">
        <v>14903</v>
      </c>
      <c r="E5167" s="0" t="s">
        <v>14906</v>
      </c>
      <c r="M5167" s="0" t="s">
        <v>656</v>
      </c>
      <c r="N5167" s="0" t="s">
        <v>101</v>
      </c>
      <c r="P5167" s="0" t="s">
        <v>102</v>
      </c>
      <c r="Q5167" s="0" t="s">
        <v>102</v>
      </c>
      <c r="R5167" s="0" t="s">
        <v>144</v>
      </c>
      <c r="S5167" s="0" t="s">
        <v>21</v>
      </c>
      <c r="T5167" s="0" t="s">
        <v>104</v>
      </c>
      <c r="W5167" s="0" t="s">
        <v>105</v>
      </c>
    </row>
    <row r="5168" customFormat="false" ht="15" hidden="false" customHeight="false" outlineLevel="0" collapsed="false">
      <c r="A5168" s="0" t="s">
        <v>21</v>
      </c>
      <c r="B5168" s="0" t="s">
        <v>14907</v>
      </c>
      <c r="C5168" s="0" t="s">
        <v>97</v>
      </c>
      <c r="D5168" s="0" t="s">
        <v>14908</v>
      </c>
      <c r="E5168" s="0" t="s">
        <v>14909</v>
      </c>
      <c r="H5168" s="0" t="s">
        <v>654</v>
      </c>
      <c r="I5168" s="0" t="s">
        <v>655</v>
      </c>
      <c r="J5168" s="0" t="s">
        <v>100</v>
      </c>
      <c r="K5168" s="0" t="s">
        <v>168</v>
      </c>
      <c r="L5168" s="0" t="s">
        <v>101</v>
      </c>
      <c r="M5168" s="0" t="s">
        <v>656</v>
      </c>
      <c r="N5168" s="0" t="s">
        <v>101</v>
      </c>
      <c r="P5168" s="0" t="s">
        <v>102</v>
      </c>
      <c r="Q5168" s="0" t="s">
        <v>102</v>
      </c>
      <c r="R5168" s="0" t="s">
        <v>113</v>
      </c>
      <c r="S5168" s="0" t="s">
        <v>21</v>
      </c>
      <c r="T5168" s="0" t="s">
        <v>104</v>
      </c>
      <c r="W5168" s="0" t="s">
        <v>105</v>
      </c>
      <c r="X5168" s="0" t="s">
        <v>658</v>
      </c>
      <c r="Y5168" s="0" t="s">
        <v>659</v>
      </c>
    </row>
    <row r="5169" customFormat="false" ht="15" hidden="false" customHeight="false" outlineLevel="0" collapsed="false">
      <c r="A5169" s="0" t="s">
        <v>21</v>
      </c>
      <c r="B5169" s="0" t="s">
        <v>14910</v>
      </c>
      <c r="C5169" s="0" t="s">
        <v>97</v>
      </c>
      <c r="D5169" s="0" t="s">
        <v>14911</v>
      </c>
      <c r="E5169" s="0" t="s">
        <v>14911</v>
      </c>
      <c r="F5169" s="0" t="s">
        <v>14911</v>
      </c>
      <c r="M5169" s="0" t="s">
        <v>136</v>
      </c>
      <c r="N5169" s="0" t="s">
        <v>124</v>
      </c>
      <c r="P5169" s="0" t="s">
        <v>102</v>
      </c>
      <c r="Q5169" s="0" t="s">
        <v>102</v>
      </c>
      <c r="R5169" s="0" t="s">
        <v>131</v>
      </c>
      <c r="S5169" s="0" t="s">
        <v>21</v>
      </c>
      <c r="T5169" s="0" t="s">
        <v>104</v>
      </c>
      <c r="W5169" s="0" t="s">
        <v>105</v>
      </c>
    </row>
    <row r="5170" customFormat="false" ht="15" hidden="false" customHeight="false" outlineLevel="0" collapsed="false">
      <c r="A5170" s="0" t="s">
        <v>21</v>
      </c>
      <c r="B5170" s="0" t="s">
        <v>14912</v>
      </c>
      <c r="C5170" s="0" t="s">
        <v>97</v>
      </c>
      <c r="D5170" s="0" t="s">
        <v>14913</v>
      </c>
      <c r="E5170" s="0" t="s">
        <v>14914</v>
      </c>
      <c r="M5170" s="0" t="s">
        <v>656</v>
      </c>
      <c r="N5170" s="0" t="s">
        <v>101</v>
      </c>
      <c r="P5170" s="0" t="s">
        <v>102</v>
      </c>
      <c r="Q5170" s="0" t="s">
        <v>102</v>
      </c>
      <c r="R5170" s="0" t="s">
        <v>131</v>
      </c>
      <c r="S5170" s="0" t="s">
        <v>21</v>
      </c>
      <c r="T5170" s="0" t="s">
        <v>104</v>
      </c>
      <c r="W5170" s="0" t="s">
        <v>105</v>
      </c>
    </row>
    <row r="5171" customFormat="false" ht="15" hidden="false" customHeight="false" outlineLevel="0" collapsed="false">
      <c r="A5171" s="0" t="s">
        <v>21</v>
      </c>
      <c r="B5171" s="0" t="s">
        <v>14915</v>
      </c>
      <c r="C5171" s="0" t="s">
        <v>97</v>
      </c>
      <c r="D5171" s="0" t="s">
        <v>4772</v>
      </c>
      <c r="E5171" s="0" t="s">
        <v>14916</v>
      </c>
      <c r="H5171" s="0" t="s">
        <v>654</v>
      </c>
      <c r="I5171" s="0" t="s">
        <v>655</v>
      </c>
      <c r="J5171" s="0" t="s">
        <v>100</v>
      </c>
      <c r="K5171" s="0" t="s">
        <v>168</v>
      </c>
      <c r="L5171" s="0" t="s">
        <v>101</v>
      </c>
      <c r="M5171" s="0" t="s">
        <v>656</v>
      </c>
      <c r="N5171" s="0" t="s">
        <v>101</v>
      </c>
      <c r="P5171" s="0" t="s">
        <v>102</v>
      </c>
      <c r="Q5171" s="0" t="s">
        <v>102</v>
      </c>
      <c r="R5171" s="0" t="s">
        <v>113</v>
      </c>
      <c r="S5171" s="0" t="s">
        <v>21</v>
      </c>
      <c r="T5171" s="0" t="s">
        <v>104</v>
      </c>
      <c r="W5171" s="0" t="s">
        <v>105</v>
      </c>
      <c r="X5171" s="0" t="s">
        <v>658</v>
      </c>
      <c r="Y5171" s="0" t="s">
        <v>659</v>
      </c>
    </row>
    <row r="5172" customFormat="false" ht="15" hidden="false" customHeight="false" outlineLevel="0" collapsed="false">
      <c r="A5172" s="0" t="s">
        <v>21</v>
      </c>
      <c r="B5172" s="0" t="s">
        <v>14917</v>
      </c>
      <c r="C5172" s="0" t="s">
        <v>97</v>
      </c>
      <c r="D5172" s="0" t="s">
        <v>14918</v>
      </c>
      <c r="E5172" s="0" t="s">
        <v>14919</v>
      </c>
      <c r="M5172" s="0" t="s">
        <v>656</v>
      </c>
      <c r="N5172" s="0" t="s">
        <v>101</v>
      </c>
      <c r="P5172" s="0" t="s">
        <v>102</v>
      </c>
      <c r="Q5172" s="0" t="s">
        <v>102</v>
      </c>
      <c r="R5172" s="0" t="s">
        <v>113</v>
      </c>
      <c r="S5172" s="0" t="s">
        <v>21</v>
      </c>
      <c r="T5172" s="0" t="s">
        <v>104</v>
      </c>
      <c r="W5172" s="0" t="s">
        <v>105</v>
      </c>
    </row>
    <row r="5173" customFormat="false" ht="15" hidden="false" customHeight="false" outlineLevel="0" collapsed="false">
      <c r="A5173" s="0" t="s">
        <v>21</v>
      </c>
      <c r="B5173" s="0" t="s">
        <v>14920</v>
      </c>
      <c r="C5173" s="0" t="s">
        <v>97</v>
      </c>
      <c r="D5173" s="0" t="s">
        <v>10956</v>
      </c>
      <c r="E5173" s="0" t="s">
        <v>10956</v>
      </c>
      <c r="H5173" s="0" t="s">
        <v>654</v>
      </c>
      <c r="I5173" s="0" t="s">
        <v>655</v>
      </c>
      <c r="J5173" s="0" t="s">
        <v>100</v>
      </c>
      <c r="K5173" s="0" t="s">
        <v>168</v>
      </c>
      <c r="L5173" s="0" t="s">
        <v>101</v>
      </c>
      <c r="M5173" s="0" t="s">
        <v>656</v>
      </c>
      <c r="N5173" s="0" t="s">
        <v>101</v>
      </c>
      <c r="P5173" s="0" t="s">
        <v>102</v>
      </c>
      <c r="Q5173" s="0" t="s">
        <v>102</v>
      </c>
      <c r="R5173" s="0" t="s">
        <v>131</v>
      </c>
      <c r="S5173" s="0" t="s">
        <v>21</v>
      </c>
      <c r="T5173" s="0" t="s">
        <v>104</v>
      </c>
      <c r="W5173" s="0" t="s">
        <v>105</v>
      </c>
      <c r="X5173" s="0" t="s">
        <v>658</v>
      </c>
      <c r="Y5173" s="0" t="s">
        <v>659</v>
      </c>
    </row>
    <row r="5174" customFormat="false" ht="15" hidden="false" customHeight="false" outlineLevel="0" collapsed="false">
      <c r="A5174" s="0" t="s">
        <v>21</v>
      </c>
      <c r="B5174" s="0" t="s">
        <v>14921</v>
      </c>
      <c r="C5174" s="0" t="s">
        <v>97</v>
      </c>
      <c r="D5174" s="0" t="s">
        <v>10401</v>
      </c>
      <c r="E5174" s="0" t="s">
        <v>14922</v>
      </c>
      <c r="G5174" s="0" t="s">
        <v>14923</v>
      </c>
      <c r="H5174" s="0" t="s">
        <v>654</v>
      </c>
      <c r="I5174" s="0" t="s">
        <v>655</v>
      </c>
      <c r="J5174" s="0" t="s">
        <v>100</v>
      </c>
      <c r="K5174" s="0" t="s">
        <v>168</v>
      </c>
      <c r="L5174" s="0" t="s">
        <v>101</v>
      </c>
      <c r="M5174" s="0" t="s">
        <v>656</v>
      </c>
      <c r="N5174" s="0" t="s">
        <v>101</v>
      </c>
      <c r="P5174" s="0" t="s">
        <v>102</v>
      </c>
      <c r="Q5174" s="0" t="s">
        <v>102</v>
      </c>
      <c r="R5174" s="0" t="s">
        <v>131</v>
      </c>
      <c r="S5174" s="0" t="s">
        <v>21</v>
      </c>
      <c r="T5174" s="0" t="s">
        <v>104</v>
      </c>
      <c r="W5174" s="0" t="s">
        <v>105</v>
      </c>
      <c r="X5174" s="0" t="s">
        <v>658</v>
      </c>
      <c r="Y5174" s="0" t="s">
        <v>659</v>
      </c>
    </row>
    <row r="5175" customFormat="false" ht="15" hidden="false" customHeight="false" outlineLevel="0" collapsed="false">
      <c r="A5175" s="0" t="s">
        <v>21</v>
      </c>
      <c r="B5175" s="0" t="s">
        <v>14924</v>
      </c>
      <c r="C5175" s="0" t="s">
        <v>97</v>
      </c>
      <c r="D5175" s="0" t="s">
        <v>5172</v>
      </c>
      <c r="E5175" s="0" t="s">
        <v>14925</v>
      </c>
      <c r="G5175" s="0" t="s">
        <v>14926</v>
      </c>
      <c r="M5175" s="0" t="s">
        <v>656</v>
      </c>
      <c r="N5175" s="0" t="s">
        <v>101</v>
      </c>
      <c r="P5175" s="0" t="s">
        <v>102</v>
      </c>
      <c r="Q5175" s="0" t="s">
        <v>102</v>
      </c>
      <c r="R5175" s="0" t="s">
        <v>131</v>
      </c>
      <c r="S5175" s="0" t="s">
        <v>21</v>
      </c>
      <c r="T5175" s="0" t="s">
        <v>104</v>
      </c>
      <c r="W5175" s="0" t="s">
        <v>105</v>
      </c>
      <c r="AB5175" s="0" t="s">
        <v>5448</v>
      </c>
    </row>
    <row r="5176" customFormat="false" ht="15" hidden="false" customHeight="false" outlineLevel="0" collapsed="false">
      <c r="A5176" s="0" t="s">
        <v>21</v>
      </c>
      <c r="B5176" s="0" t="s">
        <v>14927</v>
      </c>
      <c r="C5176" s="0" t="s">
        <v>97</v>
      </c>
      <c r="D5176" s="0" t="s">
        <v>8809</v>
      </c>
      <c r="E5176" s="0" t="s">
        <v>8809</v>
      </c>
      <c r="M5176" s="0" t="s">
        <v>101</v>
      </c>
      <c r="N5176" s="0" t="s">
        <v>101</v>
      </c>
      <c r="P5176" s="0" t="s">
        <v>102</v>
      </c>
      <c r="Q5176" s="0" t="s">
        <v>102</v>
      </c>
      <c r="R5176" s="0" t="s">
        <v>131</v>
      </c>
      <c r="S5176" s="0" t="s">
        <v>21</v>
      </c>
      <c r="T5176" s="0" t="s">
        <v>104</v>
      </c>
      <c r="W5176" s="0" t="s">
        <v>105</v>
      </c>
    </row>
    <row r="5177" customFormat="false" ht="15" hidden="false" customHeight="false" outlineLevel="0" collapsed="false">
      <c r="A5177" s="0" t="s">
        <v>21</v>
      </c>
      <c r="B5177" s="0" t="s">
        <v>14928</v>
      </c>
      <c r="C5177" s="0" t="s">
        <v>97</v>
      </c>
      <c r="D5177" s="0" t="s">
        <v>14929</v>
      </c>
      <c r="E5177" s="0" t="s">
        <v>14930</v>
      </c>
      <c r="M5177" s="0" t="s">
        <v>100</v>
      </c>
      <c r="N5177" s="0" t="s">
        <v>101</v>
      </c>
      <c r="P5177" s="0" t="s">
        <v>102</v>
      </c>
      <c r="Q5177" s="0" t="s">
        <v>102</v>
      </c>
      <c r="R5177" s="0" t="s">
        <v>131</v>
      </c>
      <c r="S5177" s="0" t="s">
        <v>21</v>
      </c>
      <c r="T5177" s="0" t="s">
        <v>104</v>
      </c>
      <c r="W5177" s="0" t="s">
        <v>105</v>
      </c>
    </row>
    <row r="5178" customFormat="false" ht="15" hidden="false" customHeight="false" outlineLevel="0" collapsed="false">
      <c r="A5178" s="0" t="s">
        <v>21</v>
      </c>
      <c r="B5178" s="0" t="s">
        <v>14931</v>
      </c>
      <c r="C5178" s="0" t="s">
        <v>97</v>
      </c>
      <c r="D5178" s="0" t="s">
        <v>14932</v>
      </c>
      <c r="E5178" s="0" t="s">
        <v>14933</v>
      </c>
      <c r="M5178" s="0" t="s">
        <v>100</v>
      </c>
      <c r="N5178" s="0" t="s">
        <v>101</v>
      </c>
      <c r="P5178" s="0" t="s">
        <v>102</v>
      </c>
      <c r="Q5178" s="0" t="s">
        <v>102</v>
      </c>
      <c r="R5178" s="0" t="s">
        <v>131</v>
      </c>
      <c r="S5178" s="0" t="s">
        <v>21</v>
      </c>
      <c r="T5178" s="0" t="s">
        <v>104</v>
      </c>
      <c r="W5178" s="0" t="s">
        <v>105</v>
      </c>
    </row>
    <row r="5179" customFormat="false" ht="15" hidden="false" customHeight="false" outlineLevel="0" collapsed="false">
      <c r="A5179" s="0" t="s">
        <v>21</v>
      </c>
      <c r="B5179" s="0" t="s">
        <v>14934</v>
      </c>
      <c r="C5179" s="0" t="s">
        <v>97</v>
      </c>
      <c r="D5179" s="0" t="s">
        <v>14935</v>
      </c>
      <c r="E5179" s="0" t="s">
        <v>14936</v>
      </c>
      <c r="M5179" s="0" t="s">
        <v>100</v>
      </c>
      <c r="N5179" s="0" t="s">
        <v>101</v>
      </c>
      <c r="P5179" s="0" t="s">
        <v>102</v>
      </c>
      <c r="Q5179" s="0" t="s">
        <v>102</v>
      </c>
      <c r="R5179" s="0" t="s">
        <v>131</v>
      </c>
      <c r="S5179" s="0" t="s">
        <v>21</v>
      </c>
      <c r="T5179" s="0" t="s">
        <v>104</v>
      </c>
      <c r="W5179" s="0" t="s">
        <v>105</v>
      </c>
    </row>
    <row r="5180" customFormat="false" ht="15" hidden="false" customHeight="false" outlineLevel="0" collapsed="false">
      <c r="A5180" s="0" t="s">
        <v>21</v>
      </c>
      <c r="B5180" s="0" t="s">
        <v>14937</v>
      </c>
      <c r="C5180" s="0" t="s">
        <v>97</v>
      </c>
      <c r="D5180" s="0" t="s">
        <v>14938</v>
      </c>
      <c r="E5180" s="0" t="s">
        <v>14939</v>
      </c>
      <c r="M5180" s="0" t="s">
        <v>100</v>
      </c>
      <c r="N5180" s="0" t="s">
        <v>101</v>
      </c>
      <c r="P5180" s="0" t="s">
        <v>102</v>
      </c>
      <c r="Q5180" s="0" t="s">
        <v>102</v>
      </c>
      <c r="R5180" s="0" t="s">
        <v>131</v>
      </c>
      <c r="S5180" s="0" t="s">
        <v>21</v>
      </c>
      <c r="T5180" s="0" t="s">
        <v>104</v>
      </c>
      <c r="W5180" s="0" t="s">
        <v>105</v>
      </c>
    </row>
    <row r="5181" customFormat="false" ht="15" hidden="false" customHeight="false" outlineLevel="0" collapsed="false">
      <c r="A5181" s="0" t="s">
        <v>21</v>
      </c>
      <c r="B5181" s="0" t="s">
        <v>14940</v>
      </c>
      <c r="C5181" s="0" t="s">
        <v>97</v>
      </c>
      <c r="D5181" s="0" t="s">
        <v>14941</v>
      </c>
      <c r="E5181" s="0" t="s">
        <v>14942</v>
      </c>
      <c r="M5181" s="0" t="s">
        <v>100</v>
      </c>
      <c r="N5181" s="0" t="s">
        <v>101</v>
      </c>
      <c r="P5181" s="0" t="s">
        <v>102</v>
      </c>
      <c r="Q5181" s="0" t="s">
        <v>102</v>
      </c>
      <c r="R5181" s="0" t="s">
        <v>131</v>
      </c>
      <c r="S5181" s="0" t="s">
        <v>21</v>
      </c>
      <c r="T5181" s="0" t="s">
        <v>104</v>
      </c>
      <c r="W5181" s="0" t="s">
        <v>105</v>
      </c>
    </row>
    <row r="5182" customFormat="false" ht="15" hidden="false" customHeight="false" outlineLevel="0" collapsed="false">
      <c r="A5182" s="0" t="s">
        <v>21</v>
      </c>
      <c r="B5182" s="0" t="s">
        <v>14943</v>
      </c>
      <c r="C5182" s="0" t="s">
        <v>97</v>
      </c>
      <c r="D5182" s="0" t="s">
        <v>14944</v>
      </c>
      <c r="E5182" s="0" t="s">
        <v>14945</v>
      </c>
      <c r="M5182" s="0" t="s">
        <v>100</v>
      </c>
      <c r="N5182" s="0" t="s">
        <v>101</v>
      </c>
      <c r="P5182" s="0" t="s">
        <v>102</v>
      </c>
      <c r="Q5182" s="0" t="s">
        <v>102</v>
      </c>
      <c r="R5182" s="0" t="s">
        <v>131</v>
      </c>
      <c r="S5182" s="0" t="s">
        <v>21</v>
      </c>
      <c r="T5182" s="0" t="s">
        <v>104</v>
      </c>
      <c r="W5182" s="0" t="s">
        <v>105</v>
      </c>
    </row>
    <row r="5183" customFormat="false" ht="15" hidden="false" customHeight="false" outlineLevel="0" collapsed="false">
      <c r="A5183" s="0" t="s">
        <v>21</v>
      </c>
      <c r="B5183" s="0" t="s">
        <v>14946</v>
      </c>
      <c r="C5183" s="0" t="s">
        <v>97</v>
      </c>
      <c r="D5183" s="0" t="s">
        <v>14947</v>
      </c>
      <c r="E5183" s="0" t="s">
        <v>14948</v>
      </c>
      <c r="M5183" s="0" t="s">
        <v>100</v>
      </c>
      <c r="N5183" s="0" t="s">
        <v>101</v>
      </c>
      <c r="P5183" s="0" t="s">
        <v>102</v>
      </c>
      <c r="Q5183" s="0" t="s">
        <v>102</v>
      </c>
      <c r="R5183" s="0" t="s">
        <v>131</v>
      </c>
      <c r="S5183" s="0" t="s">
        <v>21</v>
      </c>
      <c r="T5183" s="0" t="s">
        <v>104</v>
      </c>
      <c r="W5183" s="0" t="s">
        <v>105</v>
      </c>
    </row>
    <row r="5184" customFormat="false" ht="15" hidden="false" customHeight="false" outlineLevel="0" collapsed="false">
      <c r="A5184" s="0" t="s">
        <v>21</v>
      </c>
      <c r="B5184" s="0" t="s">
        <v>14949</v>
      </c>
      <c r="C5184" s="0" t="s">
        <v>97</v>
      </c>
      <c r="D5184" s="0" t="s">
        <v>8809</v>
      </c>
      <c r="E5184" s="0" t="s">
        <v>8809</v>
      </c>
      <c r="M5184" s="0" t="s">
        <v>100</v>
      </c>
      <c r="N5184" s="0" t="s">
        <v>101</v>
      </c>
      <c r="P5184" s="0" t="s">
        <v>102</v>
      </c>
      <c r="Q5184" s="0" t="s">
        <v>102</v>
      </c>
      <c r="R5184" s="0" t="s">
        <v>131</v>
      </c>
      <c r="S5184" s="0" t="s">
        <v>21</v>
      </c>
      <c r="T5184" s="0" t="s">
        <v>104</v>
      </c>
      <c r="W5184" s="0" t="s">
        <v>105</v>
      </c>
    </row>
    <row r="5185" customFormat="false" ht="15" hidden="false" customHeight="false" outlineLevel="0" collapsed="false">
      <c r="A5185" s="0" t="s">
        <v>21</v>
      </c>
      <c r="B5185" s="0" t="s">
        <v>14950</v>
      </c>
      <c r="C5185" s="0" t="s">
        <v>97</v>
      </c>
      <c r="D5185" s="0" t="s">
        <v>14255</v>
      </c>
      <c r="E5185" s="0" t="s">
        <v>14255</v>
      </c>
      <c r="F5185" s="0" t="s">
        <v>14255</v>
      </c>
      <c r="M5185" s="0" t="s">
        <v>100</v>
      </c>
      <c r="N5185" s="0" t="s">
        <v>101</v>
      </c>
      <c r="P5185" s="0" t="s">
        <v>102</v>
      </c>
      <c r="Q5185" s="0" t="s">
        <v>102</v>
      </c>
      <c r="R5185" s="0" t="s">
        <v>131</v>
      </c>
      <c r="S5185" s="0" t="s">
        <v>21</v>
      </c>
      <c r="T5185" s="0" t="s">
        <v>104</v>
      </c>
      <c r="W5185" s="0" t="s">
        <v>105</v>
      </c>
    </row>
    <row r="5186" customFormat="false" ht="15" hidden="false" customHeight="false" outlineLevel="0" collapsed="false">
      <c r="A5186" s="0" t="s">
        <v>21</v>
      </c>
      <c r="B5186" s="0" t="s">
        <v>14951</v>
      </c>
      <c r="C5186" s="0" t="s">
        <v>97</v>
      </c>
      <c r="D5186" s="0" t="s">
        <v>14952</v>
      </c>
      <c r="E5186" s="0" t="s">
        <v>14952</v>
      </c>
      <c r="F5186" s="0" t="s">
        <v>14952</v>
      </c>
      <c r="M5186" s="0" t="s">
        <v>100</v>
      </c>
      <c r="N5186" s="0" t="s">
        <v>101</v>
      </c>
      <c r="P5186" s="0" t="s">
        <v>102</v>
      </c>
      <c r="Q5186" s="0" t="s">
        <v>102</v>
      </c>
      <c r="R5186" s="0" t="s">
        <v>131</v>
      </c>
      <c r="S5186" s="0" t="s">
        <v>21</v>
      </c>
      <c r="T5186" s="0" t="s">
        <v>104</v>
      </c>
      <c r="W5186" s="0" t="s">
        <v>105</v>
      </c>
    </row>
    <row r="5187" customFormat="false" ht="15" hidden="false" customHeight="false" outlineLevel="0" collapsed="false">
      <c r="A5187" s="0" t="s">
        <v>21</v>
      </c>
      <c r="B5187" s="0" t="s">
        <v>14953</v>
      </c>
      <c r="C5187" s="0" t="s">
        <v>97</v>
      </c>
      <c r="D5187" s="0" t="s">
        <v>14954</v>
      </c>
      <c r="E5187" s="0" t="s">
        <v>14954</v>
      </c>
      <c r="M5187" s="0" t="s">
        <v>442</v>
      </c>
      <c r="N5187" s="0" t="s">
        <v>101</v>
      </c>
      <c r="P5187" s="0" t="s">
        <v>102</v>
      </c>
      <c r="Q5187" s="0" t="s">
        <v>102</v>
      </c>
      <c r="R5187" s="0" t="s">
        <v>131</v>
      </c>
      <c r="S5187" s="0" t="s">
        <v>21</v>
      </c>
      <c r="T5187" s="0" t="s">
        <v>104</v>
      </c>
      <c r="W5187" s="0" t="s">
        <v>105</v>
      </c>
    </row>
    <row r="5188" customFormat="false" ht="15" hidden="false" customHeight="false" outlineLevel="0" collapsed="false">
      <c r="A5188" s="0" t="s">
        <v>21</v>
      </c>
      <c r="B5188" s="0" t="s">
        <v>14955</v>
      </c>
      <c r="C5188" s="0" t="s">
        <v>97</v>
      </c>
      <c r="D5188" s="0" t="s">
        <v>14956</v>
      </c>
      <c r="E5188" s="0" t="s">
        <v>14956</v>
      </c>
      <c r="M5188" s="0" t="s">
        <v>136</v>
      </c>
      <c r="N5188" s="0" t="s">
        <v>124</v>
      </c>
      <c r="P5188" s="0" t="s">
        <v>102</v>
      </c>
      <c r="Q5188" s="0" t="s">
        <v>102</v>
      </c>
      <c r="R5188" s="0" t="s">
        <v>131</v>
      </c>
      <c r="S5188" s="0" t="s">
        <v>21</v>
      </c>
      <c r="T5188" s="0" t="s">
        <v>104</v>
      </c>
      <c r="W5188" s="0" t="s">
        <v>105</v>
      </c>
    </row>
    <row r="5189" customFormat="false" ht="15" hidden="false" customHeight="false" outlineLevel="0" collapsed="false">
      <c r="A5189" s="0" t="s">
        <v>21</v>
      </c>
      <c r="B5189" s="0" t="s">
        <v>14957</v>
      </c>
      <c r="C5189" s="0" t="s">
        <v>97</v>
      </c>
      <c r="D5189" s="0" t="s">
        <v>14958</v>
      </c>
      <c r="E5189" s="0" t="s">
        <v>14958</v>
      </c>
      <c r="F5189" s="0" t="s">
        <v>14958</v>
      </c>
      <c r="M5189" s="0" t="s">
        <v>136</v>
      </c>
      <c r="N5189" s="0" t="s">
        <v>124</v>
      </c>
      <c r="P5189" s="0" t="s">
        <v>102</v>
      </c>
      <c r="Q5189" s="0" t="s">
        <v>102</v>
      </c>
      <c r="R5189" s="0" t="s">
        <v>131</v>
      </c>
      <c r="S5189" s="0" t="s">
        <v>21</v>
      </c>
      <c r="T5189" s="0" t="s">
        <v>104</v>
      </c>
      <c r="W5189" s="0" t="s">
        <v>105</v>
      </c>
    </row>
    <row r="5190" customFormat="false" ht="15" hidden="false" customHeight="false" outlineLevel="0" collapsed="false">
      <c r="A5190" s="0" t="s">
        <v>21</v>
      </c>
      <c r="B5190" s="0" t="s">
        <v>14959</v>
      </c>
      <c r="C5190" s="0" t="s">
        <v>97</v>
      </c>
      <c r="D5190" s="0" t="s">
        <v>902</v>
      </c>
      <c r="E5190" s="0" t="s">
        <v>14960</v>
      </c>
      <c r="M5190" s="0" t="s">
        <v>136</v>
      </c>
      <c r="N5190" s="0" t="s">
        <v>124</v>
      </c>
      <c r="P5190" s="0" t="s">
        <v>102</v>
      </c>
      <c r="Q5190" s="0" t="s">
        <v>102</v>
      </c>
      <c r="R5190" s="0" t="s">
        <v>131</v>
      </c>
      <c r="S5190" s="0" t="s">
        <v>21</v>
      </c>
      <c r="T5190" s="0" t="s">
        <v>104</v>
      </c>
      <c r="W5190" s="0" t="s">
        <v>105</v>
      </c>
    </row>
    <row r="5191" customFormat="false" ht="15" hidden="false" customHeight="false" outlineLevel="0" collapsed="false">
      <c r="A5191" s="0" t="s">
        <v>21</v>
      </c>
      <c r="B5191" s="0" t="s">
        <v>14961</v>
      </c>
      <c r="C5191" s="0" t="s">
        <v>97</v>
      </c>
      <c r="D5191" s="0" t="s">
        <v>14962</v>
      </c>
      <c r="E5191" s="0" t="s">
        <v>14963</v>
      </c>
      <c r="M5191" s="0" t="s">
        <v>136</v>
      </c>
      <c r="N5191" s="0" t="s">
        <v>124</v>
      </c>
      <c r="P5191" s="0" t="s">
        <v>102</v>
      </c>
      <c r="Q5191" s="0" t="s">
        <v>102</v>
      </c>
      <c r="R5191" s="0" t="s">
        <v>131</v>
      </c>
      <c r="S5191" s="0" t="s">
        <v>21</v>
      </c>
      <c r="T5191" s="0" t="s">
        <v>104</v>
      </c>
      <c r="W5191" s="0" t="s">
        <v>105</v>
      </c>
    </row>
    <row r="5192" customFormat="false" ht="15" hidden="false" customHeight="false" outlineLevel="0" collapsed="false">
      <c r="A5192" s="0" t="s">
        <v>21</v>
      </c>
      <c r="B5192" s="0" t="s">
        <v>14964</v>
      </c>
      <c r="C5192" s="0" t="s">
        <v>97</v>
      </c>
      <c r="D5192" s="0" t="s">
        <v>14965</v>
      </c>
      <c r="E5192" s="0" t="s">
        <v>14966</v>
      </c>
      <c r="M5192" s="0" t="s">
        <v>136</v>
      </c>
      <c r="N5192" s="0" t="s">
        <v>124</v>
      </c>
      <c r="P5192" s="0" t="s">
        <v>102</v>
      </c>
      <c r="Q5192" s="0" t="s">
        <v>102</v>
      </c>
      <c r="R5192" s="0" t="s">
        <v>131</v>
      </c>
      <c r="S5192" s="0" t="s">
        <v>21</v>
      </c>
      <c r="T5192" s="0" t="s">
        <v>104</v>
      </c>
      <c r="W5192" s="0" t="s">
        <v>105</v>
      </c>
    </row>
    <row r="5193" customFormat="false" ht="15" hidden="false" customHeight="false" outlineLevel="0" collapsed="false">
      <c r="A5193" s="0" t="s">
        <v>21</v>
      </c>
      <c r="B5193" s="0" t="s">
        <v>14967</v>
      </c>
      <c r="C5193" s="0" t="s">
        <v>97</v>
      </c>
      <c r="D5193" s="0" t="s">
        <v>14968</v>
      </c>
      <c r="E5193" s="0" t="s">
        <v>14969</v>
      </c>
      <c r="H5193" s="0" t="s">
        <v>14970</v>
      </c>
      <c r="I5193" s="0" t="s">
        <v>14971</v>
      </c>
      <c r="J5193" s="0" t="s">
        <v>456</v>
      </c>
      <c r="K5193" s="0" t="s">
        <v>648</v>
      </c>
      <c r="L5193" s="0" t="s">
        <v>101</v>
      </c>
      <c r="M5193" s="0" t="s">
        <v>3152</v>
      </c>
      <c r="N5193" s="0" t="s">
        <v>101</v>
      </c>
      <c r="P5193" s="0" t="s">
        <v>102</v>
      </c>
      <c r="Q5193" s="0" t="s">
        <v>102</v>
      </c>
      <c r="R5193" s="0" t="s">
        <v>113</v>
      </c>
      <c r="S5193" s="0" t="s">
        <v>21</v>
      </c>
      <c r="T5193" s="0" t="s">
        <v>104</v>
      </c>
      <c r="W5193" s="0" t="s">
        <v>105</v>
      </c>
      <c r="X5193" s="0" t="s">
        <v>14972</v>
      </c>
      <c r="Y5193" s="0" t="s">
        <v>14973</v>
      </c>
    </row>
    <row r="5194" customFormat="false" ht="15" hidden="false" customHeight="false" outlineLevel="0" collapsed="false">
      <c r="A5194" s="0" t="s">
        <v>21</v>
      </c>
      <c r="B5194" s="0" t="s">
        <v>14974</v>
      </c>
      <c r="C5194" s="0" t="s">
        <v>139</v>
      </c>
      <c r="D5194" s="0" t="s">
        <v>14975</v>
      </c>
      <c r="E5194" s="0" t="s">
        <v>14976</v>
      </c>
      <c r="G5194" s="0" t="s">
        <v>14977</v>
      </c>
      <c r="H5194" s="0" t="s">
        <v>14978</v>
      </c>
      <c r="I5194" s="0" t="s">
        <v>14979</v>
      </c>
      <c r="J5194" s="0" t="s">
        <v>254</v>
      </c>
      <c r="K5194" s="0" t="s">
        <v>2632</v>
      </c>
      <c r="L5194" s="0" t="s">
        <v>124</v>
      </c>
      <c r="M5194" s="0" t="s">
        <v>941</v>
      </c>
      <c r="N5194" s="0" t="s">
        <v>124</v>
      </c>
      <c r="P5194" s="0" t="s">
        <v>102</v>
      </c>
      <c r="Q5194" s="0" t="s">
        <v>102</v>
      </c>
      <c r="R5194" s="0" t="s">
        <v>137</v>
      </c>
      <c r="S5194" s="0" t="s">
        <v>21</v>
      </c>
      <c r="T5194" s="0" t="s">
        <v>104</v>
      </c>
      <c r="W5194" s="0" t="s">
        <v>105</v>
      </c>
      <c r="Z5194" s="0" t="s">
        <v>159</v>
      </c>
    </row>
    <row r="5195" customFormat="false" ht="15" hidden="false" customHeight="false" outlineLevel="0" collapsed="false">
      <c r="A5195" s="0" t="s">
        <v>21</v>
      </c>
      <c r="B5195" s="0" t="s">
        <v>14980</v>
      </c>
      <c r="C5195" s="0" t="s">
        <v>97</v>
      </c>
      <c r="D5195" s="0" t="s">
        <v>14981</v>
      </c>
      <c r="E5195" s="0" t="s">
        <v>14981</v>
      </c>
      <c r="M5195" s="0" t="s">
        <v>442</v>
      </c>
      <c r="N5195" s="0" t="s">
        <v>101</v>
      </c>
      <c r="P5195" s="0" t="s">
        <v>102</v>
      </c>
      <c r="Q5195" s="0" t="s">
        <v>102</v>
      </c>
      <c r="R5195" s="0" t="s">
        <v>131</v>
      </c>
      <c r="S5195" s="0" t="s">
        <v>21</v>
      </c>
      <c r="T5195" s="0" t="s">
        <v>104</v>
      </c>
      <c r="W5195" s="0" t="s">
        <v>105</v>
      </c>
    </row>
    <row r="5196" customFormat="false" ht="15" hidden="false" customHeight="false" outlineLevel="0" collapsed="false">
      <c r="A5196" s="0" t="s">
        <v>21</v>
      </c>
      <c r="B5196" s="0" t="s">
        <v>14982</v>
      </c>
      <c r="C5196" s="0" t="s">
        <v>110</v>
      </c>
      <c r="D5196" s="0" t="s">
        <v>14983</v>
      </c>
      <c r="E5196" s="0" t="s">
        <v>14984</v>
      </c>
      <c r="H5196" s="0" t="s">
        <v>14985</v>
      </c>
      <c r="I5196" s="0" t="s">
        <v>14982</v>
      </c>
      <c r="J5196" s="0" t="s">
        <v>2281</v>
      </c>
      <c r="K5196" s="0" t="s">
        <v>14986</v>
      </c>
      <c r="L5196" s="0" t="s">
        <v>124</v>
      </c>
      <c r="M5196" s="0" t="s">
        <v>14982</v>
      </c>
      <c r="N5196" s="0" t="s">
        <v>124</v>
      </c>
      <c r="P5196" s="0" t="s">
        <v>102</v>
      </c>
      <c r="Q5196" s="0" t="s">
        <v>102</v>
      </c>
      <c r="R5196" s="0" t="s">
        <v>113</v>
      </c>
      <c r="S5196" s="0" t="s">
        <v>21</v>
      </c>
      <c r="T5196" s="0" t="s">
        <v>104</v>
      </c>
      <c r="W5196" s="0" t="s">
        <v>105</v>
      </c>
      <c r="X5196" s="0" t="s">
        <v>14987</v>
      </c>
      <c r="Y5196" s="0" t="s">
        <v>14988</v>
      </c>
      <c r="Z5196" s="0" t="s">
        <v>134</v>
      </c>
    </row>
    <row r="5197" customFormat="false" ht="15" hidden="false" customHeight="false" outlineLevel="0" collapsed="false">
      <c r="A5197" s="0" t="s">
        <v>21</v>
      </c>
      <c r="B5197" s="0" t="s">
        <v>14989</v>
      </c>
      <c r="C5197" s="0" t="s">
        <v>211</v>
      </c>
      <c r="D5197" s="0" t="s">
        <v>14990</v>
      </c>
      <c r="E5197" s="0" t="s">
        <v>14991</v>
      </c>
      <c r="M5197" s="0" t="s">
        <v>232</v>
      </c>
      <c r="N5197" s="0" t="s">
        <v>124</v>
      </c>
      <c r="P5197" s="0" t="s">
        <v>102</v>
      </c>
      <c r="Q5197" s="0" t="s">
        <v>102</v>
      </c>
      <c r="R5197" s="0" t="s">
        <v>113</v>
      </c>
      <c r="S5197" s="0" t="s">
        <v>21</v>
      </c>
      <c r="T5197" s="0" t="s">
        <v>104</v>
      </c>
      <c r="W5197" s="0" t="s">
        <v>105</v>
      </c>
    </row>
    <row r="5198" customFormat="false" ht="15" hidden="false" customHeight="false" outlineLevel="0" collapsed="false">
      <c r="A5198" s="0" t="s">
        <v>21</v>
      </c>
      <c r="B5198" s="0" t="s">
        <v>14992</v>
      </c>
      <c r="C5198" s="0" t="s">
        <v>97</v>
      </c>
      <c r="D5198" s="0" t="s">
        <v>14993</v>
      </c>
      <c r="E5198" s="0" t="s">
        <v>14994</v>
      </c>
      <c r="M5198" s="0" t="s">
        <v>136</v>
      </c>
      <c r="N5198" s="0" t="s">
        <v>124</v>
      </c>
      <c r="P5198" s="0" t="s">
        <v>102</v>
      </c>
      <c r="Q5198" s="0" t="s">
        <v>102</v>
      </c>
      <c r="R5198" s="0" t="s">
        <v>113</v>
      </c>
      <c r="S5198" s="0" t="s">
        <v>21</v>
      </c>
      <c r="T5198" s="0" t="s">
        <v>104</v>
      </c>
      <c r="W5198" s="0" t="s">
        <v>105</v>
      </c>
    </row>
    <row r="5199" customFormat="false" ht="15" hidden="false" customHeight="false" outlineLevel="0" collapsed="false">
      <c r="A5199" s="0" t="s">
        <v>21</v>
      </c>
      <c r="B5199" s="0" t="s">
        <v>14995</v>
      </c>
      <c r="C5199" s="0" t="s">
        <v>97</v>
      </c>
      <c r="D5199" s="0" t="s">
        <v>14990</v>
      </c>
      <c r="E5199" s="0" t="s">
        <v>14996</v>
      </c>
      <c r="M5199" s="0" t="s">
        <v>136</v>
      </c>
      <c r="N5199" s="0" t="s">
        <v>124</v>
      </c>
      <c r="P5199" s="0" t="s">
        <v>102</v>
      </c>
      <c r="Q5199" s="0" t="s">
        <v>102</v>
      </c>
      <c r="R5199" s="0" t="s">
        <v>113</v>
      </c>
      <c r="S5199" s="0" t="s">
        <v>21</v>
      </c>
      <c r="T5199" s="0" t="s">
        <v>104</v>
      </c>
      <c r="W5199" s="0" t="s">
        <v>105</v>
      </c>
    </row>
    <row r="5200" customFormat="false" ht="15" hidden="false" customHeight="false" outlineLevel="0" collapsed="false">
      <c r="A5200" s="0" t="s">
        <v>21</v>
      </c>
      <c r="B5200" s="0" t="s">
        <v>14997</v>
      </c>
      <c r="C5200" s="0" t="s">
        <v>97</v>
      </c>
      <c r="D5200" s="0" t="s">
        <v>14998</v>
      </c>
      <c r="E5200" s="0" t="s">
        <v>14999</v>
      </c>
      <c r="M5200" s="0" t="s">
        <v>136</v>
      </c>
      <c r="N5200" s="0" t="s">
        <v>124</v>
      </c>
      <c r="P5200" s="0" t="s">
        <v>102</v>
      </c>
      <c r="Q5200" s="0" t="s">
        <v>102</v>
      </c>
      <c r="R5200" s="0" t="s">
        <v>131</v>
      </c>
      <c r="S5200" s="0" t="s">
        <v>21</v>
      </c>
      <c r="T5200" s="0" t="s">
        <v>104</v>
      </c>
      <c r="W5200" s="0" t="s">
        <v>105</v>
      </c>
    </row>
    <row r="5201" customFormat="false" ht="15" hidden="false" customHeight="false" outlineLevel="0" collapsed="false">
      <c r="A5201" s="0" t="s">
        <v>21</v>
      </c>
      <c r="B5201" s="0" t="s">
        <v>15000</v>
      </c>
      <c r="C5201" s="0" t="s">
        <v>5842</v>
      </c>
      <c r="D5201" s="0" t="s">
        <v>15001</v>
      </c>
      <c r="E5201" s="0" t="s">
        <v>15001</v>
      </c>
      <c r="G5201" s="0" t="s">
        <v>15000</v>
      </c>
      <c r="H5201" s="0" t="s">
        <v>15002</v>
      </c>
      <c r="I5201" s="0" t="s">
        <v>5847</v>
      </c>
      <c r="J5201" s="0" t="s">
        <v>448</v>
      </c>
      <c r="K5201" s="0" t="s">
        <v>5848</v>
      </c>
      <c r="L5201" s="0" t="s">
        <v>101</v>
      </c>
      <c r="M5201" s="0" t="s">
        <v>448</v>
      </c>
      <c r="N5201" s="0" t="s">
        <v>101</v>
      </c>
      <c r="P5201" s="0" t="s">
        <v>130</v>
      </c>
      <c r="Q5201" s="0" t="s">
        <v>130</v>
      </c>
      <c r="R5201" s="0" t="s">
        <v>113</v>
      </c>
      <c r="S5201" s="0" t="s">
        <v>21</v>
      </c>
      <c r="T5201" s="0" t="s">
        <v>104</v>
      </c>
      <c r="W5201" s="0" t="s">
        <v>105</v>
      </c>
    </row>
    <row r="5202" customFormat="false" ht="15" hidden="false" customHeight="false" outlineLevel="0" collapsed="false">
      <c r="A5202" s="0" t="s">
        <v>21</v>
      </c>
      <c r="B5202" s="0" t="s">
        <v>15003</v>
      </c>
      <c r="C5202" s="0" t="s">
        <v>15004</v>
      </c>
      <c r="D5202" s="0" t="s">
        <v>15005</v>
      </c>
      <c r="E5202" s="0" t="s">
        <v>15001</v>
      </c>
      <c r="M5202" s="0" t="s">
        <v>136</v>
      </c>
      <c r="N5202" s="0" t="s">
        <v>124</v>
      </c>
      <c r="P5202" s="0" t="s">
        <v>346</v>
      </c>
      <c r="Q5202" s="0" t="s">
        <v>346</v>
      </c>
      <c r="R5202" s="0" t="s">
        <v>103</v>
      </c>
      <c r="S5202" s="0" t="s">
        <v>21</v>
      </c>
      <c r="T5202" s="0" t="s">
        <v>104</v>
      </c>
      <c r="W5202" s="0" t="s">
        <v>105</v>
      </c>
    </row>
    <row r="5203" customFormat="false" ht="15" hidden="false" customHeight="false" outlineLevel="0" collapsed="false">
      <c r="A5203" s="0" t="s">
        <v>21</v>
      </c>
      <c r="B5203" s="0" t="s">
        <v>15006</v>
      </c>
      <c r="C5203" s="0" t="s">
        <v>97</v>
      </c>
      <c r="M5203" s="0" t="s">
        <v>420</v>
      </c>
      <c r="N5203" s="0" t="s">
        <v>101</v>
      </c>
      <c r="P5203" s="0" t="s">
        <v>102</v>
      </c>
      <c r="Q5203" s="0" t="s">
        <v>102</v>
      </c>
      <c r="R5203" s="0" t="s">
        <v>137</v>
      </c>
      <c r="S5203" s="0" t="s">
        <v>21</v>
      </c>
      <c r="T5203" s="0" t="s">
        <v>104</v>
      </c>
      <c r="W5203" s="0" t="s">
        <v>105</v>
      </c>
    </row>
    <row r="5204" customFormat="false" ht="15" hidden="false" customHeight="false" outlineLevel="0" collapsed="false">
      <c r="A5204" s="0" t="s">
        <v>21</v>
      </c>
      <c r="B5204" s="0" t="s">
        <v>15007</v>
      </c>
      <c r="C5204" s="0" t="s">
        <v>97</v>
      </c>
      <c r="D5204" s="0" t="s">
        <v>15008</v>
      </c>
      <c r="E5204" s="0" t="s">
        <v>15009</v>
      </c>
      <c r="M5204" s="0" t="s">
        <v>136</v>
      </c>
      <c r="N5204" s="0" t="s">
        <v>124</v>
      </c>
      <c r="P5204" s="0" t="s">
        <v>102</v>
      </c>
      <c r="Q5204" s="0" t="s">
        <v>102</v>
      </c>
      <c r="R5204" s="0" t="s">
        <v>131</v>
      </c>
      <c r="S5204" s="0" t="s">
        <v>21</v>
      </c>
      <c r="T5204" s="0" t="s">
        <v>104</v>
      </c>
      <c r="W5204" s="0" t="s">
        <v>105</v>
      </c>
    </row>
    <row r="5205" customFormat="false" ht="15" hidden="false" customHeight="false" outlineLevel="0" collapsed="false">
      <c r="A5205" s="0" t="s">
        <v>21</v>
      </c>
      <c r="B5205" s="0" t="s">
        <v>15010</v>
      </c>
      <c r="C5205" s="0" t="s">
        <v>97</v>
      </c>
      <c r="D5205" s="0" t="s">
        <v>15011</v>
      </c>
      <c r="E5205" s="0" t="s">
        <v>15012</v>
      </c>
      <c r="M5205" s="0" t="s">
        <v>136</v>
      </c>
      <c r="N5205" s="0" t="s">
        <v>124</v>
      </c>
      <c r="P5205" s="0" t="s">
        <v>102</v>
      </c>
      <c r="Q5205" s="0" t="s">
        <v>102</v>
      </c>
      <c r="R5205" s="0" t="s">
        <v>131</v>
      </c>
      <c r="S5205" s="0" t="s">
        <v>21</v>
      </c>
      <c r="T5205" s="0" t="s">
        <v>104</v>
      </c>
      <c r="W5205" s="0" t="s">
        <v>105</v>
      </c>
    </row>
    <row r="5206" customFormat="false" ht="15" hidden="false" customHeight="false" outlineLevel="0" collapsed="false">
      <c r="A5206" s="0" t="s">
        <v>21</v>
      </c>
      <c r="B5206" s="0" t="s">
        <v>15013</v>
      </c>
      <c r="C5206" s="0" t="s">
        <v>97</v>
      </c>
      <c r="D5206" s="0" t="s">
        <v>15014</v>
      </c>
      <c r="E5206" s="0" t="s">
        <v>15015</v>
      </c>
      <c r="M5206" s="0" t="s">
        <v>136</v>
      </c>
      <c r="N5206" s="0" t="s">
        <v>124</v>
      </c>
      <c r="P5206" s="0" t="s">
        <v>102</v>
      </c>
      <c r="Q5206" s="0" t="s">
        <v>102</v>
      </c>
      <c r="R5206" s="0" t="s">
        <v>131</v>
      </c>
      <c r="S5206" s="0" t="s">
        <v>21</v>
      </c>
      <c r="T5206" s="0" t="s">
        <v>104</v>
      </c>
      <c r="W5206" s="0" t="s">
        <v>105</v>
      </c>
    </row>
    <row r="5207" customFormat="false" ht="15" hidden="false" customHeight="false" outlineLevel="0" collapsed="false">
      <c r="A5207" s="0" t="s">
        <v>21</v>
      </c>
      <c r="B5207" s="0" t="s">
        <v>15016</v>
      </c>
      <c r="C5207" s="0" t="s">
        <v>97</v>
      </c>
      <c r="D5207" s="0" t="s">
        <v>15017</v>
      </c>
      <c r="E5207" s="0" t="s">
        <v>15018</v>
      </c>
      <c r="M5207" s="0" t="s">
        <v>136</v>
      </c>
      <c r="N5207" s="0" t="s">
        <v>124</v>
      </c>
      <c r="P5207" s="0" t="s">
        <v>102</v>
      </c>
      <c r="Q5207" s="0" t="s">
        <v>102</v>
      </c>
      <c r="R5207" s="0" t="s">
        <v>131</v>
      </c>
      <c r="S5207" s="0" t="s">
        <v>21</v>
      </c>
      <c r="T5207" s="0" t="s">
        <v>104</v>
      </c>
      <c r="W5207" s="0" t="s">
        <v>105</v>
      </c>
    </row>
    <row r="5208" customFormat="false" ht="15" hidden="false" customHeight="false" outlineLevel="0" collapsed="false">
      <c r="A5208" s="0" t="s">
        <v>21</v>
      </c>
      <c r="B5208" s="0" t="s">
        <v>15019</v>
      </c>
      <c r="C5208" s="0" t="s">
        <v>97</v>
      </c>
      <c r="D5208" s="0" t="s">
        <v>15020</v>
      </c>
      <c r="E5208" s="0" t="s">
        <v>15021</v>
      </c>
      <c r="M5208" s="0" t="s">
        <v>136</v>
      </c>
      <c r="N5208" s="0" t="s">
        <v>124</v>
      </c>
      <c r="P5208" s="0" t="s">
        <v>102</v>
      </c>
      <c r="Q5208" s="0" t="s">
        <v>102</v>
      </c>
      <c r="R5208" s="0" t="s">
        <v>131</v>
      </c>
      <c r="S5208" s="0" t="s">
        <v>21</v>
      </c>
      <c r="T5208" s="0" t="s">
        <v>104</v>
      </c>
      <c r="W5208" s="0" t="s">
        <v>105</v>
      </c>
    </row>
    <row r="5209" customFormat="false" ht="15" hidden="false" customHeight="false" outlineLevel="0" collapsed="false">
      <c r="A5209" s="0" t="s">
        <v>21</v>
      </c>
      <c r="B5209" s="0" t="s">
        <v>15022</v>
      </c>
      <c r="C5209" s="0" t="s">
        <v>97</v>
      </c>
      <c r="D5209" s="0" t="s">
        <v>15023</v>
      </c>
      <c r="E5209" s="0" t="s">
        <v>15023</v>
      </c>
      <c r="F5209" s="0" t="s">
        <v>15023</v>
      </c>
      <c r="M5209" s="0" t="s">
        <v>136</v>
      </c>
      <c r="N5209" s="0" t="s">
        <v>124</v>
      </c>
      <c r="P5209" s="0" t="s">
        <v>102</v>
      </c>
      <c r="Q5209" s="0" t="s">
        <v>102</v>
      </c>
      <c r="R5209" s="0" t="s">
        <v>131</v>
      </c>
      <c r="S5209" s="0" t="s">
        <v>21</v>
      </c>
      <c r="T5209" s="0" t="s">
        <v>104</v>
      </c>
      <c r="W5209" s="0" t="s">
        <v>105</v>
      </c>
    </row>
    <row r="5210" customFormat="false" ht="15" hidden="false" customHeight="false" outlineLevel="0" collapsed="false">
      <c r="A5210" s="0" t="s">
        <v>21</v>
      </c>
      <c r="B5210" s="0" t="s">
        <v>15024</v>
      </c>
      <c r="C5210" s="0" t="s">
        <v>97</v>
      </c>
      <c r="D5210" s="0" t="s">
        <v>15020</v>
      </c>
      <c r="E5210" s="0" t="s">
        <v>15020</v>
      </c>
      <c r="M5210" s="0" t="s">
        <v>136</v>
      </c>
      <c r="N5210" s="0" t="s">
        <v>124</v>
      </c>
      <c r="P5210" s="0" t="s">
        <v>102</v>
      </c>
      <c r="Q5210" s="0" t="s">
        <v>102</v>
      </c>
      <c r="R5210" s="0" t="s">
        <v>131</v>
      </c>
      <c r="S5210" s="0" t="s">
        <v>21</v>
      </c>
      <c r="T5210" s="0" t="s">
        <v>104</v>
      </c>
      <c r="W5210" s="0" t="s">
        <v>105</v>
      </c>
    </row>
    <row r="5211" customFormat="false" ht="15" hidden="false" customHeight="false" outlineLevel="0" collapsed="false">
      <c r="A5211" s="0" t="s">
        <v>21</v>
      </c>
      <c r="B5211" s="0" t="s">
        <v>15025</v>
      </c>
      <c r="C5211" s="0" t="s">
        <v>97</v>
      </c>
      <c r="D5211" s="0" t="s">
        <v>15026</v>
      </c>
      <c r="E5211" s="0" t="s">
        <v>15026</v>
      </c>
      <c r="M5211" s="0" t="s">
        <v>136</v>
      </c>
      <c r="N5211" s="0" t="s">
        <v>124</v>
      </c>
      <c r="P5211" s="0" t="s">
        <v>102</v>
      </c>
      <c r="Q5211" s="0" t="s">
        <v>102</v>
      </c>
      <c r="R5211" s="0" t="s">
        <v>131</v>
      </c>
      <c r="S5211" s="0" t="s">
        <v>21</v>
      </c>
      <c r="T5211" s="0" t="s">
        <v>104</v>
      </c>
      <c r="W5211" s="0" t="s">
        <v>105</v>
      </c>
    </row>
    <row r="5212" customFormat="false" ht="15" hidden="false" customHeight="false" outlineLevel="0" collapsed="false">
      <c r="A5212" s="0" t="s">
        <v>21</v>
      </c>
      <c r="B5212" s="0" t="s">
        <v>15027</v>
      </c>
      <c r="C5212" s="0" t="s">
        <v>97</v>
      </c>
      <c r="D5212" s="0" t="s">
        <v>15028</v>
      </c>
      <c r="E5212" s="0" t="s">
        <v>15029</v>
      </c>
      <c r="M5212" s="0" t="s">
        <v>136</v>
      </c>
      <c r="N5212" s="0" t="s">
        <v>124</v>
      </c>
      <c r="P5212" s="0" t="s">
        <v>102</v>
      </c>
      <c r="Q5212" s="0" t="s">
        <v>102</v>
      </c>
      <c r="R5212" s="0" t="s">
        <v>131</v>
      </c>
      <c r="S5212" s="0" t="s">
        <v>21</v>
      </c>
      <c r="T5212" s="0" t="s">
        <v>104</v>
      </c>
      <c r="W5212" s="0" t="s">
        <v>105</v>
      </c>
    </row>
    <row r="5213" customFormat="false" ht="15" hidden="false" customHeight="false" outlineLevel="0" collapsed="false">
      <c r="A5213" s="0" t="s">
        <v>21</v>
      </c>
      <c r="B5213" s="0" t="s">
        <v>15030</v>
      </c>
      <c r="C5213" s="0" t="s">
        <v>97</v>
      </c>
      <c r="D5213" s="0" t="s">
        <v>15031</v>
      </c>
      <c r="E5213" s="0" t="s">
        <v>15032</v>
      </c>
      <c r="M5213" s="0" t="s">
        <v>136</v>
      </c>
      <c r="N5213" s="0" t="s">
        <v>124</v>
      </c>
      <c r="P5213" s="0" t="s">
        <v>102</v>
      </c>
      <c r="Q5213" s="0" t="s">
        <v>102</v>
      </c>
      <c r="R5213" s="0" t="s">
        <v>131</v>
      </c>
      <c r="S5213" s="0" t="s">
        <v>21</v>
      </c>
      <c r="T5213" s="0" t="s">
        <v>104</v>
      </c>
      <c r="W5213" s="0" t="s">
        <v>105</v>
      </c>
    </row>
    <row r="5214" customFormat="false" ht="15" hidden="false" customHeight="false" outlineLevel="0" collapsed="false">
      <c r="A5214" s="0" t="s">
        <v>21</v>
      </c>
      <c r="B5214" s="0" t="s">
        <v>15033</v>
      </c>
      <c r="C5214" s="0" t="s">
        <v>97</v>
      </c>
      <c r="D5214" s="0" t="s">
        <v>15034</v>
      </c>
      <c r="E5214" s="0" t="s">
        <v>15035</v>
      </c>
      <c r="M5214" s="0" t="s">
        <v>136</v>
      </c>
      <c r="N5214" s="0" t="s">
        <v>124</v>
      </c>
      <c r="P5214" s="0" t="s">
        <v>102</v>
      </c>
      <c r="Q5214" s="0" t="s">
        <v>102</v>
      </c>
      <c r="R5214" s="0" t="s">
        <v>131</v>
      </c>
      <c r="S5214" s="0" t="s">
        <v>21</v>
      </c>
      <c r="T5214" s="0" t="s">
        <v>104</v>
      </c>
      <c r="W5214" s="0" t="s">
        <v>105</v>
      </c>
    </row>
    <row r="5215" customFormat="false" ht="15" hidden="false" customHeight="false" outlineLevel="0" collapsed="false">
      <c r="A5215" s="0" t="s">
        <v>21</v>
      </c>
      <c r="B5215" s="0" t="s">
        <v>15036</v>
      </c>
      <c r="C5215" s="0" t="s">
        <v>97</v>
      </c>
      <c r="D5215" s="0" t="s">
        <v>5147</v>
      </c>
      <c r="E5215" s="0" t="s">
        <v>5148</v>
      </c>
      <c r="M5215" s="0" t="s">
        <v>136</v>
      </c>
      <c r="N5215" s="0" t="s">
        <v>124</v>
      </c>
      <c r="P5215" s="0" t="s">
        <v>102</v>
      </c>
      <c r="Q5215" s="0" t="s">
        <v>102</v>
      </c>
      <c r="R5215" s="0" t="s">
        <v>131</v>
      </c>
      <c r="S5215" s="0" t="s">
        <v>21</v>
      </c>
      <c r="T5215" s="0" t="s">
        <v>104</v>
      </c>
      <c r="W5215" s="0" t="s">
        <v>105</v>
      </c>
    </row>
    <row r="5216" customFormat="false" ht="15" hidden="false" customHeight="false" outlineLevel="0" collapsed="false">
      <c r="A5216" s="0" t="s">
        <v>21</v>
      </c>
      <c r="B5216" s="0" t="s">
        <v>15037</v>
      </c>
      <c r="C5216" s="0" t="s">
        <v>97</v>
      </c>
      <c r="D5216" s="0" t="s">
        <v>15038</v>
      </c>
      <c r="E5216" s="0" t="s">
        <v>15039</v>
      </c>
      <c r="M5216" s="0" t="s">
        <v>136</v>
      </c>
      <c r="N5216" s="0" t="s">
        <v>124</v>
      </c>
      <c r="P5216" s="0" t="s">
        <v>102</v>
      </c>
      <c r="Q5216" s="0" t="s">
        <v>102</v>
      </c>
      <c r="R5216" s="0" t="s">
        <v>131</v>
      </c>
      <c r="S5216" s="0" t="s">
        <v>21</v>
      </c>
      <c r="T5216" s="0" t="s">
        <v>104</v>
      </c>
      <c r="W5216" s="0" t="s">
        <v>105</v>
      </c>
    </row>
    <row r="5217" customFormat="false" ht="15" hidden="false" customHeight="false" outlineLevel="0" collapsed="false">
      <c r="A5217" s="0" t="s">
        <v>21</v>
      </c>
      <c r="B5217" s="0" t="s">
        <v>15040</v>
      </c>
      <c r="C5217" s="0" t="s">
        <v>97</v>
      </c>
      <c r="D5217" s="0" t="s">
        <v>15041</v>
      </c>
      <c r="E5217" s="0" t="s">
        <v>15042</v>
      </c>
      <c r="M5217" s="0" t="s">
        <v>136</v>
      </c>
      <c r="N5217" s="0" t="s">
        <v>124</v>
      </c>
      <c r="P5217" s="0" t="s">
        <v>102</v>
      </c>
      <c r="Q5217" s="0" t="s">
        <v>102</v>
      </c>
      <c r="R5217" s="0" t="s">
        <v>131</v>
      </c>
      <c r="S5217" s="0" t="s">
        <v>21</v>
      </c>
      <c r="T5217" s="0" t="s">
        <v>104</v>
      </c>
      <c r="W5217" s="0" t="s">
        <v>105</v>
      </c>
    </row>
    <row r="5218" customFormat="false" ht="15" hidden="false" customHeight="false" outlineLevel="0" collapsed="false">
      <c r="A5218" s="0" t="s">
        <v>21</v>
      </c>
      <c r="B5218" s="0" t="s">
        <v>15043</v>
      </c>
      <c r="C5218" s="0" t="s">
        <v>97</v>
      </c>
      <c r="D5218" s="0" t="s">
        <v>15044</v>
      </c>
      <c r="E5218" s="0" t="s">
        <v>15045</v>
      </c>
      <c r="G5218" s="0" t="s">
        <v>15046</v>
      </c>
      <c r="H5218" s="0" t="s">
        <v>654</v>
      </c>
      <c r="I5218" s="0" t="s">
        <v>655</v>
      </c>
      <c r="J5218" s="0" t="s">
        <v>100</v>
      </c>
      <c r="K5218" s="0" t="s">
        <v>168</v>
      </c>
      <c r="L5218" s="0" t="s">
        <v>101</v>
      </c>
      <c r="M5218" s="0" t="s">
        <v>656</v>
      </c>
      <c r="N5218" s="0" t="s">
        <v>101</v>
      </c>
      <c r="P5218" s="0" t="s">
        <v>102</v>
      </c>
      <c r="Q5218" s="0" t="s">
        <v>102</v>
      </c>
      <c r="R5218" s="0" t="s">
        <v>131</v>
      </c>
      <c r="S5218" s="0" t="s">
        <v>21</v>
      </c>
      <c r="T5218" s="0" t="s">
        <v>104</v>
      </c>
      <c r="W5218" s="0" t="s">
        <v>105</v>
      </c>
      <c r="X5218" s="0" t="s">
        <v>658</v>
      </c>
      <c r="Y5218" s="0" t="s">
        <v>659</v>
      </c>
    </row>
    <row r="5219" customFormat="false" ht="15" hidden="false" customHeight="false" outlineLevel="0" collapsed="false">
      <c r="A5219" s="0" t="s">
        <v>21</v>
      </c>
      <c r="B5219" s="0" t="s">
        <v>15047</v>
      </c>
      <c r="C5219" s="0" t="s">
        <v>97</v>
      </c>
      <c r="D5219" s="0" t="s">
        <v>15048</v>
      </c>
      <c r="E5219" s="0" t="s">
        <v>15049</v>
      </c>
      <c r="M5219" s="0" t="s">
        <v>656</v>
      </c>
      <c r="N5219" s="0" t="s">
        <v>101</v>
      </c>
      <c r="P5219" s="0" t="s">
        <v>102</v>
      </c>
      <c r="Q5219" s="0" t="s">
        <v>102</v>
      </c>
      <c r="R5219" s="0" t="s">
        <v>113</v>
      </c>
      <c r="S5219" s="0" t="s">
        <v>21</v>
      </c>
      <c r="T5219" s="0" t="s">
        <v>104</v>
      </c>
      <c r="W5219" s="0" t="s">
        <v>105</v>
      </c>
    </row>
    <row r="5220" customFormat="false" ht="15" hidden="false" customHeight="false" outlineLevel="0" collapsed="false">
      <c r="A5220" s="0" t="s">
        <v>21</v>
      </c>
      <c r="B5220" s="0" t="s">
        <v>15050</v>
      </c>
      <c r="C5220" s="0" t="s">
        <v>97</v>
      </c>
      <c r="D5220" s="0" t="s">
        <v>4808</v>
      </c>
      <c r="E5220" s="0" t="s">
        <v>15051</v>
      </c>
      <c r="H5220" s="0" t="s">
        <v>654</v>
      </c>
      <c r="I5220" s="0" t="s">
        <v>655</v>
      </c>
      <c r="J5220" s="0" t="s">
        <v>100</v>
      </c>
      <c r="K5220" s="0" t="s">
        <v>168</v>
      </c>
      <c r="L5220" s="0" t="s">
        <v>101</v>
      </c>
      <c r="M5220" s="0" t="s">
        <v>656</v>
      </c>
      <c r="N5220" s="0" t="s">
        <v>101</v>
      </c>
      <c r="P5220" s="0" t="s">
        <v>102</v>
      </c>
      <c r="Q5220" s="0" t="s">
        <v>102</v>
      </c>
      <c r="R5220" s="0" t="s">
        <v>113</v>
      </c>
      <c r="S5220" s="0" t="s">
        <v>21</v>
      </c>
      <c r="T5220" s="0" t="s">
        <v>104</v>
      </c>
      <c r="W5220" s="0" t="s">
        <v>105</v>
      </c>
      <c r="X5220" s="0" t="s">
        <v>658</v>
      </c>
      <c r="Y5220" s="0" t="s">
        <v>659</v>
      </c>
    </row>
    <row r="5221" customFormat="false" ht="15" hidden="false" customHeight="false" outlineLevel="0" collapsed="false">
      <c r="A5221" s="0" t="s">
        <v>21</v>
      </c>
      <c r="B5221" s="0" t="s">
        <v>15052</v>
      </c>
      <c r="C5221" s="0" t="s">
        <v>97</v>
      </c>
      <c r="D5221" s="0" t="s">
        <v>15053</v>
      </c>
      <c r="E5221" s="0" t="s">
        <v>15054</v>
      </c>
      <c r="M5221" s="0" t="s">
        <v>136</v>
      </c>
      <c r="N5221" s="0" t="s">
        <v>124</v>
      </c>
      <c r="P5221" s="0" t="s">
        <v>102</v>
      </c>
      <c r="Q5221" s="0" t="s">
        <v>102</v>
      </c>
      <c r="R5221" s="0" t="s">
        <v>113</v>
      </c>
      <c r="S5221" s="0" t="s">
        <v>21</v>
      </c>
      <c r="T5221" s="0" t="s">
        <v>104</v>
      </c>
      <c r="W5221" s="0" t="s">
        <v>105</v>
      </c>
    </row>
    <row r="5222" customFormat="false" ht="15" hidden="false" customHeight="false" outlineLevel="0" collapsed="false">
      <c r="A5222" s="0" t="s">
        <v>21</v>
      </c>
      <c r="B5222" s="0" t="s">
        <v>15055</v>
      </c>
      <c r="C5222" s="0" t="s">
        <v>97</v>
      </c>
      <c r="D5222" s="0" t="s">
        <v>15056</v>
      </c>
      <c r="E5222" s="0" t="s">
        <v>15057</v>
      </c>
      <c r="M5222" s="0" t="s">
        <v>136</v>
      </c>
      <c r="N5222" s="0" t="s">
        <v>124</v>
      </c>
      <c r="P5222" s="0" t="s">
        <v>102</v>
      </c>
      <c r="Q5222" s="0" t="s">
        <v>102</v>
      </c>
      <c r="R5222" s="0" t="s">
        <v>113</v>
      </c>
      <c r="S5222" s="0" t="s">
        <v>21</v>
      </c>
      <c r="T5222" s="0" t="s">
        <v>104</v>
      </c>
      <c r="W5222" s="0" t="s">
        <v>105</v>
      </c>
    </row>
    <row r="5223" customFormat="false" ht="15" hidden="false" customHeight="false" outlineLevel="0" collapsed="false">
      <c r="A5223" s="0" t="s">
        <v>21</v>
      </c>
      <c r="B5223" s="0" t="s">
        <v>15058</v>
      </c>
      <c r="C5223" s="0" t="s">
        <v>97</v>
      </c>
      <c r="D5223" s="0" t="s">
        <v>15059</v>
      </c>
      <c r="E5223" s="0" t="s">
        <v>15060</v>
      </c>
      <c r="M5223" s="0" t="s">
        <v>136</v>
      </c>
      <c r="N5223" s="0" t="s">
        <v>124</v>
      </c>
      <c r="P5223" s="0" t="s">
        <v>102</v>
      </c>
      <c r="Q5223" s="0" t="s">
        <v>102</v>
      </c>
      <c r="R5223" s="0" t="s">
        <v>131</v>
      </c>
      <c r="S5223" s="0" t="s">
        <v>21</v>
      </c>
      <c r="T5223" s="0" t="s">
        <v>104</v>
      </c>
      <c r="W5223" s="0" t="s">
        <v>105</v>
      </c>
    </row>
    <row r="5224" customFormat="false" ht="15" hidden="false" customHeight="false" outlineLevel="0" collapsed="false">
      <c r="A5224" s="0" t="s">
        <v>21</v>
      </c>
      <c r="B5224" s="0" t="s">
        <v>15061</v>
      </c>
      <c r="C5224" s="0" t="s">
        <v>863</v>
      </c>
      <c r="D5224" s="0" t="s">
        <v>8697</v>
      </c>
      <c r="E5224" s="0" t="s">
        <v>8697</v>
      </c>
      <c r="G5224" s="0" t="s">
        <v>15062</v>
      </c>
      <c r="M5224" s="0" t="s">
        <v>136</v>
      </c>
      <c r="N5224" s="0" t="s">
        <v>124</v>
      </c>
      <c r="P5224" s="0" t="s">
        <v>102</v>
      </c>
      <c r="Q5224" s="0" t="s">
        <v>102</v>
      </c>
      <c r="R5224" s="0" t="s">
        <v>113</v>
      </c>
      <c r="S5224" s="0" t="s">
        <v>21</v>
      </c>
      <c r="T5224" s="0" t="s">
        <v>104</v>
      </c>
      <c r="W5224" s="0" t="s">
        <v>105</v>
      </c>
    </row>
    <row r="5225" customFormat="false" ht="15" hidden="false" customHeight="false" outlineLevel="0" collapsed="false">
      <c r="A5225" s="0" t="s">
        <v>21</v>
      </c>
      <c r="B5225" s="0" t="s">
        <v>15063</v>
      </c>
      <c r="C5225" s="0" t="s">
        <v>97</v>
      </c>
      <c r="D5225" s="0" t="s">
        <v>15064</v>
      </c>
      <c r="E5225" s="0" t="s">
        <v>15065</v>
      </c>
      <c r="H5225" s="0" t="s">
        <v>15066</v>
      </c>
      <c r="I5225" s="0" t="s">
        <v>15067</v>
      </c>
      <c r="J5225" s="0" t="s">
        <v>1299</v>
      </c>
      <c r="K5225" s="0" t="s">
        <v>1472</v>
      </c>
      <c r="L5225" s="0" t="s">
        <v>101</v>
      </c>
      <c r="M5225" s="0" t="s">
        <v>1299</v>
      </c>
      <c r="N5225" s="0" t="s">
        <v>101</v>
      </c>
      <c r="P5225" s="0" t="s">
        <v>102</v>
      </c>
      <c r="Q5225" s="0" t="s">
        <v>102</v>
      </c>
      <c r="R5225" s="0" t="s">
        <v>137</v>
      </c>
      <c r="S5225" s="0" t="s">
        <v>21</v>
      </c>
      <c r="T5225" s="0" t="s">
        <v>104</v>
      </c>
      <c r="W5225" s="0" t="s">
        <v>105</v>
      </c>
      <c r="X5225" s="0" t="s">
        <v>15068</v>
      </c>
      <c r="Y5225" s="0" t="s">
        <v>15069</v>
      </c>
    </row>
    <row r="5226" customFormat="false" ht="28.35" hidden="false" customHeight="false" outlineLevel="0" collapsed="false">
      <c r="A5226" s="0" t="s">
        <v>21</v>
      </c>
      <c r="B5226" s="0" t="s">
        <v>15070</v>
      </c>
      <c r="C5226" s="0" t="s">
        <v>7362</v>
      </c>
      <c r="D5226" s="0" t="s">
        <v>6288</v>
      </c>
      <c r="E5226" s="0" t="s">
        <v>15071</v>
      </c>
      <c r="G5226" s="9" t="s">
        <v>15072</v>
      </c>
      <c r="M5226" s="0" t="s">
        <v>1299</v>
      </c>
      <c r="N5226" s="0" t="s">
        <v>101</v>
      </c>
      <c r="P5226" s="0" t="s">
        <v>102</v>
      </c>
      <c r="Q5226" s="0" t="s">
        <v>102</v>
      </c>
      <c r="R5226" s="0" t="s">
        <v>113</v>
      </c>
      <c r="S5226" s="0" t="s">
        <v>21</v>
      </c>
      <c r="T5226" s="0" t="s">
        <v>104</v>
      </c>
      <c r="W5226" s="0" t="s">
        <v>105</v>
      </c>
    </row>
    <row r="5227" customFormat="false" ht="15" hidden="false" customHeight="false" outlineLevel="0" collapsed="false">
      <c r="A5227" s="0" t="s">
        <v>21</v>
      </c>
      <c r="B5227" s="0" t="s">
        <v>15073</v>
      </c>
      <c r="C5227" s="0" t="s">
        <v>97</v>
      </c>
      <c r="D5227" s="0" t="s">
        <v>1485</v>
      </c>
      <c r="E5227" s="0" t="s">
        <v>15074</v>
      </c>
      <c r="H5227" s="0" t="s">
        <v>15075</v>
      </c>
      <c r="I5227" s="0" t="s">
        <v>15076</v>
      </c>
      <c r="J5227" s="0" t="s">
        <v>1299</v>
      </c>
      <c r="K5227" s="0" t="s">
        <v>1472</v>
      </c>
      <c r="L5227" s="0" t="s">
        <v>101</v>
      </c>
      <c r="M5227" s="0" t="s">
        <v>1299</v>
      </c>
      <c r="N5227" s="0" t="s">
        <v>101</v>
      </c>
      <c r="P5227" s="0" t="s">
        <v>102</v>
      </c>
      <c r="Q5227" s="0" t="s">
        <v>102</v>
      </c>
      <c r="R5227" s="0" t="s">
        <v>113</v>
      </c>
      <c r="S5227" s="0" t="s">
        <v>21</v>
      </c>
      <c r="T5227" s="0" t="s">
        <v>104</v>
      </c>
      <c r="W5227" s="0" t="s">
        <v>105</v>
      </c>
      <c r="X5227" s="0" t="s">
        <v>15077</v>
      </c>
      <c r="Y5227" s="0" t="s">
        <v>15078</v>
      </c>
    </row>
    <row r="5228" customFormat="false" ht="15" hidden="false" customHeight="false" outlineLevel="0" collapsed="false">
      <c r="A5228" s="0" t="s">
        <v>21</v>
      </c>
      <c r="B5228" s="0" t="s">
        <v>15079</v>
      </c>
      <c r="C5228" s="0" t="s">
        <v>97</v>
      </c>
      <c r="D5228" s="0" t="s">
        <v>1492</v>
      </c>
      <c r="E5228" s="0" t="s">
        <v>15080</v>
      </c>
      <c r="H5228" s="0" t="s">
        <v>1494</v>
      </c>
      <c r="I5228" s="0" t="s">
        <v>1495</v>
      </c>
      <c r="J5228" s="0" t="s">
        <v>1495</v>
      </c>
      <c r="K5228" s="0" t="s">
        <v>1480</v>
      </c>
      <c r="L5228" s="0" t="s">
        <v>101</v>
      </c>
      <c r="M5228" s="0" t="s">
        <v>1495</v>
      </c>
      <c r="N5228" s="0" t="s">
        <v>101</v>
      </c>
      <c r="P5228" s="0" t="s">
        <v>102</v>
      </c>
      <c r="Q5228" s="0" t="s">
        <v>102</v>
      </c>
      <c r="R5228" s="0" t="s">
        <v>113</v>
      </c>
      <c r="S5228" s="0" t="s">
        <v>21</v>
      </c>
      <c r="T5228" s="0" t="s">
        <v>104</v>
      </c>
      <c r="W5228" s="0" t="s">
        <v>105</v>
      </c>
      <c r="X5228" s="0" t="s">
        <v>15081</v>
      </c>
      <c r="Y5228" s="0" t="s">
        <v>15082</v>
      </c>
    </row>
    <row r="5229" customFormat="false" ht="15" hidden="false" customHeight="false" outlineLevel="0" collapsed="false">
      <c r="A5229" s="0" t="s">
        <v>21</v>
      </c>
      <c r="B5229" s="0" t="s">
        <v>15083</v>
      </c>
      <c r="C5229" s="0" t="s">
        <v>97</v>
      </c>
      <c r="E5229" s="0" t="s">
        <v>15084</v>
      </c>
      <c r="H5229" s="0" t="s">
        <v>15085</v>
      </c>
      <c r="I5229" s="0" t="s">
        <v>15086</v>
      </c>
      <c r="J5229" s="0" t="s">
        <v>254</v>
      </c>
      <c r="K5229" s="0" t="s">
        <v>15087</v>
      </c>
      <c r="L5229" s="0" t="s">
        <v>124</v>
      </c>
      <c r="M5229" s="0" t="s">
        <v>208</v>
      </c>
      <c r="N5229" s="0" t="s">
        <v>124</v>
      </c>
      <c r="P5229" s="0" t="s">
        <v>130</v>
      </c>
      <c r="Q5229" s="0" t="s">
        <v>130</v>
      </c>
      <c r="R5229" s="0" t="s">
        <v>113</v>
      </c>
      <c r="S5229" s="0" t="s">
        <v>21</v>
      </c>
      <c r="T5229" s="0" t="s">
        <v>104</v>
      </c>
      <c r="W5229" s="0" t="s">
        <v>105</v>
      </c>
      <c r="X5229" s="0" t="s">
        <v>15088</v>
      </c>
      <c r="Y5229" s="0" t="s">
        <v>15089</v>
      </c>
      <c r="Z5229" s="0" t="s">
        <v>134</v>
      </c>
      <c r="AA5229" s="0" t="s">
        <v>5131</v>
      </c>
      <c r="AB5229" s="0" t="s">
        <v>2134</v>
      </c>
    </row>
    <row r="5230" customFormat="false" ht="15" hidden="false" customHeight="false" outlineLevel="0" collapsed="false">
      <c r="A5230" s="0" t="s">
        <v>21</v>
      </c>
      <c r="B5230" s="0" t="s">
        <v>15090</v>
      </c>
      <c r="C5230" s="0" t="s">
        <v>97</v>
      </c>
      <c r="D5230" s="0" t="s">
        <v>15091</v>
      </c>
      <c r="E5230" s="0" t="s">
        <v>15092</v>
      </c>
      <c r="M5230" s="0" t="s">
        <v>136</v>
      </c>
      <c r="N5230" s="0" t="s">
        <v>124</v>
      </c>
      <c r="P5230" s="0" t="s">
        <v>102</v>
      </c>
      <c r="Q5230" s="0" t="s">
        <v>102</v>
      </c>
      <c r="R5230" s="0" t="s">
        <v>131</v>
      </c>
      <c r="S5230" s="0" t="s">
        <v>21</v>
      </c>
      <c r="T5230" s="0" t="s">
        <v>104</v>
      </c>
      <c r="W5230" s="0" t="s">
        <v>105</v>
      </c>
    </row>
    <row r="5231" customFormat="false" ht="15" hidden="false" customHeight="false" outlineLevel="0" collapsed="false">
      <c r="A5231" s="0" t="s">
        <v>21</v>
      </c>
      <c r="B5231" s="0" t="s">
        <v>15093</v>
      </c>
      <c r="C5231" s="0" t="s">
        <v>97</v>
      </c>
      <c r="D5231" s="0" t="s">
        <v>2776</v>
      </c>
      <c r="E5231" s="0" t="s">
        <v>15094</v>
      </c>
      <c r="M5231" s="0" t="s">
        <v>136</v>
      </c>
      <c r="N5231" s="0" t="s">
        <v>124</v>
      </c>
      <c r="P5231" s="0" t="s">
        <v>102</v>
      </c>
      <c r="Q5231" s="0" t="s">
        <v>102</v>
      </c>
      <c r="R5231" s="0" t="s">
        <v>804</v>
      </c>
      <c r="S5231" s="0" t="s">
        <v>21</v>
      </c>
      <c r="T5231" s="0" t="s">
        <v>104</v>
      </c>
      <c r="W5231" s="0" t="s">
        <v>105</v>
      </c>
    </row>
    <row r="5232" customFormat="false" ht="15" hidden="false" customHeight="false" outlineLevel="0" collapsed="false">
      <c r="A5232" s="0" t="s">
        <v>21</v>
      </c>
      <c r="B5232" s="0" t="s">
        <v>15095</v>
      </c>
      <c r="C5232" s="0" t="s">
        <v>97</v>
      </c>
      <c r="D5232" s="0" t="s">
        <v>15096</v>
      </c>
      <c r="E5232" s="0" t="s">
        <v>15097</v>
      </c>
      <c r="F5232" s="0" t="s">
        <v>15097</v>
      </c>
      <c r="M5232" s="0" t="s">
        <v>167</v>
      </c>
      <c r="N5232" s="0" t="s">
        <v>101</v>
      </c>
      <c r="P5232" s="0" t="s">
        <v>102</v>
      </c>
      <c r="Q5232" s="0" t="s">
        <v>102</v>
      </c>
      <c r="R5232" s="0" t="s">
        <v>113</v>
      </c>
      <c r="S5232" s="0" t="s">
        <v>21</v>
      </c>
      <c r="T5232" s="0" t="s">
        <v>104</v>
      </c>
      <c r="W5232" s="0" t="s">
        <v>105</v>
      </c>
    </row>
    <row r="5233" customFormat="false" ht="15" hidden="false" customHeight="false" outlineLevel="0" collapsed="false">
      <c r="A5233" s="0" t="s">
        <v>21</v>
      </c>
      <c r="B5233" s="0" t="s">
        <v>15098</v>
      </c>
      <c r="C5233" s="0" t="s">
        <v>97</v>
      </c>
      <c r="D5233" s="0" t="s">
        <v>15099</v>
      </c>
      <c r="E5233" s="0" t="s">
        <v>15100</v>
      </c>
      <c r="M5233" s="0" t="s">
        <v>136</v>
      </c>
      <c r="N5233" s="0" t="s">
        <v>124</v>
      </c>
      <c r="P5233" s="0" t="s">
        <v>102</v>
      </c>
      <c r="Q5233" s="0" t="s">
        <v>102</v>
      </c>
      <c r="R5233" s="0" t="s">
        <v>113</v>
      </c>
      <c r="S5233" s="0" t="s">
        <v>21</v>
      </c>
      <c r="T5233" s="0" t="s">
        <v>104</v>
      </c>
      <c r="W5233" s="0" t="s">
        <v>105</v>
      </c>
    </row>
    <row r="5234" customFormat="false" ht="15" hidden="false" customHeight="false" outlineLevel="0" collapsed="false">
      <c r="A5234" s="0" t="s">
        <v>21</v>
      </c>
      <c r="B5234" s="0" t="s">
        <v>15101</v>
      </c>
      <c r="C5234" s="0" t="s">
        <v>97</v>
      </c>
      <c r="D5234" s="0" t="s">
        <v>15102</v>
      </c>
      <c r="E5234" s="0" t="s">
        <v>15103</v>
      </c>
      <c r="G5234" s="0" t="s">
        <v>8361</v>
      </c>
      <c r="M5234" s="0" t="s">
        <v>100</v>
      </c>
      <c r="N5234" s="0" t="s">
        <v>101</v>
      </c>
      <c r="P5234" s="0" t="s">
        <v>102</v>
      </c>
      <c r="Q5234" s="0" t="s">
        <v>102</v>
      </c>
      <c r="R5234" s="0" t="s">
        <v>131</v>
      </c>
      <c r="S5234" s="0" t="s">
        <v>21</v>
      </c>
      <c r="T5234" s="0" t="s">
        <v>104</v>
      </c>
      <c r="W5234" s="0" t="s">
        <v>105</v>
      </c>
    </row>
    <row r="5235" customFormat="false" ht="15" hidden="false" customHeight="false" outlineLevel="0" collapsed="false">
      <c r="A5235" s="0" t="s">
        <v>21</v>
      </c>
      <c r="B5235" s="0" t="s">
        <v>15104</v>
      </c>
      <c r="C5235" s="0" t="s">
        <v>97</v>
      </c>
      <c r="D5235" s="0" t="s">
        <v>15105</v>
      </c>
      <c r="E5235" s="0" t="s">
        <v>15106</v>
      </c>
      <c r="M5235" s="0" t="s">
        <v>136</v>
      </c>
      <c r="N5235" s="0" t="s">
        <v>124</v>
      </c>
      <c r="P5235" s="0" t="s">
        <v>102</v>
      </c>
      <c r="Q5235" s="0" t="s">
        <v>102</v>
      </c>
      <c r="R5235" s="0" t="s">
        <v>131</v>
      </c>
      <c r="S5235" s="0" t="s">
        <v>21</v>
      </c>
      <c r="T5235" s="0" t="s">
        <v>104</v>
      </c>
      <c r="W5235" s="0" t="s">
        <v>105</v>
      </c>
    </row>
    <row r="5236" customFormat="false" ht="15" hidden="false" customHeight="false" outlineLevel="0" collapsed="false">
      <c r="A5236" s="0" t="s">
        <v>21</v>
      </c>
      <c r="B5236" s="0" t="s">
        <v>15107</v>
      </c>
      <c r="C5236" s="0" t="s">
        <v>7895</v>
      </c>
      <c r="D5236" s="0" t="s">
        <v>13249</v>
      </c>
      <c r="E5236" s="0" t="s">
        <v>13249</v>
      </c>
      <c r="M5236" s="0" t="s">
        <v>208</v>
      </c>
      <c r="N5236" s="0" t="s">
        <v>124</v>
      </c>
      <c r="P5236" s="0" t="s">
        <v>102</v>
      </c>
      <c r="Q5236" s="0" t="s">
        <v>102</v>
      </c>
      <c r="R5236" s="0" t="s">
        <v>804</v>
      </c>
      <c r="S5236" s="0" t="s">
        <v>21</v>
      </c>
      <c r="T5236" s="0" t="s">
        <v>104</v>
      </c>
      <c r="U5236" s="0" t="s">
        <v>10253</v>
      </c>
      <c r="W5236" s="0" t="s">
        <v>105</v>
      </c>
      <c r="AA5236" s="0" t="s">
        <v>15108</v>
      </c>
    </row>
    <row r="5237" customFormat="false" ht="15" hidden="false" customHeight="false" outlineLevel="0" collapsed="false">
      <c r="A5237" s="0" t="s">
        <v>21</v>
      </c>
      <c r="B5237" s="0" t="s">
        <v>15107</v>
      </c>
      <c r="C5237" s="0" t="s">
        <v>7895</v>
      </c>
      <c r="D5237" s="0" t="s">
        <v>13249</v>
      </c>
      <c r="E5237" s="0" t="s">
        <v>13249</v>
      </c>
      <c r="M5237" s="0" t="s">
        <v>208</v>
      </c>
      <c r="N5237" s="0" t="s">
        <v>124</v>
      </c>
      <c r="P5237" s="0" t="s">
        <v>130</v>
      </c>
      <c r="Q5237" s="0" t="s">
        <v>130</v>
      </c>
      <c r="R5237" s="0" t="s">
        <v>804</v>
      </c>
      <c r="S5237" s="0" t="s">
        <v>21</v>
      </c>
      <c r="T5237" s="0" t="s">
        <v>104</v>
      </c>
      <c r="U5237" s="0" t="s">
        <v>15108</v>
      </c>
      <c r="V5237" s="0" t="s">
        <v>15109</v>
      </c>
      <c r="W5237" s="0" t="s">
        <v>105</v>
      </c>
      <c r="AA5237" s="0" t="s">
        <v>15108</v>
      </c>
    </row>
    <row r="5238" customFormat="false" ht="15" hidden="false" customHeight="false" outlineLevel="0" collapsed="false">
      <c r="A5238" s="0" t="s">
        <v>21</v>
      </c>
      <c r="B5238" s="0" t="s">
        <v>15110</v>
      </c>
      <c r="C5238" s="0" t="s">
        <v>97</v>
      </c>
      <c r="D5238" s="0" t="s">
        <v>15111</v>
      </c>
      <c r="E5238" s="0" t="s">
        <v>15112</v>
      </c>
      <c r="H5238" s="0" t="s">
        <v>654</v>
      </c>
      <c r="I5238" s="0" t="s">
        <v>655</v>
      </c>
      <c r="J5238" s="0" t="s">
        <v>100</v>
      </c>
      <c r="K5238" s="0" t="s">
        <v>168</v>
      </c>
      <c r="L5238" s="0" t="s">
        <v>101</v>
      </c>
      <c r="M5238" s="0" t="s">
        <v>656</v>
      </c>
      <c r="N5238" s="0" t="s">
        <v>101</v>
      </c>
      <c r="P5238" s="0" t="s">
        <v>102</v>
      </c>
      <c r="Q5238" s="0" t="s">
        <v>102</v>
      </c>
      <c r="R5238" s="0" t="s">
        <v>113</v>
      </c>
      <c r="S5238" s="0" t="s">
        <v>21</v>
      </c>
      <c r="T5238" s="0" t="s">
        <v>104</v>
      </c>
      <c r="W5238" s="0" t="s">
        <v>105</v>
      </c>
      <c r="X5238" s="0" t="s">
        <v>658</v>
      </c>
      <c r="Y5238" s="0" t="s">
        <v>659</v>
      </c>
    </row>
    <row r="5239" customFormat="false" ht="15" hidden="false" customHeight="false" outlineLevel="0" collapsed="false">
      <c r="A5239" s="0" t="s">
        <v>21</v>
      </c>
      <c r="B5239" s="0" t="s">
        <v>15113</v>
      </c>
      <c r="C5239" s="0" t="s">
        <v>97</v>
      </c>
      <c r="D5239" s="0" t="s">
        <v>15114</v>
      </c>
      <c r="E5239" s="0" t="s">
        <v>15115</v>
      </c>
      <c r="M5239" s="0" t="s">
        <v>136</v>
      </c>
      <c r="N5239" s="0" t="s">
        <v>124</v>
      </c>
      <c r="P5239" s="0" t="s">
        <v>102</v>
      </c>
      <c r="Q5239" s="0" t="s">
        <v>102</v>
      </c>
      <c r="R5239" s="0" t="s">
        <v>144</v>
      </c>
      <c r="S5239" s="0" t="s">
        <v>21</v>
      </c>
      <c r="T5239" s="0" t="s">
        <v>104</v>
      </c>
      <c r="W5239" s="0" t="s">
        <v>105</v>
      </c>
    </row>
    <row r="5240" customFormat="false" ht="15" hidden="false" customHeight="false" outlineLevel="0" collapsed="false">
      <c r="A5240" s="0" t="s">
        <v>21</v>
      </c>
      <c r="B5240" s="0" t="s">
        <v>15116</v>
      </c>
      <c r="C5240" s="0" t="s">
        <v>97</v>
      </c>
      <c r="D5240" s="0" t="s">
        <v>15117</v>
      </c>
      <c r="E5240" s="0" t="s">
        <v>15118</v>
      </c>
      <c r="M5240" s="0" t="s">
        <v>136</v>
      </c>
      <c r="N5240" s="0" t="s">
        <v>124</v>
      </c>
      <c r="P5240" s="0" t="s">
        <v>102</v>
      </c>
      <c r="Q5240" s="0" t="s">
        <v>102</v>
      </c>
      <c r="R5240" s="0" t="s">
        <v>144</v>
      </c>
      <c r="S5240" s="0" t="s">
        <v>21</v>
      </c>
      <c r="T5240" s="0" t="s">
        <v>104</v>
      </c>
      <c r="W5240" s="0" t="s">
        <v>105</v>
      </c>
    </row>
    <row r="5241" customFormat="false" ht="15" hidden="false" customHeight="false" outlineLevel="0" collapsed="false">
      <c r="A5241" s="0" t="s">
        <v>21</v>
      </c>
      <c r="B5241" s="0" t="s">
        <v>15119</v>
      </c>
      <c r="C5241" s="0" t="s">
        <v>97</v>
      </c>
      <c r="D5241" s="0" t="s">
        <v>15120</v>
      </c>
      <c r="E5241" s="0" t="s">
        <v>15121</v>
      </c>
      <c r="M5241" s="0" t="s">
        <v>136</v>
      </c>
      <c r="N5241" s="0" t="s">
        <v>124</v>
      </c>
      <c r="P5241" s="0" t="s">
        <v>102</v>
      </c>
      <c r="Q5241" s="0" t="s">
        <v>102</v>
      </c>
      <c r="R5241" s="0" t="s">
        <v>144</v>
      </c>
      <c r="S5241" s="0" t="s">
        <v>21</v>
      </c>
      <c r="T5241" s="0" t="s">
        <v>104</v>
      </c>
      <c r="W5241" s="0" t="s">
        <v>105</v>
      </c>
    </row>
    <row r="5242" customFormat="false" ht="15" hidden="false" customHeight="false" outlineLevel="0" collapsed="false">
      <c r="A5242" s="0" t="s">
        <v>21</v>
      </c>
      <c r="B5242" s="0" t="s">
        <v>15122</v>
      </c>
      <c r="C5242" s="0" t="s">
        <v>97</v>
      </c>
      <c r="D5242" s="0" t="s">
        <v>15123</v>
      </c>
      <c r="E5242" s="0" t="s">
        <v>15124</v>
      </c>
      <c r="M5242" s="0" t="s">
        <v>136</v>
      </c>
      <c r="N5242" s="0" t="s">
        <v>124</v>
      </c>
      <c r="P5242" s="0" t="s">
        <v>102</v>
      </c>
      <c r="Q5242" s="0" t="s">
        <v>102</v>
      </c>
      <c r="R5242" s="0" t="s">
        <v>144</v>
      </c>
      <c r="S5242" s="0" t="s">
        <v>21</v>
      </c>
      <c r="T5242" s="0" t="s">
        <v>104</v>
      </c>
      <c r="W5242" s="0" t="s">
        <v>105</v>
      </c>
    </row>
    <row r="5243" customFormat="false" ht="15" hidden="false" customHeight="false" outlineLevel="0" collapsed="false">
      <c r="A5243" s="0" t="s">
        <v>21</v>
      </c>
      <c r="B5243" s="0" t="s">
        <v>15125</v>
      </c>
      <c r="C5243" s="0" t="s">
        <v>97</v>
      </c>
      <c r="D5243" s="0" t="s">
        <v>15126</v>
      </c>
      <c r="E5243" s="0" t="s">
        <v>15127</v>
      </c>
      <c r="M5243" s="0" t="s">
        <v>136</v>
      </c>
      <c r="N5243" s="0" t="s">
        <v>124</v>
      </c>
      <c r="P5243" s="0" t="s">
        <v>102</v>
      </c>
      <c r="Q5243" s="0" t="s">
        <v>102</v>
      </c>
      <c r="R5243" s="0" t="s">
        <v>144</v>
      </c>
      <c r="S5243" s="0" t="s">
        <v>21</v>
      </c>
      <c r="T5243" s="0" t="s">
        <v>104</v>
      </c>
      <c r="W5243" s="0" t="s">
        <v>105</v>
      </c>
    </row>
    <row r="5244" customFormat="false" ht="15" hidden="false" customHeight="false" outlineLevel="0" collapsed="false">
      <c r="A5244" s="0" t="s">
        <v>21</v>
      </c>
      <c r="B5244" s="0" t="s">
        <v>15128</v>
      </c>
      <c r="C5244" s="0" t="s">
        <v>97</v>
      </c>
      <c r="D5244" s="0" t="s">
        <v>15129</v>
      </c>
      <c r="E5244" s="0" t="s">
        <v>15130</v>
      </c>
      <c r="M5244" s="0" t="s">
        <v>136</v>
      </c>
      <c r="N5244" s="0" t="s">
        <v>124</v>
      </c>
      <c r="P5244" s="0" t="s">
        <v>102</v>
      </c>
      <c r="Q5244" s="0" t="s">
        <v>102</v>
      </c>
      <c r="R5244" s="0" t="s">
        <v>144</v>
      </c>
      <c r="S5244" s="0" t="s">
        <v>21</v>
      </c>
      <c r="T5244" s="0" t="s">
        <v>104</v>
      </c>
      <c r="W5244" s="0" t="s">
        <v>105</v>
      </c>
    </row>
    <row r="5245" customFormat="false" ht="15" hidden="false" customHeight="false" outlineLevel="0" collapsed="false">
      <c r="A5245" s="0" t="s">
        <v>21</v>
      </c>
      <c r="B5245" s="0" t="s">
        <v>15131</v>
      </c>
      <c r="C5245" s="0" t="s">
        <v>97</v>
      </c>
      <c r="D5245" s="0" t="s">
        <v>15132</v>
      </c>
      <c r="E5245" s="0" t="s">
        <v>15133</v>
      </c>
      <c r="M5245" s="0" t="s">
        <v>136</v>
      </c>
      <c r="N5245" s="0" t="s">
        <v>124</v>
      </c>
      <c r="P5245" s="0" t="s">
        <v>102</v>
      </c>
      <c r="Q5245" s="0" t="s">
        <v>102</v>
      </c>
      <c r="R5245" s="0" t="s">
        <v>144</v>
      </c>
      <c r="S5245" s="0" t="s">
        <v>21</v>
      </c>
      <c r="T5245" s="0" t="s">
        <v>104</v>
      </c>
      <c r="W5245" s="0" t="s">
        <v>105</v>
      </c>
    </row>
    <row r="5246" customFormat="false" ht="15" hidden="false" customHeight="false" outlineLevel="0" collapsed="false">
      <c r="A5246" s="0" t="s">
        <v>21</v>
      </c>
      <c r="B5246" s="0" t="s">
        <v>15134</v>
      </c>
      <c r="C5246" s="0" t="s">
        <v>97</v>
      </c>
      <c r="D5246" s="0" t="s">
        <v>15135</v>
      </c>
      <c r="E5246" s="0" t="s">
        <v>15136</v>
      </c>
      <c r="M5246" s="0" t="s">
        <v>136</v>
      </c>
      <c r="N5246" s="0" t="s">
        <v>124</v>
      </c>
      <c r="P5246" s="0" t="s">
        <v>102</v>
      </c>
      <c r="Q5246" s="0" t="s">
        <v>102</v>
      </c>
      <c r="R5246" s="0" t="s">
        <v>144</v>
      </c>
      <c r="S5246" s="0" t="s">
        <v>21</v>
      </c>
      <c r="T5246" s="0" t="s">
        <v>104</v>
      </c>
      <c r="W5246" s="0" t="s">
        <v>105</v>
      </c>
    </row>
    <row r="5247" customFormat="false" ht="15" hidden="false" customHeight="false" outlineLevel="0" collapsed="false">
      <c r="A5247" s="0" t="s">
        <v>21</v>
      </c>
      <c r="B5247" s="0" t="s">
        <v>15137</v>
      </c>
      <c r="C5247" s="0" t="s">
        <v>97</v>
      </c>
      <c r="D5247" s="0" t="s">
        <v>15138</v>
      </c>
      <c r="E5247" s="0" t="s">
        <v>15139</v>
      </c>
      <c r="M5247" s="0" t="s">
        <v>136</v>
      </c>
      <c r="N5247" s="0" t="s">
        <v>124</v>
      </c>
      <c r="P5247" s="0" t="s">
        <v>102</v>
      </c>
      <c r="Q5247" s="0" t="s">
        <v>102</v>
      </c>
      <c r="R5247" s="0" t="s">
        <v>144</v>
      </c>
      <c r="S5247" s="0" t="s">
        <v>21</v>
      </c>
      <c r="T5247" s="0" t="s">
        <v>104</v>
      </c>
      <c r="W5247" s="0" t="s">
        <v>105</v>
      </c>
    </row>
    <row r="5248" customFormat="false" ht="15" hidden="false" customHeight="false" outlineLevel="0" collapsed="false">
      <c r="A5248" s="0" t="s">
        <v>21</v>
      </c>
      <c r="B5248" s="0" t="s">
        <v>15140</v>
      </c>
      <c r="C5248" s="0" t="s">
        <v>97</v>
      </c>
      <c r="D5248" s="0" t="s">
        <v>15141</v>
      </c>
      <c r="E5248" s="0" t="s">
        <v>15142</v>
      </c>
      <c r="M5248" s="0" t="s">
        <v>136</v>
      </c>
      <c r="N5248" s="0" t="s">
        <v>124</v>
      </c>
      <c r="P5248" s="0" t="s">
        <v>102</v>
      </c>
      <c r="Q5248" s="0" t="s">
        <v>102</v>
      </c>
      <c r="R5248" s="0" t="s">
        <v>113</v>
      </c>
      <c r="S5248" s="0" t="s">
        <v>21</v>
      </c>
      <c r="T5248" s="0" t="s">
        <v>104</v>
      </c>
      <c r="W5248" s="0" t="s">
        <v>105</v>
      </c>
    </row>
    <row r="5249" customFormat="false" ht="15" hidden="false" customHeight="false" outlineLevel="0" collapsed="false">
      <c r="A5249" s="0" t="s">
        <v>21</v>
      </c>
      <c r="B5249" s="0" t="s">
        <v>15143</v>
      </c>
      <c r="C5249" s="0" t="s">
        <v>97</v>
      </c>
      <c r="D5249" s="0" t="s">
        <v>15144</v>
      </c>
      <c r="E5249" s="0" t="s">
        <v>15145</v>
      </c>
      <c r="M5249" s="0" t="s">
        <v>656</v>
      </c>
      <c r="N5249" s="0" t="s">
        <v>101</v>
      </c>
      <c r="P5249" s="0" t="s">
        <v>102</v>
      </c>
      <c r="Q5249" s="0" t="s">
        <v>102</v>
      </c>
      <c r="R5249" s="0" t="s">
        <v>113</v>
      </c>
      <c r="S5249" s="0" t="s">
        <v>21</v>
      </c>
      <c r="T5249" s="0" t="s">
        <v>104</v>
      </c>
      <c r="W5249" s="0" t="s">
        <v>105</v>
      </c>
    </row>
    <row r="5250" customFormat="false" ht="15" hidden="false" customHeight="false" outlineLevel="0" collapsed="false">
      <c r="A5250" s="0" t="s">
        <v>21</v>
      </c>
      <c r="B5250" s="0" t="s">
        <v>15146</v>
      </c>
      <c r="C5250" s="0" t="s">
        <v>97</v>
      </c>
      <c r="D5250" s="0" t="s">
        <v>15147</v>
      </c>
      <c r="E5250" s="0" t="s">
        <v>15148</v>
      </c>
      <c r="M5250" s="0" t="s">
        <v>100</v>
      </c>
      <c r="N5250" s="0" t="s">
        <v>101</v>
      </c>
      <c r="P5250" s="0" t="s">
        <v>102</v>
      </c>
      <c r="Q5250" s="0" t="s">
        <v>102</v>
      </c>
      <c r="R5250" s="0" t="s">
        <v>113</v>
      </c>
      <c r="S5250" s="0" t="s">
        <v>21</v>
      </c>
      <c r="T5250" s="0" t="s">
        <v>104</v>
      </c>
      <c r="W5250" s="0" t="s">
        <v>105</v>
      </c>
    </row>
    <row r="5251" customFormat="false" ht="15" hidden="false" customHeight="false" outlineLevel="0" collapsed="false">
      <c r="A5251" s="0" t="s">
        <v>21</v>
      </c>
      <c r="B5251" s="0" t="s">
        <v>15149</v>
      </c>
      <c r="C5251" s="0" t="s">
        <v>97</v>
      </c>
      <c r="D5251" s="0" t="s">
        <v>15150</v>
      </c>
      <c r="E5251" s="0" t="s">
        <v>15151</v>
      </c>
      <c r="M5251" s="0" t="s">
        <v>656</v>
      </c>
      <c r="N5251" s="0" t="s">
        <v>101</v>
      </c>
      <c r="P5251" s="0" t="s">
        <v>102</v>
      </c>
      <c r="Q5251" s="0" t="s">
        <v>102</v>
      </c>
      <c r="R5251" s="0" t="s">
        <v>113</v>
      </c>
      <c r="S5251" s="0" t="s">
        <v>21</v>
      </c>
      <c r="T5251" s="0" t="s">
        <v>104</v>
      </c>
      <c r="W5251" s="0" t="s">
        <v>105</v>
      </c>
    </row>
    <row r="5252" customFormat="false" ht="15" hidden="false" customHeight="false" outlineLevel="0" collapsed="false">
      <c r="A5252" s="0" t="s">
        <v>21</v>
      </c>
      <c r="B5252" s="0" t="s">
        <v>15152</v>
      </c>
      <c r="C5252" s="0" t="s">
        <v>97</v>
      </c>
      <c r="D5252" s="0" t="s">
        <v>15153</v>
      </c>
      <c r="E5252" s="0" t="s">
        <v>15154</v>
      </c>
      <c r="F5252" s="0" t="s">
        <v>15154</v>
      </c>
      <c r="M5252" s="0" t="s">
        <v>456</v>
      </c>
      <c r="N5252" s="0" t="s">
        <v>101</v>
      </c>
      <c r="P5252" s="0" t="s">
        <v>102</v>
      </c>
      <c r="Q5252" s="0" t="s">
        <v>102</v>
      </c>
      <c r="R5252" s="0" t="s">
        <v>131</v>
      </c>
      <c r="S5252" s="0" t="s">
        <v>21</v>
      </c>
      <c r="T5252" s="0" t="s">
        <v>104</v>
      </c>
      <c r="W5252" s="0" t="s">
        <v>105</v>
      </c>
    </row>
    <row r="5253" customFormat="false" ht="15" hidden="false" customHeight="false" outlineLevel="0" collapsed="false">
      <c r="A5253" s="0" t="s">
        <v>21</v>
      </c>
      <c r="B5253" s="0" t="s">
        <v>15155</v>
      </c>
      <c r="C5253" s="0" t="s">
        <v>97</v>
      </c>
      <c r="D5253" s="0" t="s">
        <v>15156</v>
      </c>
      <c r="E5253" s="0" t="s">
        <v>15157</v>
      </c>
      <c r="M5253" s="0" t="s">
        <v>136</v>
      </c>
      <c r="N5253" s="0" t="s">
        <v>124</v>
      </c>
      <c r="P5253" s="0" t="s">
        <v>102</v>
      </c>
      <c r="Q5253" s="0" t="s">
        <v>102</v>
      </c>
      <c r="R5253" s="0" t="s">
        <v>131</v>
      </c>
      <c r="S5253" s="0" t="s">
        <v>21</v>
      </c>
      <c r="T5253" s="0" t="s">
        <v>104</v>
      </c>
      <c r="W5253" s="0" t="s">
        <v>105</v>
      </c>
    </row>
    <row r="5254" customFormat="false" ht="15" hidden="false" customHeight="false" outlineLevel="0" collapsed="false">
      <c r="A5254" s="0" t="s">
        <v>21</v>
      </c>
      <c r="B5254" s="0" t="s">
        <v>15158</v>
      </c>
      <c r="C5254" s="0" t="s">
        <v>97</v>
      </c>
      <c r="D5254" s="0" t="s">
        <v>15159</v>
      </c>
      <c r="E5254" s="0" t="s">
        <v>15160</v>
      </c>
      <c r="M5254" s="0" t="s">
        <v>136</v>
      </c>
      <c r="N5254" s="0" t="s">
        <v>124</v>
      </c>
      <c r="P5254" s="0" t="s">
        <v>102</v>
      </c>
      <c r="Q5254" s="0" t="s">
        <v>102</v>
      </c>
      <c r="R5254" s="0" t="s">
        <v>131</v>
      </c>
      <c r="S5254" s="0" t="s">
        <v>21</v>
      </c>
      <c r="T5254" s="0" t="s">
        <v>104</v>
      </c>
      <c r="W5254" s="0" t="s">
        <v>105</v>
      </c>
    </row>
    <row r="5255" customFormat="false" ht="15" hidden="false" customHeight="false" outlineLevel="0" collapsed="false">
      <c r="A5255" s="0" t="s">
        <v>21</v>
      </c>
      <c r="B5255" s="0" t="s">
        <v>15161</v>
      </c>
      <c r="C5255" s="0" t="s">
        <v>97</v>
      </c>
      <c r="D5255" s="0" t="s">
        <v>15162</v>
      </c>
      <c r="E5255" s="0" t="s">
        <v>15163</v>
      </c>
      <c r="M5255" s="0" t="s">
        <v>136</v>
      </c>
      <c r="N5255" s="0" t="s">
        <v>124</v>
      </c>
      <c r="P5255" s="0" t="s">
        <v>102</v>
      </c>
      <c r="Q5255" s="0" t="s">
        <v>102</v>
      </c>
      <c r="R5255" s="0" t="s">
        <v>131</v>
      </c>
      <c r="S5255" s="0" t="s">
        <v>21</v>
      </c>
      <c r="T5255" s="0" t="s">
        <v>104</v>
      </c>
      <c r="W5255" s="0" t="s">
        <v>105</v>
      </c>
    </row>
    <row r="5256" customFormat="false" ht="15" hidden="false" customHeight="false" outlineLevel="0" collapsed="false">
      <c r="A5256" s="0" t="s">
        <v>21</v>
      </c>
      <c r="B5256" s="0" t="s">
        <v>15164</v>
      </c>
      <c r="C5256" s="0" t="s">
        <v>97</v>
      </c>
      <c r="D5256" s="0" t="s">
        <v>15165</v>
      </c>
      <c r="E5256" s="0" t="s">
        <v>15166</v>
      </c>
      <c r="M5256" s="0" t="s">
        <v>136</v>
      </c>
      <c r="N5256" s="0" t="s">
        <v>124</v>
      </c>
      <c r="P5256" s="0" t="s">
        <v>102</v>
      </c>
      <c r="Q5256" s="0" t="s">
        <v>102</v>
      </c>
      <c r="R5256" s="0" t="s">
        <v>131</v>
      </c>
      <c r="S5256" s="0" t="s">
        <v>21</v>
      </c>
      <c r="T5256" s="0" t="s">
        <v>104</v>
      </c>
      <c r="W5256" s="0" t="s">
        <v>105</v>
      </c>
    </row>
    <row r="5257" customFormat="false" ht="15" hidden="false" customHeight="false" outlineLevel="0" collapsed="false">
      <c r="A5257" s="0" t="s">
        <v>21</v>
      </c>
      <c r="B5257" s="0" t="s">
        <v>15167</v>
      </c>
      <c r="C5257" s="0" t="s">
        <v>97</v>
      </c>
      <c r="D5257" s="0" t="s">
        <v>15168</v>
      </c>
      <c r="E5257" s="0" t="s">
        <v>15169</v>
      </c>
      <c r="M5257" s="0" t="s">
        <v>136</v>
      </c>
      <c r="N5257" s="0" t="s">
        <v>124</v>
      </c>
      <c r="P5257" s="0" t="s">
        <v>102</v>
      </c>
      <c r="Q5257" s="0" t="s">
        <v>102</v>
      </c>
      <c r="R5257" s="0" t="s">
        <v>131</v>
      </c>
      <c r="S5257" s="0" t="s">
        <v>21</v>
      </c>
      <c r="T5257" s="0" t="s">
        <v>104</v>
      </c>
      <c r="W5257" s="0" t="s">
        <v>105</v>
      </c>
    </row>
    <row r="5258" customFormat="false" ht="15" hidden="false" customHeight="false" outlineLevel="0" collapsed="false">
      <c r="A5258" s="0" t="s">
        <v>21</v>
      </c>
      <c r="B5258" s="0" t="s">
        <v>15170</v>
      </c>
      <c r="C5258" s="0" t="s">
        <v>97</v>
      </c>
      <c r="D5258" s="0" t="s">
        <v>15171</v>
      </c>
      <c r="E5258" s="0" t="s">
        <v>15171</v>
      </c>
      <c r="M5258" s="0" t="s">
        <v>136</v>
      </c>
      <c r="N5258" s="0" t="s">
        <v>124</v>
      </c>
      <c r="P5258" s="0" t="s">
        <v>102</v>
      </c>
      <c r="Q5258" s="0" t="s">
        <v>102</v>
      </c>
      <c r="R5258" s="0" t="s">
        <v>131</v>
      </c>
      <c r="S5258" s="0" t="s">
        <v>21</v>
      </c>
      <c r="T5258" s="0" t="s">
        <v>104</v>
      </c>
      <c r="W5258" s="0" t="s">
        <v>105</v>
      </c>
    </row>
    <row r="5259" customFormat="false" ht="15" hidden="false" customHeight="false" outlineLevel="0" collapsed="false">
      <c r="A5259" s="0" t="s">
        <v>21</v>
      </c>
      <c r="B5259" s="0" t="s">
        <v>15172</v>
      </c>
      <c r="C5259" s="0" t="s">
        <v>97</v>
      </c>
      <c r="D5259" s="0" t="s">
        <v>15173</v>
      </c>
      <c r="E5259" s="0" t="s">
        <v>15174</v>
      </c>
      <c r="M5259" s="0" t="s">
        <v>136</v>
      </c>
      <c r="N5259" s="0" t="s">
        <v>124</v>
      </c>
      <c r="P5259" s="0" t="s">
        <v>102</v>
      </c>
      <c r="Q5259" s="0" t="s">
        <v>102</v>
      </c>
      <c r="R5259" s="0" t="s">
        <v>131</v>
      </c>
      <c r="S5259" s="0" t="s">
        <v>21</v>
      </c>
      <c r="T5259" s="0" t="s">
        <v>104</v>
      </c>
      <c r="W5259" s="0" t="s">
        <v>105</v>
      </c>
    </row>
    <row r="5260" customFormat="false" ht="15" hidden="false" customHeight="false" outlineLevel="0" collapsed="false">
      <c r="A5260" s="0" t="s">
        <v>21</v>
      </c>
      <c r="B5260" s="0" t="s">
        <v>15175</v>
      </c>
      <c r="C5260" s="0" t="s">
        <v>97</v>
      </c>
      <c r="D5260" s="0" t="s">
        <v>15176</v>
      </c>
      <c r="E5260" s="0" t="s">
        <v>15176</v>
      </c>
      <c r="M5260" s="0" t="s">
        <v>124</v>
      </c>
      <c r="N5260" s="0" t="s">
        <v>124</v>
      </c>
      <c r="P5260" s="0" t="s">
        <v>102</v>
      </c>
      <c r="Q5260" s="0" t="s">
        <v>102</v>
      </c>
      <c r="R5260" s="0" t="s">
        <v>131</v>
      </c>
      <c r="S5260" s="0" t="s">
        <v>21</v>
      </c>
      <c r="T5260" s="0" t="s">
        <v>104</v>
      </c>
      <c r="W5260" s="0" t="s">
        <v>105</v>
      </c>
    </row>
    <row r="5261" customFormat="false" ht="15" hidden="false" customHeight="false" outlineLevel="0" collapsed="false">
      <c r="A5261" s="0" t="s">
        <v>21</v>
      </c>
      <c r="B5261" s="0" t="s">
        <v>15177</v>
      </c>
      <c r="C5261" s="0" t="s">
        <v>97</v>
      </c>
      <c r="D5261" s="0" t="s">
        <v>15178</v>
      </c>
      <c r="E5261" s="0" t="s">
        <v>15179</v>
      </c>
      <c r="M5261" s="0" t="s">
        <v>656</v>
      </c>
      <c r="N5261" s="0" t="s">
        <v>101</v>
      </c>
      <c r="P5261" s="0" t="s">
        <v>102</v>
      </c>
      <c r="Q5261" s="0" t="s">
        <v>102</v>
      </c>
      <c r="R5261" s="0" t="s">
        <v>131</v>
      </c>
      <c r="S5261" s="0" t="s">
        <v>21</v>
      </c>
      <c r="T5261" s="0" t="s">
        <v>104</v>
      </c>
      <c r="W5261" s="0" t="s">
        <v>105</v>
      </c>
    </row>
    <row r="5262" customFormat="false" ht="15" hidden="false" customHeight="false" outlineLevel="0" collapsed="false">
      <c r="A5262" s="0" t="s">
        <v>21</v>
      </c>
      <c r="B5262" s="0" t="s">
        <v>15180</v>
      </c>
      <c r="C5262" s="0" t="s">
        <v>97</v>
      </c>
      <c r="D5262" s="0" t="s">
        <v>15176</v>
      </c>
      <c r="E5262" s="0" t="s">
        <v>15176</v>
      </c>
      <c r="M5262" s="0" t="s">
        <v>136</v>
      </c>
      <c r="N5262" s="0" t="s">
        <v>124</v>
      </c>
      <c r="P5262" s="0" t="s">
        <v>102</v>
      </c>
      <c r="Q5262" s="0" t="s">
        <v>102</v>
      </c>
      <c r="R5262" s="0" t="s">
        <v>131</v>
      </c>
      <c r="S5262" s="0" t="s">
        <v>21</v>
      </c>
      <c r="T5262" s="0" t="s">
        <v>104</v>
      </c>
      <c r="W5262" s="0" t="s">
        <v>105</v>
      </c>
    </row>
    <row r="5263" customFormat="false" ht="15" hidden="false" customHeight="false" outlineLevel="0" collapsed="false">
      <c r="A5263" s="0" t="s">
        <v>21</v>
      </c>
      <c r="B5263" s="0" t="s">
        <v>15181</v>
      </c>
      <c r="C5263" s="0" t="s">
        <v>97</v>
      </c>
      <c r="D5263" s="0" t="s">
        <v>5965</v>
      </c>
      <c r="E5263" s="0" t="s">
        <v>15182</v>
      </c>
      <c r="H5263" s="0" t="s">
        <v>654</v>
      </c>
      <c r="I5263" s="0" t="s">
        <v>655</v>
      </c>
      <c r="J5263" s="0" t="s">
        <v>100</v>
      </c>
      <c r="K5263" s="0" t="s">
        <v>168</v>
      </c>
      <c r="L5263" s="0" t="s">
        <v>101</v>
      </c>
      <c r="M5263" s="0" t="s">
        <v>656</v>
      </c>
      <c r="N5263" s="0" t="s">
        <v>101</v>
      </c>
      <c r="P5263" s="0" t="s">
        <v>102</v>
      </c>
      <c r="Q5263" s="0" t="s">
        <v>102</v>
      </c>
      <c r="R5263" s="0" t="s">
        <v>113</v>
      </c>
      <c r="S5263" s="0" t="s">
        <v>21</v>
      </c>
      <c r="T5263" s="0" t="s">
        <v>104</v>
      </c>
      <c r="W5263" s="0" t="s">
        <v>105</v>
      </c>
      <c r="X5263" s="0" t="s">
        <v>658</v>
      </c>
      <c r="Y5263" s="0" t="s">
        <v>659</v>
      </c>
    </row>
    <row r="5264" customFormat="false" ht="15" hidden="false" customHeight="false" outlineLevel="0" collapsed="false">
      <c r="A5264" s="0" t="s">
        <v>21</v>
      </c>
      <c r="B5264" s="0" t="s">
        <v>15183</v>
      </c>
      <c r="C5264" s="0" t="s">
        <v>97</v>
      </c>
      <c r="D5264" s="0" t="s">
        <v>15184</v>
      </c>
      <c r="E5264" s="0" t="s">
        <v>15185</v>
      </c>
      <c r="M5264" s="0" t="s">
        <v>656</v>
      </c>
      <c r="N5264" s="0" t="s">
        <v>101</v>
      </c>
      <c r="P5264" s="0" t="s">
        <v>102</v>
      </c>
      <c r="Q5264" s="0" t="s">
        <v>102</v>
      </c>
      <c r="R5264" s="0" t="s">
        <v>113</v>
      </c>
      <c r="S5264" s="0" t="s">
        <v>21</v>
      </c>
      <c r="T5264" s="0" t="s">
        <v>104</v>
      </c>
      <c r="W5264" s="0" t="s">
        <v>105</v>
      </c>
    </row>
    <row r="5265" customFormat="false" ht="15" hidden="false" customHeight="false" outlineLevel="0" collapsed="false">
      <c r="A5265" s="0" t="s">
        <v>21</v>
      </c>
      <c r="B5265" s="0" t="s">
        <v>15186</v>
      </c>
      <c r="C5265" s="0" t="s">
        <v>97</v>
      </c>
      <c r="D5265" s="0" t="s">
        <v>15187</v>
      </c>
      <c r="E5265" s="0" t="s">
        <v>15188</v>
      </c>
      <c r="M5265" s="0" t="s">
        <v>136</v>
      </c>
      <c r="N5265" s="0" t="s">
        <v>124</v>
      </c>
      <c r="P5265" s="0" t="s">
        <v>102</v>
      </c>
      <c r="Q5265" s="0" t="s">
        <v>102</v>
      </c>
      <c r="R5265" s="0" t="s">
        <v>113</v>
      </c>
      <c r="S5265" s="0" t="s">
        <v>21</v>
      </c>
      <c r="T5265" s="0" t="s">
        <v>104</v>
      </c>
      <c r="W5265" s="0" t="s">
        <v>105</v>
      </c>
    </row>
    <row r="5266" customFormat="false" ht="15" hidden="false" customHeight="false" outlineLevel="0" collapsed="false">
      <c r="A5266" s="0" t="s">
        <v>21</v>
      </c>
      <c r="B5266" s="0" t="s">
        <v>15189</v>
      </c>
      <c r="C5266" s="0" t="s">
        <v>97</v>
      </c>
      <c r="D5266" s="0" t="s">
        <v>529</v>
      </c>
      <c r="E5266" s="0" t="s">
        <v>3323</v>
      </c>
      <c r="M5266" s="0" t="s">
        <v>656</v>
      </c>
      <c r="N5266" s="0" t="s">
        <v>101</v>
      </c>
      <c r="P5266" s="0" t="s">
        <v>102</v>
      </c>
      <c r="Q5266" s="0" t="s">
        <v>102</v>
      </c>
      <c r="R5266" s="0" t="s">
        <v>113</v>
      </c>
      <c r="S5266" s="0" t="s">
        <v>21</v>
      </c>
      <c r="T5266" s="0" t="s">
        <v>104</v>
      </c>
      <c r="W5266" s="0" t="s">
        <v>105</v>
      </c>
    </row>
    <row r="5267" customFormat="false" ht="15" hidden="false" customHeight="false" outlineLevel="0" collapsed="false">
      <c r="A5267" s="0" t="s">
        <v>21</v>
      </c>
      <c r="B5267" s="0" t="s">
        <v>15190</v>
      </c>
      <c r="C5267" s="0" t="s">
        <v>97</v>
      </c>
      <c r="D5267" s="0" t="s">
        <v>15191</v>
      </c>
      <c r="E5267" s="0" t="s">
        <v>15192</v>
      </c>
      <c r="H5267" s="0" t="s">
        <v>654</v>
      </c>
      <c r="I5267" s="0" t="s">
        <v>655</v>
      </c>
      <c r="J5267" s="0" t="s">
        <v>100</v>
      </c>
      <c r="K5267" s="0" t="s">
        <v>168</v>
      </c>
      <c r="L5267" s="0" t="s">
        <v>101</v>
      </c>
      <c r="M5267" s="0" t="s">
        <v>656</v>
      </c>
      <c r="N5267" s="0" t="s">
        <v>101</v>
      </c>
      <c r="P5267" s="0" t="s">
        <v>102</v>
      </c>
      <c r="Q5267" s="0" t="s">
        <v>102</v>
      </c>
      <c r="R5267" s="0" t="s">
        <v>131</v>
      </c>
      <c r="S5267" s="0" t="s">
        <v>21</v>
      </c>
      <c r="T5267" s="0" t="s">
        <v>104</v>
      </c>
      <c r="W5267" s="0" t="s">
        <v>105</v>
      </c>
      <c r="X5267" s="0" t="s">
        <v>658</v>
      </c>
      <c r="Y5267" s="0" t="s">
        <v>659</v>
      </c>
    </row>
    <row r="5268" customFormat="false" ht="15" hidden="false" customHeight="false" outlineLevel="0" collapsed="false">
      <c r="A5268" s="0" t="s">
        <v>21</v>
      </c>
      <c r="B5268" s="0" t="s">
        <v>15193</v>
      </c>
      <c r="C5268" s="0" t="s">
        <v>97</v>
      </c>
      <c r="D5268" s="0" t="s">
        <v>15194</v>
      </c>
      <c r="E5268" s="0" t="s">
        <v>15195</v>
      </c>
      <c r="H5268" s="0" t="s">
        <v>654</v>
      </c>
      <c r="I5268" s="0" t="s">
        <v>655</v>
      </c>
      <c r="J5268" s="0" t="s">
        <v>100</v>
      </c>
      <c r="K5268" s="0" t="s">
        <v>168</v>
      </c>
      <c r="L5268" s="0" t="s">
        <v>101</v>
      </c>
      <c r="M5268" s="0" t="s">
        <v>656</v>
      </c>
      <c r="N5268" s="0" t="s">
        <v>101</v>
      </c>
      <c r="P5268" s="0" t="s">
        <v>102</v>
      </c>
      <c r="Q5268" s="0" t="s">
        <v>102</v>
      </c>
      <c r="R5268" s="0" t="s">
        <v>131</v>
      </c>
      <c r="S5268" s="0" t="s">
        <v>21</v>
      </c>
      <c r="T5268" s="0" t="s">
        <v>104</v>
      </c>
      <c r="W5268" s="0" t="s">
        <v>105</v>
      </c>
      <c r="X5268" s="0" t="s">
        <v>658</v>
      </c>
      <c r="Y5268" s="0" t="s">
        <v>659</v>
      </c>
    </row>
    <row r="5269" customFormat="false" ht="15" hidden="false" customHeight="false" outlineLevel="0" collapsed="false">
      <c r="A5269" s="0" t="s">
        <v>21</v>
      </c>
      <c r="B5269" s="0" t="s">
        <v>15196</v>
      </c>
      <c r="C5269" s="0" t="s">
        <v>97</v>
      </c>
      <c r="D5269" s="0" t="s">
        <v>15197</v>
      </c>
      <c r="E5269" s="0" t="s">
        <v>15198</v>
      </c>
      <c r="H5269" s="0" t="s">
        <v>654</v>
      </c>
      <c r="I5269" s="0" t="s">
        <v>655</v>
      </c>
      <c r="J5269" s="0" t="s">
        <v>100</v>
      </c>
      <c r="K5269" s="0" t="s">
        <v>168</v>
      </c>
      <c r="L5269" s="0" t="s">
        <v>101</v>
      </c>
      <c r="M5269" s="0" t="s">
        <v>656</v>
      </c>
      <c r="N5269" s="0" t="s">
        <v>101</v>
      </c>
      <c r="P5269" s="0" t="s">
        <v>102</v>
      </c>
      <c r="Q5269" s="0" t="s">
        <v>102</v>
      </c>
      <c r="R5269" s="0" t="s">
        <v>131</v>
      </c>
      <c r="S5269" s="0" t="s">
        <v>21</v>
      </c>
      <c r="T5269" s="0" t="s">
        <v>104</v>
      </c>
      <c r="W5269" s="0" t="s">
        <v>105</v>
      </c>
      <c r="X5269" s="0" t="s">
        <v>658</v>
      </c>
      <c r="Y5269" s="0" t="s">
        <v>659</v>
      </c>
    </row>
    <row r="5270" customFormat="false" ht="15" hidden="false" customHeight="false" outlineLevel="0" collapsed="false">
      <c r="A5270" s="0" t="s">
        <v>21</v>
      </c>
      <c r="B5270" s="0" t="s">
        <v>15199</v>
      </c>
      <c r="C5270" s="0" t="s">
        <v>97</v>
      </c>
      <c r="D5270" s="0" t="s">
        <v>15200</v>
      </c>
      <c r="E5270" s="0" t="s">
        <v>15201</v>
      </c>
      <c r="G5270" s="0" t="s">
        <v>15202</v>
      </c>
      <c r="M5270" s="0" t="s">
        <v>442</v>
      </c>
      <c r="N5270" s="0" t="s">
        <v>101</v>
      </c>
      <c r="P5270" s="0" t="s">
        <v>102</v>
      </c>
      <c r="Q5270" s="0" t="s">
        <v>102</v>
      </c>
      <c r="R5270" s="0" t="s">
        <v>131</v>
      </c>
      <c r="S5270" s="0" t="s">
        <v>21</v>
      </c>
      <c r="T5270" s="0" t="s">
        <v>104</v>
      </c>
      <c r="W5270" s="0" t="s">
        <v>105</v>
      </c>
    </row>
    <row r="5271" customFormat="false" ht="15" hidden="false" customHeight="false" outlineLevel="0" collapsed="false">
      <c r="A5271" s="0" t="s">
        <v>21</v>
      </c>
      <c r="B5271" s="0" t="s">
        <v>15203</v>
      </c>
      <c r="C5271" s="0" t="s">
        <v>97</v>
      </c>
      <c r="D5271" s="0" t="s">
        <v>15204</v>
      </c>
      <c r="E5271" s="0" t="s">
        <v>15205</v>
      </c>
      <c r="H5271" s="0" t="s">
        <v>654</v>
      </c>
      <c r="I5271" s="0" t="s">
        <v>655</v>
      </c>
      <c r="J5271" s="0" t="s">
        <v>100</v>
      </c>
      <c r="K5271" s="0" t="s">
        <v>168</v>
      </c>
      <c r="L5271" s="0" t="s">
        <v>101</v>
      </c>
      <c r="M5271" s="0" t="s">
        <v>656</v>
      </c>
      <c r="N5271" s="0" t="s">
        <v>101</v>
      </c>
      <c r="P5271" s="0" t="s">
        <v>102</v>
      </c>
      <c r="Q5271" s="0" t="s">
        <v>102</v>
      </c>
      <c r="R5271" s="0" t="s">
        <v>131</v>
      </c>
      <c r="S5271" s="0" t="s">
        <v>21</v>
      </c>
      <c r="T5271" s="0" t="s">
        <v>104</v>
      </c>
      <c r="W5271" s="0" t="s">
        <v>105</v>
      </c>
      <c r="X5271" s="0" t="s">
        <v>658</v>
      </c>
      <c r="Y5271" s="0" t="s">
        <v>659</v>
      </c>
    </row>
    <row r="5272" customFormat="false" ht="15" hidden="false" customHeight="false" outlineLevel="0" collapsed="false">
      <c r="A5272" s="0" t="s">
        <v>21</v>
      </c>
      <c r="B5272" s="0" t="s">
        <v>15206</v>
      </c>
      <c r="C5272" s="0" t="s">
        <v>97</v>
      </c>
      <c r="D5272" s="0" t="s">
        <v>15207</v>
      </c>
      <c r="E5272" s="0" t="s">
        <v>15208</v>
      </c>
      <c r="M5272" s="0" t="s">
        <v>136</v>
      </c>
      <c r="N5272" s="0" t="s">
        <v>124</v>
      </c>
      <c r="P5272" s="0" t="s">
        <v>102</v>
      </c>
      <c r="Q5272" s="0" t="s">
        <v>102</v>
      </c>
      <c r="R5272" s="0" t="s">
        <v>131</v>
      </c>
      <c r="S5272" s="0" t="s">
        <v>21</v>
      </c>
      <c r="T5272" s="0" t="s">
        <v>104</v>
      </c>
      <c r="W5272" s="0" t="s">
        <v>105</v>
      </c>
    </row>
    <row r="5273" customFormat="false" ht="15" hidden="false" customHeight="false" outlineLevel="0" collapsed="false">
      <c r="A5273" s="0" t="s">
        <v>21</v>
      </c>
      <c r="B5273" s="0" t="s">
        <v>15209</v>
      </c>
      <c r="C5273" s="0" t="s">
        <v>97</v>
      </c>
      <c r="D5273" s="0" t="s">
        <v>15210</v>
      </c>
      <c r="E5273" s="0" t="s">
        <v>15211</v>
      </c>
      <c r="H5273" s="0" t="s">
        <v>15212</v>
      </c>
      <c r="I5273" s="0" t="s">
        <v>15213</v>
      </c>
      <c r="J5273" s="0" t="s">
        <v>15214</v>
      </c>
      <c r="K5273" s="0" t="s">
        <v>15215</v>
      </c>
      <c r="L5273" s="0" t="s">
        <v>101</v>
      </c>
      <c r="M5273" s="0" t="s">
        <v>15213</v>
      </c>
      <c r="N5273" s="0" t="s">
        <v>101</v>
      </c>
      <c r="P5273" s="0" t="s">
        <v>102</v>
      </c>
      <c r="Q5273" s="0" t="s">
        <v>102</v>
      </c>
      <c r="R5273" s="0" t="s">
        <v>113</v>
      </c>
      <c r="S5273" s="0" t="s">
        <v>21</v>
      </c>
      <c r="T5273" s="0" t="s">
        <v>104</v>
      </c>
      <c r="W5273" s="0" t="s">
        <v>105</v>
      </c>
      <c r="X5273" s="0" t="s">
        <v>15216</v>
      </c>
      <c r="Y5273" s="0" t="s">
        <v>15217</v>
      </c>
    </row>
    <row r="5274" customFormat="false" ht="15" hidden="false" customHeight="false" outlineLevel="0" collapsed="false">
      <c r="A5274" s="0" t="s">
        <v>21</v>
      </c>
      <c r="B5274" s="0" t="s">
        <v>15218</v>
      </c>
      <c r="C5274" s="0" t="s">
        <v>97</v>
      </c>
      <c r="D5274" s="0" t="s">
        <v>3623</v>
      </c>
      <c r="E5274" s="0" t="s">
        <v>15219</v>
      </c>
      <c r="M5274" s="0" t="s">
        <v>656</v>
      </c>
      <c r="N5274" s="0" t="s">
        <v>101</v>
      </c>
      <c r="P5274" s="0" t="s">
        <v>102</v>
      </c>
      <c r="Q5274" s="0" t="s">
        <v>102</v>
      </c>
      <c r="R5274" s="0" t="s">
        <v>113</v>
      </c>
      <c r="S5274" s="0" t="s">
        <v>21</v>
      </c>
      <c r="T5274" s="0" t="s">
        <v>104</v>
      </c>
      <c r="W5274" s="0" t="s">
        <v>105</v>
      </c>
    </row>
    <row r="5275" customFormat="false" ht="15" hidden="false" customHeight="false" outlineLevel="0" collapsed="false">
      <c r="A5275" s="0" t="s">
        <v>21</v>
      </c>
      <c r="B5275" s="0" t="s">
        <v>15220</v>
      </c>
      <c r="C5275" s="0" t="s">
        <v>97</v>
      </c>
      <c r="D5275" s="0" t="s">
        <v>15221</v>
      </c>
      <c r="E5275" s="0" t="s">
        <v>15221</v>
      </c>
      <c r="M5275" s="0" t="s">
        <v>136</v>
      </c>
      <c r="N5275" s="0" t="s">
        <v>124</v>
      </c>
      <c r="P5275" s="0" t="s">
        <v>102</v>
      </c>
      <c r="Q5275" s="0" t="s">
        <v>102</v>
      </c>
      <c r="R5275" s="0" t="s">
        <v>131</v>
      </c>
      <c r="S5275" s="0" t="s">
        <v>21</v>
      </c>
      <c r="T5275" s="0" t="s">
        <v>104</v>
      </c>
      <c r="W5275" s="0" t="s">
        <v>105</v>
      </c>
    </row>
    <row r="5276" customFormat="false" ht="15" hidden="false" customHeight="false" outlineLevel="0" collapsed="false">
      <c r="A5276" s="0" t="s">
        <v>21</v>
      </c>
      <c r="B5276" s="0" t="s">
        <v>15222</v>
      </c>
      <c r="C5276" s="0" t="s">
        <v>97</v>
      </c>
      <c r="D5276" s="0" t="s">
        <v>9037</v>
      </c>
      <c r="E5276" s="0" t="s">
        <v>15223</v>
      </c>
      <c r="M5276" s="0" t="s">
        <v>100</v>
      </c>
      <c r="N5276" s="0" t="s">
        <v>101</v>
      </c>
      <c r="P5276" s="0" t="s">
        <v>102</v>
      </c>
      <c r="Q5276" s="0" t="s">
        <v>102</v>
      </c>
      <c r="R5276" s="0" t="s">
        <v>131</v>
      </c>
      <c r="S5276" s="0" t="s">
        <v>21</v>
      </c>
      <c r="T5276" s="0" t="s">
        <v>104</v>
      </c>
      <c r="W5276" s="0" t="s">
        <v>105</v>
      </c>
    </row>
    <row r="5277" customFormat="false" ht="15" hidden="false" customHeight="false" outlineLevel="0" collapsed="false">
      <c r="A5277" s="0" t="s">
        <v>21</v>
      </c>
      <c r="B5277" s="0" t="s">
        <v>15224</v>
      </c>
      <c r="C5277" s="0" t="s">
        <v>97</v>
      </c>
      <c r="D5277" s="0" t="s">
        <v>15225</v>
      </c>
      <c r="E5277" s="0" t="s">
        <v>15226</v>
      </c>
      <c r="M5277" s="0" t="s">
        <v>100</v>
      </c>
      <c r="N5277" s="0" t="s">
        <v>101</v>
      </c>
      <c r="P5277" s="0" t="s">
        <v>102</v>
      </c>
      <c r="Q5277" s="0" t="s">
        <v>102</v>
      </c>
      <c r="R5277" s="0" t="s">
        <v>131</v>
      </c>
      <c r="S5277" s="0" t="s">
        <v>21</v>
      </c>
      <c r="T5277" s="0" t="s">
        <v>104</v>
      </c>
      <c r="W5277" s="0" t="s">
        <v>105</v>
      </c>
    </row>
    <row r="5278" customFormat="false" ht="55.2" hidden="false" customHeight="false" outlineLevel="0" collapsed="false">
      <c r="A5278" s="0" t="s">
        <v>21</v>
      </c>
      <c r="B5278" s="0" t="s">
        <v>15227</v>
      </c>
      <c r="C5278" s="0" t="s">
        <v>97</v>
      </c>
      <c r="D5278" s="0" t="s">
        <v>15228</v>
      </c>
      <c r="E5278" s="0" t="s">
        <v>15229</v>
      </c>
      <c r="G5278" s="9" t="s">
        <v>15230</v>
      </c>
      <c r="M5278" s="0" t="s">
        <v>100</v>
      </c>
      <c r="N5278" s="0" t="s">
        <v>101</v>
      </c>
      <c r="P5278" s="0" t="s">
        <v>102</v>
      </c>
      <c r="Q5278" s="0" t="s">
        <v>102</v>
      </c>
      <c r="R5278" s="0" t="s">
        <v>131</v>
      </c>
      <c r="S5278" s="0" t="s">
        <v>21</v>
      </c>
      <c r="T5278" s="0" t="s">
        <v>104</v>
      </c>
      <c r="W5278" s="0" t="s">
        <v>105</v>
      </c>
    </row>
    <row r="5279" customFormat="false" ht="15" hidden="false" customHeight="false" outlineLevel="0" collapsed="false">
      <c r="A5279" s="0" t="s">
        <v>21</v>
      </c>
      <c r="B5279" s="0" t="s">
        <v>15231</v>
      </c>
      <c r="C5279" s="0" t="s">
        <v>97</v>
      </c>
      <c r="D5279" s="0" t="s">
        <v>15232</v>
      </c>
      <c r="E5279" s="0" t="s">
        <v>15233</v>
      </c>
      <c r="M5279" s="0" t="s">
        <v>100</v>
      </c>
      <c r="N5279" s="0" t="s">
        <v>101</v>
      </c>
      <c r="P5279" s="0" t="s">
        <v>102</v>
      </c>
      <c r="Q5279" s="0" t="s">
        <v>102</v>
      </c>
      <c r="R5279" s="0" t="s">
        <v>131</v>
      </c>
      <c r="S5279" s="0" t="s">
        <v>21</v>
      </c>
      <c r="T5279" s="0" t="s">
        <v>104</v>
      </c>
      <c r="W5279" s="0" t="s">
        <v>105</v>
      </c>
    </row>
    <row r="5280" customFormat="false" ht="15" hidden="false" customHeight="false" outlineLevel="0" collapsed="false">
      <c r="A5280" s="0" t="s">
        <v>21</v>
      </c>
      <c r="B5280" s="0" t="s">
        <v>15234</v>
      </c>
      <c r="C5280" s="0" t="s">
        <v>97</v>
      </c>
      <c r="D5280" s="0" t="s">
        <v>15235</v>
      </c>
      <c r="E5280" s="0" t="s">
        <v>15235</v>
      </c>
      <c r="M5280" s="0" t="s">
        <v>136</v>
      </c>
      <c r="N5280" s="0" t="s">
        <v>124</v>
      </c>
      <c r="P5280" s="0" t="s">
        <v>102</v>
      </c>
      <c r="Q5280" s="0" t="s">
        <v>102</v>
      </c>
      <c r="R5280" s="0" t="s">
        <v>131</v>
      </c>
      <c r="S5280" s="0" t="s">
        <v>21</v>
      </c>
      <c r="T5280" s="0" t="s">
        <v>104</v>
      </c>
      <c r="W5280" s="0" t="s">
        <v>105</v>
      </c>
    </row>
    <row r="5281" customFormat="false" ht="15" hidden="false" customHeight="false" outlineLevel="0" collapsed="false">
      <c r="A5281" s="0" t="s">
        <v>21</v>
      </c>
      <c r="B5281" s="0" t="s">
        <v>15236</v>
      </c>
      <c r="C5281" s="0" t="s">
        <v>97</v>
      </c>
      <c r="D5281" s="0" t="s">
        <v>15237</v>
      </c>
      <c r="E5281" s="0" t="s">
        <v>15238</v>
      </c>
      <c r="M5281" s="0" t="s">
        <v>656</v>
      </c>
      <c r="N5281" s="0" t="s">
        <v>101</v>
      </c>
      <c r="P5281" s="0" t="s">
        <v>102</v>
      </c>
      <c r="Q5281" s="0" t="s">
        <v>102</v>
      </c>
      <c r="R5281" s="0" t="s">
        <v>131</v>
      </c>
      <c r="S5281" s="0" t="s">
        <v>21</v>
      </c>
      <c r="T5281" s="0" t="s">
        <v>104</v>
      </c>
      <c r="W5281" s="0" t="s">
        <v>105</v>
      </c>
    </row>
    <row r="5282" customFormat="false" ht="15" hidden="false" customHeight="false" outlineLevel="0" collapsed="false">
      <c r="A5282" s="0" t="s">
        <v>21</v>
      </c>
      <c r="B5282" s="0" t="s">
        <v>15239</v>
      </c>
      <c r="C5282" s="0" t="s">
        <v>97</v>
      </c>
      <c r="D5282" s="0" t="s">
        <v>11297</v>
      </c>
      <c r="E5282" s="0" t="s">
        <v>15240</v>
      </c>
      <c r="F5282" s="0" t="s">
        <v>11298</v>
      </c>
      <c r="M5282" s="0" t="s">
        <v>100</v>
      </c>
      <c r="N5282" s="0" t="s">
        <v>101</v>
      </c>
      <c r="P5282" s="0" t="s">
        <v>102</v>
      </c>
      <c r="Q5282" s="0" t="s">
        <v>102</v>
      </c>
      <c r="R5282" s="0" t="s">
        <v>131</v>
      </c>
      <c r="S5282" s="0" t="s">
        <v>21</v>
      </c>
      <c r="T5282" s="0" t="s">
        <v>104</v>
      </c>
      <c r="W5282" s="0" t="s">
        <v>105</v>
      </c>
    </row>
    <row r="5283" customFormat="false" ht="15" hidden="false" customHeight="false" outlineLevel="0" collapsed="false">
      <c r="A5283" s="0" t="s">
        <v>21</v>
      </c>
      <c r="B5283" s="0" t="s">
        <v>15241</v>
      </c>
      <c r="C5283" s="0" t="s">
        <v>97</v>
      </c>
      <c r="D5283" s="0" t="s">
        <v>15242</v>
      </c>
      <c r="E5283" s="0" t="s">
        <v>15242</v>
      </c>
      <c r="M5283" s="0" t="s">
        <v>136</v>
      </c>
      <c r="N5283" s="0" t="s">
        <v>124</v>
      </c>
      <c r="P5283" s="0" t="s">
        <v>102</v>
      </c>
      <c r="Q5283" s="0" t="s">
        <v>102</v>
      </c>
      <c r="R5283" s="0" t="s">
        <v>131</v>
      </c>
      <c r="S5283" s="0" t="s">
        <v>21</v>
      </c>
      <c r="T5283" s="0" t="s">
        <v>104</v>
      </c>
      <c r="W5283" s="0" t="s">
        <v>105</v>
      </c>
    </row>
    <row r="5284" customFormat="false" ht="15" hidden="false" customHeight="false" outlineLevel="0" collapsed="false">
      <c r="A5284" s="0" t="s">
        <v>21</v>
      </c>
      <c r="B5284" s="0" t="s">
        <v>15243</v>
      </c>
      <c r="C5284" s="0" t="s">
        <v>97</v>
      </c>
      <c r="D5284" s="0" t="s">
        <v>15244</v>
      </c>
      <c r="E5284" s="0" t="s">
        <v>15245</v>
      </c>
      <c r="M5284" s="0" t="s">
        <v>136</v>
      </c>
      <c r="N5284" s="0" t="s">
        <v>124</v>
      </c>
      <c r="P5284" s="0" t="s">
        <v>102</v>
      </c>
      <c r="Q5284" s="0" t="s">
        <v>102</v>
      </c>
      <c r="R5284" s="0" t="s">
        <v>131</v>
      </c>
      <c r="S5284" s="0" t="s">
        <v>21</v>
      </c>
      <c r="T5284" s="0" t="s">
        <v>104</v>
      </c>
      <c r="W5284" s="0" t="s">
        <v>105</v>
      </c>
    </row>
    <row r="5285" customFormat="false" ht="15" hidden="false" customHeight="false" outlineLevel="0" collapsed="false">
      <c r="A5285" s="0" t="s">
        <v>21</v>
      </c>
      <c r="B5285" s="0" t="s">
        <v>15246</v>
      </c>
      <c r="C5285" s="0" t="s">
        <v>97</v>
      </c>
      <c r="D5285" s="0" t="s">
        <v>15247</v>
      </c>
      <c r="E5285" s="0" t="s">
        <v>15248</v>
      </c>
      <c r="M5285" s="0" t="s">
        <v>136</v>
      </c>
      <c r="N5285" s="0" t="s">
        <v>124</v>
      </c>
      <c r="P5285" s="0" t="s">
        <v>102</v>
      </c>
      <c r="Q5285" s="0" t="s">
        <v>102</v>
      </c>
      <c r="R5285" s="0" t="s">
        <v>131</v>
      </c>
      <c r="S5285" s="0" t="s">
        <v>21</v>
      </c>
      <c r="T5285" s="0" t="s">
        <v>104</v>
      </c>
      <c r="W5285" s="0" t="s">
        <v>105</v>
      </c>
    </row>
    <row r="5286" customFormat="false" ht="15" hidden="false" customHeight="false" outlineLevel="0" collapsed="false">
      <c r="A5286" s="0" t="s">
        <v>21</v>
      </c>
      <c r="B5286" s="0" t="s">
        <v>15249</v>
      </c>
      <c r="C5286" s="0" t="s">
        <v>97</v>
      </c>
      <c r="D5286" s="0" t="s">
        <v>15250</v>
      </c>
      <c r="E5286" s="0" t="s">
        <v>15251</v>
      </c>
      <c r="M5286" s="0" t="s">
        <v>136</v>
      </c>
      <c r="N5286" s="0" t="s">
        <v>124</v>
      </c>
      <c r="P5286" s="0" t="s">
        <v>102</v>
      </c>
      <c r="Q5286" s="0" t="s">
        <v>102</v>
      </c>
      <c r="R5286" s="0" t="s">
        <v>131</v>
      </c>
      <c r="S5286" s="0" t="s">
        <v>21</v>
      </c>
      <c r="T5286" s="0" t="s">
        <v>104</v>
      </c>
      <c r="W5286" s="0" t="s">
        <v>105</v>
      </c>
    </row>
    <row r="5287" customFormat="false" ht="15" hidden="false" customHeight="false" outlineLevel="0" collapsed="false">
      <c r="A5287" s="0" t="s">
        <v>21</v>
      </c>
      <c r="B5287" s="0" t="s">
        <v>15252</v>
      </c>
      <c r="C5287" s="0" t="s">
        <v>97</v>
      </c>
      <c r="D5287" s="0" t="s">
        <v>1500</v>
      </c>
      <c r="E5287" s="0" t="s">
        <v>15253</v>
      </c>
      <c r="H5287" s="0" t="s">
        <v>1501</v>
      </c>
      <c r="I5287" s="0" t="s">
        <v>1502</v>
      </c>
      <c r="J5287" s="0" t="s">
        <v>1502</v>
      </c>
      <c r="K5287" s="0" t="s">
        <v>1488</v>
      </c>
      <c r="L5287" s="0" t="s">
        <v>101</v>
      </c>
      <c r="M5287" s="0" t="s">
        <v>1348</v>
      </c>
      <c r="N5287" s="0" t="s">
        <v>101</v>
      </c>
      <c r="P5287" s="0" t="s">
        <v>102</v>
      </c>
      <c r="Q5287" s="0" t="s">
        <v>102</v>
      </c>
      <c r="R5287" s="0" t="s">
        <v>113</v>
      </c>
      <c r="S5287" s="0" t="s">
        <v>21</v>
      </c>
      <c r="T5287" s="0" t="s">
        <v>104</v>
      </c>
      <c r="W5287" s="0" t="s">
        <v>105</v>
      </c>
      <c r="X5287" s="0" t="s">
        <v>15254</v>
      </c>
      <c r="Y5287" s="0" t="s">
        <v>15255</v>
      </c>
    </row>
    <row r="5288" customFormat="false" ht="15" hidden="false" customHeight="false" outlineLevel="0" collapsed="false">
      <c r="A5288" s="0" t="s">
        <v>21</v>
      </c>
      <c r="B5288" s="0" t="s">
        <v>15256</v>
      </c>
      <c r="C5288" s="0" t="s">
        <v>395</v>
      </c>
      <c r="D5288" s="0" t="s">
        <v>15257</v>
      </c>
      <c r="E5288" s="0" t="s">
        <v>15258</v>
      </c>
      <c r="H5288" s="0" t="s">
        <v>15259</v>
      </c>
      <c r="I5288" s="0" t="s">
        <v>15260</v>
      </c>
      <c r="J5288" s="0" t="s">
        <v>275</v>
      </c>
      <c r="K5288" s="0" t="s">
        <v>15261</v>
      </c>
      <c r="M5288" s="0" t="s">
        <v>178</v>
      </c>
      <c r="N5288" s="0" t="s">
        <v>124</v>
      </c>
      <c r="P5288" s="0" t="s">
        <v>102</v>
      </c>
      <c r="Q5288" s="0" t="s">
        <v>102</v>
      </c>
      <c r="R5288" s="0" t="s">
        <v>131</v>
      </c>
      <c r="S5288" s="0" t="s">
        <v>21</v>
      </c>
      <c r="T5288" s="0" t="s">
        <v>104</v>
      </c>
      <c r="W5288" s="0" t="s">
        <v>105</v>
      </c>
      <c r="X5288" s="0" t="s">
        <v>15262</v>
      </c>
      <c r="Y5288" s="0" t="s">
        <v>15263</v>
      </c>
      <c r="Z5288" s="0" t="s">
        <v>134</v>
      </c>
    </row>
    <row r="5289" customFormat="false" ht="15" hidden="false" customHeight="false" outlineLevel="0" collapsed="false">
      <c r="A5289" s="0" t="s">
        <v>21</v>
      </c>
      <c r="B5289" s="0" t="s">
        <v>15264</v>
      </c>
      <c r="C5289" s="0" t="s">
        <v>110</v>
      </c>
      <c r="D5289" s="0" t="s">
        <v>15265</v>
      </c>
      <c r="E5289" s="0" t="s">
        <v>15266</v>
      </c>
      <c r="H5289" s="0" t="s">
        <v>15267</v>
      </c>
      <c r="I5289" s="0" t="s">
        <v>15268</v>
      </c>
      <c r="J5289" s="0" t="s">
        <v>157</v>
      </c>
      <c r="K5289" s="0" t="s">
        <v>15269</v>
      </c>
      <c r="M5289" s="0" t="s">
        <v>232</v>
      </c>
      <c r="N5289" s="0" t="s">
        <v>124</v>
      </c>
      <c r="P5289" s="0" t="s">
        <v>102</v>
      </c>
      <c r="Q5289" s="0" t="s">
        <v>102</v>
      </c>
      <c r="R5289" s="0" t="s">
        <v>131</v>
      </c>
      <c r="S5289" s="0" t="s">
        <v>21</v>
      </c>
      <c r="T5289" s="0" t="s">
        <v>104</v>
      </c>
      <c r="W5289" s="0" t="s">
        <v>105</v>
      </c>
      <c r="Z5289" s="0" t="s">
        <v>134</v>
      </c>
    </row>
    <row r="5290" customFormat="false" ht="15" hidden="false" customHeight="false" outlineLevel="0" collapsed="false">
      <c r="A5290" s="0" t="s">
        <v>21</v>
      </c>
      <c r="B5290" s="0" t="s">
        <v>15270</v>
      </c>
      <c r="C5290" s="0" t="s">
        <v>4845</v>
      </c>
      <c r="D5290" s="0" t="s">
        <v>15271</v>
      </c>
      <c r="E5290" s="0" t="s">
        <v>15272</v>
      </c>
      <c r="G5290" s="0" t="s">
        <v>15273</v>
      </c>
      <c r="M5290" s="0" t="s">
        <v>208</v>
      </c>
      <c r="N5290" s="0" t="s">
        <v>124</v>
      </c>
      <c r="P5290" s="0" t="s">
        <v>102</v>
      </c>
      <c r="Q5290" s="0" t="s">
        <v>102</v>
      </c>
      <c r="R5290" s="0" t="s">
        <v>131</v>
      </c>
      <c r="S5290" s="0" t="s">
        <v>21</v>
      </c>
      <c r="T5290" s="0" t="s">
        <v>104</v>
      </c>
      <c r="W5290" s="0" t="s">
        <v>105</v>
      </c>
    </row>
    <row r="5291" customFormat="false" ht="15" hidden="false" customHeight="false" outlineLevel="0" collapsed="false">
      <c r="A5291" s="0" t="s">
        <v>21</v>
      </c>
      <c r="B5291" s="0" t="s">
        <v>15274</v>
      </c>
      <c r="C5291" s="0" t="s">
        <v>190</v>
      </c>
      <c r="D5291" s="0" t="s">
        <v>15275</v>
      </c>
      <c r="E5291" s="0" t="s">
        <v>15276</v>
      </c>
      <c r="H5291" s="0" t="s">
        <v>15277</v>
      </c>
      <c r="I5291" s="0" t="s">
        <v>15278</v>
      </c>
      <c r="J5291" s="0" t="s">
        <v>275</v>
      </c>
      <c r="K5291" s="0" t="s">
        <v>15279</v>
      </c>
      <c r="M5291" s="0" t="s">
        <v>178</v>
      </c>
      <c r="N5291" s="0" t="s">
        <v>124</v>
      </c>
      <c r="P5291" s="0" t="s">
        <v>102</v>
      </c>
      <c r="Q5291" s="0" t="s">
        <v>102</v>
      </c>
      <c r="R5291" s="0" t="s">
        <v>131</v>
      </c>
      <c r="S5291" s="0" t="s">
        <v>21</v>
      </c>
      <c r="T5291" s="0" t="s">
        <v>104</v>
      </c>
      <c r="W5291" s="0" t="s">
        <v>105</v>
      </c>
      <c r="X5291" s="0" t="s">
        <v>15280</v>
      </c>
      <c r="Y5291" s="0" t="s">
        <v>15281</v>
      </c>
      <c r="Z5291" s="0" t="s">
        <v>134</v>
      </c>
    </row>
    <row r="5292" customFormat="false" ht="15" hidden="false" customHeight="false" outlineLevel="0" collapsed="false">
      <c r="A5292" s="0" t="s">
        <v>21</v>
      </c>
      <c r="B5292" s="0" t="s">
        <v>15282</v>
      </c>
      <c r="C5292" s="0" t="s">
        <v>97</v>
      </c>
      <c r="D5292" s="0" t="s">
        <v>15283</v>
      </c>
      <c r="E5292" s="0" t="s">
        <v>15283</v>
      </c>
      <c r="M5292" s="0" t="s">
        <v>124</v>
      </c>
      <c r="N5292" s="0" t="s">
        <v>124</v>
      </c>
      <c r="P5292" s="0" t="s">
        <v>102</v>
      </c>
      <c r="Q5292" s="0" t="s">
        <v>102</v>
      </c>
      <c r="R5292" s="0" t="s">
        <v>131</v>
      </c>
      <c r="S5292" s="0" t="s">
        <v>21</v>
      </c>
      <c r="T5292" s="0" t="s">
        <v>104</v>
      </c>
      <c r="W5292" s="0" t="s">
        <v>105</v>
      </c>
    </row>
    <row r="5293" customFormat="false" ht="15" hidden="false" customHeight="false" outlineLevel="0" collapsed="false">
      <c r="A5293" s="0" t="s">
        <v>21</v>
      </c>
      <c r="B5293" s="0" t="s">
        <v>15284</v>
      </c>
      <c r="C5293" s="0" t="s">
        <v>97</v>
      </c>
      <c r="D5293" s="0" t="s">
        <v>15285</v>
      </c>
      <c r="E5293" s="0" t="s">
        <v>15286</v>
      </c>
      <c r="M5293" s="0" t="s">
        <v>136</v>
      </c>
      <c r="N5293" s="0" t="s">
        <v>124</v>
      </c>
      <c r="P5293" s="0" t="s">
        <v>102</v>
      </c>
      <c r="Q5293" s="0" t="s">
        <v>102</v>
      </c>
      <c r="R5293" s="0" t="s">
        <v>131</v>
      </c>
      <c r="S5293" s="0" t="s">
        <v>21</v>
      </c>
      <c r="T5293" s="0" t="s">
        <v>104</v>
      </c>
      <c r="W5293" s="0" t="s">
        <v>105</v>
      </c>
    </row>
    <row r="5294" customFormat="false" ht="15" hidden="false" customHeight="false" outlineLevel="0" collapsed="false">
      <c r="A5294" s="0" t="s">
        <v>21</v>
      </c>
      <c r="B5294" s="0" t="s">
        <v>15287</v>
      </c>
      <c r="C5294" s="0" t="s">
        <v>97</v>
      </c>
      <c r="D5294" s="0" t="s">
        <v>15265</v>
      </c>
      <c r="E5294" s="0" t="s">
        <v>15288</v>
      </c>
      <c r="M5294" s="0" t="s">
        <v>136</v>
      </c>
      <c r="N5294" s="0" t="s">
        <v>124</v>
      </c>
      <c r="P5294" s="0" t="s">
        <v>102</v>
      </c>
      <c r="Q5294" s="0" t="s">
        <v>102</v>
      </c>
      <c r="R5294" s="0" t="s">
        <v>131</v>
      </c>
      <c r="S5294" s="0" t="s">
        <v>21</v>
      </c>
      <c r="T5294" s="0" t="s">
        <v>104</v>
      </c>
      <c r="W5294" s="0" t="s">
        <v>105</v>
      </c>
    </row>
    <row r="5295" customFormat="false" ht="15" hidden="false" customHeight="false" outlineLevel="0" collapsed="false">
      <c r="A5295" s="0" t="s">
        <v>21</v>
      </c>
      <c r="B5295" s="0" t="s">
        <v>15289</v>
      </c>
      <c r="C5295" s="0" t="s">
        <v>97</v>
      </c>
      <c r="D5295" s="0" t="s">
        <v>5228</v>
      </c>
      <c r="E5295" s="0" t="s">
        <v>15290</v>
      </c>
      <c r="M5295" s="0" t="s">
        <v>136</v>
      </c>
      <c r="N5295" s="0" t="s">
        <v>124</v>
      </c>
      <c r="P5295" s="0" t="s">
        <v>102</v>
      </c>
      <c r="Q5295" s="0" t="s">
        <v>102</v>
      </c>
      <c r="R5295" s="0" t="s">
        <v>131</v>
      </c>
      <c r="S5295" s="0" t="s">
        <v>21</v>
      </c>
      <c r="T5295" s="0" t="s">
        <v>104</v>
      </c>
      <c r="W5295" s="0" t="s">
        <v>105</v>
      </c>
    </row>
    <row r="5296" customFormat="false" ht="15" hidden="false" customHeight="false" outlineLevel="0" collapsed="false">
      <c r="A5296" s="0" t="s">
        <v>21</v>
      </c>
      <c r="B5296" s="0" t="s">
        <v>15291</v>
      </c>
      <c r="C5296" s="0" t="s">
        <v>97</v>
      </c>
      <c r="D5296" s="0" t="s">
        <v>15292</v>
      </c>
      <c r="E5296" s="0" t="s">
        <v>15293</v>
      </c>
      <c r="M5296" s="0" t="s">
        <v>136</v>
      </c>
      <c r="N5296" s="0" t="s">
        <v>124</v>
      </c>
      <c r="P5296" s="0" t="s">
        <v>102</v>
      </c>
      <c r="Q5296" s="0" t="s">
        <v>102</v>
      </c>
      <c r="R5296" s="0" t="s">
        <v>131</v>
      </c>
      <c r="S5296" s="0" t="s">
        <v>21</v>
      </c>
      <c r="T5296" s="0" t="s">
        <v>104</v>
      </c>
      <c r="W5296" s="0" t="s">
        <v>105</v>
      </c>
    </row>
    <row r="5297" customFormat="false" ht="15" hidden="false" customHeight="false" outlineLevel="0" collapsed="false">
      <c r="A5297" s="0" t="s">
        <v>21</v>
      </c>
      <c r="B5297" s="0" t="s">
        <v>15294</v>
      </c>
      <c r="C5297" s="0" t="s">
        <v>97</v>
      </c>
      <c r="D5297" s="0" t="s">
        <v>15295</v>
      </c>
      <c r="E5297" s="0" t="s">
        <v>15296</v>
      </c>
      <c r="M5297" s="0" t="s">
        <v>136</v>
      </c>
      <c r="N5297" s="0" t="s">
        <v>124</v>
      </c>
      <c r="P5297" s="0" t="s">
        <v>102</v>
      </c>
      <c r="Q5297" s="0" t="s">
        <v>102</v>
      </c>
      <c r="R5297" s="0" t="s">
        <v>131</v>
      </c>
      <c r="S5297" s="0" t="s">
        <v>21</v>
      </c>
      <c r="T5297" s="0" t="s">
        <v>104</v>
      </c>
      <c r="W5297" s="0" t="s">
        <v>105</v>
      </c>
    </row>
    <row r="5298" customFormat="false" ht="15" hidden="false" customHeight="false" outlineLevel="0" collapsed="false">
      <c r="A5298" s="0" t="s">
        <v>21</v>
      </c>
      <c r="B5298" s="0" t="s">
        <v>15297</v>
      </c>
      <c r="C5298" s="0" t="s">
        <v>97</v>
      </c>
      <c r="D5298" s="0" t="s">
        <v>15298</v>
      </c>
      <c r="E5298" s="0" t="s">
        <v>15299</v>
      </c>
      <c r="M5298" s="0" t="s">
        <v>136</v>
      </c>
      <c r="N5298" s="0" t="s">
        <v>124</v>
      </c>
      <c r="P5298" s="0" t="s">
        <v>102</v>
      </c>
      <c r="Q5298" s="0" t="s">
        <v>102</v>
      </c>
      <c r="R5298" s="0" t="s">
        <v>131</v>
      </c>
      <c r="S5298" s="0" t="s">
        <v>21</v>
      </c>
      <c r="T5298" s="0" t="s">
        <v>104</v>
      </c>
      <c r="W5298" s="0" t="s">
        <v>105</v>
      </c>
    </row>
    <row r="5299" customFormat="false" ht="15" hidden="false" customHeight="false" outlineLevel="0" collapsed="false">
      <c r="A5299" s="0" t="s">
        <v>21</v>
      </c>
      <c r="B5299" s="0" t="s">
        <v>15300</v>
      </c>
      <c r="C5299" s="0" t="s">
        <v>97</v>
      </c>
      <c r="D5299" s="0" t="s">
        <v>15301</v>
      </c>
      <c r="E5299" s="0" t="s">
        <v>15302</v>
      </c>
      <c r="M5299" s="0" t="s">
        <v>136</v>
      </c>
      <c r="N5299" s="0" t="s">
        <v>124</v>
      </c>
      <c r="P5299" s="0" t="s">
        <v>102</v>
      </c>
      <c r="Q5299" s="0" t="s">
        <v>102</v>
      </c>
      <c r="R5299" s="0" t="s">
        <v>131</v>
      </c>
      <c r="S5299" s="0" t="s">
        <v>21</v>
      </c>
      <c r="T5299" s="0" t="s">
        <v>104</v>
      </c>
      <c r="W5299" s="0" t="s">
        <v>105</v>
      </c>
    </row>
    <row r="5300" customFormat="false" ht="15" hidden="false" customHeight="false" outlineLevel="0" collapsed="false">
      <c r="A5300" s="0" t="s">
        <v>21</v>
      </c>
      <c r="B5300" s="0" t="s">
        <v>15303</v>
      </c>
      <c r="C5300" s="0" t="s">
        <v>97</v>
      </c>
      <c r="D5300" s="0" t="s">
        <v>15304</v>
      </c>
      <c r="E5300" s="0" t="s">
        <v>15305</v>
      </c>
      <c r="M5300" s="0" t="s">
        <v>136</v>
      </c>
      <c r="N5300" s="0" t="s">
        <v>124</v>
      </c>
      <c r="P5300" s="0" t="s">
        <v>102</v>
      </c>
      <c r="Q5300" s="0" t="s">
        <v>102</v>
      </c>
      <c r="R5300" s="0" t="s">
        <v>131</v>
      </c>
      <c r="S5300" s="0" t="s">
        <v>21</v>
      </c>
      <c r="T5300" s="0" t="s">
        <v>104</v>
      </c>
      <c r="W5300" s="0" t="s">
        <v>105</v>
      </c>
    </row>
    <row r="5301" customFormat="false" ht="15" hidden="false" customHeight="false" outlineLevel="0" collapsed="false">
      <c r="A5301" s="0" t="s">
        <v>21</v>
      </c>
      <c r="B5301" s="0" t="s">
        <v>15306</v>
      </c>
      <c r="C5301" s="0" t="s">
        <v>97</v>
      </c>
      <c r="D5301" s="0" t="s">
        <v>15283</v>
      </c>
      <c r="E5301" s="0" t="s">
        <v>15283</v>
      </c>
      <c r="M5301" s="0" t="s">
        <v>124</v>
      </c>
      <c r="N5301" s="0" t="s">
        <v>124</v>
      </c>
      <c r="P5301" s="0" t="s">
        <v>102</v>
      </c>
      <c r="Q5301" s="0" t="s">
        <v>102</v>
      </c>
      <c r="R5301" s="0" t="s">
        <v>131</v>
      </c>
      <c r="S5301" s="0" t="s">
        <v>21</v>
      </c>
      <c r="T5301" s="0" t="s">
        <v>104</v>
      </c>
      <c r="W5301" s="0" t="s">
        <v>105</v>
      </c>
    </row>
    <row r="5302" customFormat="false" ht="15" hidden="false" customHeight="false" outlineLevel="0" collapsed="false">
      <c r="A5302" s="0" t="s">
        <v>21</v>
      </c>
      <c r="B5302" s="0" t="s">
        <v>15307</v>
      </c>
      <c r="C5302" s="0" t="s">
        <v>97</v>
      </c>
      <c r="D5302" s="0" t="s">
        <v>15308</v>
      </c>
      <c r="E5302" s="0" t="s">
        <v>15309</v>
      </c>
      <c r="M5302" s="0" t="s">
        <v>136</v>
      </c>
      <c r="N5302" s="0" t="s">
        <v>124</v>
      </c>
      <c r="P5302" s="0" t="s">
        <v>102</v>
      </c>
      <c r="Q5302" s="0" t="s">
        <v>102</v>
      </c>
      <c r="R5302" s="0" t="s">
        <v>131</v>
      </c>
      <c r="S5302" s="0" t="s">
        <v>21</v>
      </c>
      <c r="T5302" s="0" t="s">
        <v>104</v>
      </c>
      <c r="W5302" s="0" t="s">
        <v>105</v>
      </c>
    </row>
    <row r="5303" customFormat="false" ht="15" hidden="false" customHeight="false" outlineLevel="0" collapsed="false">
      <c r="A5303" s="0" t="s">
        <v>21</v>
      </c>
      <c r="B5303" s="0" t="s">
        <v>15310</v>
      </c>
      <c r="C5303" s="0" t="s">
        <v>97</v>
      </c>
      <c r="D5303" s="0" t="s">
        <v>15283</v>
      </c>
      <c r="E5303" s="0" t="s">
        <v>15283</v>
      </c>
      <c r="M5303" s="0" t="s">
        <v>136</v>
      </c>
      <c r="N5303" s="0" t="s">
        <v>124</v>
      </c>
      <c r="P5303" s="0" t="s">
        <v>102</v>
      </c>
      <c r="Q5303" s="0" t="s">
        <v>102</v>
      </c>
      <c r="R5303" s="0" t="s">
        <v>131</v>
      </c>
      <c r="S5303" s="0" t="s">
        <v>21</v>
      </c>
      <c r="T5303" s="0" t="s">
        <v>104</v>
      </c>
      <c r="W5303" s="0" t="s">
        <v>105</v>
      </c>
    </row>
    <row r="5304" customFormat="false" ht="15" hidden="false" customHeight="false" outlineLevel="0" collapsed="false">
      <c r="A5304" s="0" t="s">
        <v>21</v>
      </c>
      <c r="B5304" s="0" t="s">
        <v>15311</v>
      </c>
      <c r="C5304" s="0" t="s">
        <v>97</v>
      </c>
      <c r="D5304" s="0" t="s">
        <v>15312</v>
      </c>
      <c r="E5304" s="0" t="s">
        <v>15313</v>
      </c>
      <c r="M5304" s="0" t="s">
        <v>136</v>
      </c>
      <c r="N5304" s="0" t="s">
        <v>124</v>
      </c>
      <c r="P5304" s="0" t="s">
        <v>102</v>
      </c>
      <c r="Q5304" s="0" t="s">
        <v>102</v>
      </c>
      <c r="R5304" s="0" t="s">
        <v>131</v>
      </c>
      <c r="S5304" s="0" t="s">
        <v>21</v>
      </c>
      <c r="T5304" s="0" t="s">
        <v>104</v>
      </c>
      <c r="W5304" s="0" t="s">
        <v>105</v>
      </c>
    </row>
    <row r="5305" customFormat="false" ht="15" hidden="false" customHeight="false" outlineLevel="0" collapsed="false">
      <c r="A5305" s="0" t="s">
        <v>21</v>
      </c>
      <c r="B5305" s="0" t="s">
        <v>15314</v>
      </c>
      <c r="C5305" s="0" t="s">
        <v>97</v>
      </c>
      <c r="D5305" s="0" t="s">
        <v>12713</v>
      </c>
      <c r="E5305" s="0" t="s">
        <v>12714</v>
      </c>
      <c r="M5305" s="0" t="s">
        <v>136</v>
      </c>
      <c r="N5305" s="0" t="s">
        <v>124</v>
      </c>
      <c r="P5305" s="0" t="s">
        <v>102</v>
      </c>
      <c r="Q5305" s="0" t="s">
        <v>102</v>
      </c>
      <c r="R5305" s="0" t="s">
        <v>131</v>
      </c>
      <c r="S5305" s="0" t="s">
        <v>21</v>
      </c>
      <c r="T5305" s="0" t="s">
        <v>104</v>
      </c>
      <c r="W5305" s="0" t="s">
        <v>105</v>
      </c>
    </row>
    <row r="5306" customFormat="false" ht="15" hidden="false" customHeight="false" outlineLevel="0" collapsed="false">
      <c r="A5306" s="0" t="s">
        <v>21</v>
      </c>
      <c r="B5306" s="0" t="s">
        <v>15315</v>
      </c>
      <c r="C5306" s="0" t="s">
        <v>97</v>
      </c>
      <c r="D5306" s="0" t="s">
        <v>15316</v>
      </c>
      <c r="E5306" s="0" t="s">
        <v>15317</v>
      </c>
      <c r="M5306" s="0" t="s">
        <v>136</v>
      </c>
      <c r="N5306" s="0" t="s">
        <v>124</v>
      </c>
      <c r="P5306" s="0" t="s">
        <v>102</v>
      </c>
      <c r="Q5306" s="0" t="s">
        <v>102</v>
      </c>
      <c r="R5306" s="0" t="s">
        <v>131</v>
      </c>
      <c r="S5306" s="0" t="s">
        <v>21</v>
      </c>
      <c r="T5306" s="0" t="s">
        <v>104</v>
      </c>
      <c r="W5306" s="0" t="s">
        <v>105</v>
      </c>
    </row>
    <row r="5307" customFormat="false" ht="15" hidden="false" customHeight="false" outlineLevel="0" collapsed="false">
      <c r="A5307" s="0" t="s">
        <v>21</v>
      </c>
      <c r="B5307" s="0" t="s">
        <v>15318</v>
      </c>
      <c r="C5307" s="0" t="s">
        <v>97</v>
      </c>
      <c r="D5307" s="0" t="s">
        <v>15319</v>
      </c>
      <c r="E5307" s="0" t="s">
        <v>15319</v>
      </c>
      <c r="F5307" s="0" t="s">
        <v>15319</v>
      </c>
      <c r="M5307" s="0" t="s">
        <v>136</v>
      </c>
      <c r="N5307" s="0" t="s">
        <v>124</v>
      </c>
      <c r="P5307" s="0" t="s">
        <v>102</v>
      </c>
      <c r="Q5307" s="0" t="s">
        <v>102</v>
      </c>
      <c r="R5307" s="0" t="s">
        <v>131</v>
      </c>
      <c r="S5307" s="0" t="s">
        <v>21</v>
      </c>
      <c r="T5307" s="0" t="s">
        <v>104</v>
      </c>
      <c r="W5307" s="0" t="s">
        <v>105</v>
      </c>
    </row>
    <row r="5308" customFormat="false" ht="15" hidden="false" customHeight="false" outlineLevel="0" collapsed="false">
      <c r="A5308" s="0" t="s">
        <v>21</v>
      </c>
      <c r="B5308" s="0" t="s">
        <v>15320</v>
      </c>
      <c r="C5308" s="0" t="s">
        <v>97</v>
      </c>
      <c r="D5308" s="0" t="s">
        <v>15321</v>
      </c>
      <c r="E5308" s="0" t="s">
        <v>15322</v>
      </c>
      <c r="G5308" s="0" t="s">
        <v>15323</v>
      </c>
      <c r="H5308" s="0" t="s">
        <v>15324</v>
      </c>
      <c r="I5308" s="0" t="s">
        <v>15325</v>
      </c>
      <c r="J5308" s="0" t="s">
        <v>1564</v>
      </c>
      <c r="K5308" s="0" t="s">
        <v>1175</v>
      </c>
      <c r="L5308" s="0" t="s">
        <v>101</v>
      </c>
      <c r="M5308" s="0" t="s">
        <v>1564</v>
      </c>
      <c r="N5308" s="0" t="s">
        <v>101</v>
      </c>
      <c r="P5308" s="0" t="s">
        <v>102</v>
      </c>
      <c r="Q5308" s="0" t="s">
        <v>102</v>
      </c>
      <c r="R5308" s="0" t="s">
        <v>131</v>
      </c>
      <c r="S5308" s="0" t="s">
        <v>21</v>
      </c>
      <c r="T5308" s="0" t="s">
        <v>104</v>
      </c>
      <c r="W5308" s="0" t="s">
        <v>105</v>
      </c>
      <c r="X5308" s="0" t="s">
        <v>15326</v>
      </c>
      <c r="Y5308" s="0" t="s">
        <v>15327</v>
      </c>
    </row>
    <row r="5309" customFormat="false" ht="15" hidden="false" customHeight="false" outlineLevel="0" collapsed="false">
      <c r="A5309" s="0" t="s">
        <v>21</v>
      </c>
      <c r="B5309" s="0" t="s">
        <v>15328</v>
      </c>
      <c r="C5309" s="0" t="s">
        <v>97</v>
      </c>
      <c r="D5309" s="0" t="s">
        <v>15329</v>
      </c>
      <c r="E5309" s="0" t="s">
        <v>15330</v>
      </c>
      <c r="G5309" s="0" t="s">
        <v>15331</v>
      </c>
      <c r="H5309" s="0" t="s">
        <v>654</v>
      </c>
      <c r="I5309" s="0" t="s">
        <v>655</v>
      </c>
      <c r="J5309" s="0" t="s">
        <v>100</v>
      </c>
      <c r="K5309" s="0" t="s">
        <v>168</v>
      </c>
      <c r="L5309" s="0" t="s">
        <v>101</v>
      </c>
      <c r="M5309" s="0" t="s">
        <v>656</v>
      </c>
      <c r="N5309" s="0" t="s">
        <v>101</v>
      </c>
      <c r="P5309" s="0" t="s">
        <v>102</v>
      </c>
      <c r="Q5309" s="0" t="s">
        <v>102</v>
      </c>
      <c r="R5309" s="0" t="s">
        <v>131</v>
      </c>
      <c r="S5309" s="0" t="s">
        <v>21</v>
      </c>
      <c r="T5309" s="0" t="s">
        <v>104</v>
      </c>
      <c r="W5309" s="0" t="s">
        <v>105</v>
      </c>
      <c r="X5309" s="0" t="s">
        <v>658</v>
      </c>
      <c r="Y5309" s="0" t="s">
        <v>659</v>
      </c>
    </row>
    <row r="5310" customFormat="false" ht="15" hidden="false" customHeight="false" outlineLevel="0" collapsed="false">
      <c r="A5310" s="0" t="s">
        <v>21</v>
      </c>
      <c r="B5310" s="0" t="s">
        <v>15332</v>
      </c>
      <c r="C5310" s="0" t="s">
        <v>97</v>
      </c>
      <c r="D5310" s="0" t="s">
        <v>15333</v>
      </c>
      <c r="E5310" s="0" t="s">
        <v>15334</v>
      </c>
      <c r="G5310" s="0" t="s">
        <v>15335</v>
      </c>
      <c r="H5310" s="0" t="s">
        <v>654</v>
      </c>
      <c r="I5310" s="0" t="s">
        <v>655</v>
      </c>
      <c r="J5310" s="0" t="s">
        <v>100</v>
      </c>
      <c r="K5310" s="0" t="s">
        <v>168</v>
      </c>
      <c r="L5310" s="0" t="s">
        <v>101</v>
      </c>
      <c r="M5310" s="0" t="s">
        <v>656</v>
      </c>
      <c r="N5310" s="0" t="s">
        <v>101</v>
      </c>
      <c r="P5310" s="0" t="s">
        <v>102</v>
      </c>
      <c r="Q5310" s="0" t="s">
        <v>102</v>
      </c>
      <c r="R5310" s="0" t="s">
        <v>131</v>
      </c>
      <c r="S5310" s="0" t="s">
        <v>21</v>
      </c>
      <c r="T5310" s="0" t="s">
        <v>104</v>
      </c>
      <c r="W5310" s="0" t="s">
        <v>105</v>
      </c>
      <c r="X5310" s="0" t="s">
        <v>658</v>
      </c>
      <c r="Y5310" s="0" t="s">
        <v>659</v>
      </c>
    </row>
    <row r="5311" customFormat="false" ht="15" hidden="false" customHeight="false" outlineLevel="0" collapsed="false">
      <c r="A5311" s="0" t="s">
        <v>21</v>
      </c>
      <c r="B5311" s="0" t="s">
        <v>15336</v>
      </c>
      <c r="C5311" s="0" t="s">
        <v>174</v>
      </c>
      <c r="D5311" s="0" t="s">
        <v>15337</v>
      </c>
      <c r="E5311" s="0" t="s">
        <v>15338</v>
      </c>
      <c r="M5311" s="0" t="s">
        <v>8186</v>
      </c>
      <c r="N5311" s="0" t="s">
        <v>124</v>
      </c>
      <c r="P5311" s="0" t="s">
        <v>102</v>
      </c>
      <c r="Q5311" s="0" t="s">
        <v>102</v>
      </c>
      <c r="R5311" s="0" t="s">
        <v>131</v>
      </c>
      <c r="S5311" s="0" t="s">
        <v>21</v>
      </c>
      <c r="T5311" s="0" t="s">
        <v>104</v>
      </c>
      <c r="U5311" s="0" t="s">
        <v>2706</v>
      </c>
      <c r="W5311" s="0" t="s">
        <v>105</v>
      </c>
    </row>
    <row r="5312" customFormat="false" ht="15" hidden="false" customHeight="false" outlineLevel="0" collapsed="false">
      <c r="A5312" s="0" t="s">
        <v>21</v>
      </c>
      <c r="B5312" s="0" t="s">
        <v>15339</v>
      </c>
      <c r="C5312" s="0" t="s">
        <v>97</v>
      </c>
      <c r="D5312" s="0" t="s">
        <v>15339</v>
      </c>
      <c r="E5312" s="0" t="s">
        <v>15339</v>
      </c>
      <c r="M5312" s="0" t="s">
        <v>232</v>
      </c>
      <c r="N5312" s="0" t="s">
        <v>124</v>
      </c>
      <c r="P5312" s="0" t="s">
        <v>102</v>
      </c>
      <c r="Q5312" s="0" t="s">
        <v>102</v>
      </c>
      <c r="R5312" s="0" t="s">
        <v>131</v>
      </c>
      <c r="S5312" s="0" t="s">
        <v>21</v>
      </c>
      <c r="T5312" s="0" t="s">
        <v>104</v>
      </c>
      <c r="W5312" s="0" t="s">
        <v>105</v>
      </c>
    </row>
    <row r="5313" customFormat="false" ht="15" hidden="false" customHeight="false" outlineLevel="0" collapsed="false">
      <c r="A5313" s="0" t="s">
        <v>21</v>
      </c>
      <c r="B5313" s="0" t="s">
        <v>15340</v>
      </c>
      <c r="C5313" s="0" t="s">
        <v>97</v>
      </c>
      <c r="M5313" s="0" t="s">
        <v>232</v>
      </c>
      <c r="N5313" s="0" t="s">
        <v>124</v>
      </c>
      <c r="P5313" s="0" t="s">
        <v>102</v>
      </c>
      <c r="Q5313" s="0" t="s">
        <v>102</v>
      </c>
      <c r="R5313" s="0" t="s">
        <v>137</v>
      </c>
      <c r="S5313" s="0" t="s">
        <v>21</v>
      </c>
      <c r="T5313" s="0" t="s">
        <v>104</v>
      </c>
      <c r="W5313" s="0" t="s">
        <v>105</v>
      </c>
    </row>
    <row r="5314" customFormat="false" ht="15" hidden="false" customHeight="false" outlineLevel="0" collapsed="false">
      <c r="A5314" s="0" t="s">
        <v>21</v>
      </c>
      <c r="B5314" s="0" t="s">
        <v>15341</v>
      </c>
      <c r="C5314" s="0" t="s">
        <v>97</v>
      </c>
      <c r="D5314" s="0" t="s">
        <v>15342</v>
      </c>
      <c r="E5314" s="0" t="s">
        <v>15343</v>
      </c>
      <c r="H5314" s="0" t="s">
        <v>654</v>
      </c>
      <c r="I5314" s="0" t="s">
        <v>655</v>
      </c>
      <c r="J5314" s="0" t="s">
        <v>100</v>
      </c>
      <c r="K5314" s="0" t="s">
        <v>168</v>
      </c>
      <c r="L5314" s="0" t="s">
        <v>101</v>
      </c>
      <c r="M5314" s="0" t="s">
        <v>656</v>
      </c>
      <c r="N5314" s="0" t="s">
        <v>101</v>
      </c>
      <c r="P5314" s="0" t="s">
        <v>102</v>
      </c>
      <c r="Q5314" s="0" t="s">
        <v>102</v>
      </c>
      <c r="R5314" s="0" t="s">
        <v>113</v>
      </c>
      <c r="S5314" s="0" t="s">
        <v>21</v>
      </c>
      <c r="T5314" s="0" t="s">
        <v>104</v>
      </c>
      <c r="W5314" s="0" t="s">
        <v>105</v>
      </c>
      <c r="X5314" s="0" t="s">
        <v>658</v>
      </c>
      <c r="Y5314" s="0" t="s">
        <v>659</v>
      </c>
    </row>
    <row r="5315" customFormat="false" ht="15" hidden="false" customHeight="false" outlineLevel="0" collapsed="false">
      <c r="A5315" s="0" t="s">
        <v>21</v>
      </c>
      <c r="B5315" s="0" t="s">
        <v>5458</v>
      </c>
      <c r="C5315" s="0" t="s">
        <v>190</v>
      </c>
      <c r="D5315" s="0" t="s">
        <v>15344</v>
      </c>
      <c r="E5315" s="0" t="s">
        <v>15345</v>
      </c>
      <c r="H5315" s="0" t="s">
        <v>15346</v>
      </c>
      <c r="I5315" s="0" t="s">
        <v>5458</v>
      </c>
      <c r="J5315" s="0" t="s">
        <v>157</v>
      </c>
      <c r="K5315" s="0" t="s">
        <v>5459</v>
      </c>
      <c r="L5315" s="0" t="s">
        <v>124</v>
      </c>
      <c r="M5315" s="0" t="s">
        <v>232</v>
      </c>
      <c r="N5315" s="0" t="s">
        <v>124</v>
      </c>
      <c r="P5315" s="0" t="s">
        <v>102</v>
      </c>
      <c r="Q5315" s="0" t="s">
        <v>102</v>
      </c>
      <c r="R5315" s="0" t="s">
        <v>131</v>
      </c>
      <c r="S5315" s="0" t="s">
        <v>21</v>
      </c>
      <c r="T5315" s="0" t="s">
        <v>104</v>
      </c>
      <c r="W5315" s="0" t="s">
        <v>105</v>
      </c>
      <c r="X5315" s="0" t="s">
        <v>15347</v>
      </c>
      <c r="Y5315" s="0" t="s">
        <v>15348</v>
      </c>
      <c r="Z5315" s="0" t="s">
        <v>134</v>
      </c>
      <c r="AA5315" s="0" t="s">
        <v>172</v>
      </c>
    </row>
    <row r="5316" customFormat="false" ht="15" hidden="false" customHeight="false" outlineLevel="0" collapsed="false">
      <c r="A5316" s="0" t="s">
        <v>21</v>
      </c>
      <c r="B5316" s="0" t="s">
        <v>4285</v>
      </c>
      <c r="C5316" s="0" t="s">
        <v>110</v>
      </c>
      <c r="D5316" s="0" t="s">
        <v>15349</v>
      </c>
      <c r="E5316" s="0" t="s">
        <v>15350</v>
      </c>
      <c r="H5316" s="0" t="s">
        <v>4284</v>
      </c>
      <c r="I5316" s="0" t="s">
        <v>4285</v>
      </c>
      <c r="J5316" s="0" t="s">
        <v>218</v>
      </c>
      <c r="K5316" s="0" t="s">
        <v>1255</v>
      </c>
      <c r="L5316" s="0" t="s">
        <v>124</v>
      </c>
      <c r="M5316" s="0" t="s">
        <v>220</v>
      </c>
      <c r="N5316" s="0" t="s">
        <v>124</v>
      </c>
      <c r="P5316" s="0" t="s">
        <v>102</v>
      </c>
      <c r="Q5316" s="0" t="s">
        <v>102</v>
      </c>
      <c r="R5316" s="0" t="s">
        <v>113</v>
      </c>
      <c r="S5316" s="0" t="s">
        <v>21</v>
      </c>
      <c r="T5316" s="0" t="s">
        <v>104</v>
      </c>
      <c r="W5316" s="0" t="s">
        <v>105</v>
      </c>
      <c r="X5316" s="0" t="s">
        <v>4286</v>
      </c>
      <c r="Y5316" s="0" t="s">
        <v>4287</v>
      </c>
      <c r="Z5316" s="0" t="s">
        <v>382</v>
      </c>
    </row>
    <row r="5317" customFormat="false" ht="15" hidden="false" customHeight="false" outlineLevel="0" collapsed="false">
      <c r="A5317" s="0" t="s">
        <v>21</v>
      </c>
      <c r="B5317" s="0" t="s">
        <v>15351</v>
      </c>
      <c r="C5317" s="0" t="s">
        <v>931</v>
      </c>
      <c r="D5317" s="0" t="s">
        <v>15352</v>
      </c>
      <c r="E5317" s="0" t="s">
        <v>4956</v>
      </c>
      <c r="G5317" s="0" t="s">
        <v>15353</v>
      </c>
      <c r="H5317" s="0" t="s">
        <v>4285</v>
      </c>
      <c r="I5317" s="0" t="s">
        <v>219</v>
      </c>
      <c r="J5317" s="0" t="s">
        <v>218</v>
      </c>
      <c r="K5317" s="0" t="s">
        <v>1255</v>
      </c>
      <c r="M5317" s="0" t="s">
        <v>219</v>
      </c>
      <c r="N5317" s="0" t="s">
        <v>124</v>
      </c>
      <c r="P5317" s="0" t="s">
        <v>102</v>
      </c>
      <c r="Q5317" s="0" t="s">
        <v>102</v>
      </c>
      <c r="R5317" s="0" t="s">
        <v>137</v>
      </c>
      <c r="S5317" s="0" t="s">
        <v>21</v>
      </c>
      <c r="T5317" s="0" t="s">
        <v>104</v>
      </c>
      <c r="W5317" s="0" t="s">
        <v>105</v>
      </c>
      <c r="Z5317" s="0" t="s">
        <v>159</v>
      </c>
    </row>
    <row r="5318" customFormat="false" ht="15" hidden="false" customHeight="false" outlineLevel="0" collapsed="false">
      <c r="A5318" s="0" t="s">
        <v>21</v>
      </c>
      <c r="B5318" s="0" t="s">
        <v>15354</v>
      </c>
      <c r="C5318" s="0" t="s">
        <v>14898</v>
      </c>
      <c r="D5318" s="0" t="s">
        <v>15355</v>
      </c>
      <c r="E5318" s="0" t="s">
        <v>15356</v>
      </c>
      <c r="G5318" s="0" t="s">
        <v>15357</v>
      </c>
      <c r="M5318" s="0" t="s">
        <v>1307</v>
      </c>
      <c r="N5318" s="0" t="s">
        <v>101</v>
      </c>
      <c r="P5318" s="0" t="s">
        <v>102</v>
      </c>
      <c r="Q5318" s="0" t="s">
        <v>102</v>
      </c>
      <c r="R5318" s="0" t="s">
        <v>131</v>
      </c>
      <c r="S5318" s="0" t="s">
        <v>21</v>
      </c>
      <c r="T5318" s="0" t="s">
        <v>104</v>
      </c>
      <c r="W5318" s="0" t="s">
        <v>105</v>
      </c>
    </row>
    <row r="5319" customFormat="false" ht="15" hidden="false" customHeight="false" outlineLevel="0" collapsed="false">
      <c r="A5319" s="0" t="s">
        <v>21</v>
      </c>
      <c r="B5319" s="0" t="s">
        <v>15358</v>
      </c>
      <c r="C5319" s="0" t="s">
        <v>97</v>
      </c>
      <c r="D5319" s="0" t="s">
        <v>15359</v>
      </c>
      <c r="E5319" s="0" t="s">
        <v>15360</v>
      </c>
      <c r="M5319" s="0" t="s">
        <v>136</v>
      </c>
      <c r="N5319" s="0" t="s">
        <v>124</v>
      </c>
      <c r="P5319" s="0" t="s">
        <v>102</v>
      </c>
      <c r="Q5319" s="0" t="s">
        <v>102</v>
      </c>
      <c r="R5319" s="0" t="s">
        <v>144</v>
      </c>
      <c r="S5319" s="0" t="s">
        <v>21</v>
      </c>
      <c r="T5319" s="0" t="s">
        <v>104</v>
      </c>
      <c r="W5319" s="0" t="s">
        <v>105</v>
      </c>
    </row>
    <row r="5320" customFormat="false" ht="15" hidden="false" customHeight="false" outlineLevel="0" collapsed="false">
      <c r="A5320" s="0" t="s">
        <v>21</v>
      </c>
      <c r="B5320" s="0" t="s">
        <v>15361</v>
      </c>
      <c r="C5320" s="0" t="s">
        <v>97</v>
      </c>
      <c r="D5320" s="0" t="s">
        <v>15362</v>
      </c>
      <c r="E5320" s="0" t="s">
        <v>15363</v>
      </c>
      <c r="M5320" s="0" t="s">
        <v>136</v>
      </c>
      <c r="N5320" s="0" t="s">
        <v>124</v>
      </c>
      <c r="P5320" s="0" t="s">
        <v>102</v>
      </c>
      <c r="Q5320" s="0" t="s">
        <v>102</v>
      </c>
      <c r="R5320" s="0" t="s">
        <v>144</v>
      </c>
      <c r="S5320" s="0" t="s">
        <v>21</v>
      </c>
      <c r="T5320" s="0" t="s">
        <v>104</v>
      </c>
      <c r="W5320" s="0" t="s">
        <v>105</v>
      </c>
    </row>
    <row r="5321" customFormat="false" ht="15" hidden="false" customHeight="false" outlineLevel="0" collapsed="false">
      <c r="A5321" s="0" t="s">
        <v>21</v>
      </c>
      <c r="B5321" s="0" t="s">
        <v>15364</v>
      </c>
      <c r="C5321" s="0" t="s">
        <v>97</v>
      </c>
      <c r="D5321" s="0" t="s">
        <v>15365</v>
      </c>
      <c r="E5321" s="0" t="s">
        <v>15366</v>
      </c>
      <c r="M5321" s="0" t="s">
        <v>136</v>
      </c>
      <c r="N5321" s="0" t="s">
        <v>124</v>
      </c>
      <c r="P5321" s="0" t="s">
        <v>102</v>
      </c>
      <c r="Q5321" s="0" t="s">
        <v>102</v>
      </c>
      <c r="R5321" s="0" t="s">
        <v>144</v>
      </c>
      <c r="S5321" s="0" t="s">
        <v>21</v>
      </c>
      <c r="T5321" s="0" t="s">
        <v>104</v>
      </c>
      <c r="W5321" s="0" t="s">
        <v>105</v>
      </c>
    </row>
    <row r="5322" customFormat="false" ht="15" hidden="false" customHeight="false" outlineLevel="0" collapsed="false">
      <c r="A5322" s="0" t="s">
        <v>21</v>
      </c>
      <c r="B5322" s="0" t="s">
        <v>15367</v>
      </c>
      <c r="C5322" s="0" t="s">
        <v>97</v>
      </c>
      <c r="D5322" s="0" t="s">
        <v>15368</v>
      </c>
      <c r="E5322" s="0" t="s">
        <v>15369</v>
      </c>
      <c r="M5322" s="0" t="s">
        <v>136</v>
      </c>
      <c r="N5322" s="0" t="s">
        <v>124</v>
      </c>
      <c r="P5322" s="0" t="s">
        <v>102</v>
      </c>
      <c r="Q5322" s="0" t="s">
        <v>102</v>
      </c>
      <c r="R5322" s="0" t="s">
        <v>144</v>
      </c>
      <c r="S5322" s="0" t="s">
        <v>21</v>
      </c>
      <c r="T5322" s="0" t="s">
        <v>104</v>
      </c>
      <c r="W5322" s="0" t="s">
        <v>105</v>
      </c>
    </row>
    <row r="5323" customFormat="false" ht="15" hidden="false" customHeight="false" outlineLevel="0" collapsed="false">
      <c r="A5323" s="0" t="s">
        <v>21</v>
      </c>
      <c r="B5323" s="0" t="s">
        <v>15370</v>
      </c>
      <c r="C5323" s="0" t="s">
        <v>97</v>
      </c>
      <c r="D5323" s="0" t="s">
        <v>15371</v>
      </c>
      <c r="E5323" s="0" t="s">
        <v>15372</v>
      </c>
      <c r="M5323" s="0" t="s">
        <v>136</v>
      </c>
      <c r="N5323" s="0" t="s">
        <v>124</v>
      </c>
      <c r="P5323" s="0" t="s">
        <v>102</v>
      </c>
      <c r="Q5323" s="0" t="s">
        <v>102</v>
      </c>
      <c r="R5323" s="0" t="s">
        <v>131</v>
      </c>
      <c r="S5323" s="0" t="s">
        <v>21</v>
      </c>
      <c r="T5323" s="0" t="s">
        <v>104</v>
      </c>
      <c r="W5323" s="0" t="s">
        <v>105</v>
      </c>
    </row>
    <row r="5324" customFormat="false" ht="15" hidden="false" customHeight="false" outlineLevel="0" collapsed="false">
      <c r="A5324" s="0" t="s">
        <v>21</v>
      </c>
      <c r="B5324" s="0" t="s">
        <v>15373</v>
      </c>
      <c r="C5324" s="0" t="s">
        <v>97</v>
      </c>
      <c r="D5324" s="0" t="s">
        <v>15374</v>
      </c>
      <c r="E5324" s="0" t="s">
        <v>15375</v>
      </c>
      <c r="M5324" s="0" t="s">
        <v>136</v>
      </c>
      <c r="N5324" s="0" t="s">
        <v>124</v>
      </c>
      <c r="P5324" s="0" t="s">
        <v>102</v>
      </c>
      <c r="Q5324" s="0" t="s">
        <v>102</v>
      </c>
      <c r="R5324" s="0" t="s">
        <v>131</v>
      </c>
      <c r="S5324" s="0" t="s">
        <v>21</v>
      </c>
      <c r="T5324" s="0" t="s">
        <v>104</v>
      </c>
      <c r="W5324" s="0" t="s">
        <v>105</v>
      </c>
    </row>
    <row r="5325" customFormat="false" ht="15" hidden="false" customHeight="false" outlineLevel="0" collapsed="false">
      <c r="A5325" s="0" t="s">
        <v>21</v>
      </c>
      <c r="B5325" s="0" t="s">
        <v>15376</v>
      </c>
      <c r="C5325" s="0" t="s">
        <v>661</v>
      </c>
      <c r="D5325" s="0" t="s">
        <v>15377</v>
      </c>
      <c r="E5325" s="0" t="s">
        <v>15377</v>
      </c>
      <c r="M5325" s="0" t="s">
        <v>208</v>
      </c>
      <c r="N5325" s="0" t="s">
        <v>124</v>
      </c>
      <c r="P5325" s="0" t="s">
        <v>102</v>
      </c>
      <c r="Q5325" s="0" t="s">
        <v>102</v>
      </c>
      <c r="R5325" s="0" t="s">
        <v>131</v>
      </c>
      <c r="S5325" s="0" t="s">
        <v>21</v>
      </c>
      <c r="T5325" s="0" t="s">
        <v>104</v>
      </c>
      <c r="U5325" s="0" t="s">
        <v>15378</v>
      </c>
      <c r="W5325" s="0" t="s">
        <v>105</v>
      </c>
    </row>
    <row r="5326" customFormat="false" ht="15" hidden="false" customHeight="false" outlineLevel="0" collapsed="false">
      <c r="A5326" s="0" t="s">
        <v>21</v>
      </c>
      <c r="B5326" s="0" t="s">
        <v>15379</v>
      </c>
      <c r="C5326" s="0" t="s">
        <v>661</v>
      </c>
      <c r="D5326" s="0" t="s">
        <v>15380</v>
      </c>
      <c r="E5326" s="0" t="s">
        <v>15380</v>
      </c>
      <c r="M5326" s="0" t="s">
        <v>208</v>
      </c>
      <c r="N5326" s="0" t="s">
        <v>124</v>
      </c>
      <c r="P5326" s="0" t="s">
        <v>102</v>
      </c>
      <c r="Q5326" s="0" t="s">
        <v>102</v>
      </c>
      <c r="R5326" s="0" t="s">
        <v>131</v>
      </c>
      <c r="S5326" s="0" t="s">
        <v>21</v>
      </c>
      <c r="T5326" s="0" t="s">
        <v>104</v>
      </c>
      <c r="U5326" s="0" t="s">
        <v>15378</v>
      </c>
      <c r="W5326" s="0" t="s">
        <v>105</v>
      </c>
    </row>
    <row r="5327" customFormat="false" ht="15" hidden="false" customHeight="false" outlineLevel="0" collapsed="false">
      <c r="A5327" s="0" t="s">
        <v>21</v>
      </c>
      <c r="B5327" s="0" t="s">
        <v>15381</v>
      </c>
      <c r="C5327" s="0" t="s">
        <v>661</v>
      </c>
      <c r="D5327" s="0" t="s">
        <v>15382</v>
      </c>
      <c r="E5327" s="0" t="s">
        <v>15382</v>
      </c>
      <c r="M5327" s="0" t="s">
        <v>208</v>
      </c>
      <c r="N5327" s="0" t="s">
        <v>124</v>
      </c>
      <c r="P5327" s="0" t="s">
        <v>102</v>
      </c>
      <c r="Q5327" s="0" t="s">
        <v>102</v>
      </c>
      <c r="R5327" s="0" t="s">
        <v>131</v>
      </c>
      <c r="S5327" s="0" t="s">
        <v>21</v>
      </c>
      <c r="T5327" s="0" t="s">
        <v>104</v>
      </c>
      <c r="U5327" s="0" t="s">
        <v>15383</v>
      </c>
      <c r="W5327" s="0" t="s">
        <v>105</v>
      </c>
    </row>
    <row r="5328" customFormat="false" ht="15" hidden="false" customHeight="false" outlineLevel="0" collapsed="false">
      <c r="A5328" s="0" t="s">
        <v>21</v>
      </c>
      <c r="B5328" s="0" t="s">
        <v>15384</v>
      </c>
      <c r="C5328" s="0" t="s">
        <v>661</v>
      </c>
      <c r="D5328" s="0" t="s">
        <v>15385</v>
      </c>
      <c r="E5328" s="0" t="s">
        <v>15385</v>
      </c>
      <c r="M5328" s="0" t="s">
        <v>208</v>
      </c>
      <c r="N5328" s="0" t="s">
        <v>124</v>
      </c>
      <c r="P5328" s="0" t="s">
        <v>102</v>
      </c>
      <c r="Q5328" s="0" t="s">
        <v>102</v>
      </c>
      <c r="R5328" s="0" t="s">
        <v>131</v>
      </c>
      <c r="S5328" s="0" t="s">
        <v>21</v>
      </c>
      <c r="T5328" s="0" t="s">
        <v>104</v>
      </c>
      <c r="U5328" s="0" t="s">
        <v>15378</v>
      </c>
      <c r="W5328" s="0" t="s">
        <v>105</v>
      </c>
    </row>
    <row r="5329" customFormat="false" ht="15" hidden="false" customHeight="false" outlineLevel="0" collapsed="false">
      <c r="A5329" s="0" t="s">
        <v>21</v>
      </c>
      <c r="B5329" s="0" t="s">
        <v>15386</v>
      </c>
      <c r="C5329" s="0" t="s">
        <v>661</v>
      </c>
      <c r="D5329" s="0" t="s">
        <v>15387</v>
      </c>
      <c r="E5329" s="0" t="s">
        <v>15387</v>
      </c>
      <c r="M5329" s="0" t="s">
        <v>208</v>
      </c>
      <c r="N5329" s="0" t="s">
        <v>124</v>
      </c>
      <c r="P5329" s="0" t="s">
        <v>102</v>
      </c>
      <c r="Q5329" s="0" t="s">
        <v>102</v>
      </c>
      <c r="R5329" s="0" t="s">
        <v>131</v>
      </c>
      <c r="S5329" s="0" t="s">
        <v>21</v>
      </c>
      <c r="T5329" s="0" t="s">
        <v>104</v>
      </c>
      <c r="U5329" s="0" t="s">
        <v>15383</v>
      </c>
      <c r="W5329" s="0" t="s">
        <v>105</v>
      </c>
    </row>
    <row r="5330" customFormat="false" ht="15" hidden="false" customHeight="false" outlineLevel="0" collapsed="false">
      <c r="A5330" s="0" t="s">
        <v>21</v>
      </c>
      <c r="B5330" s="0" t="s">
        <v>15388</v>
      </c>
      <c r="C5330" s="0" t="s">
        <v>661</v>
      </c>
      <c r="D5330" s="0" t="s">
        <v>15389</v>
      </c>
      <c r="E5330" s="0" t="s">
        <v>15389</v>
      </c>
      <c r="M5330" s="0" t="s">
        <v>208</v>
      </c>
      <c r="N5330" s="0" t="s">
        <v>124</v>
      </c>
      <c r="P5330" s="0" t="s">
        <v>102</v>
      </c>
      <c r="Q5330" s="0" t="s">
        <v>102</v>
      </c>
      <c r="R5330" s="0" t="s">
        <v>131</v>
      </c>
      <c r="S5330" s="0" t="s">
        <v>21</v>
      </c>
      <c r="T5330" s="0" t="s">
        <v>104</v>
      </c>
      <c r="U5330" s="0" t="s">
        <v>15378</v>
      </c>
      <c r="W5330" s="0" t="s">
        <v>105</v>
      </c>
    </row>
    <row r="5331" customFormat="false" ht="15" hidden="false" customHeight="false" outlineLevel="0" collapsed="false">
      <c r="A5331" s="0" t="s">
        <v>21</v>
      </c>
      <c r="B5331" s="0" t="s">
        <v>15390</v>
      </c>
      <c r="C5331" s="0" t="s">
        <v>661</v>
      </c>
      <c r="D5331" s="0" t="s">
        <v>15391</v>
      </c>
      <c r="E5331" s="0" t="s">
        <v>15391</v>
      </c>
      <c r="M5331" s="0" t="s">
        <v>208</v>
      </c>
      <c r="N5331" s="0" t="s">
        <v>124</v>
      </c>
      <c r="P5331" s="0" t="s">
        <v>102</v>
      </c>
      <c r="Q5331" s="0" t="s">
        <v>102</v>
      </c>
      <c r="R5331" s="0" t="s">
        <v>131</v>
      </c>
      <c r="S5331" s="0" t="s">
        <v>21</v>
      </c>
      <c r="T5331" s="0" t="s">
        <v>104</v>
      </c>
      <c r="U5331" s="0" t="s">
        <v>15378</v>
      </c>
      <c r="W5331" s="0" t="s">
        <v>105</v>
      </c>
    </row>
    <row r="5332" customFormat="false" ht="15" hidden="false" customHeight="false" outlineLevel="0" collapsed="false">
      <c r="A5332" s="0" t="s">
        <v>21</v>
      </c>
      <c r="B5332" s="0" t="s">
        <v>15392</v>
      </c>
      <c r="C5332" s="0" t="s">
        <v>661</v>
      </c>
      <c r="D5332" s="0" t="s">
        <v>15393</v>
      </c>
      <c r="E5332" s="0" t="s">
        <v>15393</v>
      </c>
      <c r="M5332" s="0" t="s">
        <v>208</v>
      </c>
      <c r="N5332" s="0" t="s">
        <v>124</v>
      </c>
      <c r="P5332" s="0" t="s">
        <v>102</v>
      </c>
      <c r="Q5332" s="0" t="s">
        <v>102</v>
      </c>
      <c r="R5332" s="0" t="s">
        <v>131</v>
      </c>
      <c r="S5332" s="0" t="s">
        <v>21</v>
      </c>
      <c r="T5332" s="0" t="s">
        <v>104</v>
      </c>
      <c r="U5332" s="0" t="s">
        <v>15378</v>
      </c>
      <c r="W5332" s="0" t="s">
        <v>105</v>
      </c>
    </row>
    <row r="5333" customFormat="false" ht="15" hidden="false" customHeight="false" outlineLevel="0" collapsed="false">
      <c r="A5333" s="0" t="s">
        <v>21</v>
      </c>
      <c r="B5333" s="0" t="s">
        <v>15394</v>
      </c>
      <c r="C5333" s="0" t="s">
        <v>661</v>
      </c>
      <c r="D5333" s="0" t="s">
        <v>15395</v>
      </c>
      <c r="E5333" s="0" t="s">
        <v>15395</v>
      </c>
      <c r="M5333" s="0" t="s">
        <v>208</v>
      </c>
      <c r="N5333" s="0" t="s">
        <v>124</v>
      </c>
      <c r="P5333" s="0" t="s">
        <v>102</v>
      </c>
      <c r="Q5333" s="0" t="s">
        <v>102</v>
      </c>
      <c r="R5333" s="0" t="s">
        <v>131</v>
      </c>
      <c r="S5333" s="0" t="s">
        <v>21</v>
      </c>
      <c r="T5333" s="0" t="s">
        <v>104</v>
      </c>
      <c r="U5333" s="0" t="s">
        <v>15378</v>
      </c>
      <c r="W5333" s="0" t="s">
        <v>105</v>
      </c>
    </row>
    <row r="5334" customFormat="false" ht="15" hidden="false" customHeight="false" outlineLevel="0" collapsed="false">
      <c r="A5334" s="0" t="s">
        <v>21</v>
      </c>
      <c r="B5334" s="0" t="s">
        <v>15396</v>
      </c>
      <c r="C5334" s="0" t="s">
        <v>661</v>
      </c>
      <c r="D5334" s="0" t="s">
        <v>15397</v>
      </c>
      <c r="E5334" s="0" t="s">
        <v>15397</v>
      </c>
      <c r="M5334" s="0" t="s">
        <v>208</v>
      </c>
      <c r="N5334" s="0" t="s">
        <v>124</v>
      </c>
      <c r="P5334" s="0" t="s">
        <v>102</v>
      </c>
      <c r="Q5334" s="0" t="s">
        <v>102</v>
      </c>
      <c r="R5334" s="0" t="s">
        <v>131</v>
      </c>
      <c r="S5334" s="0" t="s">
        <v>21</v>
      </c>
      <c r="T5334" s="0" t="s">
        <v>104</v>
      </c>
      <c r="U5334" s="0" t="s">
        <v>15383</v>
      </c>
      <c r="W5334" s="0" t="s">
        <v>105</v>
      </c>
    </row>
    <row r="5335" customFormat="false" ht="15" hidden="false" customHeight="false" outlineLevel="0" collapsed="false">
      <c r="A5335" s="0" t="s">
        <v>21</v>
      </c>
      <c r="B5335" s="0" t="s">
        <v>15398</v>
      </c>
      <c r="C5335" s="0" t="s">
        <v>661</v>
      </c>
      <c r="D5335" s="0" t="s">
        <v>15399</v>
      </c>
      <c r="E5335" s="0" t="s">
        <v>15399</v>
      </c>
      <c r="M5335" s="0" t="s">
        <v>208</v>
      </c>
      <c r="N5335" s="0" t="s">
        <v>124</v>
      </c>
      <c r="P5335" s="0" t="s">
        <v>102</v>
      </c>
      <c r="Q5335" s="0" t="s">
        <v>102</v>
      </c>
      <c r="R5335" s="0" t="s">
        <v>131</v>
      </c>
      <c r="S5335" s="0" t="s">
        <v>21</v>
      </c>
      <c r="T5335" s="0" t="s">
        <v>104</v>
      </c>
      <c r="U5335" s="0" t="s">
        <v>15378</v>
      </c>
      <c r="W5335" s="0" t="s">
        <v>105</v>
      </c>
    </row>
    <row r="5336" customFormat="false" ht="15" hidden="false" customHeight="false" outlineLevel="0" collapsed="false">
      <c r="A5336" s="0" t="s">
        <v>21</v>
      </c>
      <c r="B5336" s="0" t="s">
        <v>15400</v>
      </c>
      <c r="C5336" s="0" t="s">
        <v>97</v>
      </c>
      <c r="D5336" s="0" t="s">
        <v>15401</v>
      </c>
      <c r="E5336" s="0" t="s">
        <v>15402</v>
      </c>
      <c r="M5336" s="0" t="s">
        <v>136</v>
      </c>
      <c r="N5336" s="0" t="s">
        <v>124</v>
      </c>
      <c r="P5336" s="0" t="s">
        <v>102</v>
      </c>
      <c r="Q5336" s="0" t="s">
        <v>102</v>
      </c>
      <c r="R5336" s="0" t="s">
        <v>131</v>
      </c>
      <c r="S5336" s="0" t="s">
        <v>21</v>
      </c>
      <c r="T5336" s="0" t="s">
        <v>104</v>
      </c>
      <c r="W5336" s="0" t="s">
        <v>105</v>
      </c>
    </row>
    <row r="5337" customFormat="false" ht="15" hidden="false" customHeight="false" outlineLevel="0" collapsed="false">
      <c r="A5337" s="0" t="s">
        <v>21</v>
      </c>
      <c r="B5337" s="0" t="s">
        <v>15403</v>
      </c>
      <c r="C5337" s="0" t="s">
        <v>97</v>
      </c>
      <c r="D5337" s="0" t="s">
        <v>15404</v>
      </c>
      <c r="E5337" s="0" t="s">
        <v>15405</v>
      </c>
      <c r="M5337" s="0" t="s">
        <v>136</v>
      </c>
      <c r="N5337" s="0" t="s">
        <v>124</v>
      </c>
      <c r="P5337" s="0" t="s">
        <v>102</v>
      </c>
      <c r="Q5337" s="0" t="s">
        <v>102</v>
      </c>
      <c r="R5337" s="0" t="s">
        <v>131</v>
      </c>
      <c r="S5337" s="0" t="s">
        <v>21</v>
      </c>
      <c r="T5337" s="0" t="s">
        <v>104</v>
      </c>
      <c r="W5337" s="0" t="s">
        <v>105</v>
      </c>
    </row>
    <row r="5338" customFormat="false" ht="15" hidden="false" customHeight="false" outlineLevel="0" collapsed="false">
      <c r="A5338" s="0" t="s">
        <v>21</v>
      </c>
      <c r="B5338" s="0" t="s">
        <v>15406</v>
      </c>
      <c r="C5338" s="0" t="s">
        <v>97</v>
      </c>
      <c r="D5338" s="0" t="s">
        <v>15407</v>
      </c>
      <c r="E5338" s="0" t="s">
        <v>15408</v>
      </c>
      <c r="M5338" s="0" t="s">
        <v>136</v>
      </c>
      <c r="N5338" s="0" t="s">
        <v>124</v>
      </c>
      <c r="P5338" s="0" t="s">
        <v>102</v>
      </c>
      <c r="Q5338" s="0" t="s">
        <v>102</v>
      </c>
      <c r="R5338" s="0" t="s">
        <v>144</v>
      </c>
      <c r="S5338" s="0" t="s">
        <v>21</v>
      </c>
      <c r="T5338" s="0" t="s">
        <v>104</v>
      </c>
      <c r="W5338" s="0" t="s">
        <v>105</v>
      </c>
    </row>
    <row r="5339" customFormat="false" ht="15" hidden="false" customHeight="false" outlineLevel="0" collapsed="false">
      <c r="A5339" s="0" t="s">
        <v>21</v>
      </c>
      <c r="B5339" s="0" t="s">
        <v>15409</v>
      </c>
      <c r="C5339" s="0" t="s">
        <v>4319</v>
      </c>
      <c r="D5339" s="0" t="s">
        <v>15410</v>
      </c>
      <c r="M5339" s="0" t="s">
        <v>178</v>
      </c>
      <c r="N5339" s="0" t="s">
        <v>124</v>
      </c>
      <c r="P5339" s="0" t="s">
        <v>130</v>
      </c>
      <c r="Q5339" s="0" t="s">
        <v>130</v>
      </c>
      <c r="R5339" s="0" t="s">
        <v>144</v>
      </c>
      <c r="S5339" s="0" t="s">
        <v>21</v>
      </c>
      <c r="T5339" s="0" t="s">
        <v>104</v>
      </c>
      <c r="W5339" s="0" t="s">
        <v>105</v>
      </c>
    </row>
    <row r="5340" customFormat="false" ht="15" hidden="false" customHeight="false" outlineLevel="0" collapsed="false">
      <c r="A5340" s="0" t="s">
        <v>21</v>
      </c>
      <c r="B5340" s="0" t="s">
        <v>15411</v>
      </c>
      <c r="C5340" s="0" t="s">
        <v>863</v>
      </c>
      <c r="D5340" s="0" t="s">
        <v>8547</v>
      </c>
      <c r="E5340" s="0" t="s">
        <v>8547</v>
      </c>
      <c r="M5340" s="0" t="s">
        <v>136</v>
      </c>
      <c r="N5340" s="0" t="s">
        <v>124</v>
      </c>
      <c r="P5340" s="0" t="s">
        <v>102</v>
      </c>
      <c r="Q5340" s="0" t="s">
        <v>102</v>
      </c>
      <c r="R5340" s="0" t="s">
        <v>137</v>
      </c>
      <c r="S5340" s="0" t="s">
        <v>21</v>
      </c>
      <c r="T5340" s="0" t="s">
        <v>104</v>
      </c>
      <c r="W5340" s="0" t="s">
        <v>105</v>
      </c>
    </row>
    <row r="5341" customFormat="false" ht="15" hidden="false" customHeight="false" outlineLevel="0" collapsed="false">
      <c r="A5341" s="0" t="s">
        <v>21</v>
      </c>
      <c r="B5341" s="0" t="s">
        <v>15412</v>
      </c>
      <c r="C5341" s="0" t="s">
        <v>97</v>
      </c>
      <c r="D5341" s="0" t="s">
        <v>15413</v>
      </c>
      <c r="E5341" s="0" t="s">
        <v>15413</v>
      </c>
      <c r="M5341" s="0" t="s">
        <v>136</v>
      </c>
      <c r="N5341" s="0" t="s">
        <v>124</v>
      </c>
      <c r="P5341" s="0" t="s">
        <v>102</v>
      </c>
      <c r="Q5341" s="0" t="s">
        <v>102</v>
      </c>
      <c r="R5341" s="0" t="s">
        <v>137</v>
      </c>
      <c r="S5341" s="0" t="s">
        <v>21</v>
      </c>
      <c r="T5341" s="0" t="s">
        <v>104</v>
      </c>
      <c r="W5341" s="0" t="s">
        <v>105</v>
      </c>
    </row>
    <row r="5342" customFormat="false" ht="15" hidden="false" customHeight="false" outlineLevel="0" collapsed="false">
      <c r="A5342" s="0" t="s">
        <v>21</v>
      </c>
      <c r="B5342" s="0" t="s">
        <v>15414</v>
      </c>
      <c r="C5342" s="0" t="s">
        <v>5923</v>
      </c>
      <c r="D5342" s="0" t="s">
        <v>15415</v>
      </c>
      <c r="E5342" s="0" t="s">
        <v>15415</v>
      </c>
      <c r="M5342" s="0" t="s">
        <v>136</v>
      </c>
      <c r="N5342" s="0" t="s">
        <v>124</v>
      </c>
      <c r="P5342" s="0" t="s">
        <v>102</v>
      </c>
      <c r="Q5342" s="0" t="s">
        <v>102</v>
      </c>
      <c r="R5342" s="0" t="s">
        <v>131</v>
      </c>
      <c r="S5342" s="0" t="s">
        <v>21</v>
      </c>
      <c r="T5342" s="0" t="s">
        <v>104</v>
      </c>
      <c r="W5342" s="0" t="s">
        <v>105</v>
      </c>
    </row>
    <row r="5343" customFormat="false" ht="15" hidden="false" customHeight="false" outlineLevel="0" collapsed="false">
      <c r="A5343" s="0" t="s">
        <v>21</v>
      </c>
      <c r="B5343" s="0" t="s">
        <v>15416</v>
      </c>
      <c r="C5343" s="0" t="s">
        <v>97</v>
      </c>
      <c r="D5343" s="0" t="s">
        <v>737</v>
      </c>
      <c r="E5343" s="0" t="s">
        <v>737</v>
      </c>
      <c r="G5343" s="0" t="s">
        <v>15417</v>
      </c>
      <c r="M5343" s="0" t="s">
        <v>100</v>
      </c>
      <c r="N5343" s="0" t="s">
        <v>101</v>
      </c>
      <c r="P5343" s="0" t="s">
        <v>102</v>
      </c>
      <c r="Q5343" s="0" t="s">
        <v>102</v>
      </c>
      <c r="R5343" s="0" t="s">
        <v>113</v>
      </c>
      <c r="S5343" s="0" t="s">
        <v>21</v>
      </c>
      <c r="T5343" s="0" t="s">
        <v>104</v>
      </c>
      <c r="W5343" s="0" t="s">
        <v>105</v>
      </c>
    </row>
    <row r="5344" customFormat="false" ht="15" hidden="false" customHeight="false" outlineLevel="0" collapsed="false">
      <c r="A5344" s="0" t="s">
        <v>21</v>
      </c>
      <c r="B5344" s="0" t="s">
        <v>15418</v>
      </c>
      <c r="C5344" s="0" t="s">
        <v>97</v>
      </c>
      <c r="E5344" s="0" t="s">
        <v>15418</v>
      </c>
      <c r="M5344" s="0" t="s">
        <v>100</v>
      </c>
      <c r="N5344" s="0" t="s">
        <v>101</v>
      </c>
      <c r="P5344" s="0" t="s">
        <v>102</v>
      </c>
      <c r="Q5344" s="0" t="s">
        <v>102</v>
      </c>
      <c r="R5344" s="0" t="s">
        <v>131</v>
      </c>
      <c r="S5344" s="0" t="s">
        <v>21</v>
      </c>
      <c r="T5344" s="0" t="s">
        <v>104</v>
      </c>
      <c r="W5344" s="0" t="s">
        <v>105</v>
      </c>
    </row>
    <row r="5345" customFormat="false" ht="15" hidden="false" customHeight="false" outlineLevel="0" collapsed="false">
      <c r="A5345" s="0" t="s">
        <v>21</v>
      </c>
      <c r="B5345" s="0" t="s">
        <v>15419</v>
      </c>
      <c r="C5345" s="0" t="s">
        <v>97</v>
      </c>
      <c r="D5345" s="0" t="s">
        <v>3394</v>
      </c>
      <c r="E5345" s="0" t="s">
        <v>13135</v>
      </c>
      <c r="M5345" s="0" t="s">
        <v>100</v>
      </c>
      <c r="N5345" s="0" t="s">
        <v>101</v>
      </c>
      <c r="P5345" s="0" t="s">
        <v>102</v>
      </c>
      <c r="Q5345" s="0" t="s">
        <v>102</v>
      </c>
      <c r="R5345" s="0" t="s">
        <v>137</v>
      </c>
      <c r="S5345" s="0" t="s">
        <v>21</v>
      </c>
      <c r="T5345" s="0" t="s">
        <v>104</v>
      </c>
      <c r="W5345" s="0" t="s">
        <v>105</v>
      </c>
    </row>
    <row r="5346" customFormat="false" ht="15" hidden="false" customHeight="false" outlineLevel="0" collapsed="false">
      <c r="A5346" s="0" t="s">
        <v>21</v>
      </c>
      <c r="B5346" s="0" t="s">
        <v>15420</v>
      </c>
      <c r="C5346" s="0" t="s">
        <v>97</v>
      </c>
      <c r="D5346" s="0" t="s">
        <v>15421</v>
      </c>
      <c r="E5346" s="0" t="s">
        <v>15422</v>
      </c>
      <c r="M5346" s="0" t="s">
        <v>136</v>
      </c>
      <c r="N5346" s="0" t="s">
        <v>124</v>
      </c>
      <c r="P5346" s="0" t="s">
        <v>102</v>
      </c>
      <c r="Q5346" s="0" t="s">
        <v>102</v>
      </c>
      <c r="R5346" s="0" t="s">
        <v>113</v>
      </c>
      <c r="S5346" s="0" t="s">
        <v>21</v>
      </c>
      <c r="T5346" s="0" t="s">
        <v>104</v>
      </c>
      <c r="W5346" s="0" t="s">
        <v>105</v>
      </c>
    </row>
    <row r="5347" customFormat="false" ht="15" hidden="false" customHeight="false" outlineLevel="0" collapsed="false">
      <c r="A5347" s="0" t="s">
        <v>21</v>
      </c>
      <c r="B5347" s="0" t="s">
        <v>15423</v>
      </c>
      <c r="C5347" s="0" t="s">
        <v>97</v>
      </c>
      <c r="D5347" s="0" t="s">
        <v>15424</v>
      </c>
      <c r="E5347" s="0" t="s">
        <v>15423</v>
      </c>
      <c r="H5347" s="0" t="s">
        <v>654</v>
      </c>
      <c r="I5347" s="0" t="s">
        <v>655</v>
      </c>
      <c r="J5347" s="0" t="s">
        <v>100</v>
      </c>
      <c r="K5347" s="0" t="s">
        <v>168</v>
      </c>
      <c r="L5347" s="0" t="s">
        <v>101</v>
      </c>
      <c r="M5347" s="0" t="s">
        <v>656</v>
      </c>
      <c r="N5347" s="0" t="s">
        <v>101</v>
      </c>
      <c r="P5347" s="0" t="s">
        <v>102</v>
      </c>
      <c r="Q5347" s="0" t="s">
        <v>102</v>
      </c>
      <c r="R5347" s="0" t="s">
        <v>113</v>
      </c>
      <c r="S5347" s="0" t="s">
        <v>21</v>
      </c>
      <c r="T5347" s="0" t="s">
        <v>104</v>
      </c>
      <c r="W5347" s="0" t="s">
        <v>105</v>
      </c>
      <c r="X5347" s="0" t="s">
        <v>658</v>
      </c>
      <c r="Y5347" s="0" t="s">
        <v>659</v>
      </c>
    </row>
    <row r="5348" customFormat="false" ht="15" hidden="false" customHeight="false" outlineLevel="0" collapsed="false">
      <c r="A5348" s="0" t="s">
        <v>21</v>
      </c>
      <c r="B5348" s="0" t="s">
        <v>15425</v>
      </c>
      <c r="C5348" s="0" t="s">
        <v>97</v>
      </c>
      <c r="D5348" s="0" t="s">
        <v>15424</v>
      </c>
      <c r="E5348" s="0" t="s">
        <v>15425</v>
      </c>
      <c r="H5348" s="0" t="s">
        <v>654</v>
      </c>
      <c r="I5348" s="0" t="s">
        <v>655</v>
      </c>
      <c r="J5348" s="0" t="s">
        <v>100</v>
      </c>
      <c r="K5348" s="0" t="s">
        <v>168</v>
      </c>
      <c r="L5348" s="0" t="s">
        <v>101</v>
      </c>
      <c r="M5348" s="0" t="s">
        <v>656</v>
      </c>
      <c r="N5348" s="0" t="s">
        <v>101</v>
      </c>
      <c r="P5348" s="0" t="s">
        <v>102</v>
      </c>
      <c r="Q5348" s="0" t="s">
        <v>102</v>
      </c>
      <c r="R5348" s="0" t="s">
        <v>137</v>
      </c>
      <c r="S5348" s="0" t="s">
        <v>21</v>
      </c>
      <c r="T5348" s="0" t="s">
        <v>104</v>
      </c>
      <c r="W5348" s="0" t="s">
        <v>105</v>
      </c>
      <c r="X5348" s="0" t="s">
        <v>658</v>
      </c>
      <c r="Y5348" s="0" t="s">
        <v>659</v>
      </c>
    </row>
    <row r="5349" customFormat="false" ht="15" hidden="false" customHeight="false" outlineLevel="0" collapsed="false">
      <c r="A5349" s="0" t="s">
        <v>21</v>
      </c>
      <c r="B5349" s="0" t="s">
        <v>15426</v>
      </c>
      <c r="C5349" s="0" t="s">
        <v>97</v>
      </c>
      <c r="D5349" s="0" t="s">
        <v>15424</v>
      </c>
      <c r="E5349" s="0" t="s">
        <v>15426</v>
      </c>
      <c r="H5349" s="0" t="s">
        <v>654</v>
      </c>
      <c r="I5349" s="0" t="s">
        <v>655</v>
      </c>
      <c r="J5349" s="0" t="s">
        <v>100</v>
      </c>
      <c r="K5349" s="0" t="s">
        <v>168</v>
      </c>
      <c r="L5349" s="0" t="s">
        <v>101</v>
      </c>
      <c r="M5349" s="0" t="s">
        <v>656</v>
      </c>
      <c r="N5349" s="0" t="s">
        <v>101</v>
      </c>
      <c r="P5349" s="0" t="s">
        <v>102</v>
      </c>
      <c r="Q5349" s="0" t="s">
        <v>102</v>
      </c>
      <c r="R5349" s="0" t="s">
        <v>113</v>
      </c>
      <c r="S5349" s="0" t="s">
        <v>21</v>
      </c>
      <c r="T5349" s="0" t="s">
        <v>104</v>
      </c>
      <c r="W5349" s="0" t="s">
        <v>105</v>
      </c>
      <c r="X5349" s="0" t="s">
        <v>658</v>
      </c>
      <c r="Y5349" s="0" t="s">
        <v>659</v>
      </c>
    </row>
    <row r="5350" customFormat="false" ht="15" hidden="false" customHeight="false" outlineLevel="0" collapsed="false">
      <c r="A5350" s="0" t="s">
        <v>21</v>
      </c>
      <c r="B5350" s="0" t="s">
        <v>15427</v>
      </c>
      <c r="C5350" s="0" t="s">
        <v>97</v>
      </c>
      <c r="D5350" s="0" t="s">
        <v>5833</v>
      </c>
      <c r="E5350" s="0" t="s">
        <v>15428</v>
      </c>
      <c r="H5350" s="0" t="s">
        <v>654</v>
      </c>
      <c r="I5350" s="0" t="s">
        <v>655</v>
      </c>
      <c r="J5350" s="0" t="s">
        <v>100</v>
      </c>
      <c r="K5350" s="0" t="s">
        <v>168</v>
      </c>
      <c r="L5350" s="0" t="s">
        <v>101</v>
      </c>
      <c r="M5350" s="0" t="s">
        <v>656</v>
      </c>
      <c r="N5350" s="0" t="s">
        <v>101</v>
      </c>
      <c r="P5350" s="0" t="s">
        <v>102</v>
      </c>
      <c r="Q5350" s="0" t="s">
        <v>102</v>
      </c>
      <c r="R5350" s="0" t="s">
        <v>113</v>
      </c>
      <c r="S5350" s="0" t="s">
        <v>21</v>
      </c>
      <c r="T5350" s="0" t="s">
        <v>104</v>
      </c>
      <c r="W5350" s="0" t="s">
        <v>105</v>
      </c>
      <c r="X5350" s="0" t="s">
        <v>658</v>
      </c>
      <c r="Y5350" s="0" t="s">
        <v>659</v>
      </c>
    </row>
    <row r="5351" customFormat="false" ht="15" hidden="false" customHeight="false" outlineLevel="0" collapsed="false">
      <c r="A5351" s="0" t="s">
        <v>21</v>
      </c>
      <c r="B5351" s="0" t="s">
        <v>15429</v>
      </c>
      <c r="C5351" s="0" t="s">
        <v>97</v>
      </c>
      <c r="D5351" s="0" t="s">
        <v>15430</v>
      </c>
      <c r="E5351" s="0" t="s">
        <v>15431</v>
      </c>
      <c r="M5351" s="0" t="s">
        <v>136</v>
      </c>
      <c r="N5351" s="0" t="s">
        <v>124</v>
      </c>
      <c r="P5351" s="0" t="s">
        <v>102</v>
      </c>
      <c r="Q5351" s="0" t="s">
        <v>102</v>
      </c>
      <c r="R5351" s="0" t="s">
        <v>131</v>
      </c>
      <c r="S5351" s="0" t="s">
        <v>21</v>
      </c>
      <c r="T5351" s="0" t="s">
        <v>104</v>
      </c>
      <c r="W5351" s="0" t="s">
        <v>105</v>
      </c>
    </row>
    <row r="5352" customFormat="false" ht="15" hidden="false" customHeight="false" outlineLevel="0" collapsed="false">
      <c r="A5352" s="0" t="s">
        <v>21</v>
      </c>
      <c r="B5352" s="0" t="s">
        <v>15432</v>
      </c>
      <c r="C5352" s="0" t="s">
        <v>4280</v>
      </c>
      <c r="D5352" s="0" t="s">
        <v>15433</v>
      </c>
      <c r="E5352" s="0" t="s">
        <v>15434</v>
      </c>
      <c r="M5352" s="0" t="s">
        <v>420</v>
      </c>
      <c r="N5352" s="0" t="s">
        <v>101</v>
      </c>
      <c r="P5352" s="0" t="s">
        <v>102</v>
      </c>
      <c r="Q5352" s="0" t="s">
        <v>102</v>
      </c>
      <c r="R5352" s="0" t="s">
        <v>113</v>
      </c>
      <c r="S5352" s="0" t="s">
        <v>21</v>
      </c>
      <c r="T5352" s="0" t="s">
        <v>104</v>
      </c>
      <c r="W5352" s="0" t="s">
        <v>105</v>
      </c>
    </row>
    <row r="5353" customFormat="false" ht="15" hidden="false" customHeight="false" outlineLevel="0" collapsed="false">
      <c r="A5353" s="0" t="s">
        <v>21</v>
      </c>
      <c r="B5353" s="0" t="s">
        <v>15435</v>
      </c>
      <c r="C5353" s="0" t="s">
        <v>97</v>
      </c>
      <c r="D5353" s="0" t="s">
        <v>15436</v>
      </c>
      <c r="E5353" s="0" t="s">
        <v>15437</v>
      </c>
      <c r="M5353" s="0" t="s">
        <v>656</v>
      </c>
      <c r="N5353" s="0" t="s">
        <v>101</v>
      </c>
      <c r="P5353" s="0" t="s">
        <v>102</v>
      </c>
      <c r="Q5353" s="0" t="s">
        <v>102</v>
      </c>
      <c r="R5353" s="0" t="s">
        <v>131</v>
      </c>
      <c r="S5353" s="0" t="s">
        <v>21</v>
      </c>
      <c r="T5353" s="0" t="s">
        <v>104</v>
      </c>
      <c r="W5353" s="0" t="s">
        <v>105</v>
      </c>
    </row>
    <row r="5354" customFormat="false" ht="15" hidden="false" customHeight="false" outlineLevel="0" collapsed="false">
      <c r="A5354" s="0" t="s">
        <v>21</v>
      </c>
      <c r="B5354" s="0" t="s">
        <v>15438</v>
      </c>
      <c r="C5354" s="0" t="s">
        <v>97</v>
      </c>
      <c r="D5354" s="0" t="s">
        <v>15439</v>
      </c>
      <c r="E5354" s="0" t="s">
        <v>15440</v>
      </c>
      <c r="M5354" s="0" t="s">
        <v>656</v>
      </c>
      <c r="N5354" s="0" t="s">
        <v>101</v>
      </c>
      <c r="P5354" s="0" t="s">
        <v>102</v>
      </c>
      <c r="Q5354" s="0" t="s">
        <v>102</v>
      </c>
      <c r="R5354" s="0" t="s">
        <v>131</v>
      </c>
      <c r="S5354" s="0" t="s">
        <v>21</v>
      </c>
      <c r="T5354" s="0" t="s">
        <v>104</v>
      </c>
      <c r="W5354" s="0" t="s">
        <v>105</v>
      </c>
    </row>
    <row r="5355" customFormat="false" ht="15" hidden="false" customHeight="false" outlineLevel="0" collapsed="false">
      <c r="A5355" s="0" t="s">
        <v>21</v>
      </c>
      <c r="B5355" s="0" t="s">
        <v>15441</v>
      </c>
      <c r="C5355" s="0" t="s">
        <v>97</v>
      </c>
      <c r="D5355" s="0" t="s">
        <v>15442</v>
      </c>
      <c r="E5355" s="0" t="s">
        <v>15442</v>
      </c>
      <c r="M5355" s="0" t="s">
        <v>136</v>
      </c>
      <c r="N5355" s="0" t="s">
        <v>124</v>
      </c>
      <c r="P5355" s="0" t="s">
        <v>102</v>
      </c>
      <c r="Q5355" s="0" t="s">
        <v>102</v>
      </c>
      <c r="R5355" s="0" t="s">
        <v>131</v>
      </c>
      <c r="S5355" s="0" t="s">
        <v>21</v>
      </c>
      <c r="T5355" s="0" t="s">
        <v>104</v>
      </c>
      <c r="W5355" s="0" t="s">
        <v>105</v>
      </c>
    </row>
    <row r="5356" customFormat="false" ht="15" hidden="false" customHeight="false" outlineLevel="0" collapsed="false">
      <c r="A5356" s="0" t="s">
        <v>21</v>
      </c>
      <c r="B5356" s="0" t="s">
        <v>15443</v>
      </c>
      <c r="C5356" s="0" t="s">
        <v>97</v>
      </c>
      <c r="D5356" s="0" t="s">
        <v>15444</v>
      </c>
      <c r="E5356" s="0" t="s">
        <v>15445</v>
      </c>
      <c r="M5356" s="0" t="s">
        <v>656</v>
      </c>
      <c r="N5356" s="0" t="s">
        <v>101</v>
      </c>
      <c r="P5356" s="0" t="s">
        <v>102</v>
      </c>
      <c r="Q5356" s="0" t="s">
        <v>102</v>
      </c>
      <c r="R5356" s="0" t="s">
        <v>131</v>
      </c>
      <c r="S5356" s="0" t="s">
        <v>21</v>
      </c>
      <c r="T5356" s="0" t="s">
        <v>104</v>
      </c>
      <c r="W5356" s="0" t="s">
        <v>105</v>
      </c>
    </row>
    <row r="5357" customFormat="false" ht="15" hidden="false" customHeight="false" outlineLevel="0" collapsed="false">
      <c r="A5357" s="0" t="s">
        <v>21</v>
      </c>
      <c r="B5357" s="0" t="s">
        <v>15446</v>
      </c>
      <c r="C5357" s="0" t="s">
        <v>97</v>
      </c>
      <c r="D5357" s="0" t="s">
        <v>15447</v>
      </c>
      <c r="E5357" s="0" t="s">
        <v>15448</v>
      </c>
      <c r="M5357" s="0" t="s">
        <v>656</v>
      </c>
      <c r="N5357" s="0" t="s">
        <v>101</v>
      </c>
      <c r="P5357" s="0" t="s">
        <v>102</v>
      </c>
      <c r="Q5357" s="0" t="s">
        <v>102</v>
      </c>
      <c r="R5357" s="0" t="s">
        <v>131</v>
      </c>
      <c r="S5357" s="0" t="s">
        <v>21</v>
      </c>
      <c r="T5357" s="0" t="s">
        <v>104</v>
      </c>
      <c r="W5357" s="0" t="s">
        <v>105</v>
      </c>
    </row>
    <row r="5358" customFormat="false" ht="15" hidden="false" customHeight="false" outlineLevel="0" collapsed="false">
      <c r="A5358" s="0" t="s">
        <v>21</v>
      </c>
      <c r="B5358" s="0" t="s">
        <v>15449</v>
      </c>
      <c r="C5358" s="0" t="s">
        <v>110</v>
      </c>
      <c r="D5358" s="0" t="s">
        <v>15450</v>
      </c>
      <c r="E5358" s="0" t="s">
        <v>15451</v>
      </c>
      <c r="H5358" s="0" t="s">
        <v>15452</v>
      </c>
      <c r="I5358" s="0" t="s">
        <v>6332</v>
      </c>
      <c r="J5358" s="0" t="s">
        <v>254</v>
      </c>
      <c r="K5358" s="0" t="s">
        <v>1496</v>
      </c>
      <c r="L5358" s="0" t="s">
        <v>124</v>
      </c>
      <c r="M5358" s="0" t="s">
        <v>208</v>
      </c>
      <c r="N5358" s="0" t="s">
        <v>124</v>
      </c>
      <c r="P5358" s="0" t="s">
        <v>130</v>
      </c>
      <c r="Q5358" s="0" t="s">
        <v>130</v>
      </c>
      <c r="R5358" s="0" t="s">
        <v>131</v>
      </c>
      <c r="S5358" s="0" t="s">
        <v>21</v>
      </c>
      <c r="T5358" s="0" t="s">
        <v>104</v>
      </c>
      <c r="W5358" s="0" t="s">
        <v>105</v>
      </c>
    </row>
    <row r="5359" customFormat="false" ht="15" hidden="false" customHeight="false" outlineLevel="0" collapsed="false">
      <c r="A5359" s="0" t="s">
        <v>21</v>
      </c>
      <c r="B5359" s="0" t="s">
        <v>15453</v>
      </c>
      <c r="C5359" s="0" t="s">
        <v>110</v>
      </c>
      <c r="E5359" s="0" t="s">
        <v>3625</v>
      </c>
      <c r="H5359" s="0" t="s">
        <v>15454</v>
      </c>
      <c r="I5359" s="0" t="s">
        <v>253</v>
      </c>
      <c r="J5359" s="0" t="s">
        <v>254</v>
      </c>
      <c r="K5359" s="0" t="s">
        <v>255</v>
      </c>
      <c r="L5359" s="0" t="s">
        <v>124</v>
      </c>
      <c r="M5359" s="0" t="s">
        <v>208</v>
      </c>
      <c r="N5359" s="0" t="s">
        <v>124</v>
      </c>
      <c r="P5359" s="0" t="s">
        <v>130</v>
      </c>
      <c r="Q5359" s="0" t="s">
        <v>130</v>
      </c>
      <c r="R5359" s="0" t="s">
        <v>131</v>
      </c>
      <c r="S5359" s="0" t="s">
        <v>21</v>
      </c>
      <c r="T5359" s="0" t="s">
        <v>104</v>
      </c>
      <c r="W5359" s="0" t="s">
        <v>105</v>
      </c>
      <c r="X5359" s="0" t="s">
        <v>15455</v>
      </c>
      <c r="Y5359" s="0" t="s">
        <v>15456</v>
      </c>
    </row>
    <row r="5360" customFormat="false" ht="15" hidden="false" customHeight="false" outlineLevel="0" collapsed="false">
      <c r="A5360" s="0" t="s">
        <v>21</v>
      </c>
      <c r="B5360" s="0" t="s">
        <v>15457</v>
      </c>
      <c r="C5360" s="0" t="s">
        <v>97</v>
      </c>
      <c r="D5360" s="0" t="s">
        <v>15458</v>
      </c>
      <c r="E5360" s="0" t="s">
        <v>15459</v>
      </c>
      <c r="M5360" s="0" t="s">
        <v>136</v>
      </c>
      <c r="N5360" s="0" t="s">
        <v>124</v>
      </c>
      <c r="P5360" s="0" t="s">
        <v>102</v>
      </c>
      <c r="Q5360" s="0" t="s">
        <v>102</v>
      </c>
      <c r="R5360" s="0" t="s">
        <v>131</v>
      </c>
      <c r="S5360" s="0" t="s">
        <v>21</v>
      </c>
      <c r="T5360" s="0" t="s">
        <v>104</v>
      </c>
      <c r="W5360" s="0" t="s">
        <v>105</v>
      </c>
    </row>
    <row r="5361" customFormat="false" ht="15" hidden="false" customHeight="false" outlineLevel="0" collapsed="false">
      <c r="A5361" s="0" t="s">
        <v>21</v>
      </c>
      <c r="B5361" s="0" t="s">
        <v>15460</v>
      </c>
      <c r="C5361" s="0" t="s">
        <v>97</v>
      </c>
      <c r="D5361" s="0" t="s">
        <v>15461</v>
      </c>
      <c r="E5361" s="0" t="s">
        <v>15462</v>
      </c>
      <c r="M5361" s="0" t="s">
        <v>136</v>
      </c>
      <c r="N5361" s="0" t="s">
        <v>124</v>
      </c>
      <c r="P5361" s="0" t="s">
        <v>102</v>
      </c>
      <c r="Q5361" s="0" t="s">
        <v>102</v>
      </c>
      <c r="R5361" s="0" t="s">
        <v>131</v>
      </c>
      <c r="S5361" s="0" t="s">
        <v>21</v>
      </c>
      <c r="T5361" s="0" t="s">
        <v>104</v>
      </c>
      <c r="W5361" s="0" t="s">
        <v>105</v>
      </c>
    </row>
    <row r="5362" customFormat="false" ht="15" hidden="false" customHeight="false" outlineLevel="0" collapsed="false">
      <c r="A5362" s="0" t="s">
        <v>21</v>
      </c>
      <c r="B5362" s="0" t="s">
        <v>15463</v>
      </c>
      <c r="C5362" s="0" t="s">
        <v>97</v>
      </c>
      <c r="D5362" s="0" t="s">
        <v>15464</v>
      </c>
      <c r="E5362" s="0" t="s">
        <v>15465</v>
      </c>
      <c r="M5362" s="0" t="s">
        <v>136</v>
      </c>
      <c r="N5362" s="0" t="s">
        <v>124</v>
      </c>
      <c r="P5362" s="0" t="s">
        <v>102</v>
      </c>
      <c r="Q5362" s="0" t="s">
        <v>102</v>
      </c>
      <c r="R5362" s="0" t="s">
        <v>131</v>
      </c>
      <c r="S5362" s="0" t="s">
        <v>21</v>
      </c>
      <c r="T5362" s="0" t="s">
        <v>104</v>
      </c>
      <c r="W5362" s="0" t="s">
        <v>105</v>
      </c>
    </row>
    <row r="5363" customFormat="false" ht="15" hidden="false" customHeight="false" outlineLevel="0" collapsed="false">
      <c r="A5363" s="0" t="s">
        <v>21</v>
      </c>
      <c r="B5363" s="0" t="s">
        <v>15466</v>
      </c>
      <c r="C5363" s="0" t="s">
        <v>97</v>
      </c>
      <c r="D5363" s="0" t="s">
        <v>15467</v>
      </c>
      <c r="E5363" s="0" t="s">
        <v>15468</v>
      </c>
      <c r="M5363" s="0" t="s">
        <v>136</v>
      </c>
      <c r="N5363" s="0" t="s">
        <v>124</v>
      </c>
      <c r="P5363" s="0" t="s">
        <v>102</v>
      </c>
      <c r="Q5363" s="0" t="s">
        <v>102</v>
      </c>
      <c r="R5363" s="0" t="s">
        <v>131</v>
      </c>
      <c r="S5363" s="0" t="s">
        <v>21</v>
      </c>
      <c r="T5363" s="0" t="s">
        <v>104</v>
      </c>
      <c r="W5363" s="0" t="s">
        <v>105</v>
      </c>
    </row>
    <row r="5364" customFormat="false" ht="15" hidden="false" customHeight="false" outlineLevel="0" collapsed="false">
      <c r="A5364" s="0" t="s">
        <v>21</v>
      </c>
      <c r="B5364" s="0" t="s">
        <v>15469</v>
      </c>
      <c r="C5364" s="0" t="s">
        <v>139</v>
      </c>
      <c r="D5364" s="0" t="s">
        <v>15470</v>
      </c>
      <c r="M5364" s="0" t="s">
        <v>208</v>
      </c>
      <c r="N5364" s="0" t="s">
        <v>124</v>
      </c>
      <c r="P5364" s="0" t="s">
        <v>102</v>
      </c>
      <c r="Q5364" s="0" t="s">
        <v>102</v>
      </c>
      <c r="R5364" s="0" t="s">
        <v>131</v>
      </c>
      <c r="S5364" s="0" t="s">
        <v>21</v>
      </c>
      <c r="T5364" s="0" t="s">
        <v>104</v>
      </c>
      <c r="W5364" s="0" t="s">
        <v>105</v>
      </c>
    </row>
    <row r="5365" customFormat="false" ht="15" hidden="false" customHeight="false" outlineLevel="0" collapsed="false">
      <c r="A5365" s="0" t="s">
        <v>21</v>
      </c>
      <c r="B5365" s="0" t="s">
        <v>15471</v>
      </c>
      <c r="C5365" s="0" t="s">
        <v>97</v>
      </c>
      <c r="D5365" s="0" t="s">
        <v>4726</v>
      </c>
      <c r="E5365" s="0" t="s">
        <v>4726</v>
      </c>
      <c r="M5365" s="0" t="s">
        <v>136</v>
      </c>
      <c r="N5365" s="0" t="s">
        <v>124</v>
      </c>
      <c r="P5365" s="0" t="s">
        <v>102</v>
      </c>
      <c r="Q5365" s="0" t="s">
        <v>102</v>
      </c>
      <c r="R5365" s="0" t="s">
        <v>131</v>
      </c>
      <c r="S5365" s="0" t="s">
        <v>21</v>
      </c>
      <c r="T5365" s="0" t="s">
        <v>104</v>
      </c>
      <c r="W5365" s="0" t="s">
        <v>105</v>
      </c>
    </row>
    <row r="5366" customFormat="false" ht="15" hidden="false" customHeight="false" outlineLevel="0" collapsed="false">
      <c r="A5366" s="0" t="s">
        <v>21</v>
      </c>
      <c r="B5366" s="0" t="s">
        <v>15472</v>
      </c>
      <c r="C5366" s="0" t="s">
        <v>97</v>
      </c>
      <c r="D5366" s="0" t="s">
        <v>15473</v>
      </c>
      <c r="E5366" s="0" t="s">
        <v>15474</v>
      </c>
      <c r="M5366" s="0" t="s">
        <v>136</v>
      </c>
      <c r="N5366" s="0" t="s">
        <v>124</v>
      </c>
      <c r="P5366" s="0" t="s">
        <v>102</v>
      </c>
      <c r="Q5366" s="0" t="s">
        <v>102</v>
      </c>
      <c r="R5366" s="0" t="s">
        <v>131</v>
      </c>
      <c r="S5366" s="0" t="s">
        <v>21</v>
      </c>
      <c r="T5366" s="0" t="s">
        <v>104</v>
      </c>
      <c r="W5366" s="0" t="s">
        <v>105</v>
      </c>
    </row>
    <row r="5367" customFormat="false" ht="15" hidden="false" customHeight="false" outlineLevel="0" collapsed="false">
      <c r="A5367" s="0" t="s">
        <v>21</v>
      </c>
      <c r="B5367" s="0" t="s">
        <v>15475</v>
      </c>
      <c r="C5367" s="0" t="s">
        <v>97</v>
      </c>
      <c r="D5367" s="0" t="s">
        <v>13527</v>
      </c>
      <c r="E5367" s="0" t="s">
        <v>13527</v>
      </c>
      <c r="M5367" s="0" t="s">
        <v>136</v>
      </c>
      <c r="N5367" s="0" t="s">
        <v>124</v>
      </c>
      <c r="P5367" s="0" t="s">
        <v>102</v>
      </c>
      <c r="Q5367" s="0" t="s">
        <v>102</v>
      </c>
      <c r="R5367" s="0" t="s">
        <v>131</v>
      </c>
      <c r="S5367" s="0" t="s">
        <v>21</v>
      </c>
      <c r="T5367" s="0" t="s">
        <v>104</v>
      </c>
      <c r="W5367" s="0" t="s">
        <v>105</v>
      </c>
    </row>
    <row r="5368" customFormat="false" ht="15" hidden="false" customHeight="false" outlineLevel="0" collapsed="false">
      <c r="A5368" s="0" t="s">
        <v>21</v>
      </c>
      <c r="B5368" s="0" t="s">
        <v>15476</v>
      </c>
      <c r="C5368" s="0" t="s">
        <v>139</v>
      </c>
      <c r="D5368" s="0" t="s">
        <v>15477</v>
      </c>
      <c r="E5368" s="0" t="s">
        <v>15478</v>
      </c>
      <c r="G5368" s="0" t="s">
        <v>15479</v>
      </c>
      <c r="H5368" s="0" t="s">
        <v>2102</v>
      </c>
      <c r="I5368" s="0" t="s">
        <v>2103</v>
      </c>
      <c r="J5368" s="0" t="s">
        <v>275</v>
      </c>
      <c r="K5368" s="0" t="s">
        <v>2104</v>
      </c>
      <c r="L5368" s="0" t="s">
        <v>124</v>
      </c>
      <c r="M5368" s="0" t="s">
        <v>178</v>
      </c>
      <c r="N5368" s="0" t="s">
        <v>124</v>
      </c>
      <c r="P5368" s="0" t="s">
        <v>102</v>
      </c>
      <c r="Q5368" s="0" t="s">
        <v>102</v>
      </c>
      <c r="R5368" s="0" t="s">
        <v>131</v>
      </c>
      <c r="S5368" s="0" t="s">
        <v>21</v>
      </c>
      <c r="T5368" s="0" t="s">
        <v>104</v>
      </c>
      <c r="W5368" s="0" t="s">
        <v>105</v>
      </c>
      <c r="X5368" s="0" t="s">
        <v>15480</v>
      </c>
      <c r="Y5368" s="0" t="s">
        <v>15481</v>
      </c>
      <c r="Z5368" s="0" t="s">
        <v>134</v>
      </c>
    </row>
    <row r="5369" customFormat="false" ht="15" hidden="false" customHeight="false" outlineLevel="0" collapsed="false">
      <c r="A5369" s="0" t="s">
        <v>21</v>
      </c>
      <c r="B5369" s="0" t="s">
        <v>15482</v>
      </c>
      <c r="C5369" s="0" t="s">
        <v>97</v>
      </c>
      <c r="D5369" s="0" t="s">
        <v>15483</v>
      </c>
      <c r="E5369" s="0" t="s">
        <v>15484</v>
      </c>
      <c r="M5369" s="0" t="s">
        <v>136</v>
      </c>
      <c r="N5369" s="0" t="s">
        <v>124</v>
      </c>
      <c r="P5369" s="0" t="s">
        <v>102</v>
      </c>
      <c r="Q5369" s="0" t="s">
        <v>102</v>
      </c>
      <c r="R5369" s="0" t="s">
        <v>131</v>
      </c>
      <c r="S5369" s="0" t="s">
        <v>21</v>
      </c>
      <c r="T5369" s="0" t="s">
        <v>104</v>
      </c>
      <c r="W5369" s="0" t="s">
        <v>105</v>
      </c>
    </row>
    <row r="5370" customFormat="false" ht="15" hidden="false" customHeight="false" outlineLevel="0" collapsed="false">
      <c r="A5370" s="0" t="s">
        <v>21</v>
      </c>
      <c r="B5370" s="0" t="s">
        <v>15485</v>
      </c>
      <c r="C5370" s="0" t="s">
        <v>97</v>
      </c>
      <c r="D5370" s="0" t="s">
        <v>15486</v>
      </c>
      <c r="E5370" s="0" t="s">
        <v>15487</v>
      </c>
      <c r="M5370" s="0" t="s">
        <v>136</v>
      </c>
      <c r="N5370" s="0" t="s">
        <v>124</v>
      </c>
      <c r="P5370" s="0" t="s">
        <v>102</v>
      </c>
      <c r="Q5370" s="0" t="s">
        <v>102</v>
      </c>
      <c r="R5370" s="0" t="s">
        <v>131</v>
      </c>
      <c r="S5370" s="0" t="s">
        <v>21</v>
      </c>
      <c r="T5370" s="0" t="s">
        <v>104</v>
      </c>
      <c r="W5370" s="0" t="s">
        <v>105</v>
      </c>
    </row>
    <row r="5371" customFormat="false" ht="15" hidden="false" customHeight="false" outlineLevel="0" collapsed="false">
      <c r="A5371" s="0" t="s">
        <v>21</v>
      </c>
      <c r="B5371" s="0" t="s">
        <v>15488</v>
      </c>
      <c r="C5371" s="0" t="s">
        <v>97</v>
      </c>
      <c r="D5371" s="0" t="s">
        <v>13537</v>
      </c>
      <c r="E5371" s="0" t="s">
        <v>13537</v>
      </c>
      <c r="M5371" s="0" t="s">
        <v>136</v>
      </c>
      <c r="N5371" s="0" t="s">
        <v>124</v>
      </c>
      <c r="P5371" s="0" t="s">
        <v>102</v>
      </c>
      <c r="Q5371" s="0" t="s">
        <v>102</v>
      </c>
      <c r="R5371" s="0" t="s">
        <v>131</v>
      </c>
      <c r="S5371" s="0" t="s">
        <v>21</v>
      </c>
      <c r="T5371" s="0" t="s">
        <v>104</v>
      </c>
      <c r="W5371" s="0" t="s">
        <v>105</v>
      </c>
    </row>
    <row r="5372" customFormat="false" ht="15" hidden="false" customHeight="false" outlineLevel="0" collapsed="false">
      <c r="A5372" s="0" t="s">
        <v>21</v>
      </c>
      <c r="B5372" s="0" t="s">
        <v>15489</v>
      </c>
      <c r="C5372" s="0" t="s">
        <v>97</v>
      </c>
      <c r="D5372" s="0" t="s">
        <v>15490</v>
      </c>
      <c r="E5372" s="0" t="s">
        <v>15490</v>
      </c>
      <c r="M5372" s="0" t="s">
        <v>136</v>
      </c>
      <c r="N5372" s="0" t="s">
        <v>124</v>
      </c>
      <c r="P5372" s="0" t="s">
        <v>102</v>
      </c>
      <c r="Q5372" s="0" t="s">
        <v>102</v>
      </c>
      <c r="R5372" s="0" t="s">
        <v>131</v>
      </c>
      <c r="S5372" s="0" t="s">
        <v>21</v>
      </c>
      <c r="T5372" s="0" t="s">
        <v>104</v>
      </c>
      <c r="W5372" s="0" t="s">
        <v>105</v>
      </c>
    </row>
    <row r="5373" customFormat="false" ht="15" hidden="false" customHeight="false" outlineLevel="0" collapsed="false">
      <c r="A5373" s="0" t="s">
        <v>21</v>
      </c>
      <c r="B5373" s="0" t="s">
        <v>15491</v>
      </c>
      <c r="C5373" s="0" t="s">
        <v>863</v>
      </c>
      <c r="D5373" s="0" t="s">
        <v>15492</v>
      </c>
      <c r="E5373" s="0" t="s">
        <v>15493</v>
      </c>
      <c r="G5373" s="0" t="s">
        <v>15494</v>
      </c>
      <c r="H5373" s="0" t="s">
        <v>15495</v>
      </c>
      <c r="I5373" s="0" t="s">
        <v>334</v>
      </c>
      <c r="J5373" s="0" t="s">
        <v>254</v>
      </c>
      <c r="K5373" s="0" t="s">
        <v>335</v>
      </c>
      <c r="L5373" s="0" t="s">
        <v>208</v>
      </c>
      <c r="M5373" s="0" t="s">
        <v>208</v>
      </c>
      <c r="N5373" s="0" t="s">
        <v>124</v>
      </c>
      <c r="P5373" s="0" t="s">
        <v>102</v>
      </c>
      <c r="Q5373" s="0" t="s">
        <v>102</v>
      </c>
      <c r="R5373" s="0" t="s">
        <v>131</v>
      </c>
      <c r="S5373" s="0" t="s">
        <v>21</v>
      </c>
      <c r="T5373" s="0" t="s">
        <v>104</v>
      </c>
      <c r="W5373" s="0" t="s">
        <v>105</v>
      </c>
      <c r="X5373" s="0" t="s">
        <v>15496</v>
      </c>
      <c r="Y5373" s="0" t="s">
        <v>15497</v>
      </c>
      <c r="Z5373" s="0" t="s">
        <v>134</v>
      </c>
    </row>
    <row r="5374" customFormat="false" ht="15" hidden="false" customHeight="false" outlineLevel="0" collapsed="false">
      <c r="A5374" s="0" t="s">
        <v>21</v>
      </c>
      <c r="B5374" s="0" t="s">
        <v>15498</v>
      </c>
      <c r="C5374" s="0" t="s">
        <v>97</v>
      </c>
      <c r="D5374" s="0" t="s">
        <v>15499</v>
      </c>
      <c r="E5374" s="0" t="s">
        <v>15500</v>
      </c>
      <c r="M5374" s="0" t="s">
        <v>656</v>
      </c>
      <c r="N5374" s="0" t="s">
        <v>101</v>
      </c>
      <c r="P5374" s="0" t="s">
        <v>102</v>
      </c>
      <c r="Q5374" s="0" t="s">
        <v>102</v>
      </c>
      <c r="R5374" s="0" t="s">
        <v>131</v>
      </c>
      <c r="S5374" s="0" t="s">
        <v>21</v>
      </c>
      <c r="T5374" s="0" t="s">
        <v>104</v>
      </c>
      <c r="W5374" s="0" t="s">
        <v>105</v>
      </c>
    </row>
    <row r="5375" customFormat="false" ht="15" hidden="false" customHeight="false" outlineLevel="0" collapsed="false">
      <c r="A5375" s="0" t="s">
        <v>21</v>
      </c>
      <c r="B5375" s="0" t="s">
        <v>15501</v>
      </c>
      <c r="C5375" s="0" t="s">
        <v>97</v>
      </c>
      <c r="D5375" s="0" t="s">
        <v>11135</v>
      </c>
      <c r="E5375" s="0" t="s">
        <v>15502</v>
      </c>
      <c r="M5375" s="0" t="s">
        <v>656</v>
      </c>
      <c r="N5375" s="0" t="s">
        <v>101</v>
      </c>
      <c r="P5375" s="0" t="s">
        <v>102</v>
      </c>
      <c r="Q5375" s="0" t="s">
        <v>102</v>
      </c>
      <c r="R5375" s="0" t="s">
        <v>131</v>
      </c>
      <c r="S5375" s="0" t="s">
        <v>21</v>
      </c>
      <c r="T5375" s="0" t="s">
        <v>104</v>
      </c>
      <c r="W5375" s="0" t="s">
        <v>105</v>
      </c>
    </row>
    <row r="5376" customFormat="false" ht="15" hidden="false" customHeight="false" outlineLevel="0" collapsed="false">
      <c r="A5376" s="0" t="s">
        <v>21</v>
      </c>
      <c r="B5376" s="0" t="s">
        <v>15503</v>
      </c>
      <c r="C5376" s="0" t="s">
        <v>97</v>
      </c>
      <c r="D5376" s="0" t="s">
        <v>15504</v>
      </c>
      <c r="E5376" s="0" t="s">
        <v>15505</v>
      </c>
      <c r="M5376" s="0" t="s">
        <v>656</v>
      </c>
      <c r="N5376" s="0" t="s">
        <v>101</v>
      </c>
      <c r="P5376" s="0" t="s">
        <v>102</v>
      </c>
      <c r="Q5376" s="0" t="s">
        <v>102</v>
      </c>
      <c r="R5376" s="0" t="s">
        <v>131</v>
      </c>
      <c r="S5376" s="0" t="s">
        <v>21</v>
      </c>
      <c r="T5376" s="0" t="s">
        <v>104</v>
      </c>
      <c r="W5376" s="0" t="s">
        <v>105</v>
      </c>
    </row>
    <row r="5377" customFormat="false" ht="15" hidden="false" customHeight="false" outlineLevel="0" collapsed="false">
      <c r="A5377" s="0" t="s">
        <v>21</v>
      </c>
      <c r="B5377" s="0" t="s">
        <v>15506</v>
      </c>
      <c r="C5377" s="0" t="s">
        <v>97</v>
      </c>
      <c r="D5377" s="0" t="s">
        <v>15507</v>
      </c>
      <c r="E5377" s="0" t="s">
        <v>15508</v>
      </c>
      <c r="G5377" s="0" t="s">
        <v>15509</v>
      </c>
      <c r="H5377" s="0" t="s">
        <v>654</v>
      </c>
      <c r="I5377" s="0" t="s">
        <v>655</v>
      </c>
      <c r="J5377" s="0" t="s">
        <v>100</v>
      </c>
      <c r="K5377" s="0" t="s">
        <v>168</v>
      </c>
      <c r="L5377" s="0" t="s">
        <v>101</v>
      </c>
      <c r="M5377" s="0" t="s">
        <v>656</v>
      </c>
      <c r="N5377" s="0" t="s">
        <v>101</v>
      </c>
      <c r="P5377" s="0" t="s">
        <v>102</v>
      </c>
      <c r="Q5377" s="0" t="s">
        <v>102</v>
      </c>
      <c r="R5377" s="0" t="s">
        <v>131</v>
      </c>
      <c r="S5377" s="0" t="s">
        <v>21</v>
      </c>
      <c r="T5377" s="0" t="s">
        <v>104</v>
      </c>
      <c r="W5377" s="0" t="s">
        <v>105</v>
      </c>
      <c r="X5377" s="0" t="s">
        <v>658</v>
      </c>
      <c r="Y5377" s="0" t="s">
        <v>659</v>
      </c>
    </row>
    <row r="5378" customFormat="false" ht="15" hidden="false" customHeight="false" outlineLevel="0" collapsed="false">
      <c r="A5378" s="0" t="s">
        <v>21</v>
      </c>
      <c r="B5378" s="0" t="s">
        <v>15510</v>
      </c>
      <c r="C5378" s="0" t="s">
        <v>97</v>
      </c>
      <c r="D5378" s="0" t="s">
        <v>4029</v>
      </c>
      <c r="E5378" s="0" t="s">
        <v>15511</v>
      </c>
      <c r="H5378" s="0" t="s">
        <v>654</v>
      </c>
      <c r="I5378" s="0" t="s">
        <v>655</v>
      </c>
      <c r="J5378" s="0" t="s">
        <v>100</v>
      </c>
      <c r="K5378" s="0" t="s">
        <v>168</v>
      </c>
      <c r="L5378" s="0" t="s">
        <v>101</v>
      </c>
      <c r="M5378" s="0" t="s">
        <v>656</v>
      </c>
      <c r="N5378" s="0" t="s">
        <v>101</v>
      </c>
      <c r="P5378" s="0" t="s">
        <v>102</v>
      </c>
      <c r="Q5378" s="0" t="s">
        <v>102</v>
      </c>
      <c r="R5378" s="0" t="s">
        <v>131</v>
      </c>
      <c r="S5378" s="0" t="s">
        <v>21</v>
      </c>
      <c r="T5378" s="0" t="s">
        <v>104</v>
      </c>
      <c r="W5378" s="0" t="s">
        <v>105</v>
      </c>
      <c r="X5378" s="0" t="s">
        <v>658</v>
      </c>
      <c r="Y5378" s="0" t="s">
        <v>659</v>
      </c>
    </row>
    <row r="5379" customFormat="false" ht="15" hidden="false" customHeight="false" outlineLevel="0" collapsed="false">
      <c r="A5379" s="0" t="s">
        <v>21</v>
      </c>
      <c r="B5379" s="0" t="s">
        <v>15512</v>
      </c>
      <c r="C5379" s="0" t="s">
        <v>97</v>
      </c>
      <c r="D5379" s="0" t="s">
        <v>15513</v>
      </c>
      <c r="E5379" s="0" t="s">
        <v>15514</v>
      </c>
      <c r="M5379" s="0" t="s">
        <v>136</v>
      </c>
      <c r="N5379" s="0" t="s">
        <v>124</v>
      </c>
      <c r="P5379" s="0" t="s">
        <v>102</v>
      </c>
      <c r="Q5379" s="0" t="s">
        <v>102</v>
      </c>
      <c r="R5379" s="0" t="s">
        <v>131</v>
      </c>
      <c r="S5379" s="0" t="s">
        <v>21</v>
      </c>
      <c r="T5379" s="0" t="s">
        <v>104</v>
      </c>
      <c r="W5379" s="0" t="s">
        <v>105</v>
      </c>
    </row>
    <row r="5380" customFormat="false" ht="15" hidden="false" customHeight="false" outlineLevel="0" collapsed="false">
      <c r="A5380" s="0" t="s">
        <v>21</v>
      </c>
      <c r="B5380" s="0" t="s">
        <v>15515</v>
      </c>
      <c r="C5380" s="0" t="s">
        <v>97</v>
      </c>
      <c r="D5380" s="0" t="s">
        <v>15516</v>
      </c>
      <c r="E5380" s="0" t="s">
        <v>15517</v>
      </c>
      <c r="M5380" s="0" t="s">
        <v>136</v>
      </c>
      <c r="N5380" s="0" t="s">
        <v>124</v>
      </c>
      <c r="P5380" s="0" t="s">
        <v>102</v>
      </c>
      <c r="Q5380" s="0" t="s">
        <v>102</v>
      </c>
      <c r="R5380" s="0" t="s">
        <v>131</v>
      </c>
      <c r="S5380" s="0" t="s">
        <v>21</v>
      </c>
      <c r="T5380" s="0" t="s">
        <v>104</v>
      </c>
      <c r="W5380" s="0" t="s">
        <v>105</v>
      </c>
    </row>
    <row r="5381" customFormat="false" ht="15" hidden="false" customHeight="false" outlineLevel="0" collapsed="false">
      <c r="A5381" s="0" t="s">
        <v>21</v>
      </c>
      <c r="B5381" s="0" t="s">
        <v>15518</v>
      </c>
      <c r="C5381" s="0" t="s">
        <v>174</v>
      </c>
      <c r="D5381" s="0" t="s">
        <v>15519</v>
      </c>
      <c r="E5381" s="0" t="s">
        <v>15519</v>
      </c>
      <c r="M5381" s="0" t="s">
        <v>15520</v>
      </c>
      <c r="N5381" s="0" t="s">
        <v>124</v>
      </c>
      <c r="P5381" s="0" t="s">
        <v>102</v>
      </c>
      <c r="Q5381" s="0" t="s">
        <v>102</v>
      </c>
      <c r="R5381" s="0" t="s">
        <v>131</v>
      </c>
      <c r="S5381" s="0" t="s">
        <v>21</v>
      </c>
      <c r="T5381" s="0" t="s">
        <v>104</v>
      </c>
      <c r="V5381" s="0" t="s">
        <v>15378</v>
      </c>
      <c r="W5381" s="0" t="s">
        <v>105</v>
      </c>
    </row>
    <row r="5382" customFormat="false" ht="15" hidden="false" customHeight="false" outlineLevel="0" collapsed="false">
      <c r="A5382" s="0" t="s">
        <v>21</v>
      </c>
      <c r="B5382" s="0" t="s">
        <v>15521</v>
      </c>
      <c r="C5382" s="0" t="s">
        <v>97</v>
      </c>
      <c r="D5382" s="0" t="s">
        <v>15522</v>
      </c>
      <c r="E5382" s="0" t="s">
        <v>15523</v>
      </c>
      <c r="M5382" s="0" t="s">
        <v>136</v>
      </c>
      <c r="N5382" s="0" t="s">
        <v>124</v>
      </c>
      <c r="P5382" s="0" t="s">
        <v>102</v>
      </c>
      <c r="Q5382" s="0" t="s">
        <v>102</v>
      </c>
      <c r="R5382" s="0" t="s">
        <v>131</v>
      </c>
      <c r="S5382" s="0" t="s">
        <v>21</v>
      </c>
      <c r="T5382" s="0" t="s">
        <v>104</v>
      </c>
      <c r="W5382" s="0" t="s">
        <v>105</v>
      </c>
    </row>
    <row r="5383" customFormat="false" ht="15" hidden="false" customHeight="false" outlineLevel="0" collapsed="false">
      <c r="A5383" s="0" t="s">
        <v>21</v>
      </c>
      <c r="B5383" s="0" t="s">
        <v>15524</v>
      </c>
      <c r="C5383" s="0" t="s">
        <v>97</v>
      </c>
      <c r="D5383" s="0" t="s">
        <v>13243</v>
      </c>
      <c r="E5383" s="0" t="s">
        <v>15525</v>
      </c>
      <c r="M5383" s="0" t="s">
        <v>136</v>
      </c>
      <c r="N5383" s="0" t="s">
        <v>124</v>
      </c>
      <c r="P5383" s="0" t="s">
        <v>102</v>
      </c>
      <c r="Q5383" s="0" t="s">
        <v>102</v>
      </c>
      <c r="R5383" s="0" t="s">
        <v>131</v>
      </c>
      <c r="S5383" s="0" t="s">
        <v>21</v>
      </c>
      <c r="T5383" s="0" t="s">
        <v>104</v>
      </c>
      <c r="W5383" s="0" t="s">
        <v>105</v>
      </c>
    </row>
    <row r="5384" customFormat="false" ht="15" hidden="false" customHeight="false" outlineLevel="0" collapsed="false">
      <c r="A5384" s="0" t="s">
        <v>21</v>
      </c>
      <c r="B5384" s="0" t="s">
        <v>15526</v>
      </c>
      <c r="C5384" s="0" t="s">
        <v>97</v>
      </c>
      <c r="D5384" s="0" t="s">
        <v>15527</v>
      </c>
      <c r="E5384" s="0" t="s">
        <v>15528</v>
      </c>
      <c r="M5384" s="0" t="s">
        <v>136</v>
      </c>
      <c r="N5384" s="0" t="s">
        <v>124</v>
      </c>
      <c r="P5384" s="0" t="s">
        <v>102</v>
      </c>
      <c r="Q5384" s="0" t="s">
        <v>102</v>
      </c>
      <c r="R5384" s="0" t="s">
        <v>131</v>
      </c>
      <c r="S5384" s="0" t="s">
        <v>21</v>
      </c>
      <c r="T5384" s="0" t="s">
        <v>104</v>
      </c>
      <c r="W5384" s="0" t="s">
        <v>105</v>
      </c>
    </row>
    <row r="5385" customFormat="false" ht="15" hidden="false" customHeight="false" outlineLevel="0" collapsed="false">
      <c r="A5385" s="0" t="s">
        <v>21</v>
      </c>
      <c r="B5385" s="0" t="s">
        <v>15529</v>
      </c>
      <c r="C5385" s="0" t="s">
        <v>97</v>
      </c>
      <c r="D5385" s="0" t="s">
        <v>15530</v>
      </c>
      <c r="E5385" s="0" t="s">
        <v>15531</v>
      </c>
      <c r="M5385" s="0" t="s">
        <v>136</v>
      </c>
      <c r="N5385" s="0" t="s">
        <v>124</v>
      </c>
      <c r="P5385" s="0" t="s">
        <v>102</v>
      </c>
      <c r="Q5385" s="0" t="s">
        <v>102</v>
      </c>
      <c r="R5385" s="0" t="s">
        <v>131</v>
      </c>
      <c r="S5385" s="0" t="s">
        <v>21</v>
      </c>
      <c r="T5385" s="0" t="s">
        <v>104</v>
      </c>
      <c r="W5385" s="0" t="s">
        <v>105</v>
      </c>
    </row>
    <row r="5386" customFormat="false" ht="15" hidden="false" customHeight="false" outlineLevel="0" collapsed="false">
      <c r="A5386" s="0" t="s">
        <v>21</v>
      </c>
      <c r="B5386" s="0" t="s">
        <v>15532</v>
      </c>
      <c r="C5386" s="0" t="s">
        <v>97</v>
      </c>
      <c r="D5386" s="0" t="s">
        <v>15533</v>
      </c>
      <c r="E5386" s="0" t="s">
        <v>15534</v>
      </c>
      <c r="M5386" s="0" t="s">
        <v>136</v>
      </c>
      <c r="N5386" s="0" t="s">
        <v>124</v>
      </c>
      <c r="P5386" s="0" t="s">
        <v>102</v>
      </c>
      <c r="Q5386" s="0" t="s">
        <v>102</v>
      </c>
      <c r="R5386" s="0" t="s">
        <v>131</v>
      </c>
      <c r="S5386" s="0" t="s">
        <v>21</v>
      </c>
      <c r="T5386" s="0" t="s">
        <v>104</v>
      </c>
      <c r="W5386" s="0" t="s">
        <v>105</v>
      </c>
    </row>
    <row r="5387" customFormat="false" ht="15" hidden="false" customHeight="false" outlineLevel="0" collapsed="false">
      <c r="A5387" s="0" t="s">
        <v>21</v>
      </c>
      <c r="B5387" s="0" t="s">
        <v>15535</v>
      </c>
      <c r="C5387" s="0" t="s">
        <v>97</v>
      </c>
      <c r="D5387" s="0" t="s">
        <v>15536</v>
      </c>
      <c r="E5387" s="0" t="s">
        <v>15537</v>
      </c>
      <c r="M5387" s="0" t="s">
        <v>136</v>
      </c>
      <c r="N5387" s="0" t="s">
        <v>124</v>
      </c>
      <c r="P5387" s="0" t="s">
        <v>102</v>
      </c>
      <c r="Q5387" s="0" t="s">
        <v>102</v>
      </c>
      <c r="R5387" s="0" t="s">
        <v>131</v>
      </c>
      <c r="S5387" s="0" t="s">
        <v>21</v>
      </c>
      <c r="T5387" s="0" t="s">
        <v>104</v>
      </c>
      <c r="W5387" s="0" t="s">
        <v>105</v>
      </c>
    </row>
    <row r="5388" customFormat="false" ht="15" hidden="false" customHeight="false" outlineLevel="0" collapsed="false">
      <c r="A5388" s="0" t="s">
        <v>21</v>
      </c>
      <c r="B5388" s="0" t="s">
        <v>15538</v>
      </c>
      <c r="C5388" s="0" t="s">
        <v>97</v>
      </c>
      <c r="D5388" s="0" t="s">
        <v>15539</v>
      </c>
      <c r="E5388" s="0" t="s">
        <v>15540</v>
      </c>
      <c r="M5388" s="0" t="s">
        <v>136</v>
      </c>
      <c r="N5388" s="0" t="s">
        <v>124</v>
      </c>
      <c r="P5388" s="0" t="s">
        <v>102</v>
      </c>
      <c r="Q5388" s="0" t="s">
        <v>102</v>
      </c>
      <c r="R5388" s="0" t="s">
        <v>131</v>
      </c>
      <c r="S5388" s="0" t="s">
        <v>21</v>
      </c>
      <c r="T5388" s="0" t="s">
        <v>104</v>
      </c>
      <c r="W5388" s="0" t="s">
        <v>105</v>
      </c>
    </row>
    <row r="5389" customFormat="false" ht="15" hidden="false" customHeight="false" outlineLevel="0" collapsed="false">
      <c r="A5389" s="0" t="s">
        <v>21</v>
      </c>
      <c r="B5389" s="0" t="s">
        <v>15541</v>
      </c>
      <c r="C5389" s="0" t="s">
        <v>97</v>
      </c>
      <c r="D5389" s="0" t="s">
        <v>15542</v>
      </c>
      <c r="E5389" s="0" t="s">
        <v>15543</v>
      </c>
      <c r="H5389" s="0" t="s">
        <v>15544</v>
      </c>
      <c r="I5389" s="0" t="s">
        <v>1356</v>
      </c>
      <c r="J5389" s="0" t="s">
        <v>1356</v>
      </c>
      <c r="K5389" s="0" t="s">
        <v>1340</v>
      </c>
      <c r="L5389" s="0" t="s">
        <v>101</v>
      </c>
      <c r="M5389" s="0" t="s">
        <v>1356</v>
      </c>
      <c r="N5389" s="0" t="s">
        <v>101</v>
      </c>
      <c r="P5389" s="0" t="s">
        <v>102</v>
      </c>
      <c r="Q5389" s="0" t="s">
        <v>102</v>
      </c>
      <c r="R5389" s="0" t="s">
        <v>131</v>
      </c>
      <c r="S5389" s="0" t="s">
        <v>21</v>
      </c>
      <c r="T5389" s="0" t="s">
        <v>104</v>
      </c>
      <c r="W5389" s="0" t="s">
        <v>105</v>
      </c>
      <c r="X5389" s="0" t="s">
        <v>15545</v>
      </c>
      <c r="Y5389" s="0" t="s">
        <v>15546</v>
      </c>
    </row>
    <row r="5390" customFormat="false" ht="15" hidden="false" customHeight="false" outlineLevel="0" collapsed="false">
      <c r="A5390" s="0" t="s">
        <v>21</v>
      </c>
      <c r="B5390" s="0" t="s">
        <v>15547</v>
      </c>
      <c r="C5390" s="0" t="s">
        <v>110</v>
      </c>
      <c r="D5390" s="0" t="s">
        <v>15548</v>
      </c>
      <c r="E5390" s="0" t="s">
        <v>15549</v>
      </c>
      <c r="G5390" s="0" t="s">
        <v>5314</v>
      </c>
      <c r="H5390" s="0" t="s">
        <v>2812</v>
      </c>
      <c r="I5390" s="0" t="s">
        <v>2814</v>
      </c>
      <c r="J5390" s="0" t="s">
        <v>122</v>
      </c>
      <c r="K5390" s="0" t="s">
        <v>2813</v>
      </c>
      <c r="L5390" s="0" t="s">
        <v>124</v>
      </c>
      <c r="M5390" s="0" t="s">
        <v>121</v>
      </c>
      <c r="N5390" s="0" t="s">
        <v>124</v>
      </c>
      <c r="P5390" s="0" t="s">
        <v>102</v>
      </c>
      <c r="Q5390" s="0" t="s">
        <v>102</v>
      </c>
      <c r="R5390" s="0" t="s">
        <v>113</v>
      </c>
      <c r="S5390" s="0" t="s">
        <v>21</v>
      </c>
      <c r="T5390" s="0" t="s">
        <v>104</v>
      </c>
      <c r="W5390" s="0" t="s">
        <v>105</v>
      </c>
      <c r="X5390" s="0" t="s">
        <v>15550</v>
      </c>
      <c r="Y5390" s="0" t="s">
        <v>15551</v>
      </c>
      <c r="Z5390" s="0" t="s">
        <v>134</v>
      </c>
    </row>
    <row r="5391" customFormat="false" ht="15" hidden="false" customHeight="false" outlineLevel="0" collapsed="false">
      <c r="A5391" s="0" t="s">
        <v>21</v>
      </c>
      <c r="B5391" s="0" t="s">
        <v>15552</v>
      </c>
      <c r="C5391" s="0" t="s">
        <v>97</v>
      </c>
      <c r="D5391" s="0" t="s">
        <v>15553</v>
      </c>
      <c r="E5391" s="0" t="s">
        <v>15554</v>
      </c>
      <c r="M5391" s="0" t="s">
        <v>136</v>
      </c>
      <c r="N5391" s="0" t="s">
        <v>124</v>
      </c>
      <c r="P5391" s="0" t="s">
        <v>102</v>
      </c>
      <c r="Q5391" s="0" t="s">
        <v>102</v>
      </c>
      <c r="R5391" s="0" t="s">
        <v>224</v>
      </c>
      <c r="S5391" s="0" t="s">
        <v>21</v>
      </c>
      <c r="T5391" s="0" t="s">
        <v>104</v>
      </c>
      <c r="W5391" s="0" t="s">
        <v>105</v>
      </c>
    </row>
    <row r="5392" customFormat="false" ht="15" hidden="false" customHeight="false" outlineLevel="0" collapsed="false">
      <c r="A5392" s="0" t="s">
        <v>21</v>
      </c>
      <c r="B5392" s="0" t="s">
        <v>15555</v>
      </c>
      <c r="C5392" s="0" t="s">
        <v>97</v>
      </c>
      <c r="D5392" s="0" t="s">
        <v>15556</v>
      </c>
      <c r="E5392" s="0" t="s">
        <v>15557</v>
      </c>
      <c r="H5392" s="0" t="s">
        <v>654</v>
      </c>
      <c r="I5392" s="0" t="s">
        <v>655</v>
      </c>
      <c r="J5392" s="0" t="s">
        <v>100</v>
      </c>
      <c r="K5392" s="0" t="s">
        <v>168</v>
      </c>
      <c r="L5392" s="0" t="s">
        <v>101</v>
      </c>
      <c r="M5392" s="0" t="s">
        <v>656</v>
      </c>
      <c r="N5392" s="0" t="s">
        <v>101</v>
      </c>
      <c r="P5392" s="0" t="s">
        <v>102</v>
      </c>
      <c r="Q5392" s="0" t="s">
        <v>102</v>
      </c>
      <c r="R5392" s="0" t="s">
        <v>131</v>
      </c>
      <c r="S5392" s="0" t="s">
        <v>21</v>
      </c>
      <c r="T5392" s="0" t="s">
        <v>104</v>
      </c>
      <c r="W5392" s="0" t="s">
        <v>105</v>
      </c>
      <c r="X5392" s="0" t="s">
        <v>658</v>
      </c>
      <c r="Y5392" s="0" t="s">
        <v>659</v>
      </c>
    </row>
    <row r="5393" customFormat="false" ht="15" hidden="false" customHeight="false" outlineLevel="0" collapsed="false">
      <c r="A5393" s="0" t="s">
        <v>21</v>
      </c>
      <c r="B5393" s="0" t="s">
        <v>15558</v>
      </c>
      <c r="C5393" s="0" t="s">
        <v>97</v>
      </c>
      <c r="D5393" s="0" t="s">
        <v>15559</v>
      </c>
      <c r="E5393" s="0" t="s">
        <v>15560</v>
      </c>
      <c r="H5393" s="0" t="s">
        <v>654</v>
      </c>
      <c r="I5393" s="0" t="s">
        <v>655</v>
      </c>
      <c r="J5393" s="0" t="s">
        <v>100</v>
      </c>
      <c r="K5393" s="0" t="s">
        <v>168</v>
      </c>
      <c r="L5393" s="0" t="s">
        <v>101</v>
      </c>
      <c r="M5393" s="0" t="s">
        <v>656</v>
      </c>
      <c r="N5393" s="0" t="s">
        <v>101</v>
      </c>
      <c r="P5393" s="0" t="s">
        <v>102</v>
      </c>
      <c r="Q5393" s="0" t="s">
        <v>102</v>
      </c>
      <c r="R5393" s="0" t="s">
        <v>131</v>
      </c>
      <c r="S5393" s="0" t="s">
        <v>21</v>
      </c>
      <c r="T5393" s="0" t="s">
        <v>104</v>
      </c>
      <c r="W5393" s="0" t="s">
        <v>105</v>
      </c>
      <c r="X5393" s="0" t="s">
        <v>658</v>
      </c>
      <c r="Y5393" s="0" t="s">
        <v>659</v>
      </c>
    </row>
    <row r="5394" customFormat="false" ht="15" hidden="false" customHeight="false" outlineLevel="0" collapsed="false">
      <c r="A5394" s="0" t="s">
        <v>21</v>
      </c>
      <c r="B5394" s="0" t="s">
        <v>15561</v>
      </c>
      <c r="C5394" s="0" t="s">
        <v>97</v>
      </c>
      <c r="D5394" s="0" t="s">
        <v>15562</v>
      </c>
      <c r="E5394" s="0" t="s">
        <v>15563</v>
      </c>
      <c r="M5394" s="0" t="s">
        <v>656</v>
      </c>
      <c r="N5394" s="0" t="s">
        <v>101</v>
      </c>
      <c r="P5394" s="0" t="s">
        <v>102</v>
      </c>
      <c r="Q5394" s="0" t="s">
        <v>102</v>
      </c>
      <c r="R5394" s="0" t="s">
        <v>144</v>
      </c>
      <c r="S5394" s="0" t="s">
        <v>21</v>
      </c>
      <c r="T5394" s="0" t="s">
        <v>104</v>
      </c>
      <c r="W5394" s="0" t="s">
        <v>105</v>
      </c>
    </row>
    <row r="5395" customFormat="false" ht="15" hidden="false" customHeight="false" outlineLevel="0" collapsed="false">
      <c r="A5395" s="0" t="s">
        <v>21</v>
      </c>
      <c r="B5395" s="0" t="s">
        <v>15564</v>
      </c>
      <c r="C5395" s="0" t="s">
        <v>97</v>
      </c>
      <c r="D5395" s="0" t="s">
        <v>15565</v>
      </c>
      <c r="E5395" s="0" t="s">
        <v>15566</v>
      </c>
      <c r="G5395" s="0" t="s">
        <v>15567</v>
      </c>
      <c r="M5395" s="0" t="s">
        <v>15568</v>
      </c>
      <c r="N5395" s="0" t="s">
        <v>101</v>
      </c>
      <c r="P5395" s="0" t="s">
        <v>102</v>
      </c>
      <c r="Q5395" s="0" t="s">
        <v>102</v>
      </c>
      <c r="R5395" s="0" t="s">
        <v>113</v>
      </c>
      <c r="S5395" s="0" t="s">
        <v>21</v>
      </c>
      <c r="T5395" s="0" t="s">
        <v>104</v>
      </c>
      <c r="W5395" s="0" t="s">
        <v>105</v>
      </c>
    </row>
    <row r="5396" customFormat="false" ht="15" hidden="false" customHeight="false" outlineLevel="0" collapsed="false">
      <c r="A5396" s="0" t="s">
        <v>21</v>
      </c>
      <c r="B5396" s="0" t="s">
        <v>15569</v>
      </c>
      <c r="C5396" s="0" t="s">
        <v>97</v>
      </c>
      <c r="D5396" s="0" t="s">
        <v>15570</v>
      </c>
      <c r="E5396" s="0" t="s">
        <v>15570</v>
      </c>
      <c r="F5396" s="0" t="s">
        <v>15570</v>
      </c>
      <c r="M5396" s="0" t="s">
        <v>100</v>
      </c>
      <c r="N5396" s="0" t="s">
        <v>101</v>
      </c>
      <c r="P5396" s="0" t="s">
        <v>102</v>
      </c>
      <c r="Q5396" s="0" t="s">
        <v>102</v>
      </c>
      <c r="R5396" s="0" t="s">
        <v>131</v>
      </c>
      <c r="S5396" s="0" t="s">
        <v>21</v>
      </c>
      <c r="T5396" s="0" t="s">
        <v>104</v>
      </c>
      <c r="W5396" s="0" t="s">
        <v>105</v>
      </c>
    </row>
    <row r="5397" customFormat="false" ht="15" hidden="false" customHeight="false" outlineLevel="0" collapsed="false">
      <c r="A5397" s="0" t="s">
        <v>21</v>
      </c>
      <c r="B5397" s="0" t="s">
        <v>15571</v>
      </c>
      <c r="C5397" s="0" t="s">
        <v>97</v>
      </c>
      <c r="D5397" s="0" t="s">
        <v>15572</v>
      </c>
      <c r="E5397" s="0" t="s">
        <v>15572</v>
      </c>
      <c r="M5397" s="0" t="s">
        <v>442</v>
      </c>
      <c r="N5397" s="0" t="s">
        <v>101</v>
      </c>
      <c r="P5397" s="0" t="s">
        <v>102</v>
      </c>
      <c r="Q5397" s="0" t="s">
        <v>102</v>
      </c>
      <c r="R5397" s="0" t="s">
        <v>131</v>
      </c>
      <c r="S5397" s="0" t="s">
        <v>21</v>
      </c>
      <c r="T5397" s="0" t="s">
        <v>104</v>
      </c>
      <c r="W5397" s="0" t="s">
        <v>105</v>
      </c>
    </row>
    <row r="5398" customFormat="false" ht="15" hidden="false" customHeight="false" outlineLevel="0" collapsed="false">
      <c r="A5398" s="0" t="s">
        <v>21</v>
      </c>
      <c r="B5398" s="0" t="s">
        <v>15573</v>
      </c>
      <c r="C5398" s="0" t="s">
        <v>97</v>
      </c>
      <c r="D5398" s="0" t="s">
        <v>15574</v>
      </c>
      <c r="E5398" s="0" t="s">
        <v>15574</v>
      </c>
      <c r="M5398" s="0" t="s">
        <v>442</v>
      </c>
      <c r="N5398" s="0" t="s">
        <v>101</v>
      </c>
      <c r="P5398" s="0" t="s">
        <v>102</v>
      </c>
      <c r="Q5398" s="0" t="s">
        <v>102</v>
      </c>
      <c r="R5398" s="0" t="s">
        <v>131</v>
      </c>
      <c r="S5398" s="0" t="s">
        <v>21</v>
      </c>
      <c r="T5398" s="0" t="s">
        <v>104</v>
      </c>
      <c r="W5398" s="0" t="s">
        <v>105</v>
      </c>
    </row>
    <row r="5399" customFormat="false" ht="15" hidden="false" customHeight="false" outlineLevel="0" collapsed="false">
      <c r="A5399" s="0" t="s">
        <v>21</v>
      </c>
      <c r="B5399" s="0" t="s">
        <v>15575</v>
      </c>
      <c r="C5399" s="0" t="s">
        <v>97</v>
      </c>
      <c r="D5399" s="0" t="s">
        <v>15576</v>
      </c>
      <c r="E5399" s="0" t="s">
        <v>15576</v>
      </c>
      <c r="M5399" s="0" t="s">
        <v>442</v>
      </c>
      <c r="N5399" s="0" t="s">
        <v>101</v>
      </c>
      <c r="P5399" s="0" t="s">
        <v>102</v>
      </c>
      <c r="Q5399" s="0" t="s">
        <v>102</v>
      </c>
      <c r="R5399" s="0" t="s">
        <v>131</v>
      </c>
      <c r="S5399" s="0" t="s">
        <v>21</v>
      </c>
      <c r="T5399" s="0" t="s">
        <v>104</v>
      </c>
      <c r="W5399" s="0" t="s">
        <v>105</v>
      </c>
    </row>
    <row r="5400" customFormat="false" ht="15" hidden="false" customHeight="false" outlineLevel="0" collapsed="false">
      <c r="A5400" s="0" t="s">
        <v>21</v>
      </c>
      <c r="B5400" s="0" t="s">
        <v>15577</v>
      </c>
      <c r="C5400" s="0" t="s">
        <v>97</v>
      </c>
      <c r="D5400" s="0" t="s">
        <v>857</v>
      </c>
      <c r="E5400" s="0" t="s">
        <v>15578</v>
      </c>
      <c r="M5400" s="0" t="s">
        <v>136</v>
      </c>
      <c r="N5400" s="0" t="s">
        <v>124</v>
      </c>
      <c r="P5400" s="0" t="s">
        <v>102</v>
      </c>
      <c r="Q5400" s="0" t="s">
        <v>102</v>
      </c>
      <c r="R5400" s="0" t="s">
        <v>224</v>
      </c>
      <c r="S5400" s="0" t="s">
        <v>21</v>
      </c>
      <c r="T5400" s="0" t="s">
        <v>104</v>
      </c>
      <c r="W5400" s="0" t="s">
        <v>105</v>
      </c>
    </row>
    <row r="5401" customFormat="false" ht="15" hidden="false" customHeight="false" outlineLevel="0" collapsed="false">
      <c r="A5401" s="0" t="s">
        <v>21</v>
      </c>
      <c r="B5401" s="0" t="s">
        <v>15579</v>
      </c>
      <c r="C5401" s="0" t="s">
        <v>97</v>
      </c>
      <c r="D5401" s="0" t="s">
        <v>15580</v>
      </c>
      <c r="E5401" s="0" t="s">
        <v>15581</v>
      </c>
      <c r="M5401" s="0" t="s">
        <v>136</v>
      </c>
      <c r="N5401" s="0" t="s">
        <v>124</v>
      </c>
      <c r="P5401" s="0" t="s">
        <v>102</v>
      </c>
      <c r="Q5401" s="0" t="s">
        <v>102</v>
      </c>
      <c r="R5401" s="0" t="s">
        <v>113</v>
      </c>
      <c r="S5401" s="0" t="s">
        <v>21</v>
      </c>
      <c r="T5401" s="0" t="s">
        <v>104</v>
      </c>
      <c r="W5401" s="0" t="s">
        <v>105</v>
      </c>
    </row>
    <row r="5402" customFormat="false" ht="15" hidden="false" customHeight="false" outlineLevel="0" collapsed="false">
      <c r="A5402" s="0" t="s">
        <v>21</v>
      </c>
      <c r="B5402" s="0" t="s">
        <v>15582</v>
      </c>
      <c r="C5402" s="0" t="s">
        <v>97</v>
      </c>
      <c r="D5402" s="0" t="s">
        <v>15583</v>
      </c>
      <c r="E5402" s="0" t="s">
        <v>15584</v>
      </c>
      <c r="M5402" s="0" t="s">
        <v>136</v>
      </c>
      <c r="N5402" s="0" t="s">
        <v>124</v>
      </c>
      <c r="P5402" s="0" t="s">
        <v>102</v>
      </c>
      <c r="Q5402" s="0" t="s">
        <v>102</v>
      </c>
      <c r="R5402" s="0" t="s">
        <v>131</v>
      </c>
      <c r="S5402" s="0" t="s">
        <v>21</v>
      </c>
      <c r="T5402" s="0" t="s">
        <v>104</v>
      </c>
      <c r="W5402" s="0" t="s">
        <v>105</v>
      </c>
    </row>
    <row r="5403" customFormat="false" ht="15" hidden="false" customHeight="false" outlineLevel="0" collapsed="false">
      <c r="A5403" s="0" t="s">
        <v>21</v>
      </c>
      <c r="B5403" s="0" t="s">
        <v>15585</v>
      </c>
      <c r="C5403" s="0" t="s">
        <v>97</v>
      </c>
      <c r="D5403" s="0" t="s">
        <v>15586</v>
      </c>
      <c r="E5403" s="0" t="s">
        <v>15587</v>
      </c>
      <c r="M5403" s="0" t="s">
        <v>136</v>
      </c>
      <c r="N5403" s="0" t="s">
        <v>124</v>
      </c>
      <c r="P5403" s="0" t="s">
        <v>102</v>
      </c>
      <c r="Q5403" s="0" t="s">
        <v>102</v>
      </c>
      <c r="R5403" s="0" t="s">
        <v>113</v>
      </c>
      <c r="S5403" s="0" t="s">
        <v>21</v>
      </c>
      <c r="T5403" s="0" t="s">
        <v>104</v>
      </c>
      <c r="W5403" s="0" t="s">
        <v>105</v>
      </c>
    </row>
    <row r="5404" customFormat="false" ht="15" hidden="false" customHeight="false" outlineLevel="0" collapsed="false">
      <c r="A5404" s="0" t="s">
        <v>21</v>
      </c>
      <c r="B5404" s="0" t="s">
        <v>15588</v>
      </c>
      <c r="C5404" s="0" t="s">
        <v>97</v>
      </c>
      <c r="D5404" s="0" t="s">
        <v>15589</v>
      </c>
      <c r="E5404" s="0" t="s">
        <v>15589</v>
      </c>
      <c r="M5404" s="0" t="s">
        <v>136</v>
      </c>
      <c r="N5404" s="0" t="s">
        <v>124</v>
      </c>
      <c r="P5404" s="0" t="s">
        <v>102</v>
      </c>
      <c r="Q5404" s="0" t="s">
        <v>102</v>
      </c>
      <c r="R5404" s="0" t="s">
        <v>131</v>
      </c>
      <c r="S5404" s="0" t="s">
        <v>21</v>
      </c>
      <c r="T5404" s="0" t="s">
        <v>104</v>
      </c>
      <c r="W5404" s="0" t="s">
        <v>105</v>
      </c>
    </row>
    <row r="5405" customFormat="false" ht="15" hidden="false" customHeight="false" outlineLevel="0" collapsed="false">
      <c r="A5405" s="0" t="s">
        <v>21</v>
      </c>
      <c r="B5405" s="0" t="s">
        <v>15590</v>
      </c>
      <c r="C5405" s="0" t="s">
        <v>97</v>
      </c>
      <c r="D5405" s="0" t="s">
        <v>15591</v>
      </c>
      <c r="E5405" s="0" t="s">
        <v>15592</v>
      </c>
      <c r="M5405" s="0" t="s">
        <v>136</v>
      </c>
      <c r="N5405" s="0" t="s">
        <v>124</v>
      </c>
      <c r="P5405" s="0" t="s">
        <v>102</v>
      </c>
      <c r="Q5405" s="0" t="s">
        <v>102</v>
      </c>
      <c r="R5405" s="0" t="s">
        <v>113</v>
      </c>
      <c r="S5405" s="0" t="s">
        <v>21</v>
      </c>
      <c r="T5405" s="0" t="s">
        <v>104</v>
      </c>
      <c r="W5405" s="0" t="s">
        <v>105</v>
      </c>
    </row>
    <row r="5406" customFormat="false" ht="15" hidden="false" customHeight="false" outlineLevel="0" collapsed="false">
      <c r="A5406" s="0" t="s">
        <v>21</v>
      </c>
      <c r="B5406" s="0" t="s">
        <v>15593</v>
      </c>
      <c r="C5406" s="0" t="s">
        <v>97</v>
      </c>
      <c r="D5406" s="0" t="s">
        <v>15594</v>
      </c>
      <c r="E5406" s="0" t="s">
        <v>15595</v>
      </c>
      <c r="M5406" s="0" t="s">
        <v>136</v>
      </c>
      <c r="N5406" s="0" t="s">
        <v>124</v>
      </c>
      <c r="P5406" s="0" t="s">
        <v>102</v>
      </c>
      <c r="Q5406" s="0" t="s">
        <v>102</v>
      </c>
      <c r="R5406" s="0" t="s">
        <v>144</v>
      </c>
      <c r="S5406" s="0" t="s">
        <v>21</v>
      </c>
      <c r="T5406" s="0" t="s">
        <v>104</v>
      </c>
      <c r="W5406" s="0" t="s">
        <v>105</v>
      </c>
    </row>
    <row r="5407" customFormat="false" ht="15" hidden="false" customHeight="false" outlineLevel="0" collapsed="false">
      <c r="A5407" s="0" t="s">
        <v>21</v>
      </c>
      <c r="B5407" s="0" t="s">
        <v>15596</v>
      </c>
      <c r="C5407" s="0" t="s">
        <v>97</v>
      </c>
      <c r="D5407" s="0" t="s">
        <v>15597</v>
      </c>
      <c r="E5407" s="0" t="s">
        <v>15598</v>
      </c>
      <c r="M5407" s="0" t="s">
        <v>136</v>
      </c>
      <c r="N5407" s="0" t="s">
        <v>124</v>
      </c>
      <c r="P5407" s="0" t="s">
        <v>102</v>
      </c>
      <c r="Q5407" s="0" t="s">
        <v>102</v>
      </c>
      <c r="R5407" s="0" t="s">
        <v>144</v>
      </c>
      <c r="S5407" s="0" t="s">
        <v>21</v>
      </c>
      <c r="T5407" s="0" t="s">
        <v>104</v>
      </c>
      <c r="W5407" s="0" t="s">
        <v>105</v>
      </c>
    </row>
    <row r="5408" customFormat="false" ht="15" hidden="false" customHeight="false" outlineLevel="0" collapsed="false">
      <c r="A5408" s="0" t="s">
        <v>21</v>
      </c>
      <c r="B5408" s="0" t="s">
        <v>15599</v>
      </c>
      <c r="C5408" s="0" t="s">
        <v>97</v>
      </c>
      <c r="D5408" s="0" t="s">
        <v>15600</v>
      </c>
      <c r="E5408" s="0" t="s">
        <v>15601</v>
      </c>
      <c r="M5408" s="0" t="s">
        <v>136</v>
      </c>
      <c r="N5408" s="0" t="s">
        <v>124</v>
      </c>
      <c r="P5408" s="0" t="s">
        <v>102</v>
      </c>
      <c r="Q5408" s="0" t="s">
        <v>102</v>
      </c>
      <c r="R5408" s="0" t="s">
        <v>144</v>
      </c>
      <c r="S5408" s="0" t="s">
        <v>21</v>
      </c>
      <c r="T5408" s="0" t="s">
        <v>104</v>
      </c>
      <c r="W5408" s="0" t="s">
        <v>105</v>
      </c>
    </row>
    <row r="5409" customFormat="false" ht="15" hidden="false" customHeight="false" outlineLevel="0" collapsed="false">
      <c r="A5409" s="0" t="s">
        <v>21</v>
      </c>
      <c r="B5409" s="0" t="s">
        <v>15602</v>
      </c>
      <c r="C5409" s="0" t="s">
        <v>97</v>
      </c>
      <c r="D5409" s="0" t="s">
        <v>15603</v>
      </c>
      <c r="E5409" s="0" t="s">
        <v>15604</v>
      </c>
      <c r="M5409" s="0" t="s">
        <v>136</v>
      </c>
      <c r="N5409" s="0" t="s">
        <v>124</v>
      </c>
      <c r="P5409" s="0" t="s">
        <v>102</v>
      </c>
      <c r="Q5409" s="0" t="s">
        <v>102</v>
      </c>
      <c r="R5409" s="0" t="s">
        <v>144</v>
      </c>
      <c r="S5409" s="0" t="s">
        <v>21</v>
      </c>
      <c r="T5409" s="0" t="s">
        <v>104</v>
      </c>
      <c r="W5409" s="0" t="s">
        <v>105</v>
      </c>
    </row>
    <row r="5410" customFormat="false" ht="15" hidden="false" customHeight="false" outlineLevel="0" collapsed="false">
      <c r="A5410" s="0" t="s">
        <v>21</v>
      </c>
      <c r="B5410" s="0" t="s">
        <v>15605</v>
      </c>
      <c r="C5410" s="0" t="s">
        <v>97</v>
      </c>
      <c r="D5410" s="0" t="s">
        <v>15606</v>
      </c>
      <c r="E5410" s="0" t="s">
        <v>15607</v>
      </c>
      <c r="M5410" s="0" t="s">
        <v>136</v>
      </c>
      <c r="N5410" s="0" t="s">
        <v>124</v>
      </c>
      <c r="P5410" s="0" t="s">
        <v>102</v>
      </c>
      <c r="Q5410" s="0" t="s">
        <v>102</v>
      </c>
      <c r="R5410" s="0" t="s">
        <v>144</v>
      </c>
      <c r="S5410" s="0" t="s">
        <v>21</v>
      </c>
      <c r="T5410" s="0" t="s">
        <v>104</v>
      </c>
      <c r="W5410" s="0" t="s">
        <v>105</v>
      </c>
    </row>
    <row r="5411" customFormat="false" ht="15" hidden="false" customHeight="false" outlineLevel="0" collapsed="false">
      <c r="A5411" s="0" t="s">
        <v>21</v>
      </c>
      <c r="B5411" s="0" t="s">
        <v>15608</v>
      </c>
      <c r="C5411" s="0" t="s">
        <v>97</v>
      </c>
      <c r="D5411" s="0" t="s">
        <v>15609</v>
      </c>
      <c r="E5411" s="0" t="s">
        <v>15610</v>
      </c>
      <c r="M5411" s="0" t="s">
        <v>136</v>
      </c>
      <c r="N5411" s="0" t="s">
        <v>124</v>
      </c>
      <c r="P5411" s="0" t="s">
        <v>102</v>
      </c>
      <c r="Q5411" s="0" t="s">
        <v>102</v>
      </c>
      <c r="R5411" s="0" t="s">
        <v>144</v>
      </c>
      <c r="S5411" s="0" t="s">
        <v>21</v>
      </c>
      <c r="T5411" s="0" t="s">
        <v>104</v>
      </c>
      <c r="W5411" s="0" t="s">
        <v>105</v>
      </c>
    </row>
    <row r="5412" customFormat="false" ht="15" hidden="false" customHeight="false" outlineLevel="0" collapsed="false">
      <c r="A5412" s="0" t="s">
        <v>21</v>
      </c>
      <c r="B5412" s="0" t="s">
        <v>15611</v>
      </c>
      <c r="C5412" s="0" t="s">
        <v>97</v>
      </c>
      <c r="D5412" s="0" t="s">
        <v>15612</v>
      </c>
      <c r="E5412" s="0" t="s">
        <v>15613</v>
      </c>
      <c r="M5412" s="0" t="s">
        <v>136</v>
      </c>
      <c r="N5412" s="0" t="s">
        <v>124</v>
      </c>
      <c r="P5412" s="0" t="s">
        <v>102</v>
      </c>
      <c r="Q5412" s="0" t="s">
        <v>102</v>
      </c>
      <c r="R5412" s="0" t="s">
        <v>144</v>
      </c>
      <c r="S5412" s="0" t="s">
        <v>21</v>
      </c>
      <c r="T5412" s="0" t="s">
        <v>104</v>
      </c>
      <c r="W5412" s="0" t="s">
        <v>105</v>
      </c>
    </row>
    <row r="5413" customFormat="false" ht="15" hidden="false" customHeight="false" outlineLevel="0" collapsed="false">
      <c r="A5413" s="0" t="s">
        <v>21</v>
      </c>
      <c r="B5413" s="0" t="s">
        <v>15614</v>
      </c>
      <c r="C5413" s="0" t="s">
        <v>97</v>
      </c>
      <c r="D5413" s="0" t="s">
        <v>15615</v>
      </c>
      <c r="E5413" s="0" t="s">
        <v>15616</v>
      </c>
      <c r="M5413" s="0" t="s">
        <v>136</v>
      </c>
      <c r="N5413" s="0" t="s">
        <v>124</v>
      </c>
      <c r="P5413" s="0" t="s">
        <v>102</v>
      </c>
      <c r="Q5413" s="0" t="s">
        <v>102</v>
      </c>
      <c r="R5413" s="0" t="s">
        <v>144</v>
      </c>
      <c r="S5413" s="0" t="s">
        <v>21</v>
      </c>
      <c r="T5413" s="0" t="s">
        <v>104</v>
      </c>
      <c r="W5413" s="0" t="s">
        <v>105</v>
      </c>
    </row>
    <row r="5414" customFormat="false" ht="15" hidden="false" customHeight="false" outlineLevel="0" collapsed="false">
      <c r="A5414" s="0" t="s">
        <v>21</v>
      </c>
      <c r="B5414" s="0" t="s">
        <v>15617</v>
      </c>
      <c r="C5414" s="0" t="s">
        <v>97</v>
      </c>
      <c r="D5414" s="0" t="s">
        <v>15618</v>
      </c>
      <c r="E5414" s="0" t="s">
        <v>15619</v>
      </c>
      <c r="M5414" s="0" t="s">
        <v>136</v>
      </c>
      <c r="N5414" s="0" t="s">
        <v>124</v>
      </c>
      <c r="P5414" s="0" t="s">
        <v>102</v>
      </c>
      <c r="Q5414" s="0" t="s">
        <v>102</v>
      </c>
      <c r="R5414" s="0" t="s">
        <v>144</v>
      </c>
      <c r="S5414" s="0" t="s">
        <v>21</v>
      </c>
      <c r="T5414" s="0" t="s">
        <v>104</v>
      </c>
      <c r="W5414" s="0" t="s">
        <v>105</v>
      </c>
    </row>
    <row r="5415" customFormat="false" ht="15" hidden="false" customHeight="false" outlineLevel="0" collapsed="false">
      <c r="A5415" s="0" t="s">
        <v>21</v>
      </c>
      <c r="B5415" s="0" t="s">
        <v>15620</v>
      </c>
      <c r="C5415" s="0" t="s">
        <v>97</v>
      </c>
      <c r="D5415" s="0" t="s">
        <v>15621</v>
      </c>
      <c r="E5415" s="0" t="s">
        <v>15622</v>
      </c>
      <c r="M5415" s="0" t="s">
        <v>136</v>
      </c>
      <c r="N5415" s="0" t="s">
        <v>124</v>
      </c>
      <c r="P5415" s="0" t="s">
        <v>102</v>
      </c>
      <c r="Q5415" s="0" t="s">
        <v>102</v>
      </c>
      <c r="R5415" s="0" t="s">
        <v>144</v>
      </c>
      <c r="S5415" s="0" t="s">
        <v>21</v>
      </c>
      <c r="T5415" s="0" t="s">
        <v>104</v>
      </c>
      <c r="W5415" s="0" t="s">
        <v>105</v>
      </c>
    </row>
    <row r="5416" customFormat="false" ht="15" hidden="false" customHeight="false" outlineLevel="0" collapsed="false">
      <c r="A5416" s="0" t="s">
        <v>21</v>
      </c>
      <c r="B5416" s="0" t="s">
        <v>15623</v>
      </c>
      <c r="C5416" s="0" t="s">
        <v>97</v>
      </c>
      <c r="D5416" s="0" t="s">
        <v>15624</v>
      </c>
      <c r="E5416" s="0" t="s">
        <v>15625</v>
      </c>
      <c r="M5416" s="0" t="s">
        <v>136</v>
      </c>
      <c r="N5416" s="0" t="s">
        <v>124</v>
      </c>
      <c r="P5416" s="0" t="s">
        <v>102</v>
      </c>
      <c r="Q5416" s="0" t="s">
        <v>102</v>
      </c>
      <c r="R5416" s="0" t="s">
        <v>113</v>
      </c>
      <c r="S5416" s="0" t="s">
        <v>21</v>
      </c>
      <c r="T5416" s="0" t="s">
        <v>104</v>
      </c>
      <c r="W5416" s="0" t="s">
        <v>105</v>
      </c>
    </row>
    <row r="5417" customFormat="false" ht="15" hidden="false" customHeight="false" outlineLevel="0" collapsed="false">
      <c r="A5417" s="0" t="s">
        <v>21</v>
      </c>
      <c r="B5417" s="0" t="s">
        <v>15626</v>
      </c>
      <c r="C5417" s="0" t="s">
        <v>97</v>
      </c>
      <c r="D5417" s="0" t="s">
        <v>15627</v>
      </c>
      <c r="E5417" s="0" t="s">
        <v>15628</v>
      </c>
      <c r="H5417" s="0" t="s">
        <v>654</v>
      </c>
      <c r="I5417" s="0" t="s">
        <v>655</v>
      </c>
      <c r="J5417" s="0" t="s">
        <v>100</v>
      </c>
      <c r="K5417" s="0" t="s">
        <v>168</v>
      </c>
      <c r="L5417" s="0" t="s">
        <v>101</v>
      </c>
      <c r="M5417" s="0" t="s">
        <v>656</v>
      </c>
      <c r="N5417" s="0" t="s">
        <v>101</v>
      </c>
      <c r="P5417" s="0" t="s">
        <v>102</v>
      </c>
      <c r="Q5417" s="0" t="s">
        <v>102</v>
      </c>
      <c r="R5417" s="0" t="s">
        <v>144</v>
      </c>
      <c r="S5417" s="0" t="s">
        <v>21</v>
      </c>
      <c r="T5417" s="0" t="s">
        <v>104</v>
      </c>
      <c r="W5417" s="0" t="s">
        <v>105</v>
      </c>
      <c r="X5417" s="0" t="s">
        <v>658</v>
      </c>
      <c r="Y5417" s="0" t="s">
        <v>659</v>
      </c>
    </row>
    <row r="5418" customFormat="false" ht="15" hidden="false" customHeight="false" outlineLevel="0" collapsed="false">
      <c r="A5418" s="0" t="s">
        <v>21</v>
      </c>
      <c r="B5418" s="0" t="s">
        <v>15629</v>
      </c>
      <c r="C5418" s="0" t="s">
        <v>97</v>
      </c>
      <c r="D5418" s="0" t="s">
        <v>15630</v>
      </c>
      <c r="E5418" s="0" t="s">
        <v>15631</v>
      </c>
      <c r="M5418" s="0" t="s">
        <v>136</v>
      </c>
      <c r="N5418" s="0" t="s">
        <v>124</v>
      </c>
      <c r="P5418" s="0" t="s">
        <v>102</v>
      </c>
      <c r="Q5418" s="0" t="s">
        <v>102</v>
      </c>
      <c r="R5418" s="0" t="s">
        <v>131</v>
      </c>
      <c r="S5418" s="0" t="s">
        <v>21</v>
      </c>
      <c r="T5418" s="0" t="s">
        <v>104</v>
      </c>
      <c r="W5418" s="0" t="s">
        <v>105</v>
      </c>
    </row>
    <row r="5419" customFormat="false" ht="15" hidden="false" customHeight="false" outlineLevel="0" collapsed="false">
      <c r="A5419" s="0" t="s">
        <v>21</v>
      </c>
      <c r="B5419" s="0" t="s">
        <v>15632</v>
      </c>
      <c r="C5419" s="0" t="s">
        <v>110</v>
      </c>
      <c r="D5419" s="0" t="s">
        <v>15633</v>
      </c>
      <c r="E5419" s="0" t="s">
        <v>15634</v>
      </c>
      <c r="M5419" s="0" t="s">
        <v>178</v>
      </c>
      <c r="N5419" s="0" t="s">
        <v>124</v>
      </c>
      <c r="P5419" s="0" t="s">
        <v>102</v>
      </c>
      <c r="Q5419" s="0" t="s">
        <v>102</v>
      </c>
      <c r="R5419" s="0" t="s">
        <v>113</v>
      </c>
      <c r="S5419" s="0" t="s">
        <v>21</v>
      </c>
      <c r="T5419" s="0" t="s">
        <v>104</v>
      </c>
      <c r="W5419" s="0" t="s">
        <v>105</v>
      </c>
    </row>
    <row r="5420" customFormat="false" ht="15" hidden="false" customHeight="false" outlineLevel="0" collapsed="false">
      <c r="A5420" s="0" t="s">
        <v>21</v>
      </c>
      <c r="B5420" s="0" t="s">
        <v>15635</v>
      </c>
      <c r="C5420" s="0" t="s">
        <v>110</v>
      </c>
      <c r="D5420" s="0" t="s">
        <v>12713</v>
      </c>
      <c r="E5420" s="0" t="s">
        <v>15636</v>
      </c>
      <c r="M5420" s="0" t="s">
        <v>178</v>
      </c>
      <c r="N5420" s="0" t="s">
        <v>124</v>
      </c>
      <c r="P5420" s="0" t="s">
        <v>102</v>
      </c>
      <c r="Q5420" s="0" t="s">
        <v>102</v>
      </c>
      <c r="R5420" s="0" t="s">
        <v>131</v>
      </c>
      <c r="S5420" s="0" t="s">
        <v>21</v>
      </c>
      <c r="T5420" s="0" t="s">
        <v>104</v>
      </c>
      <c r="W5420" s="0" t="s">
        <v>105</v>
      </c>
    </row>
    <row r="5421" customFormat="false" ht="15" hidden="false" customHeight="false" outlineLevel="0" collapsed="false">
      <c r="A5421" s="0" t="s">
        <v>21</v>
      </c>
      <c r="B5421" s="0" t="s">
        <v>15637</v>
      </c>
      <c r="C5421" s="0" t="s">
        <v>97</v>
      </c>
      <c r="D5421" s="0" t="s">
        <v>15638</v>
      </c>
      <c r="E5421" s="0" t="s">
        <v>15639</v>
      </c>
      <c r="M5421" s="0" t="s">
        <v>136</v>
      </c>
      <c r="N5421" s="0" t="s">
        <v>124</v>
      </c>
      <c r="P5421" s="0" t="s">
        <v>102</v>
      </c>
      <c r="Q5421" s="0" t="s">
        <v>102</v>
      </c>
      <c r="R5421" s="0" t="s">
        <v>113</v>
      </c>
      <c r="S5421" s="0" t="s">
        <v>21</v>
      </c>
      <c r="T5421" s="0" t="s">
        <v>104</v>
      </c>
      <c r="W5421" s="0" t="s">
        <v>105</v>
      </c>
    </row>
    <row r="5422" customFormat="false" ht="15" hidden="false" customHeight="false" outlineLevel="0" collapsed="false">
      <c r="A5422" s="0" t="s">
        <v>21</v>
      </c>
      <c r="B5422" s="0" t="s">
        <v>15640</v>
      </c>
      <c r="C5422" s="0" t="s">
        <v>97</v>
      </c>
      <c r="D5422" s="0" t="s">
        <v>15641</v>
      </c>
      <c r="E5422" s="0" t="s">
        <v>15642</v>
      </c>
      <c r="M5422" s="0" t="s">
        <v>136</v>
      </c>
      <c r="N5422" s="0" t="s">
        <v>124</v>
      </c>
      <c r="P5422" s="0" t="s">
        <v>102</v>
      </c>
      <c r="Q5422" s="0" t="s">
        <v>102</v>
      </c>
      <c r="R5422" s="0" t="s">
        <v>131</v>
      </c>
      <c r="S5422" s="0" t="s">
        <v>21</v>
      </c>
      <c r="T5422" s="0" t="s">
        <v>104</v>
      </c>
      <c r="W5422" s="0" t="s">
        <v>105</v>
      </c>
    </row>
    <row r="5423" customFormat="false" ht="15" hidden="false" customHeight="false" outlineLevel="0" collapsed="false">
      <c r="A5423" s="0" t="s">
        <v>21</v>
      </c>
      <c r="B5423" s="0" t="s">
        <v>15643</v>
      </c>
      <c r="C5423" s="0" t="s">
        <v>97</v>
      </c>
      <c r="D5423" s="0" t="s">
        <v>15644</v>
      </c>
      <c r="E5423" s="0" t="s">
        <v>15644</v>
      </c>
      <c r="M5423" s="0" t="s">
        <v>442</v>
      </c>
      <c r="N5423" s="0" t="s">
        <v>101</v>
      </c>
      <c r="P5423" s="0" t="s">
        <v>102</v>
      </c>
      <c r="Q5423" s="0" t="s">
        <v>102</v>
      </c>
      <c r="R5423" s="0" t="s">
        <v>131</v>
      </c>
      <c r="S5423" s="0" t="s">
        <v>21</v>
      </c>
      <c r="T5423" s="0" t="s">
        <v>104</v>
      </c>
      <c r="W5423" s="0" t="s">
        <v>105</v>
      </c>
    </row>
    <row r="5424" customFormat="false" ht="15" hidden="false" customHeight="false" outlineLevel="0" collapsed="false">
      <c r="A5424" s="0" t="s">
        <v>21</v>
      </c>
      <c r="B5424" s="0" t="s">
        <v>15645</v>
      </c>
      <c r="C5424" s="0" t="s">
        <v>97</v>
      </c>
      <c r="D5424" s="0" t="s">
        <v>15646</v>
      </c>
      <c r="E5424" s="0" t="s">
        <v>15646</v>
      </c>
      <c r="M5424" s="0" t="s">
        <v>442</v>
      </c>
      <c r="N5424" s="0" t="s">
        <v>101</v>
      </c>
      <c r="P5424" s="0" t="s">
        <v>102</v>
      </c>
      <c r="Q5424" s="0" t="s">
        <v>102</v>
      </c>
      <c r="R5424" s="0" t="s">
        <v>131</v>
      </c>
      <c r="S5424" s="0" t="s">
        <v>21</v>
      </c>
      <c r="T5424" s="0" t="s">
        <v>104</v>
      </c>
      <c r="W5424" s="0" t="s">
        <v>105</v>
      </c>
    </row>
    <row r="5425" customFormat="false" ht="15" hidden="false" customHeight="false" outlineLevel="0" collapsed="false">
      <c r="A5425" s="0" t="s">
        <v>21</v>
      </c>
      <c r="B5425" s="0" t="s">
        <v>15647</v>
      </c>
      <c r="C5425" s="0" t="s">
        <v>97</v>
      </c>
      <c r="D5425" s="0" t="s">
        <v>15648</v>
      </c>
      <c r="E5425" s="0" t="s">
        <v>15648</v>
      </c>
      <c r="M5425" s="0" t="s">
        <v>442</v>
      </c>
      <c r="N5425" s="0" t="s">
        <v>101</v>
      </c>
      <c r="P5425" s="0" t="s">
        <v>102</v>
      </c>
      <c r="Q5425" s="0" t="s">
        <v>102</v>
      </c>
      <c r="R5425" s="0" t="s">
        <v>131</v>
      </c>
      <c r="S5425" s="0" t="s">
        <v>21</v>
      </c>
      <c r="T5425" s="0" t="s">
        <v>104</v>
      </c>
      <c r="W5425" s="0" t="s">
        <v>105</v>
      </c>
    </row>
    <row r="5426" customFormat="false" ht="15" hidden="false" customHeight="false" outlineLevel="0" collapsed="false">
      <c r="A5426" s="0" t="s">
        <v>21</v>
      </c>
      <c r="B5426" s="0" t="s">
        <v>15649</v>
      </c>
      <c r="C5426" s="0" t="s">
        <v>97</v>
      </c>
      <c r="D5426" s="0" t="s">
        <v>15650</v>
      </c>
      <c r="E5426" s="0" t="s">
        <v>15651</v>
      </c>
      <c r="G5426" s="0" t="s">
        <v>15652</v>
      </c>
      <c r="H5426" s="0" t="s">
        <v>654</v>
      </c>
      <c r="I5426" s="0" t="s">
        <v>655</v>
      </c>
      <c r="J5426" s="0" t="s">
        <v>100</v>
      </c>
      <c r="K5426" s="0" t="s">
        <v>168</v>
      </c>
      <c r="L5426" s="0" t="s">
        <v>101</v>
      </c>
      <c r="M5426" s="0" t="s">
        <v>656</v>
      </c>
      <c r="N5426" s="0" t="s">
        <v>101</v>
      </c>
      <c r="P5426" s="0" t="s">
        <v>102</v>
      </c>
      <c r="Q5426" s="0" t="s">
        <v>102</v>
      </c>
      <c r="R5426" s="0" t="s">
        <v>131</v>
      </c>
      <c r="S5426" s="0" t="s">
        <v>21</v>
      </c>
      <c r="T5426" s="0" t="s">
        <v>104</v>
      </c>
      <c r="W5426" s="0" t="s">
        <v>105</v>
      </c>
      <c r="X5426" s="0" t="s">
        <v>658</v>
      </c>
      <c r="Y5426" s="0" t="s">
        <v>659</v>
      </c>
    </row>
    <row r="5427" customFormat="false" ht="15" hidden="false" customHeight="false" outlineLevel="0" collapsed="false">
      <c r="A5427" s="0" t="s">
        <v>21</v>
      </c>
      <c r="B5427" s="0" t="s">
        <v>15653</v>
      </c>
      <c r="C5427" s="0" t="s">
        <v>97</v>
      </c>
      <c r="D5427" s="0" t="s">
        <v>15654</v>
      </c>
      <c r="E5427" s="0" t="s">
        <v>15654</v>
      </c>
      <c r="M5427" s="0" t="s">
        <v>442</v>
      </c>
      <c r="N5427" s="0" t="s">
        <v>101</v>
      </c>
      <c r="P5427" s="0" t="s">
        <v>102</v>
      </c>
      <c r="Q5427" s="0" t="s">
        <v>102</v>
      </c>
      <c r="R5427" s="0" t="s">
        <v>131</v>
      </c>
      <c r="S5427" s="0" t="s">
        <v>21</v>
      </c>
      <c r="T5427" s="0" t="s">
        <v>104</v>
      </c>
      <c r="W5427" s="0" t="s">
        <v>105</v>
      </c>
    </row>
    <row r="5428" customFormat="false" ht="15" hidden="false" customHeight="false" outlineLevel="0" collapsed="false">
      <c r="A5428" s="0" t="s">
        <v>21</v>
      </c>
      <c r="B5428" s="0" t="s">
        <v>15655</v>
      </c>
      <c r="C5428" s="0" t="s">
        <v>97</v>
      </c>
      <c r="D5428" s="0" t="s">
        <v>15656</v>
      </c>
      <c r="E5428" s="0" t="s">
        <v>15657</v>
      </c>
      <c r="G5428" s="0" t="s">
        <v>15658</v>
      </c>
      <c r="H5428" s="0" t="s">
        <v>654</v>
      </c>
      <c r="I5428" s="0" t="s">
        <v>655</v>
      </c>
      <c r="J5428" s="0" t="s">
        <v>100</v>
      </c>
      <c r="K5428" s="0" t="s">
        <v>168</v>
      </c>
      <c r="L5428" s="0" t="s">
        <v>101</v>
      </c>
      <c r="M5428" s="0" t="s">
        <v>656</v>
      </c>
      <c r="N5428" s="0" t="s">
        <v>101</v>
      </c>
      <c r="P5428" s="0" t="s">
        <v>102</v>
      </c>
      <c r="Q5428" s="0" t="s">
        <v>102</v>
      </c>
      <c r="R5428" s="0" t="s">
        <v>131</v>
      </c>
      <c r="S5428" s="0" t="s">
        <v>21</v>
      </c>
      <c r="T5428" s="0" t="s">
        <v>104</v>
      </c>
      <c r="W5428" s="0" t="s">
        <v>105</v>
      </c>
      <c r="X5428" s="0" t="s">
        <v>658</v>
      </c>
      <c r="Y5428" s="0" t="s">
        <v>659</v>
      </c>
    </row>
    <row r="5429" customFormat="false" ht="15" hidden="false" customHeight="false" outlineLevel="0" collapsed="false">
      <c r="A5429" s="0" t="s">
        <v>21</v>
      </c>
      <c r="B5429" s="0" t="s">
        <v>15659</v>
      </c>
      <c r="C5429" s="0" t="s">
        <v>97</v>
      </c>
      <c r="D5429" s="0" t="s">
        <v>15660</v>
      </c>
      <c r="E5429" s="0" t="s">
        <v>15660</v>
      </c>
      <c r="M5429" s="0" t="s">
        <v>442</v>
      </c>
      <c r="N5429" s="0" t="s">
        <v>101</v>
      </c>
      <c r="P5429" s="0" t="s">
        <v>102</v>
      </c>
      <c r="Q5429" s="0" t="s">
        <v>102</v>
      </c>
      <c r="R5429" s="0" t="s">
        <v>131</v>
      </c>
      <c r="S5429" s="0" t="s">
        <v>21</v>
      </c>
      <c r="T5429" s="0" t="s">
        <v>104</v>
      </c>
      <c r="W5429" s="0" t="s">
        <v>105</v>
      </c>
    </row>
    <row r="5430" customFormat="false" ht="15" hidden="false" customHeight="false" outlineLevel="0" collapsed="false">
      <c r="A5430" s="0" t="s">
        <v>21</v>
      </c>
      <c r="B5430" s="0" t="s">
        <v>15661</v>
      </c>
      <c r="C5430" s="0" t="s">
        <v>97</v>
      </c>
      <c r="D5430" s="0" t="s">
        <v>15662</v>
      </c>
      <c r="E5430" s="0" t="s">
        <v>15662</v>
      </c>
      <c r="M5430" s="0" t="s">
        <v>442</v>
      </c>
      <c r="N5430" s="0" t="s">
        <v>101</v>
      </c>
      <c r="P5430" s="0" t="s">
        <v>102</v>
      </c>
      <c r="Q5430" s="0" t="s">
        <v>102</v>
      </c>
      <c r="R5430" s="0" t="s">
        <v>131</v>
      </c>
      <c r="S5430" s="0" t="s">
        <v>21</v>
      </c>
      <c r="T5430" s="0" t="s">
        <v>104</v>
      </c>
      <c r="W5430" s="0" t="s">
        <v>105</v>
      </c>
    </row>
    <row r="5431" customFormat="false" ht="15" hidden="false" customHeight="false" outlineLevel="0" collapsed="false">
      <c r="A5431" s="0" t="s">
        <v>21</v>
      </c>
      <c r="B5431" s="0" t="s">
        <v>15663</v>
      </c>
      <c r="C5431" s="0" t="s">
        <v>97</v>
      </c>
      <c r="D5431" s="0" t="s">
        <v>15664</v>
      </c>
      <c r="E5431" s="0" t="s">
        <v>15664</v>
      </c>
      <c r="M5431" s="0" t="s">
        <v>442</v>
      </c>
      <c r="N5431" s="0" t="s">
        <v>101</v>
      </c>
      <c r="P5431" s="0" t="s">
        <v>102</v>
      </c>
      <c r="Q5431" s="0" t="s">
        <v>102</v>
      </c>
      <c r="R5431" s="0" t="s">
        <v>131</v>
      </c>
      <c r="S5431" s="0" t="s">
        <v>21</v>
      </c>
      <c r="T5431" s="0" t="s">
        <v>104</v>
      </c>
      <c r="W5431" s="0" t="s">
        <v>105</v>
      </c>
    </row>
    <row r="5432" customFormat="false" ht="15" hidden="false" customHeight="false" outlineLevel="0" collapsed="false">
      <c r="A5432" s="0" t="s">
        <v>21</v>
      </c>
      <c r="B5432" s="0" t="s">
        <v>15665</v>
      </c>
      <c r="C5432" s="0" t="s">
        <v>97</v>
      </c>
      <c r="D5432" s="0" t="s">
        <v>15666</v>
      </c>
      <c r="E5432" s="0" t="s">
        <v>15666</v>
      </c>
      <c r="M5432" s="0" t="s">
        <v>442</v>
      </c>
      <c r="N5432" s="0" t="s">
        <v>101</v>
      </c>
      <c r="P5432" s="0" t="s">
        <v>102</v>
      </c>
      <c r="Q5432" s="0" t="s">
        <v>102</v>
      </c>
      <c r="R5432" s="0" t="s">
        <v>131</v>
      </c>
      <c r="S5432" s="0" t="s">
        <v>21</v>
      </c>
      <c r="T5432" s="0" t="s">
        <v>104</v>
      </c>
      <c r="W5432" s="0" t="s">
        <v>105</v>
      </c>
    </row>
    <row r="5433" customFormat="false" ht="15" hidden="false" customHeight="false" outlineLevel="0" collapsed="false">
      <c r="A5433" s="0" t="s">
        <v>21</v>
      </c>
      <c r="B5433" s="0" t="s">
        <v>15667</v>
      </c>
      <c r="C5433" s="0" t="s">
        <v>97</v>
      </c>
      <c r="D5433" s="0" t="s">
        <v>15668</v>
      </c>
      <c r="E5433" s="0" t="s">
        <v>15669</v>
      </c>
      <c r="G5433" s="0" t="s">
        <v>15670</v>
      </c>
      <c r="H5433" s="0" t="s">
        <v>654</v>
      </c>
      <c r="I5433" s="0" t="s">
        <v>655</v>
      </c>
      <c r="J5433" s="0" t="s">
        <v>100</v>
      </c>
      <c r="K5433" s="0" t="s">
        <v>168</v>
      </c>
      <c r="L5433" s="0" t="s">
        <v>101</v>
      </c>
      <c r="M5433" s="0" t="s">
        <v>656</v>
      </c>
      <c r="N5433" s="0" t="s">
        <v>101</v>
      </c>
      <c r="P5433" s="0" t="s">
        <v>102</v>
      </c>
      <c r="Q5433" s="0" t="s">
        <v>102</v>
      </c>
      <c r="R5433" s="0" t="s">
        <v>131</v>
      </c>
      <c r="S5433" s="0" t="s">
        <v>21</v>
      </c>
      <c r="T5433" s="0" t="s">
        <v>104</v>
      </c>
      <c r="W5433" s="0" t="s">
        <v>105</v>
      </c>
      <c r="X5433" s="0" t="s">
        <v>658</v>
      </c>
      <c r="Y5433" s="0" t="s">
        <v>659</v>
      </c>
    </row>
    <row r="5434" customFormat="false" ht="15" hidden="false" customHeight="false" outlineLevel="0" collapsed="false">
      <c r="A5434" s="0" t="s">
        <v>21</v>
      </c>
      <c r="B5434" s="0" t="s">
        <v>15671</v>
      </c>
      <c r="C5434" s="0" t="s">
        <v>97</v>
      </c>
      <c r="D5434" s="0" t="s">
        <v>15672</v>
      </c>
      <c r="E5434" s="0" t="s">
        <v>15672</v>
      </c>
      <c r="F5434" s="0" t="s">
        <v>15672</v>
      </c>
      <c r="M5434" s="0" t="s">
        <v>100</v>
      </c>
      <c r="N5434" s="0" t="s">
        <v>101</v>
      </c>
      <c r="P5434" s="0" t="s">
        <v>102</v>
      </c>
      <c r="Q5434" s="0" t="s">
        <v>102</v>
      </c>
      <c r="R5434" s="0" t="s">
        <v>131</v>
      </c>
      <c r="S5434" s="0" t="s">
        <v>21</v>
      </c>
      <c r="T5434" s="0" t="s">
        <v>104</v>
      </c>
      <c r="W5434" s="0" t="s">
        <v>105</v>
      </c>
    </row>
    <row r="5435" customFormat="false" ht="15" hidden="false" customHeight="false" outlineLevel="0" collapsed="false">
      <c r="A5435" s="0" t="s">
        <v>21</v>
      </c>
      <c r="B5435" s="0" t="s">
        <v>15673</v>
      </c>
      <c r="C5435" s="0" t="s">
        <v>97</v>
      </c>
      <c r="D5435" s="0" t="s">
        <v>7812</v>
      </c>
      <c r="E5435" s="0" t="s">
        <v>15674</v>
      </c>
      <c r="M5435" s="0" t="s">
        <v>656</v>
      </c>
      <c r="N5435" s="0" t="s">
        <v>101</v>
      </c>
      <c r="P5435" s="0" t="s">
        <v>102</v>
      </c>
      <c r="Q5435" s="0" t="s">
        <v>102</v>
      </c>
      <c r="R5435" s="0" t="s">
        <v>131</v>
      </c>
      <c r="S5435" s="0" t="s">
        <v>21</v>
      </c>
      <c r="T5435" s="0" t="s">
        <v>104</v>
      </c>
      <c r="W5435" s="0" t="s">
        <v>105</v>
      </c>
    </row>
    <row r="5436" customFormat="false" ht="15" hidden="false" customHeight="false" outlineLevel="0" collapsed="false">
      <c r="A5436" s="0" t="s">
        <v>21</v>
      </c>
      <c r="B5436" s="0" t="s">
        <v>15675</v>
      </c>
      <c r="C5436" s="0" t="s">
        <v>97</v>
      </c>
      <c r="D5436" s="0" t="s">
        <v>15676</v>
      </c>
      <c r="E5436" s="0" t="s">
        <v>15677</v>
      </c>
      <c r="H5436" s="0" t="s">
        <v>654</v>
      </c>
      <c r="I5436" s="0" t="s">
        <v>655</v>
      </c>
      <c r="J5436" s="0" t="s">
        <v>100</v>
      </c>
      <c r="K5436" s="0" t="s">
        <v>168</v>
      </c>
      <c r="L5436" s="0" t="s">
        <v>101</v>
      </c>
      <c r="M5436" s="0" t="s">
        <v>656</v>
      </c>
      <c r="N5436" s="0" t="s">
        <v>101</v>
      </c>
      <c r="P5436" s="0" t="s">
        <v>102</v>
      </c>
      <c r="Q5436" s="0" t="s">
        <v>102</v>
      </c>
      <c r="R5436" s="0" t="s">
        <v>113</v>
      </c>
      <c r="S5436" s="0" t="s">
        <v>21</v>
      </c>
      <c r="T5436" s="0" t="s">
        <v>104</v>
      </c>
      <c r="W5436" s="0" t="s">
        <v>105</v>
      </c>
      <c r="X5436" s="0" t="s">
        <v>658</v>
      </c>
      <c r="Y5436" s="0" t="s">
        <v>659</v>
      </c>
    </row>
    <row r="5437" customFormat="false" ht="15" hidden="false" customHeight="false" outlineLevel="0" collapsed="false">
      <c r="A5437" s="0" t="s">
        <v>21</v>
      </c>
      <c r="B5437" s="0" t="s">
        <v>15678</v>
      </c>
      <c r="C5437" s="0" t="s">
        <v>4845</v>
      </c>
      <c r="D5437" s="0" t="s">
        <v>15679</v>
      </c>
      <c r="E5437" s="0" t="s">
        <v>15680</v>
      </c>
      <c r="G5437" s="0" t="s">
        <v>15681</v>
      </c>
      <c r="M5437" s="0" t="s">
        <v>100</v>
      </c>
      <c r="N5437" s="0" t="s">
        <v>101</v>
      </c>
      <c r="P5437" s="0" t="s">
        <v>102</v>
      </c>
      <c r="Q5437" s="0" t="s">
        <v>102</v>
      </c>
      <c r="R5437" s="0" t="s">
        <v>113</v>
      </c>
      <c r="S5437" s="0" t="s">
        <v>21</v>
      </c>
      <c r="T5437" s="0" t="s">
        <v>104</v>
      </c>
      <c r="W5437" s="0" t="s">
        <v>105</v>
      </c>
    </row>
    <row r="5438" customFormat="false" ht="15" hidden="false" customHeight="false" outlineLevel="0" collapsed="false">
      <c r="A5438" s="0" t="s">
        <v>21</v>
      </c>
      <c r="B5438" s="0" t="s">
        <v>15682</v>
      </c>
      <c r="C5438" s="0" t="s">
        <v>97</v>
      </c>
      <c r="D5438" s="0" t="s">
        <v>15683</v>
      </c>
      <c r="E5438" s="0" t="s">
        <v>15684</v>
      </c>
      <c r="H5438" s="0" t="s">
        <v>654</v>
      </c>
      <c r="I5438" s="0" t="s">
        <v>655</v>
      </c>
      <c r="J5438" s="0" t="s">
        <v>100</v>
      </c>
      <c r="K5438" s="0" t="s">
        <v>168</v>
      </c>
      <c r="L5438" s="0" t="s">
        <v>101</v>
      </c>
      <c r="M5438" s="0" t="s">
        <v>656</v>
      </c>
      <c r="N5438" s="0" t="s">
        <v>101</v>
      </c>
      <c r="P5438" s="0" t="s">
        <v>102</v>
      </c>
      <c r="Q5438" s="0" t="s">
        <v>102</v>
      </c>
      <c r="R5438" s="0" t="s">
        <v>113</v>
      </c>
      <c r="S5438" s="0" t="s">
        <v>21</v>
      </c>
      <c r="T5438" s="0" t="s">
        <v>104</v>
      </c>
      <c r="W5438" s="0" t="s">
        <v>105</v>
      </c>
      <c r="X5438" s="0" t="s">
        <v>658</v>
      </c>
      <c r="Y5438" s="0" t="s">
        <v>659</v>
      </c>
    </row>
    <row r="5439" customFormat="false" ht="15" hidden="false" customHeight="false" outlineLevel="0" collapsed="false">
      <c r="A5439" s="0" t="s">
        <v>21</v>
      </c>
      <c r="B5439" s="0" t="s">
        <v>15685</v>
      </c>
      <c r="C5439" s="0" t="s">
        <v>97</v>
      </c>
      <c r="D5439" s="0" t="s">
        <v>15686</v>
      </c>
      <c r="E5439" s="0" t="s">
        <v>15687</v>
      </c>
      <c r="M5439" s="0" t="s">
        <v>136</v>
      </c>
      <c r="N5439" s="0" t="s">
        <v>124</v>
      </c>
      <c r="P5439" s="0" t="s">
        <v>102</v>
      </c>
      <c r="Q5439" s="0" t="s">
        <v>102</v>
      </c>
      <c r="R5439" s="0" t="s">
        <v>113</v>
      </c>
      <c r="S5439" s="0" t="s">
        <v>21</v>
      </c>
      <c r="T5439" s="0" t="s">
        <v>104</v>
      </c>
      <c r="W5439" s="0" t="s">
        <v>105</v>
      </c>
    </row>
    <row r="5440" customFormat="false" ht="15" hidden="false" customHeight="false" outlineLevel="0" collapsed="false">
      <c r="A5440" s="0" t="s">
        <v>21</v>
      </c>
      <c r="B5440" s="0" t="s">
        <v>15688</v>
      </c>
      <c r="C5440" s="0" t="s">
        <v>97</v>
      </c>
      <c r="D5440" s="0" t="s">
        <v>15689</v>
      </c>
      <c r="E5440" s="0" t="s">
        <v>15690</v>
      </c>
      <c r="M5440" s="0" t="s">
        <v>136</v>
      </c>
      <c r="N5440" s="0" t="s">
        <v>124</v>
      </c>
      <c r="P5440" s="0" t="s">
        <v>102</v>
      </c>
      <c r="Q5440" s="0" t="s">
        <v>102</v>
      </c>
      <c r="R5440" s="0" t="s">
        <v>113</v>
      </c>
      <c r="S5440" s="0" t="s">
        <v>21</v>
      </c>
      <c r="T5440" s="0" t="s">
        <v>104</v>
      </c>
      <c r="W5440" s="0" t="s">
        <v>105</v>
      </c>
    </row>
    <row r="5441" customFormat="false" ht="15" hidden="false" customHeight="false" outlineLevel="0" collapsed="false">
      <c r="A5441" s="0" t="s">
        <v>21</v>
      </c>
      <c r="B5441" s="0" t="s">
        <v>15691</v>
      </c>
      <c r="C5441" s="0" t="s">
        <v>97</v>
      </c>
      <c r="D5441" s="0" t="s">
        <v>15692</v>
      </c>
      <c r="E5441" s="0" t="s">
        <v>15693</v>
      </c>
      <c r="M5441" s="0" t="s">
        <v>136</v>
      </c>
      <c r="N5441" s="0" t="s">
        <v>124</v>
      </c>
      <c r="P5441" s="0" t="s">
        <v>102</v>
      </c>
      <c r="Q5441" s="0" t="s">
        <v>102</v>
      </c>
      <c r="R5441" s="0" t="s">
        <v>113</v>
      </c>
      <c r="S5441" s="0" t="s">
        <v>21</v>
      </c>
      <c r="T5441" s="0" t="s">
        <v>104</v>
      </c>
      <c r="W5441" s="0" t="s">
        <v>105</v>
      </c>
    </row>
    <row r="5442" customFormat="false" ht="15" hidden="false" customHeight="false" outlineLevel="0" collapsed="false">
      <c r="A5442" s="0" t="s">
        <v>21</v>
      </c>
      <c r="B5442" s="0" t="s">
        <v>15694</v>
      </c>
      <c r="C5442" s="0" t="s">
        <v>190</v>
      </c>
      <c r="D5442" s="0" t="s">
        <v>15695</v>
      </c>
      <c r="E5442" s="0" t="s">
        <v>15696</v>
      </c>
      <c r="G5442" s="0" t="s">
        <v>15697</v>
      </c>
      <c r="H5442" s="0" t="s">
        <v>15698</v>
      </c>
      <c r="I5442" s="0" t="s">
        <v>15699</v>
      </c>
      <c r="J5442" s="0" t="s">
        <v>245</v>
      </c>
      <c r="K5442" s="0" t="s">
        <v>15700</v>
      </c>
      <c r="M5442" s="0" t="s">
        <v>15701</v>
      </c>
      <c r="N5442" s="0" t="s">
        <v>124</v>
      </c>
      <c r="P5442" s="0" t="s">
        <v>102</v>
      </c>
      <c r="Q5442" s="0" t="s">
        <v>102</v>
      </c>
      <c r="R5442" s="0" t="s">
        <v>144</v>
      </c>
      <c r="S5442" s="0" t="s">
        <v>21</v>
      </c>
      <c r="T5442" s="0" t="s">
        <v>104</v>
      </c>
      <c r="W5442" s="0" t="s">
        <v>105</v>
      </c>
    </row>
    <row r="5443" customFormat="false" ht="15" hidden="false" customHeight="false" outlineLevel="0" collapsed="false">
      <c r="A5443" s="0" t="s">
        <v>21</v>
      </c>
      <c r="B5443" s="0" t="s">
        <v>15702</v>
      </c>
      <c r="C5443" s="0" t="s">
        <v>97</v>
      </c>
      <c r="D5443" s="0" t="s">
        <v>15703</v>
      </c>
      <c r="E5443" s="0" t="s">
        <v>15704</v>
      </c>
      <c r="M5443" s="0" t="s">
        <v>136</v>
      </c>
      <c r="N5443" s="0" t="s">
        <v>124</v>
      </c>
      <c r="P5443" s="0" t="s">
        <v>102</v>
      </c>
      <c r="Q5443" s="0" t="s">
        <v>102</v>
      </c>
      <c r="R5443" s="0" t="s">
        <v>131</v>
      </c>
      <c r="S5443" s="0" t="s">
        <v>21</v>
      </c>
      <c r="T5443" s="0" t="s">
        <v>104</v>
      </c>
      <c r="W5443" s="0" t="s">
        <v>105</v>
      </c>
    </row>
    <row r="5444" customFormat="false" ht="15" hidden="false" customHeight="false" outlineLevel="0" collapsed="false">
      <c r="A5444" s="0" t="s">
        <v>21</v>
      </c>
      <c r="B5444" s="0" t="s">
        <v>15705</v>
      </c>
      <c r="C5444" s="0" t="s">
        <v>97</v>
      </c>
      <c r="D5444" s="0" t="s">
        <v>15706</v>
      </c>
      <c r="E5444" s="0" t="s">
        <v>15707</v>
      </c>
      <c r="M5444" s="0" t="s">
        <v>136</v>
      </c>
      <c r="N5444" s="0" t="s">
        <v>124</v>
      </c>
      <c r="P5444" s="0" t="s">
        <v>102</v>
      </c>
      <c r="Q5444" s="0" t="s">
        <v>102</v>
      </c>
      <c r="R5444" s="0" t="s">
        <v>113</v>
      </c>
      <c r="S5444" s="0" t="s">
        <v>21</v>
      </c>
      <c r="T5444" s="0" t="s">
        <v>104</v>
      </c>
      <c r="W5444" s="0" t="s">
        <v>105</v>
      </c>
    </row>
    <row r="5445" customFormat="false" ht="15" hidden="false" customHeight="false" outlineLevel="0" collapsed="false">
      <c r="A5445" s="0" t="s">
        <v>21</v>
      </c>
      <c r="B5445" s="0" t="s">
        <v>15708</v>
      </c>
      <c r="C5445" s="0" t="s">
        <v>97</v>
      </c>
      <c r="D5445" s="0" t="s">
        <v>15709</v>
      </c>
      <c r="E5445" s="0" t="s">
        <v>15710</v>
      </c>
      <c r="M5445" s="0" t="s">
        <v>136</v>
      </c>
      <c r="N5445" s="0" t="s">
        <v>124</v>
      </c>
      <c r="P5445" s="0" t="s">
        <v>102</v>
      </c>
      <c r="Q5445" s="0" t="s">
        <v>102</v>
      </c>
      <c r="R5445" s="0" t="s">
        <v>131</v>
      </c>
      <c r="S5445" s="0" t="s">
        <v>21</v>
      </c>
      <c r="T5445" s="0" t="s">
        <v>104</v>
      </c>
      <c r="W5445" s="0" t="s">
        <v>105</v>
      </c>
    </row>
    <row r="5446" customFormat="false" ht="15" hidden="false" customHeight="false" outlineLevel="0" collapsed="false">
      <c r="A5446" s="0" t="s">
        <v>21</v>
      </c>
      <c r="B5446" s="0" t="s">
        <v>15711</v>
      </c>
      <c r="C5446" s="0" t="s">
        <v>97</v>
      </c>
      <c r="D5446" s="0" t="s">
        <v>15712</v>
      </c>
      <c r="E5446" s="0" t="s">
        <v>15713</v>
      </c>
      <c r="M5446" s="0" t="s">
        <v>136</v>
      </c>
      <c r="N5446" s="0" t="s">
        <v>124</v>
      </c>
      <c r="P5446" s="0" t="s">
        <v>102</v>
      </c>
      <c r="Q5446" s="0" t="s">
        <v>102</v>
      </c>
      <c r="R5446" s="0" t="s">
        <v>113</v>
      </c>
      <c r="S5446" s="0" t="s">
        <v>21</v>
      </c>
      <c r="T5446" s="0" t="s">
        <v>104</v>
      </c>
      <c r="W5446" s="0" t="s">
        <v>105</v>
      </c>
    </row>
    <row r="5447" customFormat="false" ht="15" hidden="false" customHeight="false" outlineLevel="0" collapsed="false">
      <c r="A5447" s="0" t="s">
        <v>21</v>
      </c>
      <c r="B5447" s="0" t="s">
        <v>15714</v>
      </c>
      <c r="C5447" s="0" t="s">
        <v>97</v>
      </c>
      <c r="D5447" s="0" t="s">
        <v>15715</v>
      </c>
      <c r="E5447" s="0" t="s">
        <v>15715</v>
      </c>
      <c r="M5447" s="0" t="s">
        <v>136</v>
      </c>
      <c r="N5447" s="0" t="s">
        <v>124</v>
      </c>
      <c r="P5447" s="0" t="s">
        <v>102</v>
      </c>
      <c r="Q5447" s="0" t="s">
        <v>102</v>
      </c>
      <c r="R5447" s="0" t="s">
        <v>131</v>
      </c>
      <c r="S5447" s="0" t="s">
        <v>21</v>
      </c>
      <c r="T5447" s="0" t="s">
        <v>104</v>
      </c>
      <c r="W5447" s="0" t="s">
        <v>105</v>
      </c>
    </row>
    <row r="5448" customFormat="false" ht="15" hidden="false" customHeight="false" outlineLevel="0" collapsed="false">
      <c r="A5448" s="0" t="s">
        <v>21</v>
      </c>
      <c r="B5448" s="0" t="s">
        <v>15716</v>
      </c>
      <c r="C5448" s="0" t="s">
        <v>97</v>
      </c>
      <c r="D5448" s="0" t="s">
        <v>15717</v>
      </c>
      <c r="E5448" s="0" t="s">
        <v>15718</v>
      </c>
      <c r="M5448" s="0" t="s">
        <v>136</v>
      </c>
      <c r="N5448" s="0" t="s">
        <v>124</v>
      </c>
      <c r="P5448" s="0" t="s">
        <v>102</v>
      </c>
      <c r="Q5448" s="0" t="s">
        <v>102</v>
      </c>
      <c r="R5448" s="0" t="s">
        <v>113</v>
      </c>
      <c r="S5448" s="0" t="s">
        <v>21</v>
      </c>
      <c r="T5448" s="0" t="s">
        <v>104</v>
      </c>
      <c r="W5448" s="0" t="s">
        <v>105</v>
      </c>
    </row>
    <row r="5449" customFormat="false" ht="15" hidden="false" customHeight="false" outlineLevel="0" collapsed="false">
      <c r="A5449" s="0" t="s">
        <v>21</v>
      </c>
      <c r="B5449" s="0" t="s">
        <v>15719</v>
      </c>
      <c r="C5449" s="0" t="s">
        <v>97</v>
      </c>
      <c r="D5449" s="0" t="s">
        <v>15720</v>
      </c>
      <c r="E5449" s="0" t="s">
        <v>15721</v>
      </c>
      <c r="M5449" s="0" t="s">
        <v>136</v>
      </c>
      <c r="N5449" s="0" t="s">
        <v>124</v>
      </c>
      <c r="P5449" s="0" t="s">
        <v>102</v>
      </c>
      <c r="Q5449" s="0" t="s">
        <v>102</v>
      </c>
      <c r="R5449" s="0" t="s">
        <v>144</v>
      </c>
      <c r="S5449" s="0" t="s">
        <v>21</v>
      </c>
      <c r="T5449" s="0" t="s">
        <v>104</v>
      </c>
      <c r="W5449" s="0" t="s">
        <v>105</v>
      </c>
    </row>
    <row r="5450" customFormat="false" ht="15" hidden="false" customHeight="false" outlineLevel="0" collapsed="false">
      <c r="A5450" s="0" t="s">
        <v>21</v>
      </c>
      <c r="B5450" s="0" t="s">
        <v>15722</v>
      </c>
      <c r="C5450" s="0" t="s">
        <v>97</v>
      </c>
      <c r="D5450" s="0" t="s">
        <v>15723</v>
      </c>
      <c r="E5450" s="0" t="s">
        <v>15724</v>
      </c>
      <c r="M5450" s="0" t="s">
        <v>136</v>
      </c>
      <c r="N5450" s="0" t="s">
        <v>124</v>
      </c>
      <c r="P5450" s="0" t="s">
        <v>102</v>
      </c>
      <c r="Q5450" s="0" t="s">
        <v>102</v>
      </c>
      <c r="R5450" s="0" t="s">
        <v>144</v>
      </c>
      <c r="S5450" s="0" t="s">
        <v>21</v>
      </c>
      <c r="T5450" s="0" t="s">
        <v>104</v>
      </c>
      <c r="W5450" s="0" t="s">
        <v>105</v>
      </c>
    </row>
    <row r="5451" customFormat="false" ht="15" hidden="false" customHeight="false" outlineLevel="0" collapsed="false">
      <c r="A5451" s="0" t="s">
        <v>21</v>
      </c>
      <c r="B5451" s="0" t="s">
        <v>15725</v>
      </c>
      <c r="C5451" s="0" t="s">
        <v>97</v>
      </c>
      <c r="D5451" s="0" t="s">
        <v>15726</v>
      </c>
      <c r="E5451" s="0" t="s">
        <v>15727</v>
      </c>
      <c r="M5451" s="0" t="s">
        <v>136</v>
      </c>
      <c r="N5451" s="0" t="s">
        <v>124</v>
      </c>
      <c r="P5451" s="0" t="s">
        <v>102</v>
      </c>
      <c r="Q5451" s="0" t="s">
        <v>102</v>
      </c>
      <c r="R5451" s="0" t="s">
        <v>144</v>
      </c>
      <c r="S5451" s="0" t="s">
        <v>21</v>
      </c>
      <c r="T5451" s="0" t="s">
        <v>104</v>
      </c>
      <c r="W5451" s="0" t="s">
        <v>105</v>
      </c>
    </row>
    <row r="5452" customFormat="false" ht="15" hidden="false" customHeight="false" outlineLevel="0" collapsed="false">
      <c r="A5452" s="0" t="s">
        <v>21</v>
      </c>
      <c r="B5452" s="0" t="s">
        <v>15728</v>
      </c>
      <c r="C5452" s="0" t="s">
        <v>97</v>
      </c>
      <c r="D5452" s="0" t="s">
        <v>9758</v>
      </c>
      <c r="E5452" s="0" t="s">
        <v>15729</v>
      </c>
      <c r="M5452" s="0" t="s">
        <v>136</v>
      </c>
      <c r="N5452" s="0" t="s">
        <v>124</v>
      </c>
      <c r="P5452" s="0" t="s">
        <v>102</v>
      </c>
      <c r="Q5452" s="0" t="s">
        <v>102</v>
      </c>
      <c r="R5452" s="0" t="s">
        <v>113</v>
      </c>
      <c r="S5452" s="0" t="s">
        <v>21</v>
      </c>
      <c r="T5452" s="0" t="s">
        <v>104</v>
      </c>
      <c r="W5452" s="0" t="s">
        <v>105</v>
      </c>
    </row>
    <row r="5453" customFormat="false" ht="15" hidden="false" customHeight="false" outlineLevel="0" collapsed="false">
      <c r="A5453" s="0" t="s">
        <v>21</v>
      </c>
      <c r="B5453" s="0" t="s">
        <v>15730</v>
      </c>
      <c r="C5453" s="0" t="s">
        <v>97</v>
      </c>
      <c r="D5453" s="0" t="s">
        <v>15731</v>
      </c>
      <c r="E5453" s="0" t="s">
        <v>15732</v>
      </c>
      <c r="M5453" s="0" t="s">
        <v>136</v>
      </c>
      <c r="N5453" s="0" t="s">
        <v>124</v>
      </c>
      <c r="P5453" s="0" t="s">
        <v>102</v>
      </c>
      <c r="Q5453" s="0" t="s">
        <v>102</v>
      </c>
      <c r="R5453" s="0" t="s">
        <v>113</v>
      </c>
      <c r="S5453" s="0" t="s">
        <v>21</v>
      </c>
      <c r="T5453" s="0" t="s">
        <v>104</v>
      </c>
      <c r="W5453" s="0" t="s">
        <v>105</v>
      </c>
    </row>
    <row r="5454" customFormat="false" ht="15" hidden="false" customHeight="false" outlineLevel="0" collapsed="false">
      <c r="A5454" s="0" t="s">
        <v>21</v>
      </c>
      <c r="B5454" s="0" t="s">
        <v>15733</v>
      </c>
      <c r="C5454" s="0" t="s">
        <v>97</v>
      </c>
      <c r="D5454" s="0" t="s">
        <v>15734</v>
      </c>
      <c r="E5454" s="0" t="s">
        <v>15735</v>
      </c>
      <c r="M5454" s="0" t="s">
        <v>136</v>
      </c>
      <c r="N5454" s="0" t="s">
        <v>124</v>
      </c>
      <c r="P5454" s="0" t="s">
        <v>102</v>
      </c>
      <c r="Q5454" s="0" t="s">
        <v>102</v>
      </c>
      <c r="R5454" s="0" t="s">
        <v>113</v>
      </c>
      <c r="S5454" s="0" t="s">
        <v>21</v>
      </c>
      <c r="T5454" s="0" t="s">
        <v>104</v>
      </c>
      <c r="W5454" s="0" t="s">
        <v>105</v>
      </c>
    </row>
    <row r="5455" customFormat="false" ht="15" hidden="false" customHeight="false" outlineLevel="0" collapsed="false">
      <c r="A5455" s="0" t="s">
        <v>21</v>
      </c>
      <c r="B5455" s="0" t="s">
        <v>15736</v>
      </c>
      <c r="C5455" s="0" t="s">
        <v>97</v>
      </c>
      <c r="D5455" s="0" t="s">
        <v>15737</v>
      </c>
      <c r="E5455" s="0" t="s">
        <v>15738</v>
      </c>
      <c r="M5455" s="0" t="s">
        <v>136</v>
      </c>
      <c r="N5455" s="0" t="s">
        <v>124</v>
      </c>
      <c r="P5455" s="0" t="s">
        <v>102</v>
      </c>
      <c r="Q5455" s="0" t="s">
        <v>102</v>
      </c>
      <c r="R5455" s="0" t="s">
        <v>131</v>
      </c>
      <c r="S5455" s="0" t="s">
        <v>21</v>
      </c>
      <c r="T5455" s="0" t="s">
        <v>104</v>
      </c>
      <c r="W5455" s="0" t="s">
        <v>105</v>
      </c>
    </row>
    <row r="5456" customFormat="false" ht="15" hidden="false" customHeight="false" outlineLevel="0" collapsed="false">
      <c r="A5456" s="0" t="s">
        <v>21</v>
      </c>
      <c r="B5456" s="0" t="s">
        <v>15739</v>
      </c>
      <c r="C5456" s="0" t="s">
        <v>97</v>
      </c>
      <c r="D5456" s="0" t="s">
        <v>5345</v>
      </c>
      <c r="E5456" s="0" t="s">
        <v>15740</v>
      </c>
      <c r="M5456" s="0" t="s">
        <v>136</v>
      </c>
      <c r="N5456" s="0" t="s">
        <v>124</v>
      </c>
      <c r="P5456" s="0" t="s">
        <v>102</v>
      </c>
      <c r="Q5456" s="0" t="s">
        <v>102</v>
      </c>
      <c r="R5456" s="0" t="s">
        <v>113</v>
      </c>
      <c r="S5456" s="0" t="s">
        <v>21</v>
      </c>
      <c r="T5456" s="0" t="s">
        <v>104</v>
      </c>
      <c r="W5456" s="0" t="s">
        <v>105</v>
      </c>
    </row>
    <row r="5457" customFormat="false" ht="15" hidden="false" customHeight="false" outlineLevel="0" collapsed="false">
      <c r="A5457" s="0" t="s">
        <v>21</v>
      </c>
      <c r="B5457" s="0" t="s">
        <v>15741</v>
      </c>
      <c r="C5457" s="0" t="s">
        <v>97</v>
      </c>
      <c r="D5457" s="0" t="s">
        <v>15742</v>
      </c>
      <c r="E5457" s="0" t="s">
        <v>15743</v>
      </c>
      <c r="H5457" s="0" t="s">
        <v>654</v>
      </c>
      <c r="I5457" s="0" t="s">
        <v>655</v>
      </c>
      <c r="J5457" s="0" t="s">
        <v>100</v>
      </c>
      <c r="K5457" s="0" t="s">
        <v>168</v>
      </c>
      <c r="L5457" s="0" t="s">
        <v>101</v>
      </c>
      <c r="M5457" s="0" t="s">
        <v>656</v>
      </c>
      <c r="N5457" s="0" t="s">
        <v>101</v>
      </c>
      <c r="P5457" s="0" t="s">
        <v>102</v>
      </c>
      <c r="Q5457" s="0" t="s">
        <v>102</v>
      </c>
      <c r="R5457" s="0" t="s">
        <v>113</v>
      </c>
      <c r="S5457" s="0" t="s">
        <v>21</v>
      </c>
      <c r="T5457" s="0" t="s">
        <v>104</v>
      </c>
      <c r="W5457" s="0" t="s">
        <v>105</v>
      </c>
      <c r="X5457" s="0" t="s">
        <v>658</v>
      </c>
      <c r="Y5457" s="0" t="s">
        <v>659</v>
      </c>
    </row>
    <row r="5458" customFormat="false" ht="15" hidden="false" customHeight="false" outlineLevel="0" collapsed="false">
      <c r="A5458" s="0" t="s">
        <v>21</v>
      </c>
      <c r="B5458" s="0" t="s">
        <v>15744</v>
      </c>
      <c r="C5458" s="0" t="s">
        <v>97</v>
      </c>
      <c r="D5458" s="0" t="s">
        <v>4775</v>
      </c>
      <c r="E5458" s="0" t="s">
        <v>15745</v>
      </c>
      <c r="H5458" s="0" t="s">
        <v>654</v>
      </c>
      <c r="I5458" s="0" t="s">
        <v>655</v>
      </c>
      <c r="J5458" s="0" t="s">
        <v>100</v>
      </c>
      <c r="K5458" s="0" t="s">
        <v>168</v>
      </c>
      <c r="L5458" s="0" t="s">
        <v>101</v>
      </c>
      <c r="M5458" s="0" t="s">
        <v>656</v>
      </c>
      <c r="N5458" s="0" t="s">
        <v>101</v>
      </c>
      <c r="P5458" s="0" t="s">
        <v>102</v>
      </c>
      <c r="Q5458" s="0" t="s">
        <v>102</v>
      </c>
      <c r="R5458" s="0" t="s">
        <v>113</v>
      </c>
      <c r="S5458" s="0" t="s">
        <v>21</v>
      </c>
      <c r="T5458" s="0" t="s">
        <v>104</v>
      </c>
      <c r="W5458" s="0" t="s">
        <v>105</v>
      </c>
      <c r="X5458" s="0" t="s">
        <v>658</v>
      </c>
      <c r="Y5458" s="0" t="s">
        <v>659</v>
      </c>
    </row>
    <row r="5459" customFormat="false" ht="15" hidden="false" customHeight="false" outlineLevel="0" collapsed="false">
      <c r="A5459" s="0" t="s">
        <v>21</v>
      </c>
      <c r="B5459" s="0" t="s">
        <v>15746</v>
      </c>
      <c r="C5459" s="0" t="s">
        <v>97</v>
      </c>
      <c r="D5459" s="0" t="s">
        <v>15747</v>
      </c>
      <c r="E5459" s="0" t="s">
        <v>15748</v>
      </c>
      <c r="H5459" s="0" t="s">
        <v>654</v>
      </c>
      <c r="I5459" s="0" t="s">
        <v>655</v>
      </c>
      <c r="J5459" s="0" t="s">
        <v>100</v>
      </c>
      <c r="K5459" s="0" t="s">
        <v>168</v>
      </c>
      <c r="L5459" s="0" t="s">
        <v>101</v>
      </c>
      <c r="M5459" s="0" t="s">
        <v>656</v>
      </c>
      <c r="N5459" s="0" t="s">
        <v>101</v>
      </c>
      <c r="P5459" s="0" t="s">
        <v>102</v>
      </c>
      <c r="Q5459" s="0" t="s">
        <v>102</v>
      </c>
      <c r="R5459" s="0" t="s">
        <v>113</v>
      </c>
      <c r="S5459" s="0" t="s">
        <v>21</v>
      </c>
      <c r="T5459" s="0" t="s">
        <v>104</v>
      </c>
      <c r="W5459" s="0" t="s">
        <v>105</v>
      </c>
      <c r="X5459" s="0" t="s">
        <v>658</v>
      </c>
      <c r="Y5459" s="0" t="s">
        <v>659</v>
      </c>
    </row>
    <row r="5460" customFormat="false" ht="15" hidden="false" customHeight="false" outlineLevel="0" collapsed="false">
      <c r="A5460" s="0" t="s">
        <v>21</v>
      </c>
      <c r="B5460" s="0" t="s">
        <v>15749</v>
      </c>
      <c r="C5460" s="0" t="s">
        <v>97</v>
      </c>
      <c r="D5460" s="0" t="s">
        <v>15750</v>
      </c>
      <c r="E5460" s="0" t="s">
        <v>15751</v>
      </c>
      <c r="M5460" s="0" t="s">
        <v>656</v>
      </c>
      <c r="N5460" s="0" t="s">
        <v>101</v>
      </c>
      <c r="P5460" s="0" t="s">
        <v>102</v>
      </c>
      <c r="Q5460" s="0" t="s">
        <v>102</v>
      </c>
      <c r="R5460" s="0" t="s">
        <v>113</v>
      </c>
      <c r="S5460" s="0" t="s">
        <v>21</v>
      </c>
      <c r="T5460" s="0" t="s">
        <v>104</v>
      </c>
      <c r="W5460" s="0" t="s">
        <v>105</v>
      </c>
    </row>
    <row r="5461" customFormat="false" ht="15" hidden="false" customHeight="false" outlineLevel="0" collapsed="false">
      <c r="A5461" s="0" t="s">
        <v>21</v>
      </c>
      <c r="B5461" s="0" t="s">
        <v>15752</v>
      </c>
      <c r="C5461" s="0" t="s">
        <v>97</v>
      </c>
      <c r="D5461" s="0" t="s">
        <v>15753</v>
      </c>
      <c r="E5461" s="0" t="s">
        <v>15754</v>
      </c>
      <c r="G5461" s="0" t="s">
        <v>15755</v>
      </c>
      <c r="H5461" s="0" t="s">
        <v>654</v>
      </c>
      <c r="I5461" s="0" t="s">
        <v>655</v>
      </c>
      <c r="J5461" s="0" t="s">
        <v>100</v>
      </c>
      <c r="K5461" s="0" t="s">
        <v>168</v>
      </c>
      <c r="L5461" s="0" t="s">
        <v>101</v>
      </c>
      <c r="M5461" s="0" t="s">
        <v>656</v>
      </c>
      <c r="N5461" s="0" t="s">
        <v>101</v>
      </c>
      <c r="P5461" s="0" t="s">
        <v>102</v>
      </c>
      <c r="Q5461" s="0" t="s">
        <v>102</v>
      </c>
      <c r="R5461" s="0" t="s">
        <v>131</v>
      </c>
      <c r="S5461" s="0" t="s">
        <v>21</v>
      </c>
      <c r="T5461" s="0" t="s">
        <v>104</v>
      </c>
      <c r="W5461" s="0" t="s">
        <v>105</v>
      </c>
      <c r="X5461" s="0" t="s">
        <v>658</v>
      </c>
      <c r="Y5461" s="0" t="s">
        <v>659</v>
      </c>
    </row>
    <row r="5462" customFormat="false" ht="15" hidden="false" customHeight="false" outlineLevel="0" collapsed="false">
      <c r="A5462" s="0" t="s">
        <v>21</v>
      </c>
      <c r="B5462" s="0" t="s">
        <v>15756</v>
      </c>
      <c r="C5462" s="0" t="s">
        <v>97</v>
      </c>
      <c r="D5462" s="0" t="s">
        <v>1988</v>
      </c>
      <c r="E5462" s="0" t="s">
        <v>15757</v>
      </c>
      <c r="M5462" s="0" t="s">
        <v>656</v>
      </c>
      <c r="N5462" s="0" t="s">
        <v>101</v>
      </c>
      <c r="P5462" s="0" t="s">
        <v>102</v>
      </c>
      <c r="Q5462" s="0" t="s">
        <v>102</v>
      </c>
      <c r="R5462" s="0" t="s">
        <v>144</v>
      </c>
      <c r="S5462" s="0" t="s">
        <v>21</v>
      </c>
      <c r="T5462" s="0" t="s">
        <v>104</v>
      </c>
      <c r="V5462" s="0" t="s">
        <v>6108</v>
      </c>
      <c r="W5462" s="0" t="s">
        <v>105</v>
      </c>
    </row>
    <row r="5463" customFormat="false" ht="15" hidden="false" customHeight="false" outlineLevel="0" collapsed="false">
      <c r="A5463" s="0" t="s">
        <v>21</v>
      </c>
      <c r="B5463" s="0" t="s">
        <v>15756</v>
      </c>
      <c r="C5463" s="0" t="s">
        <v>97</v>
      </c>
      <c r="D5463" s="0" t="s">
        <v>1988</v>
      </c>
      <c r="E5463" s="0" t="s">
        <v>15757</v>
      </c>
      <c r="M5463" s="0" t="s">
        <v>656</v>
      </c>
      <c r="N5463" s="0" t="s">
        <v>101</v>
      </c>
      <c r="P5463" s="0" t="s">
        <v>236</v>
      </c>
      <c r="Q5463" s="0" t="s">
        <v>236</v>
      </c>
      <c r="R5463" s="0" t="s">
        <v>6109</v>
      </c>
      <c r="S5463" s="0" t="s">
        <v>21</v>
      </c>
      <c r="T5463" s="0" t="s">
        <v>104</v>
      </c>
      <c r="U5463" s="0" t="s">
        <v>6110</v>
      </c>
      <c r="W5463" s="0" t="s">
        <v>105</v>
      </c>
    </row>
    <row r="5464" customFormat="false" ht="15" hidden="false" customHeight="false" outlineLevel="0" collapsed="false">
      <c r="A5464" s="0" t="s">
        <v>21</v>
      </c>
      <c r="B5464" s="0" t="s">
        <v>15758</v>
      </c>
      <c r="C5464" s="0" t="s">
        <v>97</v>
      </c>
      <c r="D5464" s="0" t="s">
        <v>15759</v>
      </c>
      <c r="E5464" s="0" t="s">
        <v>15760</v>
      </c>
      <c r="M5464" s="0" t="s">
        <v>656</v>
      </c>
      <c r="N5464" s="0" t="s">
        <v>101</v>
      </c>
      <c r="P5464" s="0" t="s">
        <v>102</v>
      </c>
      <c r="Q5464" s="0" t="s">
        <v>102</v>
      </c>
      <c r="R5464" s="0" t="s">
        <v>113</v>
      </c>
      <c r="S5464" s="0" t="s">
        <v>21</v>
      </c>
      <c r="T5464" s="0" t="s">
        <v>104</v>
      </c>
      <c r="W5464" s="0" t="s">
        <v>105</v>
      </c>
    </row>
    <row r="5465" customFormat="false" ht="15" hidden="false" customHeight="false" outlineLevel="0" collapsed="false">
      <c r="A5465" s="0" t="s">
        <v>21</v>
      </c>
      <c r="B5465" s="0" t="s">
        <v>15761</v>
      </c>
      <c r="C5465" s="0" t="s">
        <v>97</v>
      </c>
      <c r="D5465" s="0" t="s">
        <v>15762</v>
      </c>
      <c r="E5465" s="0" t="s">
        <v>15763</v>
      </c>
      <c r="M5465" s="0" t="s">
        <v>100</v>
      </c>
      <c r="N5465" s="0" t="s">
        <v>101</v>
      </c>
      <c r="P5465" s="0" t="s">
        <v>102</v>
      </c>
      <c r="Q5465" s="0" t="s">
        <v>102</v>
      </c>
      <c r="R5465" s="0" t="s">
        <v>144</v>
      </c>
      <c r="S5465" s="0" t="s">
        <v>21</v>
      </c>
      <c r="T5465" s="0" t="s">
        <v>104</v>
      </c>
      <c r="W5465" s="0" t="s">
        <v>105</v>
      </c>
    </row>
    <row r="5466" customFormat="false" ht="15" hidden="false" customHeight="false" outlineLevel="0" collapsed="false">
      <c r="A5466" s="0" t="s">
        <v>21</v>
      </c>
      <c r="B5466" s="0" t="s">
        <v>15764</v>
      </c>
      <c r="C5466" s="0" t="s">
        <v>97</v>
      </c>
      <c r="D5466" s="0" t="s">
        <v>15765</v>
      </c>
      <c r="E5466" s="0" t="s">
        <v>15766</v>
      </c>
      <c r="M5466" s="0" t="s">
        <v>100</v>
      </c>
      <c r="N5466" s="0" t="s">
        <v>101</v>
      </c>
      <c r="P5466" s="0" t="s">
        <v>102</v>
      </c>
      <c r="Q5466" s="0" t="s">
        <v>102</v>
      </c>
      <c r="R5466" s="0" t="s">
        <v>144</v>
      </c>
      <c r="S5466" s="0" t="s">
        <v>21</v>
      </c>
      <c r="T5466" s="0" t="s">
        <v>104</v>
      </c>
      <c r="W5466" s="0" t="s">
        <v>105</v>
      </c>
    </row>
    <row r="5467" customFormat="false" ht="15" hidden="false" customHeight="false" outlineLevel="0" collapsed="false">
      <c r="A5467" s="0" t="s">
        <v>21</v>
      </c>
      <c r="B5467" s="0" t="s">
        <v>15767</v>
      </c>
      <c r="C5467" s="0" t="s">
        <v>97</v>
      </c>
      <c r="D5467" s="0" t="s">
        <v>15768</v>
      </c>
      <c r="E5467" s="0" t="s">
        <v>15769</v>
      </c>
      <c r="M5467" s="0" t="s">
        <v>100</v>
      </c>
      <c r="N5467" s="0" t="s">
        <v>101</v>
      </c>
      <c r="P5467" s="0" t="s">
        <v>102</v>
      </c>
      <c r="Q5467" s="0" t="s">
        <v>102</v>
      </c>
      <c r="R5467" s="0" t="s">
        <v>144</v>
      </c>
      <c r="S5467" s="0" t="s">
        <v>21</v>
      </c>
      <c r="T5467" s="0" t="s">
        <v>104</v>
      </c>
      <c r="W5467" s="0" t="s">
        <v>105</v>
      </c>
    </row>
    <row r="5468" customFormat="false" ht="15" hidden="false" customHeight="false" outlineLevel="0" collapsed="false">
      <c r="A5468" s="0" t="s">
        <v>21</v>
      </c>
      <c r="B5468" s="0" t="s">
        <v>15770</v>
      </c>
      <c r="C5468" s="0" t="s">
        <v>97</v>
      </c>
      <c r="D5468" s="0" t="s">
        <v>15771</v>
      </c>
      <c r="E5468" s="0" t="s">
        <v>15772</v>
      </c>
      <c r="M5468" s="0" t="s">
        <v>100</v>
      </c>
      <c r="N5468" s="0" t="s">
        <v>101</v>
      </c>
      <c r="P5468" s="0" t="s">
        <v>102</v>
      </c>
      <c r="Q5468" s="0" t="s">
        <v>102</v>
      </c>
      <c r="R5468" s="0" t="s">
        <v>144</v>
      </c>
      <c r="S5468" s="0" t="s">
        <v>21</v>
      </c>
      <c r="T5468" s="0" t="s">
        <v>104</v>
      </c>
      <c r="W5468" s="0" t="s">
        <v>105</v>
      </c>
    </row>
    <row r="5469" customFormat="false" ht="15" hidden="false" customHeight="false" outlineLevel="0" collapsed="false">
      <c r="A5469" s="0" t="s">
        <v>21</v>
      </c>
      <c r="B5469" s="0" t="s">
        <v>15773</v>
      </c>
      <c r="C5469" s="0" t="s">
        <v>97</v>
      </c>
      <c r="D5469" s="0" t="s">
        <v>15774</v>
      </c>
      <c r="E5469" s="0" t="s">
        <v>15775</v>
      </c>
      <c r="M5469" s="0" t="s">
        <v>100</v>
      </c>
      <c r="N5469" s="0" t="s">
        <v>101</v>
      </c>
      <c r="P5469" s="0" t="s">
        <v>102</v>
      </c>
      <c r="Q5469" s="0" t="s">
        <v>102</v>
      </c>
      <c r="R5469" s="0" t="s">
        <v>144</v>
      </c>
      <c r="S5469" s="0" t="s">
        <v>21</v>
      </c>
      <c r="T5469" s="0" t="s">
        <v>104</v>
      </c>
      <c r="W5469" s="0" t="s">
        <v>105</v>
      </c>
    </row>
    <row r="5470" customFormat="false" ht="28.35" hidden="false" customHeight="false" outlineLevel="0" collapsed="false">
      <c r="A5470" s="0" t="s">
        <v>21</v>
      </c>
      <c r="B5470" s="0" t="s">
        <v>15776</v>
      </c>
      <c r="C5470" s="0" t="s">
        <v>97</v>
      </c>
      <c r="D5470" s="0" t="s">
        <v>15777</v>
      </c>
      <c r="E5470" s="0" t="s">
        <v>15778</v>
      </c>
      <c r="H5470" s="9" t="s">
        <v>15779</v>
      </c>
      <c r="I5470" s="0" t="s">
        <v>1402</v>
      </c>
      <c r="K5470" s="0" t="s">
        <v>15780</v>
      </c>
      <c r="L5470" s="0" t="s">
        <v>101</v>
      </c>
      <c r="M5470" s="0" t="s">
        <v>656</v>
      </c>
      <c r="N5470" s="0" t="s">
        <v>101</v>
      </c>
      <c r="P5470" s="0" t="s">
        <v>102</v>
      </c>
      <c r="Q5470" s="0" t="s">
        <v>102</v>
      </c>
      <c r="R5470" s="0" t="s">
        <v>144</v>
      </c>
      <c r="S5470" s="0" t="s">
        <v>21</v>
      </c>
      <c r="T5470" s="0" t="s">
        <v>104</v>
      </c>
      <c r="W5470" s="0" t="s">
        <v>105</v>
      </c>
      <c r="X5470" s="0" t="s">
        <v>658</v>
      </c>
      <c r="Y5470" s="0" t="s">
        <v>659</v>
      </c>
    </row>
    <row r="5471" customFormat="false" ht="15" hidden="false" customHeight="false" outlineLevel="0" collapsed="false">
      <c r="A5471" s="0" t="s">
        <v>21</v>
      </c>
      <c r="B5471" s="0" t="s">
        <v>15781</v>
      </c>
      <c r="C5471" s="0" t="s">
        <v>97</v>
      </c>
      <c r="D5471" s="0" t="s">
        <v>15782</v>
      </c>
      <c r="E5471" s="0" t="s">
        <v>15783</v>
      </c>
      <c r="M5471" s="0" t="s">
        <v>100</v>
      </c>
      <c r="N5471" s="0" t="s">
        <v>101</v>
      </c>
      <c r="P5471" s="0" t="s">
        <v>102</v>
      </c>
      <c r="Q5471" s="0" t="s">
        <v>102</v>
      </c>
      <c r="R5471" s="0" t="s">
        <v>144</v>
      </c>
      <c r="S5471" s="0" t="s">
        <v>21</v>
      </c>
      <c r="T5471" s="0" t="s">
        <v>104</v>
      </c>
      <c r="W5471" s="0" t="s">
        <v>105</v>
      </c>
    </row>
    <row r="5472" customFormat="false" ht="15" hidden="false" customHeight="false" outlineLevel="0" collapsed="false">
      <c r="A5472" s="0" t="s">
        <v>21</v>
      </c>
      <c r="B5472" s="0" t="s">
        <v>15784</v>
      </c>
      <c r="C5472" s="0" t="s">
        <v>97</v>
      </c>
      <c r="D5472" s="0" t="s">
        <v>15785</v>
      </c>
      <c r="E5472" s="0" t="s">
        <v>15786</v>
      </c>
      <c r="M5472" s="0" t="s">
        <v>421</v>
      </c>
      <c r="N5472" s="0" t="s">
        <v>101</v>
      </c>
      <c r="P5472" s="0" t="s">
        <v>102</v>
      </c>
      <c r="Q5472" s="0" t="s">
        <v>102</v>
      </c>
      <c r="R5472" s="0" t="s">
        <v>113</v>
      </c>
      <c r="S5472" s="0" t="s">
        <v>21</v>
      </c>
      <c r="T5472" s="0" t="s">
        <v>104</v>
      </c>
      <c r="W5472" s="0" t="s">
        <v>105</v>
      </c>
    </row>
    <row r="5473" customFormat="false" ht="15" hidden="false" customHeight="false" outlineLevel="0" collapsed="false">
      <c r="A5473" s="0" t="s">
        <v>21</v>
      </c>
      <c r="B5473" s="0" t="s">
        <v>15787</v>
      </c>
      <c r="C5473" s="0" t="s">
        <v>97</v>
      </c>
      <c r="D5473" s="0" t="s">
        <v>15788</v>
      </c>
      <c r="E5473" s="0" t="s">
        <v>15789</v>
      </c>
      <c r="H5473" s="0" t="s">
        <v>15790</v>
      </c>
      <c r="I5473" s="0" t="s">
        <v>15791</v>
      </c>
      <c r="J5473" s="0" t="s">
        <v>437</v>
      </c>
      <c r="K5473" s="0" t="s">
        <v>15792</v>
      </c>
      <c r="L5473" s="0" t="s">
        <v>101</v>
      </c>
      <c r="M5473" s="0" t="s">
        <v>437</v>
      </c>
      <c r="N5473" s="0" t="s">
        <v>101</v>
      </c>
      <c r="P5473" s="0" t="s">
        <v>102</v>
      </c>
      <c r="Q5473" s="0" t="s">
        <v>102</v>
      </c>
      <c r="R5473" s="0" t="s">
        <v>131</v>
      </c>
      <c r="S5473" s="0" t="s">
        <v>21</v>
      </c>
      <c r="T5473" s="0" t="s">
        <v>104</v>
      </c>
      <c r="W5473" s="0" t="s">
        <v>105</v>
      </c>
      <c r="X5473" s="0" t="s">
        <v>15793</v>
      </c>
      <c r="Y5473" s="0" t="s">
        <v>15794</v>
      </c>
    </row>
    <row r="5474" customFormat="false" ht="15" hidden="false" customHeight="false" outlineLevel="0" collapsed="false">
      <c r="A5474" s="0" t="s">
        <v>21</v>
      </c>
      <c r="B5474" s="0" t="s">
        <v>15795</v>
      </c>
      <c r="C5474" s="0" t="s">
        <v>97</v>
      </c>
      <c r="D5474" s="0" t="s">
        <v>3448</v>
      </c>
      <c r="E5474" s="0" t="s">
        <v>15796</v>
      </c>
      <c r="M5474" s="0" t="s">
        <v>656</v>
      </c>
      <c r="N5474" s="0" t="s">
        <v>101</v>
      </c>
      <c r="P5474" s="0" t="s">
        <v>102</v>
      </c>
      <c r="Q5474" s="0" t="s">
        <v>102</v>
      </c>
      <c r="R5474" s="0" t="s">
        <v>113</v>
      </c>
      <c r="S5474" s="0" t="s">
        <v>21</v>
      </c>
      <c r="T5474" s="0" t="s">
        <v>104</v>
      </c>
      <c r="W5474" s="0" t="s">
        <v>105</v>
      </c>
    </row>
    <row r="5475" customFormat="false" ht="15" hidden="false" customHeight="false" outlineLevel="0" collapsed="false">
      <c r="A5475" s="0" t="s">
        <v>21</v>
      </c>
      <c r="B5475" s="0" t="s">
        <v>15797</v>
      </c>
      <c r="C5475" s="0" t="s">
        <v>97</v>
      </c>
      <c r="D5475" s="0" t="s">
        <v>15798</v>
      </c>
      <c r="E5475" s="0" t="s">
        <v>15799</v>
      </c>
      <c r="H5475" s="0" t="s">
        <v>654</v>
      </c>
      <c r="I5475" s="0" t="s">
        <v>655</v>
      </c>
      <c r="J5475" s="0" t="s">
        <v>100</v>
      </c>
      <c r="K5475" s="0" t="s">
        <v>168</v>
      </c>
      <c r="L5475" s="0" t="s">
        <v>101</v>
      </c>
      <c r="M5475" s="0" t="s">
        <v>656</v>
      </c>
      <c r="N5475" s="0" t="s">
        <v>101</v>
      </c>
      <c r="P5475" s="0" t="s">
        <v>102</v>
      </c>
      <c r="Q5475" s="0" t="s">
        <v>102</v>
      </c>
      <c r="R5475" s="0" t="s">
        <v>113</v>
      </c>
      <c r="S5475" s="0" t="s">
        <v>21</v>
      </c>
      <c r="T5475" s="0" t="s">
        <v>104</v>
      </c>
      <c r="W5475" s="0" t="s">
        <v>105</v>
      </c>
      <c r="X5475" s="0" t="s">
        <v>658</v>
      </c>
      <c r="Y5475" s="0" t="s">
        <v>659</v>
      </c>
    </row>
    <row r="5476" customFormat="false" ht="15" hidden="false" customHeight="false" outlineLevel="0" collapsed="false">
      <c r="A5476" s="0" t="s">
        <v>21</v>
      </c>
      <c r="B5476" s="0" t="s">
        <v>15800</v>
      </c>
      <c r="C5476" s="0" t="s">
        <v>97</v>
      </c>
      <c r="D5476" s="0" t="s">
        <v>1547</v>
      </c>
      <c r="E5476" s="0" t="s">
        <v>15801</v>
      </c>
      <c r="H5476" s="0" t="s">
        <v>15802</v>
      </c>
      <c r="I5476" s="0" t="s">
        <v>15803</v>
      </c>
      <c r="J5476" s="0" t="s">
        <v>15803</v>
      </c>
      <c r="K5476" s="0" t="s">
        <v>1540</v>
      </c>
      <c r="L5476" s="0" t="s">
        <v>101</v>
      </c>
      <c r="M5476" s="0" t="s">
        <v>1550</v>
      </c>
      <c r="N5476" s="0" t="s">
        <v>101</v>
      </c>
      <c r="P5476" s="0" t="s">
        <v>102</v>
      </c>
      <c r="Q5476" s="0" t="s">
        <v>102</v>
      </c>
      <c r="R5476" s="0" t="s">
        <v>113</v>
      </c>
      <c r="S5476" s="0" t="s">
        <v>21</v>
      </c>
      <c r="T5476" s="0" t="s">
        <v>104</v>
      </c>
      <c r="W5476" s="0" t="s">
        <v>105</v>
      </c>
      <c r="X5476" s="0" t="s">
        <v>15804</v>
      </c>
      <c r="Y5476" s="0" t="s">
        <v>15805</v>
      </c>
    </row>
    <row r="5477" customFormat="false" ht="15" hidden="false" customHeight="false" outlineLevel="0" collapsed="false">
      <c r="A5477" s="0" t="s">
        <v>21</v>
      </c>
      <c r="B5477" s="0" t="s">
        <v>15806</v>
      </c>
      <c r="C5477" s="0" t="s">
        <v>97</v>
      </c>
      <c r="D5477" s="0" t="s">
        <v>15807</v>
      </c>
      <c r="E5477" s="0" t="s">
        <v>15808</v>
      </c>
      <c r="H5477" s="0" t="s">
        <v>15809</v>
      </c>
      <c r="I5477" s="0" t="s">
        <v>15810</v>
      </c>
      <c r="J5477" s="0" t="s">
        <v>456</v>
      </c>
      <c r="K5477" s="0" t="s">
        <v>5909</v>
      </c>
      <c r="L5477" s="0" t="s">
        <v>101</v>
      </c>
      <c r="M5477" s="0" t="s">
        <v>766</v>
      </c>
      <c r="N5477" s="0" t="s">
        <v>101</v>
      </c>
      <c r="P5477" s="0" t="s">
        <v>102</v>
      </c>
      <c r="Q5477" s="0" t="s">
        <v>102</v>
      </c>
      <c r="R5477" s="0" t="s">
        <v>113</v>
      </c>
      <c r="S5477" s="0" t="s">
        <v>21</v>
      </c>
      <c r="T5477" s="0" t="s">
        <v>104</v>
      </c>
      <c r="W5477" s="0" t="s">
        <v>105</v>
      </c>
      <c r="X5477" s="0" t="s">
        <v>15811</v>
      </c>
      <c r="Y5477" s="0" t="s">
        <v>15812</v>
      </c>
    </row>
    <row r="5478" customFormat="false" ht="15" hidden="false" customHeight="false" outlineLevel="0" collapsed="false">
      <c r="A5478" s="0" t="s">
        <v>21</v>
      </c>
      <c r="B5478" s="0" t="s">
        <v>15813</v>
      </c>
      <c r="C5478" s="0" t="s">
        <v>139</v>
      </c>
      <c r="D5478" s="0" t="s">
        <v>15814</v>
      </c>
      <c r="E5478" s="0" t="s">
        <v>15815</v>
      </c>
      <c r="M5478" s="0" t="s">
        <v>220</v>
      </c>
      <c r="N5478" s="0" t="s">
        <v>124</v>
      </c>
      <c r="P5478" s="0" t="s">
        <v>102</v>
      </c>
      <c r="Q5478" s="0" t="s">
        <v>102</v>
      </c>
      <c r="R5478" s="0" t="s">
        <v>113</v>
      </c>
      <c r="S5478" s="0" t="s">
        <v>21</v>
      </c>
      <c r="T5478" s="0" t="s">
        <v>104</v>
      </c>
      <c r="W5478" s="0" t="s">
        <v>105</v>
      </c>
    </row>
    <row r="5479" customFormat="false" ht="15" hidden="false" customHeight="false" outlineLevel="0" collapsed="false">
      <c r="A5479" s="0" t="s">
        <v>21</v>
      </c>
      <c r="B5479" s="0" t="s">
        <v>15813</v>
      </c>
      <c r="C5479" s="0" t="s">
        <v>139</v>
      </c>
      <c r="D5479" s="0" t="s">
        <v>15814</v>
      </c>
      <c r="E5479" s="0" t="s">
        <v>15815</v>
      </c>
      <c r="M5479" s="0" t="s">
        <v>220</v>
      </c>
      <c r="N5479" s="0" t="s">
        <v>124</v>
      </c>
      <c r="P5479" s="0" t="s">
        <v>4272</v>
      </c>
      <c r="Q5479" s="0" t="s">
        <v>6335</v>
      </c>
      <c r="R5479" s="0" t="s">
        <v>14542</v>
      </c>
      <c r="S5479" s="0" t="s">
        <v>21</v>
      </c>
      <c r="T5479" s="0" t="s">
        <v>104</v>
      </c>
      <c r="W5479" s="0" t="s">
        <v>183</v>
      </c>
    </row>
    <row r="5480" customFormat="false" ht="15" hidden="false" customHeight="false" outlineLevel="0" collapsed="false">
      <c r="A5480" s="0" t="s">
        <v>21</v>
      </c>
      <c r="B5480" s="0" t="s">
        <v>15816</v>
      </c>
      <c r="C5480" s="0" t="s">
        <v>97</v>
      </c>
      <c r="D5480" s="0" t="s">
        <v>15817</v>
      </c>
      <c r="E5480" s="0" t="s">
        <v>15818</v>
      </c>
      <c r="M5480" s="0" t="s">
        <v>136</v>
      </c>
      <c r="N5480" s="0" t="s">
        <v>124</v>
      </c>
      <c r="P5480" s="0" t="s">
        <v>102</v>
      </c>
      <c r="Q5480" s="0" t="s">
        <v>102</v>
      </c>
      <c r="R5480" s="0" t="s">
        <v>131</v>
      </c>
      <c r="S5480" s="0" t="s">
        <v>21</v>
      </c>
      <c r="T5480" s="0" t="s">
        <v>104</v>
      </c>
      <c r="W5480" s="0" t="s">
        <v>105</v>
      </c>
    </row>
    <row r="5481" customFormat="false" ht="15" hidden="false" customHeight="false" outlineLevel="0" collapsed="false">
      <c r="A5481" s="0" t="s">
        <v>21</v>
      </c>
      <c r="B5481" s="0" t="s">
        <v>15819</v>
      </c>
      <c r="C5481" s="0" t="s">
        <v>97</v>
      </c>
      <c r="D5481" s="0" t="s">
        <v>5347</v>
      </c>
      <c r="E5481" s="0" t="s">
        <v>15820</v>
      </c>
      <c r="M5481" s="0" t="s">
        <v>136</v>
      </c>
      <c r="N5481" s="0" t="s">
        <v>124</v>
      </c>
      <c r="P5481" s="0" t="s">
        <v>102</v>
      </c>
      <c r="Q5481" s="0" t="s">
        <v>102</v>
      </c>
      <c r="R5481" s="0" t="s">
        <v>131</v>
      </c>
      <c r="S5481" s="0" t="s">
        <v>21</v>
      </c>
      <c r="T5481" s="0" t="s">
        <v>104</v>
      </c>
      <c r="W5481" s="0" t="s">
        <v>105</v>
      </c>
    </row>
    <row r="5482" customFormat="false" ht="15" hidden="false" customHeight="false" outlineLevel="0" collapsed="false">
      <c r="A5482" s="0" t="s">
        <v>21</v>
      </c>
      <c r="B5482" s="0" t="s">
        <v>15821</v>
      </c>
      <c r="C5482" s="0" t="s">
        <v>97</v>
      </c>
      <c r="D5482" s="0" t="s">
        <v>5349</v>
      </c>
      <c r="E5482" s="0" t="s">
        <v>5350</v>
      </c>
      <c r="M5482" s="0" t="s">
        <v>136</v>
      </c>
      <c r="N5482" s="0" t="s">
        <v>124</v>
      </c>
      <c r="P5482" s="0" t="s">
        <v>102</v>
      </c>
      <c r="Q5482" s="0" t="s">
        <v>102</v>
      </c>
      <c r="R5482" s="0" t="s">
        <v>131</v>
      </c>
      <c r="S5482" s="0" t="s">
        <v>21</v>
      </c>
      <c r="T5482" s="0" t="s">
        <v>104</v>
      </c>
      <c r="W5482" s="0" t="s">
        <v>105</v>
      </c>
    </row>
    <row r="5483" customFormat="false" ht="15" hidden="false" customHeight="false" outlineLevel="0" collapsed="false">
      <c r="A5483" s="0" t="s">
        <v>21</v>
      </c>
      <c r="B5483" s="0" t="s">
        <v>15822</v>
      </c>
      <c r="C5483" s="0" t="s">
        <v>97</v>
      </c>
      <c r="D5483" s="0" t="s">
        <v>15823</v>
      </c>
      <c r="E5483" s="0" t="s">
        <v>15824</v>
      </c>
      <c r="M5483" s="0" t="s">
        <v>656</v>
      </c>
      <c r="N5483" s="0" t="s">
        <v>101</v>
      </c>
      <c r="P5483" s="0" t="s">
        <v>102</v>
      </c>
      <c r="Q5483" s="0" t="s">
        <v>102</v>
      </c>
      <c r="R5483" s="0" t="s">
        <v>137</v>
      </c>
      <c r="S5483" s="0" t="s">
        <v>21</v>
      </c>
      <c r="T5483" s="0" t="s">
        <v>104</v>
      </c>
      <c r="W5483" s="0" t="s">
        <v>105</v>
      </c>
      <c r="AB5483" s="0" t="s">
        <v>832</v>
      </c>
    </row>
    <row r="5484" customFormat="false" ht="15" hidden="false" customHeight="false" outlineLevel="0" collapsed="false">
      <c r="A5484" s="0" t="s">
        <v>21</v>
      </c>
      <c r="B5484" s="0" t="s">
        <v>15825</v>
      </c>
      <c r="C5484" s="0" t="s">
        <v>97</v>
      </c>
      <c r="D5484" s="0" t="s">
        <v>15826</v>
      </c>
      <c r="E5484" s="0" t="s">
        <v>15827</v>
      </c>
      <c r="H5484" s="0" t="s">
        <v>654</v>
      </c>
      <c r="I5484" s="0" t="s">
        <v>655</v>
      </c>
      <c r="J5484" s="0" t="s">
        <v>100</v>
      </c>
      <c r="K5484" s="0" t="s">
        <v>168</v>
      </c>
      <c r="L5484" s="0" t="s">
        <v>101</v>
      </c>
      <c r="M5484" s="0" t="s">
        <v>656</v>
      </c>
      <c r="N5484" s="0" t="s">
        <v>101</v>
      </c>
      <c r="P5484" s="0" t="s">
        <v>102</v>
      </c>
      <c r="Q5484" s="0" t="s">
        <v>102</v>
      </c>
      <c r="R5484" s="0" t="s">
        <v>131</v>
      </c>
      <c r="S5484" s="0" t="s">
        <v>21</v>
      </c>
      <c r="T5484" s="0" t="s">
        <v>104</v>
      </c>
      <c r="W5484" s="0" t="s">
        <v>105</v>
      </c>
      <c r="X5484" s="0" t="s">
        <v>658</v>
      </c>
      <c r="Y5484" s="0" t="s">
        <v>659</v>
      </c>
    </row>
    <row r="5485" customFormat="false" ht="15" hidden="false" customHeight="false" outlineLevel="0" collapsed="false">
      <c r="A5485" s="0" t="s">
        <v>21</v>
      </c>
      <c r="B5485" s="0" t="s">
        <v>15828</v>
      </c>
      <c r="C5485" s="0" t="s">
        <v>97</v>
      </c>
      <c r="D5485" s="0" t="s">
        <v>5206</v>
      </c>
      <c r="E5485" s="0" t="s">
        <v>15829</v>
      </c>
      <c r="H5485" s="0" t="s">
        <v>654</v>
      </c>
      <c r="I5485" s="0" t="s">
        <v>655</v>
      </c>
      <c r="J5485" s="0" t="s">
        <v>100</v>
      </c>
      <c r="K5485" s="0" t="s">
        <v>168</v>
      </c>
      <c r="L5485" s="0" t="s">
        <v>101</v>
      </c>
      <c r="M5485" s="0" t="s">
        <v>656</v>
      </c>
      <c r="N5485" s="0" t="s">
        <v>101</v>
      </c>
      <c r="P5485" s="0" t="s">
        <v>102</v>
      </c>
      <c r="Q5485" s="0" t="s">
        <v>102</v>
      </c>
      <c r="R5485" s="0" t="s">
        <v>131</v>
      </c>
      <c r="S5485" s="0" t="s">
        <v>21</v>
      </c>
      <c r="T5485" s="0" t="s">
        <v>104</v>
      </c>
      <c r="W5485" s="0" t="s">
        <v>105</v>
      </c>
      <c r="X5485" s="0" t="s">
        <v>658</v>
      </c>
      <c r="Y5485" s="0" t="s">
        <v>659</v>
      </c>
    </row>
    <row r="5486" customFormat="false" ht="15" hidden="false" customHeight="false" outlineLevel="0" collapsed="false">
      <c r="A5486" s="0" t="s">
        <v>21</v>
      </c>
      <c r="B5486" s="0" t="s">
        <v>15830</v>
      </c>
      <c r="C5486" s="0" t="s">
        <v>97</v>
      </c>
      <c r="D5486" s="0" t="s">
        <v>12110</v>
      </c>
      <c r="E5486" s="0" t="s">
        <v>15831</v>
      </c>
      <c r="M5486" s="0" t="s">
        <v>656</v>
      </c>
      <c r="N5486" s="0" t="s">
        <v>101</v>
      </c>
      <c r="P5486" s="0" t="s">
        <v>102</v>
      </c>
      <c r="Q5486" s="0" t="s">
        <v>102</v>
      </c>
      <c r="R5486" s="0" t="s">
        <v>131</v>
      </c>
      <c r="S5486" s="0" t="s">
        <v>21</v>
      </c>
      <c r="T5486" s="0" t="s">
        <v>104</v>
      </c>
      <c r="W5486" s="0" t="s">
        <v>105</v>
      </c>
    </row>
    <row r="5487" customFormat="false" ht="15" hidden="false" customHeight="false" outlineLevel="0" collapsed="false">
      <c r="A5487" s="0" t="s">
        <v>21</v>
      </c>
      <c r="B5487" s="0" t="s">
        <v>15832</v>
      </c>
      <c r="C5487" s="0" t="s">
        <v>97</v>
      </c>
      <c r="D5487" s="0" t="s">
        <v>1554</v>
      </c>
      <c r="E5487" s="0" t="s">
        <v>15833</v>
      </c>
      <c r="H5487" s="0" t="s">
        <v>15834</v>
      </c>
      <c r="I5487" s="0" t="s">
        <v>15835</v>
      </c>
      <c r="J5487" s="0" t="s">
        <v>15836</v>
      </c>
      <c r="K5487" s="0" t="s">
        <v>99</v>
      </c>
      <c r="L5487" s="0" t="s">
        <v>101</v>
      </c>
      <c r="M5487" s="0" t="s">
        <v>1557</v>
      </c>
      <c r="N5487" s="0" t="s">
        <v>101</v>
      </c>
      <c r="P5487" s="0" t="s">
        <v>102</v>
      </c>
      <c r="Q5487" s="0" t="s">
        <v>102</v>
      </c>
      <c r="R5487" s="0" t="s">
        <v>113</v>
      </c>
      <c r="S5487" s="0" t="s">
        <v>21</v>
      </c>
      <c r="T5487" s="0" t="s">
        <v>104</v>
      </c>
      <c r="W5487" s="0" t="s">
        <v>105</v>
      </c>
      <c r="X5487" s="0" t="s">
        <v>15837</v>
      </c>
      <c r="Y5487" s="0" t="s">
        <v>15838</v>
      </c>
    </row>
    <row r="5488" customFormat="false" ht="15" hidden="false" customHeight="false" outlineLevel="0" collapsed="false">
      <c r="A5488" s="0" t="s">
        <v>21</v>
      </c>
      <c r="B5488" s="0" t="s">
        <v>15839</v>
      </c>
      <c r="C5488" s="0" t="s">
        <v>97</v>
      </c>
      <c r="D5488" s="0" t="s">
        <v>15840</v>
      </c>
      <c r="E5488" s="0" t="s">
        <v>15841</v>
      </c>
      <c r="G5488" s="0" t="s">
        <v>15842</v>
      </c>
      <c r="H5488" s="0" t="s">
        <v>654</v>
      </c>
      <c r="I5488" s="0" t="s">
        <v>655</v>
      </c>
      <c r="J5488" s="0" t="s">
        <v>100</v>
      </c>
      <c r="K5488" s="0" t="s">
        <v>168</v>
      </c>
      <c r="L5488" s="0" t="s">
        <v>101</v>
      </c>
      <c r="M5488" s="0" t="s">
        <v>656</v>
      </c>
      <c r="N5488" s="0" t="s">
        <v>101</v>
      </c>
      <c r="P5488" s="0" t="s">
        <v>102</v>
      </c>
      <c r="Q5488" s="0" t="s">
        <v>102</v>
      </c>
      <c r="R5488" s="0" t="s">
        <v>131</v>
      </c>
      <c r="S5488" s="0" t="s">
        <v>21</v>
      </c>
      <c r="T5488" s="0" t="s">
        <v>104</v>
      </c>
      <c r="W5488" s="0" t="s">
        <v>105</v>
      </c>
      <c r="X5488" s="0" t="s">
        <v>658</v>
      </c>
      <c r="Y5488" s="0" t="s">
        <v>659</v>
      </c>
    </row>
    <row r="5489" customFormat="false" ht="15" hidden="false" customHeight="false" outlineLevel="0" collapsed="false">
      <c r="A5489" s="0" t="s">
        <v>21</v>
      </c>
      <c r="B5489" s="0" t="s">
        <v>6760</v>
      </c>
      <c r="C5489" s="0" t="s">
        <v>110</v>
      </c>
      <c r="D5489" s="0" t="s">
        <v>15843</v>
      </c>
      <c r="E5489" s="0" t="s">
        <v>15844</v>
      </c>
      <c r="G5489" s="0" t="s">
        <v>15845</v>
      </c>
      <c r="H5489" s="0" t="s">
        <v>15846</v>
      </c>
      <c r="I5489" s="0" t="s">
        <v>6760</v>
      </c>
      <c r="J5489" s="0" t="s">
        <v>275</v>
      </c>
      <c r="K5489" s="0" t="s">
        <v>15847</v>
      </c>
      <c r="L5489" s="0" t="s">
        <v>124</v>
      </c>
      <c r="M5489" s="0" t="s">
        <v>178</v>
      </c>
      <c r="N5489" s="0" t="s">
        <v>124</v>
      </c>
      <c r="P5489" s="0" t="s">
        <v>102</v>
      </c>
      <c r="Q5489" s="0" t="s">
        <v>102</v>
      </c>
      <c r="R5489" s="0" t="s">
        <v>113</v>
      </c>
      <c r="S5489" s="0" t="s">
        <v>21</v>
      </c>
      <c r="T5489" s="0" t="s">
        <v>104</v>
      </c>
      <c r="W5489" s="0" t="s">
        <v>105</v>
      </c>
      <c r="X5489" s="0" t="s">
        <v>15848</v>
      </c>
      <c r="Y5489" s="0" t="s">
        <v>15849</v>
      </c>
      <c r="Z5489" s="0" t="s">
        <v>134</v>
      </c>
    </row>
    <row r="5490" customFormat="false" ht="15" hidden="false" customHeight="false" outlineLevel="0" collapsed="false">
      <c r="A5490" s="0" t="s">
        <v>21</v>
      </c>
      <c r="B5490" s="0" t="s">
        <v>6760</v>
      </c>
      <c r="C5490" s="0" t="s">
        <v>110</v>
      </c>
      <c r="D5490" s="0" t="s">
        <v>15843</v>
      </c>
      <c r="E5490" s="0" t="s">
        <v>15844</v>
      </c>
      <c r="G5490" s="0" t="s">
        <v>15845</v>
      </c>
      <c r="H5490" s="0" t="s">
        <v>15846</v>
      </c>
      <c r="I5490" s="0" t="s">
        <v>6760</v>
      </c>
      <c r="J5490" s="0" t="s">
        <v>275</v>
      </c>
      <c r="K5490" s="0" t="s">
        <v>15847</v>
      </c>
      <c r="L5490" s="0" t="s">
        <v>124</v>
      </c>
      <c r="M5490" s="0" t="s">
        <v>178</v>
      </c>
      <c r="N5490" s="0" t="s">
        <v>124</v>
      </c>
      <c r="P5490" s="0" t="s">
        <v>4272</v>
      </c>
      <c r="Q5490" s="0" t="s">
        <v>6335</v>
      </c>
      <c r="R5490" s="0" t="s">
        <v>6904</v>
      </c>
      <c r="S5490" s="0" t="s">
        <v>21</v>
      </c>
      <c r="T5490" s="0" t="s">
        <v>104</v>
      </c>
      <c r="W5490" s="0" t="s">
        <v>183</v>
      </c>
      <c r="X5490" s="0" t="s">
        <v>15848</v>
      </c>
      <c r="Y5490" s="0" t="s">
        <v>15849</v>
      </c>
      <c r="Z5490" s="0" t="s">
        <v>134</v>
      </c>
    </row>
    <row r="5491" customFormat="false" ht="15" hidden="false" customHeight="false" outlineLevel="0" collapsed="false">
      <c r="A5491" s="0" t="s">
        <v>21</v>
      </c>
      <c r="B5491" s="0" t="s">
        <v>15850</v>
      </c>
      <c r="C5491" s="0" t="s">
        <v>110</v>
      </c>
      <c r="D5491" s="0" t="s">
        <v>15851</v>
      </c>
      <c r="E5491" s="0" t="s">
        <v>5980</v>
      </c>
      <c r="G5491" s="0" t="s">
        <v>15852</v>
      </c>
      <c r="H5491" s="0" t="s">
        <v>15853</v>
      </c>
      <c r="I5491" s="0" t="s">
        <v>550</v>
      </c>
      <c r="J5491" s="0" t="s">
        <v>254</v>
      </c>
      <c r="K5491" s="0" t="s">
        <v>551</v>
      </c>
      <c r="L5491" s="0" t="s">
        <v>124</v>
      </c>
      <c r="M5491" s="0" t="s">
        <v>208</v>
      </c>
      <c r="N5491" s="0" t="s">
        <v>124</v>
      </c>
      <c r="P5491" s="0" t="s">
        <v>102</v>
      </c>
      <c r="Q5491" s="0" t="s">
        <v>102</v>
      </c>
      <c r="R5491" s="0" t="s">
        <v>131</v>
      </c>
      <c r="S5491" s="0" t="s">
        <v>21</v>
      </c>
      <c r="T5491" s="0" t="s">
        <v>104</v>
      </c>
      <c r="W5491" s="0" t="s">
        <v>105</v>
      </c>
      <c r="X5491" s="0" t="s">
        <v>15854</v>
      </c>
      <c r="Y5491" s="0" t="s">
        <v>15855</v>
      </c>
      <c r="Z5491" s="0" t="s">
        <v>4748</v>
      </c>
    </row>
    <row r="5492" customFormat="false" ht="15" hidden="false" customHeight="false" outlineLevel="0" collapsed="false">
      <c r="A5492" s="0" t="s">
        <v>21</v>
      </c>
      <c r="B5492" s="0" t="s">
        <v>15856</v>
      </c>
      <c r="C5492" s="0" t="s">
        <v>97</v>
      </c>
      <c r="D5492" s="0" t="s">
        <v>5976</v>
      </c>
      <c r="E5492" s="0" t="s">
        <v>5976</v>
      </c>
      <c r="M5492" s="0" t="s">
        <v>136</v>
      </c>
      <c r="N5492" s="0" t="s">
        <v>124</v>
      </c>
      <c r="P5492" s="0" t="s">
        <v>102</v>
      </c>
      <c r="Q5492" s="0" t="s">
        <v>102</v>
      </c>
      <c r="R5492" s="0" t="s">
        <v>131</v>
      </c>
      <c r="S5492" s="0" t="s">
        <v>21</v>
      </c>
      <c r="T5492" s="0" t="s">
        <v>104</v>
      </c>
      <c r="W5492" s="0" t="s">
        <v>105</v>
      </c>
    </row>
    <row r="5493" customFormat="false" ht="15" hidden="false" customHeight="false" outlineLevel="0" collapsed="false">
      <c r="A5493" s="0" t="s">
        <v>21</v>
      </c>
      <c r="B5493" s="0" t="s">
        <v>15857</v>
      </c>
      <c r="C5493" s="0" t="s">
        <v>97</v>
      </c>
      <c r="D5493" s="0" t="s">
        <v>5976</v>
      </c>
      <c r="E5493" s="0" t="s">
        <v>5976</v>
      </c>
      <c r="M5493" s="0" t="s">
        <v>136</v>
      </c>
      <c r="N5493" s="0" t="s">
        <v>124</v>
      </c>
      <c r="P5493" s="0" t="s">
        <v>102</v>
      </c>
      <c r="Q5493" s="0" t="s">
        <v>102</v>
      </c>
      <c r="R5493" s="0" t="s">
        <v>131</v>
      </c>
      <c r="S5493" s="0" t="s">
        <v>21</v>
      </c>
      <c r="T5493" s="0" t="s">
        <v>104</v>
      </c>
      <c r="W5493" s="0" t="s">
        <v>105</v>
      </c>
    </row>
    <row r="5494" customFormat="false" ht="15" hidden="false" customHeight="false" outlineLevel="0" collapsed="false">
      <c r="A5494" s="0" t="s">
        <v>21</v>
      </c>
      <c r="B5494" s="0" t="s">
        <v>15858</v>
      </c>
      <c r="C5494" s="0" t="s">
        <v>97</v>
      </c>
      <c r="D5494" s="0" t="s">
        <v>15859</v>
      </c>
      <c r="E5494" s="0" t="s">
        <v>15859</v>
      </c>
      <c r="M5494" s="0" t="s">
        <v>442</v>
      </c>
      <c r="N5494" s="0" t="s">
        <v>101</v>
      </c>
      <c r="P5494" s="0" t="s">
        <v>102</v>
      </c>
      <c r="Q5494" s="0" t="s">
        <v>102</v>
      </c>
      <c r="R5494" s="0" t="s">
        <v>131</v>
      </c>
      <c r="S5494" s="0" t="s">
        <v>21</v>
      </c>
      <c r="T5494" s="0" t="s">
        <v>104</v>
      </c>
      <c r="W5494" s="0" t="s">
        <v>105</v>
      </c>
    </row>
    <row r="5495" customFormat="false" ht="15" hidden="false" customHeight="false" outlineLevel="0" collapsed="false">
      <c r="A5495" s="0" t="s">
        <v>21</v>
      </c>
      <c r="B5495" s="0" t="s">
        <v>15860</v>
      </c>
      <c r="C5495" s="0" t="s">
        <v>97</v>
      </c>
      <c r="D5495" s="0" t="s">
        <v>15861</v>
      </c>
      <c r="E5495" s="0" t="s">
        <v>15861</v>
      </c>
      <c r="F5495" s="0" t="s">
        <v>15861</v>
      </c>
      <c r="M5495" s="0" t="s">
        <v>100</v>
      </c>
      <c r="N5495" s="0" t="s">
        <v>101</v>
      </c>
      <c r="P5495" s="0" t="s">
        <v>102</v>
      </c>
      <c r="Q5495" s="0" t="s">
        <v>102</v>
      </c>
      <c r="R5495" s="0" t="s">
        <v>131</v>
      </c>
      <c r="S5495" s="0" t="s">
        <v>21</v>
      </c>
      <c r="T5495" s="0" t="s">
        <v>104</v>
      </c>
      <c r="W5495" s="0" t="s">
        <v>105</v>
      </c>
    </row>
    <row r="5496" customFormat="false" ht="15" hidden="false" customHeight="false" outlineLevel="0" collapsed="false">
      <c r="A5496" s="0" t="s">
        <v>21</v>
      </c>
      <c r="B5496" s="0" t="s">
        <v>15862</v>
      </c>
      <c r="C5496" s="0" t="s">
        <v>97</v>
      </c>
      <c r="D5496" s="0" t="s">
        <v>4741</v>
      </c>
      <c r="E5496" s="0" t="s">
        <v>4741</v>
      </c>
      <c r="M5496" s="0" t="s">
        <v>136</v>
      </c>
      <c r="N5496" s="0" t="s">
        <v>124</v>
      </c>
      <c r="P5496" s="0" t="s">
        <v>102</v>
      </c>
      <c r="Q5496" s="0" t="s">
        <v>102</v>
      </c>
      <c r="R5496" s="0" t="s">
        <v>131</v>
      </c>
      <c r="S5496" s="0" t="s">
        <v>21</v>
      </c>
      <c r="T5496" s="0" t="s">
        <v>104</v>
      </c>
      <c r="W5496" s="0" t="s">
        <v>105</v>
      </c>
      <c r="AB5496" s="0" t="s">
        <v>114</v>
      </c>
    </row>
    <row r="5497" customFormat="false" ht="15" hidden="false" customHeight="false" outlineLevel="0" collapsed="false">
      <c r="A5497" s="0" t="s">
        <v>21</v>
      </c>
      <c r="B5497" s="0" t="s">
        <v>15863</v>
      </c>
      <c r="C5497" s="0" t="s">
        <v>97</v>
      </c>
      <c r="D5497" s="0" t="s">
        <v>15864</v>
      </c>
      <c r="E5497" s="0" t="s">
        <v>15865</v>
      </c>
      <c r="M5497" s="0" t="s">
        <v>136</v>
      </c>
      <c r="N5497" s="0" t="s">
        <v>124</v>
      </c>
      <c r="P5497" s="0" t="s">
        <v>102</v>
      </c>
      <c r="Q5497" s="0" t="s">
        <v>102</v>
      </c>
      <c r="R5497" s="0" t="s">
        <v>131</v>
      </c>
      <c r="S5497" s="0" t="s">
        <v>21</v>
      </c>
      <c r="T5497" s="0" t="s">
        <v>104</v>
      </c>
      <c r="W5497" s="0" t="s">
        <v>105</v>
      </c>
    </row>
    <row r="5498" customFormat="false" ht="15" hidden="false" customHeight="false" outlineLevel="0" collapsed="false">
      <c r="A5498" s="0" t="s">
        <v>21</v>
      </c>
      <c r="B5498" s="0" t="s">
        <v>15866</v>
      </c>
      <c r="C5498" s="0" t="s">
        <v>97</v>
      </c>
      <c r="D5498" s="0" t="s">
        <v>15867</v>
      </c>
      <c r="E5498" s="0" t="s">
        <v>15867</v>
      </c>
      <c r="F5498" s="0" t="s">
        <v>15867</v>
      </c>
      <c r="M5498" s="0" t="s">
        <v>136</v>
      </c>
      <c r="N5498" s="0" t="s">
        <v>124</v>
      </c>
      <c r="P5498" s="0" t="s">
        <v>102</v>
      </c>
      <c r="Q5498" s="0" t="s">
        <v>102</v>
      </c>
      <c r="R5498" s="0" t="s">
        <v>131</v>
      </c>
      <c r="S5498" s="0" t="s">
        <v>21</v>
      </c>
      <c r="T5498" s="0" t="s">
        <v>104</v>
      </c>
      <c r="W5498" s="0" t="s">
        <v>105</v>
      </c>
    </row>
    <row r="5499" customFormat="false" ht="15" hidden="false" customHeight="false" outlineLevel="0" collapsed="false">
      <c r="A5499" s="0" t="s">
        <v>21</v>
      </c>
      <c r="B5499" s="0" t="s">
        <v>15868</v>
      </c>
      <c r="C5499" s="0" t="s">
        <v>97</v>
      </c>
      <c r="D5499" s="0" t="s">
        <v>15869</v>
      </c>
      <c r="E5499" s="0" t="s">
        <v>15870</v>
      </c>
      <c r="M5499" s="0" t="s">
        <v>136</v>
      </c>
      <c r="N5499" s="0" t="s">
        <v>124</v>
      </c>
      <c r="P5499" s="0" t="s">
        <v>102</v>
      </c>
      <c r="Q5499" s="0" t="s">
        <v>102</v>
      </c>
      <c r="R5499" s="0" t="s">
        <v>131</v>
      </c>
      <c r="S5499" s="0" t="s">
        <v>21</v>
      </c>
      <c r="T5499" s="0" t="s">
        <v>104</v>
      </c>
      <c r="W5499" s="0" t="s">
        <v>105</v>
      </c>
    </row>
    <row r="5500" customFormat="false" ht="15" hidden="false" customHeight="false" outlineLevel="0" collapsed="false">
      <c r="A5500" s="0" t="s">
        <v>21</v>
      </c>
      <c r="B5500" s="0" t="s">
        <v>15871</v>
      </c>
      <c r="C5500" s="0" t="s">
        <v>97</v>
      </c>
      <c r="D5500" s="0" t="s">
        <v>15872</v>
      </c>
      <c r="E5500" s="0" t="s">
        <v>15872</v>
      </c>
      <c r="M5500" s="0" t="s">
        <v>136</v>
      </c>
      <c r="N5500" s="0" t="s">
        <v>124</v>
      </c>
      <c r="P5500" s="0" t="s">
        <v>102</v>
      </c>
      <c r="Q5500" s="0" t="s">
        <v>102</v>
      </c>
      <c r="R5500" s="0" t="s">
        <v>131</v>
      </c>
      <c r="S5500" s="0" t="s">
        <v>21</v>
      </c>
      <c r="T5500" s="0" t="s">
        <v>104</v>
      </c>
      <c r="W5500" s="0" t="s">
        <v>105</v>
      </c>
    </row>
    <row r="5501" customFormat="false" ht="15" hidden="false" customHeight="false" outlineLevel="0" collapsed="false">
      <c r="A5501" s="0" t="s">
        <v>21</v>
      </c>
      <c r="B5501" s="0" t="s">
        <v>15873</v>
      </c>
      <c r="C5501" s="0" t="s">
        <v>14898</v>
      </c>
      <c r="D5501" s="0" t="s">
        <v>15874</v>
      </c>
      <c r="E5501" s="0" t="s">
        <v>15874</v>
      </c>
      <c r="M5501" s="0" t="s">
        <v>208</v>
      </c>
      <c r="N5501" s="0" t="s">
        <v>124</v>
      </c>
      <c r="P5501" s="0" t="s">
        <v>102</v>
      </c>
      <c r="Q5501" s="0" t="s">
        <v>102</v>
      </c>
      <c r="R5501" s="0" t="s">
        <v>131</v>
      </c>
      <c r="S5501" s="0" t="s">
        <v>21</v>
      </c>
      <c r="T5501" s="0" t="s">
        <v>104</v>
      </c>
      <c r="W5501" s="0" t="s">
        <v>105</v>
      </c>
    </row>
    <row r="5502" customFormat="false" ht="15" hidden="false" customHeight="false" outlineLevel="0" collapsed="false">
      <c r="A5502" s="0" t="s">
        <v>21</v>
      </c>
      <c r="B5502" s="0" t="s">
        <v>15875</v>
      </c>
      <c r="C5502" s="0" t="s">
        <v>97</v>
      </c>
      <c r="D5502" s="0" t="s">
        <v>15874</v>
      </c>
      <c r="E5502" s="0" t="s">
        <v>15874</v>
      </c>
      <c r="M5502" s="0" t="s">
        <v>124</v>
      </c>
      <c r="N5502" s="0" t="s">
        <v>124</v>
      </c>
      <c r="P5502" s="0" t="s">
        <v>102</v>
      </c>
      <c r="Q5502" s="0" t="s">
        <v>102</v>
      </c>
      <c r="R5502" s="0" t="s">
        <v>131</v>
      </c>
      <c r="S5502" s="0" t="s">
        <v>21</v>
      </c>
      <c r="T5502" s="0" t="s">
        <v>104</v>
      </c>
      <c r="W5502" s="0" t="s">
        <v>105</v>
      </c>
    </row>
    <row r="5503" customFormat="false" ht="15" hidden="false" customHeight="false" outlineLevel="0" collapsed="false">
      <c r="A5503" s="0" t="s">
        <v>21</v>
      </c>
      <c r="B5503" s="0" t="s">
        <v>15876</v>
      </c>
      <c r="C5503" s="0" t="s">
        <v>97</v>
      </c>
      <c r="D5503" s="0" t="s">
        <v>15877</v>
      </c>
      <c r="E5503" s="0" t="s">
        <v>15878</v>
      </c>
      <c r="M5503" s="0" t="s">
        <v>100</v>
      </c>
      <c r="N5503" s="0" t="s">
        <v>101</v>
      </c>
      <c r="P5503" s="0" t="s">
        <v>102</v>
      </c>
      <c r="Q5503" s="0" t="s">
        <v>102</v>
      </c>
      <c r="R5503" s="0" t="s">
        <v>131</v>
      </c>
      <c r="S5503" s="0" t="s">
        <v>21</v>
      </c>
      <c r="T5503" s="0" t="s">
        <v>104</v>
      </c>
      <c r="W5503" s="0" t="s">
        <v>105</v>
      </c>
    </row>
    <row r="5504" customFormat="false" ht="15" hidden="false" customHeight="false" outlineLevel="0" collapsed="false">
      <c r="A5504" s="0" t="s">
        <v>21</v>
      </c>
      <c r="B5504" s="0" t="s">
        <v>15879</v>
      </c>
      <c r="C5504" s="0" t="s">
        <v>97</v>
      </c>
      <c r="D5504" s="0" t="s">
        <v>15877</v>
      </c>
      <c r="E5504" s="0" t="s">
        <v>15877</v>
      </c>
      <c r="F5504" s="0" t="s">
        <v>15877</v>
      </c>
      <c r="M5504" s="0" t="s">
        <v>136</v>
      </c>
      <c r="N5504" s="0" t="s">
        <v>124</v>
      </c>
      <c r="P5504" s="0" t="s">
        <v>102</v>
      </c>
      <c r="Q5504" s="0" t="s">
        <v>102</v>
      </c>
      <c r="R5504" s="0" t="s">
        <v>131</v>
      </c>
      <c r="S5504" s="0" t="s">
        <v>21</v>
      </c>
      <c r="T5504" s="0" t="s">
        <v>104</v>
      </c>
      <c r="W5504" s="0" t="s">
        <v>105</v>
      </c>
    </row>
    <row r="5505" customFormat="false" ht="15" hidden="false" customHeight="false" outlineLevel="0" collapsed="false">
      <c r="A5505" s="0" t="s">
        <v>21</v>
      </c>
      <c r="B5505" s="0" t="s">
        <v>15880</v>
      </c>
      <c r="C5505" s="0" t="s">
        <v>97</v>
      </c>
      <c r="D5505" s="0" t="s">
        <v>15881</v>
      </c>
      <c r="E5505" s="0" t="s">
        <v>15881</v>
      </c>
      <c r="F5505" s="0" t="s">
        <v>15881</v>
      </c>
      <c r="M5505" s="0" t="s">
        <v>100</v>
      </c>
      <c r="N5505" s="0" t="s">
        <v>101</v>
      </c>
      <c r="P5505" s="0" t="s">
        <v>102</v>
      </c>
      <c r="Q5505" s="0" t="s">
        <v>102</v>
      </c>
      <c r="R5505" s="0" t="s">
        <v>131</v>
      </c>
      <c r="S5505" s="0" t="s">
        <v>21</v>
      </c>
      <c r="T5505" s="0" t="s">
        <v>104</v>
      </c>
      <c r="W5505" s="0" t="s">
        <v>105</v>
      </c>
    </row>
    <row r="5506" customFormat="false" ht="15" hidden="false" customHeight="false" outlineLevel="0" collapsed="false">
      <c r="A5506" s="0" t="s">
        <v>21</v>
      </c>
      <c r="B5506" s="0" t="s">
        <v>15882</v>
      </c>
      <c r="C5506" s="0" t="s">
        <v>97</v>
      </c>
      <c r="D5506" s="0" t="s">
        <v>15883</v>
      </c>
      <c r="E5506" s="0" t="s">
        <v>15883</v>
      </c>
      <c r="M5506" s="0" t="s">
        <v>136</v>
      </c>
      <c r="N5506" s="0" t="s">
        <v>124</v>
      </c>
      <c r="P5506" s="0" t="s">
        <v>102</v>
      </c>
      <c r="Q5506" s="0" t="s">
        <v>102</v>
      </c>
      <c r="R5506" s="0" t="s">
        <v>131</v>
      </c>
      <c r="S5506" s="0" t="s">
        <v>21</v>
      </c>
      <c r="T5506" s="0" t="s">
        <v>104</v>
      </c>
      <c r="W5506" s="0" t="s">
        <v>105</v>
      </c>
    </row>
    <row r="5507" customFormat="false" ht="15" hidden="false" customHeight="false" outlineLevel="0" collapsed="false">
      <c r="A5507" s="0" t="s">
        <v>21</v>
      </c>
      <c r="B5507" s="0" t="s">
        <v>15884</v>
      </c>
      <c r="C5507" s="0" t="s">
        <v>97</v>
      </c>
      <c r="D5507" s="0" t="s">
        <v>15885</v>
      </c>
      <c r="E5507" s="0" t="s">
        <v>15886</v>
      </c>
      <c r="M5507" s="0" t="s">
        <v>136</v>
      </c>
      <c r="N5507" s="0" t="s">
        <v>124</v>
      </c>
      <c r="P5507" s="0" t="s">
        <v>102</v>
      </c>
      <c r="Q5507" s="0" t="s">
        <v>102</v>
      </c>
      <c r="R5507" s="0" t="s">
        <v>131</v>
      </c>
      <c r="S5507" s="0" t="s">
        <v>21</v>
      </c>
      <c r="T5507" s="0" t="s">
        <v>104</v>
      </c>
      <c r="W5507" s="0" t="s">
        <v>105</v>
      </c>
    </row>
    <row r="5508" customFormat="false" ht="15" hidden="false" customHeight="false" outlineLevel="0" collapsed="false">
      <c r="A5508" s="0" t="s">
        <v>21</v>
      </c>
      <c r="B5508" s="0" t="s">
        <v>15887</v>
      </c>
      <c r="C5508" s="0" t="s">
        <v>97</v>
      </c>
      <c r="D5508" s="0" t="s">
        <v>15888</v>
      </c>
      <c r="E5508" s="0" t="s">
        <v>15889</v>
      </c>
      <c r="F5508" s="0" t="s">
        <v>15890</v>
      </c>
      <c r="H5508" s="0" t="s">
        <v>654</v>
      </c>
      <c r="I5508" s="0" t="s">
        <v>655</v>
      </c>
      <c r="J5508" s="0" t="s">
        <v>100</v>
      </c>
      <c r="K5508" s="0" t="s">
        <v>168</v>
      </c>
      <c r="L5508" s="0" t="s">
        <v>101</v>
      </c>
      <c r="M5508" s="0" t="s">
        <v>656</v>
      </c>
      <c r="N5508" s="0" t="s">
        <v>101</v>
      </c>
      <c r="P5508" s="0" t="s">
        <v>102</v>
      </c>
      <c r="Q5508" s="0" t="s">
        <v>102</v>
      </c>
      <c r="R5508" s="0" t="s">
        <v>131</v>
      </c>
      <c r="S5508" s="0" t="s">
        <v>21</v>
      </c>
      <c r="T5508" s="0" t="s">
        <v>104</v>
      </c>
      <c r="W5508" s="0" t="s">
        <v>105</v>
      </c>
      <c r="X5508" s="0" t="s">
        <v>658</v>
      </c>
      <c r="Y5508" s="0" t="s">
        <v>659</v>
      </c>
    </row>
    <row r="5509" customFormat="false" ht="15" hidden="false" customHeight="false" outlineLevel="0" collapsed="false">
      <c r="A5509" s="0" t="s">
        <v>21</v>
      </c>
      <c r="B5509" s="0" t="s">
        <v>15891</v>
      </c>
      <c r="C5509" s="0" t="s">
        <v>97</v>
      </c>
      <c r="D5509" s="0" t="s">
        <v>15892</v>
      </c>
      <c r="E5509" s="0" t="s">
        <v>15893</v>
      </c>
      <c r="H5509" s="0" t="s">
        <v>654</v>
      </c>
      <c r="I5509" s="0" t="s">
        <v>655</v>
      </c>
      <c r="J5509" s="0" t="s">
        <v>100</v>
      </c>
      <c r="K5509" s="0" t="s">
        <v>168</v>
      </c>
      <c r="L5509" s="0" t="s">
        <v>101</v>
      </c>
      <c r="M5509" s="0" t="s">
        <v>656</v>
      </c>
      <c r="N5509" s="0" t="s">
        <v>101</v>
      </c>
      <c r="P5509" s="0" t="s">
        <v>102</v>
      </c>
      <c r="Q5509" s="0" t="s">
        <v>102</v>
      </c>
      <c r="R5509" s="0" t="s">
        <v>131</v>
      </c>
      <c r="S5509" s="0" t="s">
        <v>21</v>
      </c>
      <c r="T5509" s="0" t="s">
        <v>104</v>
      </c>
      <c r="W5509" s="0" t="s">
        <v>105</v>
      </c>
      <c r="X5509" s="0" t="s">
        <v>658</v>
      </c>
      <c r="Y5509" s="0" t="s">
        <v>659</v>
      </c>
    </row>
    <row r="5510" customFormat="false" ht="15" hidden="false" customHeight="false" outlineLevel="0" collapsed="false">
      <c r="A5510" s="0" t="s">
        <v>21</v>
      </c>
      <c r="B5510" s="0" t="s">
        <v>15894</v>
      </c>
      <c r="C5510" s="0" t="s">
        <v>97</v>
      </c>
      <c r="D5510" s="0" t="s">
        <v>15892</v>
      </c>
      <c r="E5510" s="0" t="s">
        <v>15892</v>
      </c>
      <c r="F5510" s="0" t="s">
        <v>15892</v>
      </c>
      <c r="M5510" s="0" t="s">
        <v>136</v>
      </c>
      <c r="N5510" s="0" t="s">
        <v>124</v>
      </c>
      <c r="P5510" s="0" t="s">
        <v>102</v>
      </c>
      <c r="Q5510" s="0" t="s">
        <v>102</v>
      </c>
      <c r="R5510" s="0" t="s">
        <v>131</v>
      </c>
      <c r="S5510" s="0" t="s">
        <v>21</v>
      </c>
      <c r="T5510" s="0" t="s">
        <v>104</v>
      </c>
      <c r="W5510" s="0" t="s">
        <v>105</v>
      </c>
    </row>
    <row r="5511" customFormat="false" ht="15" hidden="false" customHeight="false" outlineLevel="0" collapsed="false">
      <c r="A5511" s="0" t="s">
        <v>21</v>
      </c>
      <c r="B5511" s="0" t="s">
        <v>15895</v>
      </c>
      <c r="C5511" s="0" t="s">
        <v>110</v>
      </c>
      <c r="D5511" s="0" t="s">
        <v>15896</v>
      </c>
      <c r="E5511" s="0" t="s">
        <v>15896</v>
      </c>
      <c r="M5511" s="0" t="s">
        <v>442</v>
      </c>
      <c r="N5511" s="0" t="s">
        <v>101</v>
      </c>
      <c r="P5511" s="0" t="s">
        <v>102</v>
      </c>
      <c r="Q5511" s="0" t="s">
        <v>102</v>
      </c>
      <c r="R5511" s="0" t="s">
        <v>131</v>
      </c>
      <c r="S5511" s="0" t="s">
        <v>21</v>
      </c>
      <c r="T5511" s="0" t="s">
        <v>104</v>
      </c>
      <c r="W5511" s="0" t="s">
        <v>105</v>
      </c>
    </row>
    <row r="5512" customFormat="false" ht="15" hidden="false" customHeight="false" outlineLevel="0" collapsed="false">
      <c r="A5512" s="0" t="s">
        <v>21</v>
      </c>
      <c r="B5512" s="0" t="s">
        <v>15897</v>
      </c>
      <c r="C5512" s="0" t="s">
        <v>97</v>
      </c>
      <c r="D5512" s="0" t="s">
        <v>15898</v>
      </c>
      <c r="E5512" s="0" t="s">
        <v>15898</v>
      </c>
      <c r="M5512" s="0" t="s">
        <v>442</v>
      </c>
      <c r="N5512" s="0" t="s">
        <v>101</v>
      </c>
      <c r="P5512" s="0" t="s">
        <v>102</v>
      </c>
      <c r="Q5512" s="0" t="s">
        <v>102</v>
      </c>
      <c r="R5512" s="0" t="s">
        <v>131</v>
      </c>
      <c r="S5512" s="0" t="s">
        <v>21</v>
      </c>
      <c r="T5512" s="0" t="s">
        <v>104</v>
      </c>
      <c r="W5512" s="0" t="s">
        <v>105</v>
      </c>
    </row>
    <row r="5513" customFormat="false" ht="15" hidden="false" customHeight="false" outlineLevel="0" collapsed="false">
      <c r="A5513" s="0" t="s">
        <v>21</v>
      </c>
      <c r="B5513" s="0" t="s">
        <v>15899</v>
      </c>
      <c r="C5513" s="0" t="s">
        <v>661</v>
      </c>
      <c r="D5513" s="0" t="s">
        <v>15900</v>
      </c>
      <c r="E5513" s="0" t="s">
        <v>15900</v>
      </c>
      <c r="M5513" s="0" t="s">
        <v>1910</v>
      </c>
      <c r="N5513" s="0" t="s">
        <v>124</v>
      </c>
      <c r="P5513" s="0" t="s">
        <v>130</v>
      </c>
      <c r="Q5513" s="0" t="s">
        <v>130</v>
      </c>
      <c r="R5513" s="0" t="s">
        <v>467</v>
      </c>
      <c r="S5513" s="0" t="s">
        <v>21</v>
      </c>
      <c r="T5513" s="0" t="s">
        <v>104</v>
      </c>
      <c r="W5513" s="0" t="s">
        <v>105</v>
      </c>
    </row>
    <row r="5514" customFormat="false" ht="15" hidden="false" customHeight="false" outlineLevel="0" collapsed="false">
      <c r="A5514" s="0" t="s">
        <v>21</v>
      </c>
      <c r="B5514" s="0" t="s">
        <v>15901</v>
      </c>
      <c r="C5514" s="0" t="s">
        <v>97</v>
      </c>
      <c r="D5514" s="0" t="s">
        <v>15902</v>
      </c>
      <c r="E5514" s="0" t="s">
        <v>15903</v>
      </c>
      <c r="H5514" s="0" t="s">
        <v>654</v>
      </c>
      <c r="I5514" s="0" t="s">
        <v>655</v>
      </c>
      <c r="J5514" s="0" t="s">
        <v>100</v>
      </c>
      <c r="K5514" s="0" t="s">
        <v>168</v>
      </c>
      <c r="L5514" s="0" t="s">
        <v>101</v>
      </c>
      <c r="M5514" s="0" t="s">
        <v>656</v>
      </c>
      <c r="N5514" s="0" t="s">
        <v>101</v>
      </c>
      <c r="P5514" s="0" t="s">
        <v>102</v>
      </c>
      <c r="Q5514" s="0" t="s">
        <v>102</v>
      </c>
      <c r="R5514" s="0" t="s">
        <v>144</v>
      </c>
      <c r="S5514" s="0" t="s">
        <v>21</v>
      </c>
      <c r="T5514" s="0" t="s">
        <v>104</v>
      </c>
      <c r="W5514" s="0" t="s">
        <v>105</v>
      </c>
      <c r="X5514" s="0" t="s">
        <v>658</v>
      </c>
      <c r="Y5514" s="0" t="s">
        <v>659</v>
      </c>
    </row>
    <row r="5515" customFormat="false" ht="15" hidden="false" customHeight="false" outlineLevel="0" collapsed="false">
      <c r="A5515" s="0" t="s">
        <v>21</v>
      </c>
      <c r="B5515" s="0" t="s">
        <v>15904</v>
      </c>
      <c r="C5515" s="0" t="s">
        <v>97</v>
      </c>
      <c r="D5515" s="0" t="s">
        <v>15905</v>
      </c>
      <c r="E5515" s="0" t="s">
        <v>15906</v>
      </c>
      <c r="M5515" s="0" t="s">
        <v>100</v>
      </c>
      <c r="N5515" s="0" t="s">
        <v>101</v>
      </c>
      <c r="P5515" s="0" t="s">
        <v>102</v>
      </c>
      <c r="Q5515" s="0" t="s">
        <v>102</v>
      </c>
      <c r="R5515" s="0" t="s">
        <v>144</v>
      </c>
      <c r="S5515" s="0" t="s">
        <v>21</v>
      </c>
      <c r="T5515" s="0" t="s">
        <v>104</v>
      </c>
      <c r="W5515" s="0" t="s">
        <v>105</v>
      </c>
    </row>
    <row r="5516" customFormat="false" ht="15" hidden="false" customHeight="false" outlineLevel="0" collapsed="false">
      <c r="A5516" s="0" t="s">
        <v>21</v>
      </c>
      <c r="B5516" s="0" t="s">
        <v>15907</v>
      </c>
      <c r="C5516" s="0" t="s">
        <v>97</v>
      </c>
      <c r="D5516" s="0" t="s">
        <v>15908</v>
      </c>
      <c r="E5516" s="0" t="s">
        <v>15909</v>
      </c>
      <c r="M5516" s="0" t="s">
        <v>100</v>
      </c>
      <c r="N5516" s="0" t="s">
        <v>101</v>
      </c>
      <c r="P5516" s="0" t="s">
        <v>102</v>
      </c>
      <c r="Q5516" s="0" t="s">
        <v>102</v>
      </c>
      <c r="R5516" s="0" t="s">
        <v>144</v>
      </c>
      <c r="S5516" s="0" t="s">
        <v>21</v>
      </c>
      <c r="T5516" s="0" t="s">
        <v>104</v>
      </c>
      <c r="W5516" s="0" t="s">
        <v>105</v>
      </c>
    </row>
    <row r="5517" customFormat="false" ht="15" hidden="false" customHeight="false" outlineLevel="0" collapsed="false">
      <c r="A5517" s="0" t="s">
        <v>21</v>
      </c>
      <c r="B5517" s="0" t="s">
        <v>15910</v>
      </c>
      <c r="C5517" s="0" t="s">
        <v>97</v>
      </c>
      <c r="D5517" s="0" t="s">
        <v>15911</v>
      </c>
      <c r="E5517" s="0" t="s">
        <v>15912</v>
      </c>
      <c r="H5517" s="0" t="s">
        <v>654</v>
      </c>
      <c r="I5517" s="0" t="s">
        <v>655</v>
      </c>
      <c r="J5517" s="0" t="s">
        <v>100</v>
      </c>
      <c r="K5517" s="0" t="s">
        <v>168</v>
      </c>
      <c r="L5517" s="0" t="s">
        <v>101</v>
      </c>
      <c r="M5517" s="0" t="s">
        <v>656</v>
      </c>
      <c r="N5517" s="0" t="s">
        <v>101</v>
      </c>
      <c r="P5517" s="0" t="s">
        <v>102</v>
      </c>
      <c r="Q5517" s="0" t="s">
        <v>102</v>
      </c>
      <c r="R5517" s="0" t="s">
        <v>113</v>
      </c>
      <c r="S5517" s="0" t="s">
        <v>21</v>
      </c>
      <c r="T5517" s="0" t="s">
        <v>104</v>
      </c>
      <c r="W5517" s="0" t="s">
        <v>105</v>
      </c>
      <c r="X5517" s="0" t="s">
        <v>658</v>
      </c>
      <c r="Y5517" s="0" t="s">
        <v>659</v>
      </c>
    </row>
    <row r="5518" customFormat="false" ht="15" hidden="false" customHeight="false" outlineLevel="0" collapsed="false">
      <c r="A5518" s="0" t="s">
        <v>21</v>
      </c>
      <c r="B5518" s="0" t="s">
        <v>15913</v>
      </c>
      <c r="C5518" s="0" t="s">
        <v>97</v>
      </c>
      <c r="D5518" s="0" t="s">
        <v>15914</v>
      </c>
      <c r="E5518" s="0" t="s">
        <v>15915</v>
      </c>
      <c r="M5518" s="0" t="s">
        <v>100</v>
      </c>
      <c r="N5518" s="0" t="s">
        <v>101</v>
      </c>
      <c r="P5518" s="0" t="s">
        <v>102</v>
      </c>
      <c r="Q5518" s="0" t="s">
        <v>102</v>
      </c>
      <c r="R5518" s="0" t="s">
        <v>113</v>
      </c>
      <c r="S5518" s="0" t="s">
        <v>21</v>
      </c>
      <c r="T5518" s="0" t="s">
        <v>104</v>
      </c>
      <c r="W5518" s="0" t="s">
        <v>105</v>
      </c>
    </row>
    <row r="5519" customFormat="false" ht="15" hidden="false" customHeight="false" outlineLevel="0" collapsed="false">
      <c r="A5519" s="0" t="s">
        <v>21</v>
      </c>
      <c r="B5519" s="0" t="s">
        <v>15916</v>
      </c>
      <c r="C5519" s="0" t="s">
        <v>372</v>
      </c>
      <c r="D5519" s="0" t="s">
        <v>15917</v>
      </c>
      <c r="E5519" s="0" t="s">
        <v>15918</v>
      </c>
      <c r="M5519" s="0" t="s">
        <v>656</v>
      </c>
      <c r="N5519" s="0" t="s">
        <v>101</v>
      </c>
      <c r="P5519" s="0" t="s">
        <v>379</v>
      </c>
      <c r="Q5519" s="0" t="s">
        <v>379</v>
      </c>
      <c r="R5519" s="0" t="s">
        <v>379</v>
      </c>
      <c r="S5519" s="0" t="s">
        <v>21</v>
      </c>
      <c r="T5519" s="0" t="s">
        <v>104</v>
      </c>
      <c r="W5519" s="0" t="s">
        <v>183</v>
      </c>
    </row>
    <row r="5520" customFormat="false" ht="15" hidden="false" customHeight="false" outlineLevel="0" collapsed="false">
      <c r="A5520" s="0" t="s">
        <v>21</v>
      </c>
      <c r="B5520" s="0" t="s">
        <v>15916</v>
      </c>
      <c r="C5520" s="0" t="s">
        <v>372</v>
      </c>
      <c r="D5520" s="0" t="s">
        <v>15917</v>
      </c>
      <c r="E5520" s="0" t="s">
        <v>15918</v>
      </c>
      <c r="M5520" s="0" t="s">
        <v>656</v>
      </c>
      <c r="N5520" s="0" t="s">
        <v>101</v>
      </c>
      <c r="P5520" s="0" t="s">
        <v>102</v>
      </c>
      <c r="Q5520" s="0" t="s">
        <v>102</v>
      </c>
      <c r="R5520" s="0" t="s">
        <v>113</v>
      </c>
      <c r="S5520" s="0" t="s">
        <v>21</v>
      </c>
      <c r="T5520" s="0" t="s">
        <v>104</v>
      </c>
      <c r="W5520" s="0" t="s">
        <v>105</v>
      </c>
    </row>
    <row r="5521" customFormat="false" ht="15" hidden="false" customHeight="false" outlineLevel="0" collapsed="false">
      <c r="A5521" s="0" t="s">
        <v>21</v>
      </c>
      <c r="B5521" s="0" t="s">
        <v>15919</v>
      </c>
      <c r="C5521" s="0" t="s">
        <v>97</v>
      </c>
      <c r="D5521" s="0" t="s">
        <v>15920</v>
      </c>
      <c r="E5521" s="0" t="s">
        <v>15921</v>
      </c>
      <c r="H5521" s="0" t="s">
        <v>654</v>
      </c>
      <c r="I5521" s="0" t="s">
        <v>655</v>
      </c>
      <c r="J5521" s="0" t="s">
        <v>100</v>
      </c>
      <c r="K5521" s="0" t="s">
        <v>168</v>
      </c>
      <c r="L5521" s="0" t="s">
        <v>101</v>
      </c>
      <c r="M5521" s="0" t="s">
        <v>656</v>
      </c>
      <c r="N5521" s="0" t="s">
        <v>101</v>
      </c>
      <c r="P5521" s="0" t="s">
        <v>102</v>
      </c>
      <c r="Q5521" s="0" t="s">
        <v>102</v>
      </c>
      <c r="R5521" s="0" t="s">
        <v>113</v>
      </c>
      <c r="S5521" s="0" t="s">
        <v>21</v>
      </c>
      <c r="T5521" s="0" t="s">
        <v>104</v>
      </c>
      <c r="W5521" s="0" t="s">
        <v>105</v>
      </c>
      <c r="X5521" s="0" t="s">
        <v>658</v>
      </c>
      <c r="Y5521" s="0" t="s">
        <v>659</v>
      </c>
    </row>
    <row r="5522" customFormat="false" ht="15" hidden="false" customHeight="false" outlineLevel="0" collapsed="false">
      <c r="A5522" s="0" t="s">
        <v>21</v>
      </c>
      <c r="B5522" s="0" t="s">
        <v>15922</v>
      </c>
      <c r="C5522" s="0" t="s">
        <v>97</v>
      </c>
      <c r="D5522" s="0" t="s">
        <v>15923</v>
      </c>
      <c r="E5522" s="0" t="s">
        <v>15924</v>
      </c>
      <c r="H5522" s="0" t="s">
        <v>654</v>
      </c>
      <c r="I5522" s="0" t="s">
        <v>655</v>
      </c>
      <c r="J5522" s="0" t="s">
        <v>100</v>
      </c>
      <c r="K5522" s="0" t="s">
        <v>168</v>
      </c>
      <c r="L5522" s="0" t="s">
        <v>101</v>
      </c>
      <c r="M5522" s="0" t="s">
        <v>656</v>
      </c>
      <c r="N5522" s="0" t="s">
        <v>101</v>
      </c>
      <c r="P5522" s="0" t="s">
        <v>102</v>
      </c>
      <c r="Q5522" s="0" t="s">
        <v>102</v>
      </c>
      <c r="R5522" s="0" t="s">
        <v>113</v>
      </c>
      <c r="S5522" s="0" t="s">
        <v>21</v>
      </c>
      <c r="T5522" s="0" t="s">
        <v>104</v>
      </c>
      <c r="W5522" s="0" t="s">
        <v>105</v>
      </c>
      <c r="X5522" s="0" t="s">
        <v>658</v>
      </c>
      <c r="Y5522" s="0" t="s">
        <v>659</v>
      </c>
    </row>
    <row r="5523" customFormat="false" ht="15" hidden="false" customHeight="false" outlineLevel="0" collapsed="false">
      <c r="A5523" s="0" t="s">
        <v>21</v>
      </c>
      <c r="B5523" s="0" t="s">
        <v>15925</v>
      </c>
      <c r="C5523" s="0" t="s">
        <v>97</v>
      </c>
      <c r="D5523" s="0" t="s">
        <v>15926</v>
      </c>
      <c r="E5523" s="0" t="s">
        <v>15927</v>
      </c>
      <c r="H5523" s="0" t="s">
        <v>654</v>
      </c>
      <c r="I5523" s="0" t="s">
        <v>655</v>
      </c>
      <c r="J5523" s="0" t="s">
        <v>100</v>
      </c>
      <c r="K5523" s="0" t="s">
        <v>168</v>
      </c>
      <c r="L5523" s="0" t="s">
        <v>101</v>
      </c>
      <c r="M5523" s="0" t="s">
        <v>656</v>
      </c>
      <c r="N5523" s="0" t="s">
        <v>101</v>
      </c>
      <c r="P5523" s="0" t="s">
        <v>102</v>
      </c>
      <c r="Q5523" s="0" t="s">
        <v>102</v>
      </c>
      <c r="R5523" s="0" t="s">
        <v>113</v>
      </c>
      <c r="S5523" s="0" t="s">
        <v>21</v>
      </c>
      <c r="T5523" s="0" t="s">
        <v>104</v>
      </c>
      <c r="W5523" s="0" t="s">
        <v>105</v>
      </c>
      <c r="X5523" s="0" t="s">
        <v>658</v>
      </c>
      <c r="Y5523" s="0" t="s">
        <v>659</v>
      </c>
    </row>
    <row r="5524" customFormat="false" ht="15" hidden="false" customHeight="false" outlineLevel="0" collapsed="false">
      <c r="A5524" s="0" t="s">
        <v>21</v>
      </c>
      <c r="B5524" s="0" t="s">
        <v>15928</v>
      </c>
      <c r="C5524" s="0" t="s">
        <v>2145</v>
      </c>
      <c r="D5524" s="0" t="s">
        <v>15929</v>
      </c>
      <c r="E5524" s="0" t="s">
        <v>15930</v>
      </c>
      <c r="G5524" s="0" t="s">
        <v>15931</v>
      </c>
      <c r="M5524" s="0" t="s">
        <v>448</v>
      </c>
      <c r="N5524" s="0" t="s">
        <v>101</v>
      </c>
      <c r="P5524" s="0" t="s">
        <v>102</v>
      </c>
      <c r="Q5524" s="0" t="s">
        <v>102</v>
      </c>
      <c r="R5524" s="0" t="s">
        <v>113</v>
      </c>
      <c r="S5524" s="0" t="s">
        <v>21</v>
      </c>
      <c r="T5524" s="0" t="s">
        <v>104</v>
      </c>
      <c r="W5524" s="0" t="s">
        <v>105</v>
      </c>
    </row>
    <row r="5525" customFormat="false" ht="15" hidden="false" customHeight="false" outlineLevel="0" collapsed="false">
      <c r="A5525" s="0" t="s">
        <v>21</v>
      </c>
      <c r="B5525" s="0" t="s">
        <v>15932</v>
      </c>
      <c r="C5525" s="0" t="s">
        <v>97</v>
      </c>
      <c r="D5525" s="0" t="s">
        <v>15933</v>
      </c>
      <c r="E5525" s="0" t="s">
        <v>15934</v>
      </c>
      <c r="M5525" s="0" t="s">
        <v>656</v>
      </c>
      <c r="N5525" s="0" t="s">
        <v>101</v>
      </c>
      <c r="P5525" s="0" t="s">
        <v>102</v>
      </c>
      <c r="Q5525" s="0" t="s">
        <v>102</v>
      </c>
      <c r="R5525" s="0" t="s">
        <v>113</v>
      </c>
      <c r="S5525" s="0" t="s">
        <v>21</v>
      </c>
      <c r="T5525" s="0" t="s">
        <v>104</v>
      </c>
      <c r="W5525" s="0" t="s">
        <v>105</v>
      </c>
    </row>
    <row r="5526" customFormat="false" ht="15" hidden="false" customHeight="false" outlineLevel="0" collapsed="false">
      <c r="A5526" s="0" t="s">
        <v>21</v>
      </c>
      <c r="B5526" s="0" t="s">
        <v>15935</v>
      </c>
      <c r="C5526" s="0" t="s">
        <v>97</v>
      </c>
      <c r="D5526" s="0" t="s">
        <v>15936</v>
      </c>
      <c r="E5526" s="0" t="s">
        <v>15937</v>
      </c>
      <c r="H5526" s="0" t="s">
        <v>654</v>
      </c>
      <c r="I5526" s="0" t="s">
        <v>655</v>
      </c>
      <c r="J5526" s="0" t="s">
        <v>100</v>
      </c>
      <c r="K5526" s="0" t="s">
        <v>168</v>
      </c>
      <c r="L5526" s="0" t="s">
        <v>101</v>
      </c>
      <c r="M5526" s="0" t="s">
        <v>656</v>
      </c>
      <c r="N5526" s="0" t="s">
        <v>101</v>
      </c>
      <c r="P5526" s="0" t="s">
        <v>102</v>
      </c>
      <c r="Q5526" s="0" t="s">
        <v>102</v>
      </c>
      <c r="R5526" s="0" t="s">
        <v>113</v>
      </c>
      <c r="S5526" s="0" t="s">
        <v>21</v>
      </c>
      <c r="T5526" s="0" t="s">
        <v>104</v>
      </c>
      <c r="W5526" s="0" t="s">
        <v>105</v>
      </c>
      <c r="X5526" s="0" t="s">
        <v>658</v>
      </c>
      <c r="Y5526" s="0" t="s">
        <v>659</v>
      </c>
    </row>
    <row r="5527" customFormat="false" ht="15" hidden="false" customHeight="false" outlineLevel="0" collapsed="false">
      <c r="A5527" s="0" t="s">
        <v>21</v>
      </c>
      <c r="B5527" s="0" t="s">
        <v>15938</v>
      </c>
      <c r="C5527" s="0" t="s">
        <v>97</v>
      </c>
      <c r="D5527" s="0" t="s">
        <v>15939</v>
      </c>
      <c r="E5527" s="0" t="s">
        <v>15940</v>
      </c>
      <c r="M5527" s="0" t="s">
        <v>656</v>
      </c>
      <c r="N5527" s="0" t="s">
        <v>101</v>
      </c>
      <c r="P5527" s="0" t="s">
        <v>102</v>
      </c>
      <c r="Q5527" s="0" t="s">
        <v>102</v>
      </c>
      <c r="R5527" s="0" t="s">
        <v>113</v>
      </c>
      <c r="S5527" s="0" t="s">
        <v>21</v>
      </c>
      <c r="T5527" s="0" t="s">
        <v>104</v>
      </c>
      <c r="W5527" s="0" t="s">
        <v>105</v>
      </c>
    </row>
    <row r="5528" customFormat="false" ht="15" hidden="false" customHeight="false" outlineLevel="0" collapsed="false">
      <c r="A5528" s="0" t="s">
        <v>21</v>
      </c>
      <c r="B5528" s="0" t="s">
        <v>15941</v>
      </c>
      <c r="C5528" s="0" t="s">
        <v>97</v>
      </c>
      <c r="D5528" s="0" t="s">
        <v>15942</v>
      </c>
      <c r="E5528" s="0" t="s">
        <v>15943</v>
      </c>
      <c r="F5528" s="0" t="s">
        <v>15943</v>
      </c>
      <c r="M5528" s="0" t="s">
        <v>448</v>
      </c>
      <c r="N5528" s="0" t="s">
        <v>101</v>
      </c>
      <c r="P5528" s="0" t="s">
        <v>102</v>
      </c>
      <c r="Q5528" s="0" t="s">
        <v>102</v>
      </c>
      <c r="R5528" s="0" t="s">
        <v>113</v>
      </c>
      <c r="S5528" s="0" t="s">
        <v>21</v>
      </c>
      <c r="T5528" s="0" t="s">
        <v>104</v>
      </c>
      <c r="W5528" s="0" t="s">
        <v>105</v>
      </c>
    </row>
    <row r="5529" customFormat="false" ht="15" hidden="false" customHeight="false" outlineLevel="0" collapsed="false">
      <c r="A5529" s="0" t="s">
        <v>21</v>
      </c>
      <c r="B5529" s="0" t="s">
        <v>15944</v>
      </c>
      <c r="C5529" s="0" t="s">
        <v>2145</v>
      </c>
      <c r="D5529" s="0" t="s">
        <v>15945</v>
      </c>
      <c r="E5529" s="0" t="s">
        <v>15946</v>
      </c>
      <c r="G5529" s="0" t="s">
        <v>15947</v>
      </c>
      <c r="M5529" s="0" t="s">
        <v>448</v>
      </c>
      <c r="N5529" s="0" t="s">
        <v>101</v>
      </c>
      <c r="P5529" s="0" t="s">
        <v>102</v>
      </c>
      <c r="Q5529" s="0" t="s">
        <v>102</v>
      </c>
      <c r="R5529" s="0" t="s">
        <v>113</v>
      </c>
      <c r="S5529" s="0" t="s">
        <v>21</v>
      </c>
      <c r="T5529" s="0" t="s">
        <v>104</v>
      </c>
      <c r="W5529" s="0" t="s">
        <v>105</v>
      </c>
    </row>
    <row r="5530" customFormat="false" ht="15" hidden="false" customHeight="false" outlineLevel="0" collapsed="false">
      <c r="A5530" s="0" t="s">
        <v>21</v>
      </c>
      <c r="B5530" s="0" t="s">
        <v>15948</v>
      </c>
      <c r="C5530" s="0" t="s">
        <v>97</v>
      </c>
      <c r="D5530" s="0" t="s">
        <v>15949</v>
      </c>
      <c r="E5530" s="0" t="s">
        <v>15950</v>
      </c>
      <c r="M5530" s="0" t="s">
        <v>100</v>
      </c>
      <c r="N5530" s="0" t="s">
        <v>101</v>
      </c>
      <c r="P5530" s="0" t="s">
        <v>102</v>
      </c>
      <c r="Q5530" s="0" t="s">
        <v>102</v>
      </c>
      <c r="R5530" s="0" t="s">
        <v>131</v>
      </c>
      <c r="S5530" s="0" t="s">
        <v>21</v>
      </c>
      <c r="T5530" s="0" t="s">
        <v>104</v>
      </c>
      <c r="W5530" s="0" t="s">
        <v>105</v>
      </c>
    </row>
    <row r="5531" customFormat="false" ht="15" hidden="false" customHeight="false" outlineLevel="0" collapsed="false">
      <c r="A5531" s="0" t="s">
        <v>21</v>
      </c>
      <c r="B5531" s="0" t="s">
        <v>15951</v>
      </c>
      <c r="C5531" s="0" t="s">
        <v>97</v>
      </c>
      <c r="D5531" s="0" t="s">
        <v>15952</v>
      </c>
      <c r="E5531" s="0" t="s">
        <v>15953</v>
      </c>
      <c r="M5531" s="0" t="s">
        <v>656</v>
      </c>
      <c r="N5531" s="0" t="s">
        <v>101</v>
      </c>
      <c r="P5531" s="0" t="s">
        <v>102</v>
      </c>
      <c r="Q5531" s="0" t="s">
        <v>102</v>
      </c>
      <c r="R5531" s="0" t="s">
        <v>131</v>
      </c>
      <c r="S5531" s="0" t="s">
        <v>21</v>
      </c>
      <c r="T5531" s="0" t="s">
        <v>104</v>
      </c>
      <c r="W5531" s="0" t="s">
        <v>105</v>
      </c>
    </row>
    <row r="5532" customFormat="false" ht="15" hidden="false" customHeight="false" outlineLevel="0" collapsed="false">
      <c r="A5532" s="0" t="s">
        <v>21</v>
      </c>
      <c r="B5532" s="0" t="s">
        <v>15954</v>
      </c>
      <c r="C5532" s="0" t="s">
        <v>97</v>
      </c>
      <c r="D5532" s="0" t="s">
        <v>15955</v>
      </c>
      <c r="E5532" s="0" t="s">
        <v>15956</v>
      </c>
      <c r="M5532" s="0" t="s">
        <v>100</v>
      </c>
      <c r="N5532" s="0" t="s">
        <v>101</v>
      </c>
      <c r="P5532" s="0" t="s">
        <v>102</v>
      </c>
      <c r="Q5532" s="0" t="s">
        <v>102</v>
      </c>
      <c r="R5532" s="0" t="s">
        <v>131</v>
      </c>
      <c r="S5532" s="0" t="s">
        <v>21</v>
      </c>
      <c r="T5532" s="0" t="s">
        <v>104</v>
      </c>
      <c r="W5532" s="0" t="s">
        <v>105</v>
      </c>
    </row>
    <row r="5533" customFormat="false" ht="15" hidden="false" customHeight="false" outlineLevel="0" collapsed="false">
      <c r="A5533" s="0" t="s">
        <v>21</v>
      </c>
      <c r="B5533" s="0" t="s">
        <v>15957</v>
      </c>
      <c r="C5533" s="0" t="s">
        <v>97</v>
      </c>
      <c r="D5533" s="0" t="s">
        <v>15958</v>
      </c>
      <c r="E5533" s="0" t="s">
        <v>15959</v>
      </c>
      <c r="M5533" s="0" t="s">
        <v>100</v>
      </c>
      <c r="N5533" s="0" t="s">
        <v>101</v>
      </c>
      <c r="P5533" s="0" t="s">
        <v>102</v>
      </c>
      <c r="Q5533" s="0" t="s">
        <v>102</v>
      </c>
      <c r="R5533" s="0" t="s">
        <v>131</v>
      </c>
      <c r="S5533" s="0" t="s">
        <v>21</v>
      </c>
      <c r="T5533" s="0" t="s">
        <v>104</v>
      </c>
      <c r="W5533" s="0" t="s">
        <v>105</v>
      </c>
    </row>
    <row r="5534" customFormat="false" ht="15" hidden="false" customHeight="false" outlineLevel="0" collapsed="false">
      <c r="A5534" s="0" t="s">
        <v>21</v>
      </c>
      <c r="B5534" s="0" t="s">
        <v>15960</v>
      </c>
      <c r="C5534" s="0" t="s">
        <v>97</v>
      </c>
      <c r="D5534" s="0" t="s">
        <v>15961</v>
      </c>
      <c r="E5534" s="0" t="s">
        <v>15962</v>
      </c>
      <c r="M5534" s="0" t="s">
        <v>136</v>
      </c>
      <c r="N5534" s="0" t="s">
        <v>124</v>
      </c>
      <c r="P5534" s="0" t="s">
        <v>102</v>
      </c>
      <c r="Q5534" s="0" t="s">
        <v>102</v>
      </c>
      <c r="R5534" s="0" t="s">
        <v>131</v>
      </c>
      <c r="S5534" s="0" t="s">
        <v>21</v>
      </c>
      <c r="T5534" s="0" t="s">
        <v>104</v>
      </c>
      <c r="W5534" s="0" t="s">
        <v>105</v>
      </c>
    </row>
    <row r="5535" customFormat="false" ht="15" hidden="false" customHeight="false" outlineLevel="0" collapsed="false">
      <c r="A5535" s="0" t="s">
        <v>21</v>
      </c>
      <c r="B5535" s="0" t="s">
        <v>15963</v>
      </c>
      <c r="C5535" s="0" t="s">
        <v>4845</v>
      </c>
      <c r="D5535" s="0" t="s">
        <v>15964</v>
      </c>
      <c r="E5535" s="0" t="s">
        <v>15965</v>
      </c>
      <c r="G5535" s="0" t="s">
        <v>15966</v>
      </c>
      <c r="M5535" s="0" t="s">
        <v>100</v>
      </c>
      <c r="N5535" s="0" t="s">
        <v>101</v>
      </c>
      <c r="P5535" s="0" t="s">
        <v>102</v>
      </c>
      <c r="Q5535" s="0" t="s">
        <v>102</v>
      </c>
      <c r="R5535" s="0" t="s">
        <v>113</v>
      </c>
      <c r="S5535" s="0" t="s">
        <v>21</v>
      </c>
      <c r="T5535" s="0" t="s">
        <v>104</v>
      </c>
      <c r="W5535" s="0" t="s">
        <v>105</v>
      </c>
    </row>
    <row r="5536" customFormat="false" ht="15" hidden="false" customHeight="false" outlineLevel="0" collapsed="false">
      <c r="A5536" s="0" t="s">
        <v>21</v>
      </c>
      <c r="B5536" s="0" t="s">
        <v>15967</v>
      </c>
      <c r="C5536" s="0" t="s">
        <v>97</v>
      </c>
      <c r="D5536" s="0" t="s">
        <v>15968</v>
      </c>
      <c r="E5536" s="0" t="s">
        <v>15969</v>
      </c>
      <c r="M5536" s="0" t="s">
        <v>100</v>
      </c>
      <c r="N5536" s="0" t="s">
        <v>101</v>
      </c>
      <c r="P5536" s="0" t="s">
        <v>102</v>
      </c>
      <c r="Q5536" s="0" t="s">
        <v>102</v>
      </c>
      <c r="R5536" s="0" t="s">
        <v>131</v>
      </c>
      <c r="S5536" s="0" t="s">
        <v>21</v>
      </c>
      <c r="T5536" s="0" t="s">
        <v>104</v>
      </c>
      <c r="W5536" s="0" t="s">
        <v>105</v>
      </c>
    </row>
    <row r="5537" customFormat="false" ht="41.75" hidden="false" customHeight="false" outlineLevel="0" collapsed="false">
      <c r="A5537" s="0" t="s">
        <v>21</v>
      </c>
      <c r="B5537" s="0" t="s">
        <v>15970</v>
      </c>
      <c r="C5537" s="0" t="s">
        <v>7362</v>
      </c>
      <c r="D5537" s="0" t="s">
        <v>5059</v>
      </c>
      <c r="E5537" s="0" t="s">
        <v>12535</v>
      </c>
      <c r="G5537" s="9" t="s">
        <v>15971</v>
      </c>
      <c r="M5537" s="0" t="s">
        <v>456</v>
      </c>
      <c r="N5537" s="0" t="s">
        <v>101</v>
      </c>
      <c r="P5537" s="0" t="s">
        <v>102</v>
      </c>
      <c r="Q5537" s="0" t="s">
        <v>102</v>
      </c>
      <c r="R5537" s="0" t="s">
        <v>113</v>
      </c>
      <c r="S5537" s="0" t="s">
        <v>21</v>
      </c>
      <c r="T5537" s="0" t="s">
        <v>104</v>
      </c>
      <c r="W5537" s="0" t="s">
        <v>105</v>
      </c>
    </row>
    <row r="5538" customFormat="false" ht="15" hidden="false" customHeight="false" outlineLevel="0" collapsed="false">
      <c r="A5538" s="0" t="s">
        <v>21</v>
      </c>
      <c r="B5538" s="0" t="s">
        <v>15972</v>
      </c>
      <c r="C5538" s="0" t="s">
        <v>7362</v>
      </c>
      <c r="D5538" s="0" t="s">
        <v>1561</v>
      </c>
      <c r="E5538" s="0" t="s">
        <v>15973</v>
      </c>
      <c r="G5538" s="0" t="s">
        <v>15974</v>
      </c>
      <c r="H5538" s="0" t="s">
        <v>15975</v>
      </c>
      <c r="I5538" s="0" t="s">
        <v>9689</v>
      </c>
      <c r="J5538" s="0" t="s">
        <v>1307</v>
      </c>
      <c r="K5538" s="0" t="s">
        <v>410</v>
      </c>
      <c r="M5538" s="0" t="s">
        <v>456</v>
      </c>
      <c r="N5538" s="0" t="s">
        <v>101</v>
      </c>
      <c r="P5538" s="0" t="s">
        <v>102</v>
      </c>
      <c r="Q5538" s="0" t="s">
        <v>102</v>
      </c>
      <c r="R5538" s="0" t="s">
        <v>113</v>
      </c>
      <c r="S5538" s="0" t="s">
        <v>21</v>
      </c>
      <c r="T5538" s="0" t="s">
        <v>104</v>
      </c>
      <c r="W5538" s="0" t="s">
        <v>105</v>
      </c>
    </row>
    <row r="5539" customFormat="false" ht="28.35" hidden="false" customHeight="false" outlineLevel="0" collapsed="false">
      <c r="A5539" s="0" t="s">
        <v>21</v>
      </c>
      <c r="B5539" s="0" t="s">
        <v>15976</v>
      </c>
      <c r="C5539" s="0" t="s">
        <v>139</v>
      </c>
      <c r="D5539" s="0" t="s">
        <v>15977</v>
      </c>
      <c r="E5539" s="0" t="s">
        <v>15978</v>
      </c>
      <c r="G5539" s="9" t="s">
        <v>15979</v>
      </c>
      <c r="H5539" s="9" t="s">
        <v>15980</v>
      </c>
      <c r="I5539" s="0" t="s">
        <v>456</v>
      </c>
      <c r="K5539" s="0" t="s">
        <v>648</v>
      </c>
      <c r="M5539" s="0" t="s">
        <v>456</v>
      </c>
      <c r="N5539" s="0" t="s">
        <v>101</v>
      </c>
      <c r="P5539" s="0" t="s">
        <v>102</v>
      </c>
      <c r="Q5539" s="0" t="s">
        <v>102</v>
      </c>
      <c r="R5539" s="0" t="s">
        <v>113</v>
      </c>
      <c r="S5539" s="0" t="s">
        <v>21</v>
      </c>
      <c r="T5539" s="0" t="s">
        <v>104</v>
      </c>
      <c r="W5539" s="0" t="s">
        <v>105</v>
      </c>
    </row>
    <row r="5540" customFormat="false" ht="15" hidden="false" customHeight="false" outlineLevel="0" collapsed="false">
      <c r="A5540" s="0" t="s">
        <v>21</v>
      </c>
      <c r="B5540" s="0" t="s">
        <v>15981</v>
      </c>
      <c r="C5540" s="0" t="s">
        <v>97</v>
      </c>
      <c r="D5540" s="0" t="s">
        <v>15982</v>
      </c>
      <c r="E5540" s="0" t="s">
        <v>15983</v>
      </c>
      <c r="G5540" s="0" t="s">
        <v>15984</v>
      </c>
      <c r="H5540" s="0" t="s">
        <v>15985</v>
      </c>
      <c r="I5540" s="0" t="s">
        <v>15986</v>
      </c>
      <c r="J5540" s="0" t="s">
        <v>1564</v>
      </c>
      <c r="K5540" s="0" t="s">
        <v>1193</v>
      </c>
      <c r="L5540" s="0" t="s">
        <v>101</v>
      </c>
      <c r="M5540" s="0" t="s">
        <v>1564</v>
      </c>
      <c r="N5540" s="0" t="s">
        <v>101</v>
      </c>
      <c r="P5540" s="0" t="s">
        <v>102</v>
      </c>
      <c r="Q5540" s="0" t="s">
        <v>102</v>
      </c>
      <c r="R5540" s="0" t="s">
        <v>137</v>
      </c>
      <c r="S5540" s="0" t="s">
        <v>21</v>
      </c>
      <c r="T5540" s="0" t="s">
        <v>104</v>
      </c>
      <c r="W5540" s="0" t="s">
        <v>105</v>
      </c>
      <c r="X5540" s="0" t="s">
        <v>15987</v>
      </c>
      <c r="Y5540" s="0" t="s">
        <v>15988</v>
      </c>
    </row>
    <row r="5541" customFormat="false" ht="28.35" hidden="false" customHeight="false" outlineLevel="0" collapsed="false">
      <c r="A5541" s="0" t="s">
        <v>21</v>
      </c>
      <c r="B5541" s="0" t="s">
        <v>15989</v>
      </c>
      <c r="C5541" s="0" t="s">
        <v>139</v>
      </c>
      <c r="D5541" s="0" t="s">
        <v>15990</v>
      </c>
      <c r="E5541" s="0" t="s">
        <v>15991</v>
      </c>
      <c r="G5541" s="9" t="s">
        <v>15992</v>
      </c>
      <c r="H5541" s="9" t="s">
        <v>15993</v>
      </c>
      <c r="I5541" s="0" t="s">
        <v>456</v>
      </c>
      <c r="K5541" s="0" t="s">
        <v>648</v>
      </c>
      <c r="M5541" s="0" t="s">
        <v>456</v>
      </c>
      <c r="N5541" s="0" t="s">
        <v>101</v>
      </c>
      <c r="P5541" s="0" t="s">
        <v>102</v>
      </c>
      <c r="Q5541" s="0" t="s">
        <v>102</v>
      </c>
      <c r="R5541" s="0" t="s">
        <v>113</v>
      </c>
      <c r="S5541" s="0" t="s">
        <v>21</v>
      </c>
      <c r="T5541" s="0" t="s">
        <v>104</v>
      </c>
      <c r="W5541" s="0" t="s">
        <v>105</v>
      </c>
    </row>
    <row r="5542" customFormat="false" ht="15" hidden="false" customHeight="false" outlineLevel="0" collapsed="false">
      <c r="A5542" s="0" t="s">
        <v>21</v>
      </c>
      <c r="B5542" s="0" t="s">
        <v>15994</v>
      </c>
      <c r="C5542" s="0" t="s">
        <v>97</v>
      </c>
      <c r="D5542" s="0" t="s">
        <v>5209</v>
      </c>
      <c r="E5542" s="0" t="s">
        <v>15995</v>
      </c>
      <c r="M5542" s="0" t="s">
        <v>656</v>
      </c>
      <c r="N5542" s="0" t="s">
        <v>101</v>
      </c>
      <c r="P5542" s="0" t="s">
        <v>102</v>
      </c>
      <c r="Q5542" s="0" t="s">
        <v>102</v>
      </c>
      <c r="R5542" s="0" t="s">
        <v>131</v>
      </c>
      <c r="S5542" s="0" t="s">
        <v>21</v>
      </c>
      <c r="T5542" s="0" t="s">
        <v>104</v>
      </c>
      <c r="W5542" s="0" t="s">
        <v>105</v>
      </c>
    </row>
    <row r="5543" customFormat="false" ht="15" hidden="false" customHeight="false" outlineLevel="0" collapsed="false">
      <c r="A5543" s="0" t="s">
        <v>21</v>
      </c>
      <c r="B5543" s="0" t="s">
        <v>15996</v>
      </c>
      <c r="C5543" s="0" t="s">
        <v>97</v>
      </c>
      <c r="D5543" s="0" t="s">
        <v>15997</v>
      </c>
      <c r="E5543" s="0" t="s">
        <v>15998</v>
      </c>
      <c r="G5543" s="0" t="s">
        <v>15999</v>
      </c>
      <c r="H5543" s="0" t="s">
        <v>654</v>
      </c>
      <c r="I5543" s="0" t="s">
        <v>655</v>
      </c>
      <c r="J5543" s="0" t="s">
        <v>100</v>
      </c>
      <c r="K5543" s="0" t="s">
        <v>168</v>
      </c>
      <c r="L5543" s="0" t="s">
        <v>101</v>
      </c>
      <c r="M5543" s="0" t="s">
        <v>656</v>
      </c>
      <c r="N5543" s="0" t="s">
        <v>101</v>
      </c>
      <c r="P5543" s="0" t="s">
        <v>102</v>
      </c>
      <c r="Q5543" s="0" t="s">
        <v>102</v>
      </c>
      <c r="R5543" s="0" t="s">
        <v>131</v>
      </c>
      <c r="S5543" s="0" t="s">
        <v>21</v>
      </c>
      <c r="T5543" s="0" t="s">
        <v>104</v>
      </c>
      <c r="W5543" s="0" t="s">
        <v>105</v>
      </c>
      <c r="X5543" s="0" t="s">
        <v>658</v>
      </c>
      <c r="Y5543" s="0" t="s">
        <v>659</v>
      </c>
    </row>
    <row r="5544" customFormat="false" ht="15" hidden="false" customHeight="false" outlineLevel="0" collapsed="false">
      <c r="A5544" s="0" t="s">
        <v>21</v>
      </c>
      <c r="B5544" s="0" t="s">
        <v>16000</v>
      </c>
      <c r="C5544" s="0" t="s">
        <v>97</v>
      </c>
      <c r="D5544" s="0" t="s">
        <v>16001</v>
      </c>
      <c r="E5544" s="0" t="s">
        <v>16002</v>
      </c>
      <c r="G5544" s="0" t="s">
        <v>16003</v>
      </c>
      <c r="H5544" s="0" t="s">
        <v>654</v>
      </c>
      <c r="I5544" s="0" t="s">
        <v>655</v>
      </c>
      <c r="J5544" s="0" t="s">
        <v>100</v>
      </c>
      <c r="K5544" s="0" t="s">
        <v>168</v>
      </c>
      <c r="L5544" s="0" t="s">
        <v>101</v>
      </c>
      <c r="M5544" s="0" t="s">
        <v>656</v>
      </c>
      <c r="N5544" s="0" t="s">
        <v>101</v>
      </c>
      <c r="P5544" s="0" t="s">
        <v>102</v>
      </c>
      <c r="Q5544" s="0" t="s">
        <v>102</v>
      </c>
      <c r="R5544" s="0" t="s">
        <v>131</v>
      </c>
      <c r="S5544" s="0" t="s">
        <v>21</v>
      </c>
      <c r="T5544" s="0" t="s">
        <v>104</v>
      </c>
      <c r="W5544" s="0" t="s">
        <v>105</v>
      </c>
      <c r="X5544" s="0" t="s">
        <v>658</v>
      </c>
      <c r="Y5544" s="0" t="s">
        <v>659</v>
      </c>
    </row>
    <row r="5545" customFormat="false" ht="15" hidden="false" customHeight="false" outlineLevel="0" collapsed="false">
      <c r="A5545" s="0" t="s">
        <v>21</v>
      </c>
      <c r="B5545" s="0" t="s">
        <v>16004</v>
      </c>
      <c r="C5545" s="0" t="s">
        <v>97</v>
      </c>
      <c r="D5545" s="0" t="s">
        <v>1561</v>
      </c>
      <c r="E5545" s="0" t="s">
        <v>15973</v>
      </c>
      <c r="H5545" s="0" t="s">
        <v>1563</v>
      </c>
      <c r="I5545" s="0" t="s">
        <v>1564</v>
      </c>
      <c r="J5545" s="0" t="s">
        <v>1564</v>
      </c>
      <c r="K5545" s="0" t="s">
        <v>1175</v>
      </c>
      <c r="L5545" s="0" t="s">
        <v>101</v>
      </c>
      <c r="M5545" s="0" t="s">
        <v>1564</v>
      </c>
      <c r="N5545" s="0" t="s">
        <v>101</v>
      </c>
      <c r="P5545" s="0" t="s">
        <v>102</v>
      </c>
      <c r="Q5545" s="0" t="s">
        <v>102</v>
      </c>
      <c r="R5545" s="0" t="s">
        <v>113</v>
      </c>
      <c r="S5545" s="0" t="s">
        <v>21</v>
      </c>
      <c r="T5545" s="0" t="s">
        <v>104</v>
      </c>
      <c r="W5545" s="0" t="s">
        <v>105</v>
      </c>
      <c r="X5545" s="0" t="s">
        <v>16005</v>
      </c>
      <c r="Y5545" s="0" t="s">
        <v>16006</v>
      </c>
    </row>
    <row r="5546" customFormat="false" ht="15" hidden="false" customHeight="false" outlineLevel="0" collapsed="false">
      <c r="A5546" s="0" t="s">
        <v>21</v>
      </c>
      <c r="B5546" s="0" t="s">
        <v>16007</v>
      </c>
      <c r="C5546" s="0" t="s">
        <v>97</v>
      </c>
      <c r="D5546" s="0" t="s">
        <v>16008</v>
      </c>
      <c r="E5546" s="0" t="s">
        <v>16009</v>
      </c>
      <c r="H5546" s="0" t="s">
        <v>654</v>
      </c>
      <c r="I5546" s="0" t="s">
        <v>655</v>
      </c>
      <c r="J5546" s="0" t="s">
        <v>100</v>
      </c>
      <c r="K5546" s="0" t="s">
        <v>168</v>
      </c>
      <c r="L5546" s="0" t="s">
        <v>101</v>
      </c>
      <c r="M5546" s="0" t="s">
        <v>656</v>
      </c>
      <c r="N5546" s="0" t="s">
        <v>101</v>
      </c>
      <c r="P5546" s="0" t="s">
        <v>102</v>
      </c>
      <c r="Q5546" s="0" t="s">
        <v>102</v>
      </c>
      <c r="R5546" s="0" t="s">
        <v>113</v>
      </c>
      <c r="S5546" s="0" t="s">
        <v>21</v>
      </c>
      <c r="T5546" s="0" t="s">
        <v>104</v>
      </c>
      <c r="W5546" s="0" t="s">
        <v>105</v>
      </c>
      <c r="X5546" s="0" t="s">
        <v>658</v>
      </c>
      <c r="Y5546" s="0" t="s">
        <v>659</v>
      </c>
    </row>
    <row r="5547" customFormat="false" ht="15" hidden="false" customHeight="false" outlineLevel="0" collapsed="false">
      <c r="A5547" s="0" t="s">
        <v>21</v>
      </c>
      <c r="B5547" s="0" t="s">
        <v>16010</v>
      </c>
      <c r="C5547" s="0" t="s">
        <v>97</v>
      </c>
      <c r="D5547" s="0" t="s">
        <v>2365</v>
      </c>
      <c r="E5547" s="0" t="s">
        <v>16011</v>
      </c>
      <c r="H5547" s="0" t="s">
        <v>654</v>
      </c>
      <c r="I5547" s="0" t="s">
        <v>655</v>
      </c>
      <c r="J5547" s="0" t="s">
        <v>100</v>
      </c>
      <c r="K5547" s="0" t="s">
        <v>168</v>
      </c>
      <c r="L5547" s="0" t="s">
        <v>101</v>
      </c>
      <c r="M5547" s="0" t="s">
        <v>656</v>
      </c>
      <c r="N5547" s="0" t="s">
        <v>101</v>
      </c>
      <c r="P5547" s="0" t="s">
        <v>102</v>
      </c>
      <c r="Q5547" s="0" t="s">
        <v>102</v>
      </c>
      <c r="R5547" s="0" t="s">
        <v>113</v>
      </c>
      <c r="S5547" s="0" t="s">
        <v>21</v>
      </c>
      <c r="T5547" s="0" t="s">
        <v>104</v>
      </c>
      <c r="W5547" s="0" t="s">
        <v>105</v>
      </c>
      <c r="X5547" s="0" t="s">
        <v>658</v>
      </c>
      <c r="Y5547" s="0" t="s">
        <v>659</v>
      </c>
    </row>
    <row r="5548" customFormat="false" ht="15" hidden="false" customHeight="false" outlineLevel="0" collapsed="false">
      <c r="A5548" s="0" t="s">
        <v>21</v>
      </c>
      <c r="B5548" s="0" t="s">
        <v>16012</v>
      </c>
      <c r="C5548" s="0" t="s">
        <v>4280</v>
      </c>
      <c r="D5548" s="0" t="s">
        <v>6023</v>
      </c>
      <c r="E5548" s="0" t="s">
        <v>16013</v>
      </c>
      <c r="M5548" s="0" t="s">
        <v>456</v>
      </c>
      <c r="N5548" s="0" t="s">
        <v>101</v>
      </c>
      <c r="P5548" s="0" t="s">
        <v>102</v>
      </c>
      <c r="Q5548" s="0" t="s">
        <v>102</v>
      </c>
      <c r="R5548" s="0" t="s">
        <v>113</v>
      </c>
      <c r="S5548" s="0" t="s">
        <v>21</v>
      </c>
      <c r="T5548" s="0" t="s">
        <v>104</v>
      </c>
      <c r="W5548" s="0" t="s">
        <v>105</v>
      </c>
    </row>
    <row r="5549" customFormat="false" ht="15" hidden="false" customHeight="false" outlineLevel="0" collapsed="false">
      <c r="A5549" s="0" t="s">
        <v>21</v>
      </c>
      <c r="B5549" s="0" t="s">
        <v>16014</v>
      </c>
      <c r="C5549" s="0" t="s">
        <v>97</v>
      </c>
      <c r="D5549" s="0" t="s">
        <v>16015</v>
      </c>
      <c r="E5549" s="0" t="s">
        <v>16016</v>
      </c>
      <c r="G5549" s="0" t="s">
        <v>16017</v>
      </c>
      <c r="H5549" s="0" t="s">
        <v>654</v>
      </c>
      <c r="I5549" s="0" t="s">
        <v>655</v>
      </c>
      <c r="J5549" s="0" t="s">
        <v>100</v>
      </c>
      <c r="K5549" s="0" t="s">
        <v>168</v>
      </c>
      <c r="L5549" s="0" t="s">
        <v>101</v>
      </c>
      <c r="M5549" s="0" t="s">
        <v>656</v>
      </c>
      <c r="N5549" s="0" t="s">
        <v>101</v>
      </c>
      <c r="P5549" s="0" t="s">
        <v>102</v>
      </c>
      <c r="Q5549" s="0" t="s">
        <v>102</v>
      </c>
      <c r="R5549" s="0" t="s">
        <v>131</v>
      </c>
      <c r="S5549" s="0" t="s">
        <v>21</v>
      </c>
      <c r="T5549" s="0" t="s">
        <v>104</v>
      </c>
      <c r="W5549" s="0" t="s">
        <v>105</v>
      </c>
      <c r="X5549" s="0" t="s">
        <v>658</v>
      </c>
      <c r="Y5549" s="0" t="s">
        <v>659</v>
      </c>
    </row>
    <row r="5550" customFormat="false" ht="15" hidden="false" customHeight="false" outlineLevel="0" collapsed="false">
      <c r="A5550" s="0" t="s">
        <v>21</v>
      </c>
      <c r="B5550" s="0" t="s">
        <v>16018</v>
      </c>
      <c r="C5550" s="0" t="s">
        <v>97</v>
      </c>
      <c r="D5550" s="0" t="s">
        <v>16019</v>
      </c>
      <c r="E5550" s="0" t="s">
        <v>16019</v>
      </c>
      <c r="F5550" s="0" t="s">
        <v>16019</v>
      </c>
      <c r="M5550" s="0" t="s">
        <v>100</v>
      </c>
      <c r="N5550" s="0" t="s">
        <v>101</v>
      </c>
      <c r="P5550" s="0" t="s">
        <v>102</v>
      </c>
      <c r="Q5550" s="0" t="s">
        <v>102</v>
      </c>
      <c r="R5550" s="0" t="s">
        <v>131</v>
      </c>
      <c r="S5550" s="0" t="s">
        <v>21</v>
      </c>
      <c r="T5550" s="0" t="s">
        <v>104</v>
      </c>
      <c r="W5550" s="0" t="s">
        <v>105</v>
      </c>
    </row>
    <row r="5551" customFormat="false" ht="15" hidden="false" customHeight="false" outlineLevel="0" collapsed="false">
      <c r="A5551" s="0" t="s">
        <v>21</v>
      </c>
      <c r="B5551" s="0" t="s">
        <v>16020</v>
      </c>
      <c r="C5551" s="0" t="s">
        <v>97</v>
      </c>
      <c r="D5551" s="0" t="s">
        <v>16021</v>
      </c>
      <c r="E5551" s="0" t="s">
        <v>16022</v>
      </c>
      <c r="H5551" s="0" t="s">
        <v>654</v>
      </c>
      <c r="I5551" s="0" t="s">
        <v>655</v>
      </c>
      <c r="J5551" s="0" t="s">
        <v>100</v>
      </c>
      <c r="K5551" s="0" t="s">
        <v>168</v>
      </c>
      <c r="L5551" s="0" t="s">
        <v>101</v>
      </c>
      <c r="M5551" s="0" t="s">
        <v>656</v>
      </c>
      <c r="N5551" s="0" t="s">
        <v>101</v>
      </c>
      <c r="P5551" s="0" t="s">
        <v>102</v>
      </c>
      <c r="Q5551" s="0" t="s">
        <v>102</v>
      </c>
      <c r="R5551" s="0" t="s">
        <v>113</v>
      </c>
      <c r="S5551" s="0" t="s">
        <v>21</v>
      </c>
      <c r="T5551" s="0" t="s">
        <v>104</v>
      </c>
      <c r="W5551" s="0" t="s">
        <v>105</v>
      </c>
      <c r="X5551" s="0" t="s">
        <v>658</v>
      </c>
      <c r="Y5551" s="0" t="s">
        <v>659</v>
      </c>
    </row>
    <row r="5552" customFormat="false" ht="15" hidden="false" customHeight="false" outlineLevel="0" collapsed="false">
      <c r="A5552" s="0" t="s">
        <v>21</v>
      </c>
      <c r="B5552" s="0" t="s">
        <v>16023</v>
      </c>
      <c r="C5552" s="0" t="s">
        <v>97</v>
      </c>
      <c r="D5552" s="0" t="s">
        <v>16024</v>
      </c>
      <c r="E5552" s="0" t="s">
        <v>16025</v>
      </c>
      <c r="M5552" s="0" t="s">
        <v>100</v>
      </c>
      <c r="N5552" s="0" t="s">
        <v>101</v>
      </c>
      <c r="P5552" s="0" t="s">
        <v>102</v>
      </c>
      <c r="Q5552" s="0" t="s">
        <v>102</v>
      </c>
      <c r="R5552" s="0" t="s">
        <v>113</v>
      </c>
      <c r="S5552" s="0" t="s">
        <v>21</v>
      </c>
      <c r="T5552" s="0" t="s">
        <v>104</v>
      </c>
      <c r="W5552" s="0" t="s">
        <v>105</v>
      </c>
    </row>
    <row r="5553" customFormat="false" ht="15" hidden="false" customHeight="false" outlineLevel="0" collapsed="false">
      <c r="A5553" s="0" t="s">
        <v>21</v>
      </c>
      <c r="B5553" s="0" t="s">
        <v>16026</v>
      </c>
      <c r="C5553" s="0" t="s">
        <v>97</v>
      </c>
      <c r="D5553" s="0" t="s">
        <v>16027</v>
      </c>
      <c r="E5553" s="0" t="s">
        <v>16028</v>
      </c>
      <c r="G5553" s="0" t="s">
        <v>16029</v>
      </c>
      <c r="H5553" s="0" t="s">
        <v>654</v>
      </c>
      <c r="I5553" s="0" t="s">
        <v>655</v>
      </c>
      <c r="J5553" s="0" t="s">
        <v>100</v>
      </c>
      <c r="K5553" s="0" t="s">
        <v>168</v>
      </c>
      <c r="L5553" s="0" t="s">
        <v>101</v>
      </c>
      <c r="M5553" s="0" t="s">
        <v>656</v>
      </c>
      <c r="N5553" s="0" t="s">
        <v>101</v>
      </c>
      <c r="P5553" s="0" t="s">
        <v>102</v>
      </c>
      <c r="Q5553" s="0" t="s">
        <v>102</v>
      </c>
      <c r="R5553" s="0" t="s">
        <v>131</v>
      </c>
      <c r="S5553" s="0" t="s">
        <v>21</v>
      </c>
      <c r="T5553" s="0" t="s">
        <v>104</v>
      </c>
      <c r="W5553" s="0" t="s">
        <v>105</v>
      </c>
      <c r="X5553" s="0" t="s">
        <v>658</v>
      </c>
      <c r="Y5553" s="0" t="s">
        <v>659</v>
      </c>
    </row>
    <row r="5554" customFormat="false" ht="15" hidden="false" customHeight="false" outlineLevel="0" collapsed="false">
      <c r="A5554" s="0" t="s">
        <v>21</v>
      </c>
      <c r="B5554" s="0" t="s">
        <v>16030</v>
      </c>
      <c r="C5554" s="0" t="s">
        <v>97</v>
      </c>
      <c r="D5554" s="0" t="s">
        <v>16031</v>
      </c>
      <c r="E5554" s="0" t="s">
        <v>16032</v>
      </c>
      <c r="G5554" s="0" t="s">
        <v>16033</v>
      </c>
      <c r="H5554" s="0" t="s">
        <v>654</v>
      </c>
      <c r="I5554" s="0" t="s">
        <v>655</v>
      </c>
      <c r="J5554" s="0" t="s">
        <v>100</v>
      </c>
      <c r="K5554" s="0" t="s">
        <v>168</v>
      </c>
      <c r="L5554" s="0" t="s">
        <v>101</v>
      </c>
      <c r="M5554" s="0" t="s">
        <v>656</v>
      </c>
      <c r="N5554" s="0" t="s">
        <v>101</v>
      </c>
      <c r="P5554" s="0" t="s">
        <v>102</v>
      </c>
      <c r="Q5554" s="0" t="s">
        <v>102</v>
      </c>
      <c r="R5554" s="0" t="s">
        <v>131</v>
      </c>
      <c r="S5554" s="0" t="s">
        <v>21</v>
      </c>
      <c r="T5554" s="0" t="s">
        <v>104</v>
      </c>
      <c r="W5554" s="0" t="s">
        <v>105</v>
      </c>
      <c r="X5554" s="0" t="s">
        <v>658</v>
      </c>
      <c r="Y5554" s="0" t="s">
        <v>659</v>
      </c>
    </row>
    <row r="5555" customFormat="false" ht="15" hidden="false" customHeight="false" outlineLevel="0" collapsed="false">
      <c r="A5555" s="0" t="s">
        <v>21</v>
      </c>
      <c r="B5555" s="0" t="s">
        <v>16034</v>
      </c>
      <c r="C5555" s="0" t="s">
        <v>97</v>
      </c>
      <c r="D5555" s="0" t="s">
        <v>16035</v>
      </c>
      <c r="E5555" s="0" t="s">
        <v>16036</v>
      </c>
      <c r="G5555" s="0" t="s">
        <v>16037</v>
      </c>
      <c r="H5555" s="0" t="s">
        <v>654</v>
      </c>
      <c r="I5555" s="0" t="s">
        <v>655</v>
      </c>
      <c r="J5555" s="0" t="s">
        <v>100</v>
      </c>
      <c r="K5555" s="0" t="s">
        <v>168</v>
      </c>
      <c r="L5555" s="0" t="s">
        <v>101</v>
      </c>
      <c r="M5555" s="0" t="s">
        <v>656</v>
      </c>
      <c r="N5555" s="0" t="s">
        <v>101</v>
      </c>
      <c r="P5555" s="0" t="s">
        <v>102</v>
      </c>
      <c r="Q5555" s="0" t="s">
        <v>102</v>
      </c>
      <c r="R5555" s="0" t="s">
        <v>131</v>
      </c>
      <c r="S5555" s="0" t="s">
        <v>21</v>
      </c>
      <c r="T5555" s="0" t="s">
        <v>104</v>
      </c>
      <c r="W5555" s="0" t="s">
        <v>105</v>
      </c>
      <c r="X5555" s="0" t="s">
        <v>658</v>
      </c>
      <c r="Y5555" s="0" t="s">
        <v>659</v>
      </c>
    </row>
    <row r="5556" customFormat="false" ht="15" hidden="false" customHeight="false" outlineLevel="0" collapsed="false">
      <c r="A5556" s="0" t="s">
        <v>21</v>
      </c>
      <c r="B5556" s="0" t="s">
        <v>16038</v>
      </c>
      <c r="C5556" s="0" t="s">
        <v>97</v>
      </c>
      <c r="D5556" s="0" t="s">
        <v>16039</v>
      </c>
      <c r="E5556" s="0" t="s">
        <v>16040</v>
      </c>
      <c r="M5556" s="0" t="s">
        <v>136</v>
      </c>
      <c r="N5556" s="0" t="s">
        <v>124</v>
      </c>
      <c r="P5556" s="0" t="s">
        <v>102</v>
      </c>
      <c r="Q5556" s="0" t="s">
        <v>102</v>
      </c>
      <c r="R5556" s="0" t="s">
        <v>131</v>
      </c>
      <c r="S5556" s="0" t="s">
        <v>21</v>
      </c>
      <c r="T5556" s="0" t="s">
        <v>104</v>
      </c>
      <c r="W5556" s="0" t="s">
        <v>105</v>
      </c>
    </row>
    <row r="5557" customFormat="false" ht="15" hidden="false" customHeight="false" outlineLevel="0" collapsed="false">
      <c r="A5557" s="0" t="s">
        <v>21</v>
      </c>
      <c r="B5557" s="0" t="s">
        <v>16041</v>
      </c>
      <c r="C5557" s="0" t="s">
        <v>97</v>
      </c>
      <c r="D5557" s="0" t="s">
        <v>16042</v>
      </c>
      <c r="E5557" s="0" t="s">
        <v>16043</v>
      </c>
      <c r="M5557" s="0" t="s">
        <v>136</v>
      </c>
      <c r="N5557" s="0" t="s">
        <v>124</v>
      </c>
      <c r="P5557" s="0" t="s">
        <v>102</v>
      </c>
      <c r="Q5557" s="0" t="s">
        <v>102</v>
      </c>
      <c r="R5557" s="0" t="s">
        <v>131</v>
      </c>
      <c r="S5557" s="0" t="s">
        <v>21</v>
      </c>
      <c r="T5557" s="0" t="s">
        <v>104</v>
      </c>
      <c r="W5557" s="0" t="s">
        <v>105</v>
      </c>
    </row>
    <row r="5558" customFormat="false" ht="15" hidden="false" customHeight="false" outlineLevel="0" collapsed="false">
      <c r="A5558" s="0" t="s">
        <v>21</v>
      </c>
      <c r="B5558" s="0" t="s">
        <v>16044</v>
      </c>
      <c r="C5558" s="0" t="s">
        <v>97</v>
      </c>
      <c r="D5558" s="0" t="s">
        <v>16045</v>
      </c>
      <c r="E5558" s="0" t="s">
        <v>16046</v>
      </c>
      <c r="M5558" s="0" t="s">
        <v>136</v>
      </c>
      <c r="N5558" s="0" t="s">
        <v>124</v>
      </c>
      <c r="P5558" s="0" t="s">
        <v>102</v>
      </c>
      <c r="Q5558" s="0" t="s">
        <v>102</v>
      </c>
      <c r="R5558" s="0" t="s">
        <v>131</v>
      </c>
      <c r="S5558" s="0" t="s">
        <v>21</v>
      </c>
      <c r="T5558" s="0" t="s">
        <v>104</v>
      </c>
      <c r="W5558" s="0" t="s">
        <v>105</v>
      </c>
    </row>
    <row r="5559" customFormat="false" ht="15" hidden="false" customHeight="false" outlineLevel="0" collapsed="false">
      <c r="A5559" s="0" t="s">
        <v>21</v>
      </c>
      <c r="B5559" s="0" t="s">
        <v>16047</v>
      </c>
      <c r="C5559" s="0" t="s">
        <v>97</v>
      </c>
      <c r="D5559" s="0" t="s">
        <v>8586</v>
      </c>
      <c r="E5559" s="0" t="s">
        <v>16048</v>
      </c>
      <c r="M5559" s="0" t="s">
        <v>136</v>
      </c>
      <c r="N5559" s="0" t="s">
        <v>124</v>
      </c>
      <c r="P5559" s="0" t="s">
        <v>102</v>
      </c>
      <c r="Q5559" s="0" t="s">
        <v>102</v>
      </c>
      <c r="R5559" s="0" t="s">
        <v>131</v>
      </c>
      <c r="S5559" s="0" t="s">
        <v>21</v>
      </c>
      <c r="T5559" s="0" t="s">
        <v>104</v>
      </c>
      <c r="W5559" s="0" t="s">
        <v>105</v>
      </c>
    </row>
    <row r="5560" customFormat="false" ht="15" hidden="false" customHeight="false" outlineLevel="0" collapsed="false">
      <c r="A5560" s="0" t="s">
        <v>21</v>
      </c>
      <c r="B5560" s="0" t="s">
        <v>16049</v>
      </c>
      <c r="C5560" s="0" t="s">
        <v>97</v>
      </c>
      <c r="D5560" s="0" t="s">
        <v>16050</v>
      </c>
      <c r="E5560" s="0" t="s">
        <v>16051</v>
      </c>
      <c r="M5560" s="0" t="s">
        <v>136</v>
      </c>
      <c r="N5560" s="0" t="s">
        <v>124</v>
      </c>
      <c r="P5560" s="0" t="s">
        <v>102</v>
      </c>
      <c r="Q5560" s="0" t="s">
        <v>102</v>
      </c>
      <c r="R5560" s="0" t="s">
        <v>131</v>
      </c>
      <c r="S5560" s="0" t="s">
        <v>21</v>
      </c>
      <c r="T5560" s="0" t="s">
        <v>104</v>
      </c>
      <c r="W5560" s="0" t="s">
        <v>105</v>
      </c>
    </row>
    <row r="5561" customFormat="false" ht="15" hidden="false" customHeight="false" outlineLevel="0" collapsed="false">
      <c r="A5561" s="0" t="s">
        <v>21</v>
      </c>
      <c r="B5561" s="0" t="s">
        <v>16052</v>
      </c>
      <c r="C5561" s="0" t="s">
        <v>97</v>
      </c>
      <c r="D5561" s="0" t="s">
        <v>16053</v>
      </c>
      <c r="E5561" s="0" t="s">
        <v>16054</v>
      </c>
      <c r="M5561" s="0" t="s">
        <v>136</v>
      </c>
      <c r="N5561" s="0" t="s">
        <v>124</v>
      </c>
      <c r="P5561" s="0" t="s">
        <v>102</v>
      </c>
      <c r="Q5561" s="0" t="s">
        <v>102</v>
      </c>
      <c r="R5561" s="0" t="s">
        <v>131</v>
      </c>
      <c r="S5561" s="0" t="s">
        <v>21</v>
      </c>
      <c r="T5561" s="0" t="s">
        <v>104</v>
      </c>
      <c r="W5561" s="0" t="s">
        <v>105</v>
      </c>
    </row>
    <row r="5562" customFormat="false" ht="15" hidden="false" customHeight="false" outlineLevel="0" collapsed="false">
      <c r="A5562" s="0" t="s">
        <v>21</v>
      </c>
      <c r="B5562" s="0" t="s">
        <v>16055</v>
      </c>
      <c r="C5562" s="0" t="s">
        <v>97</v>
      </c>
      <c r="D5562" s="0" t="s">
        <v>16056</v>
      </c>
      <c r="E5562" s="0" t="s">
        <v>16056</v>
      </c>
      <c r="M5562" s="0" t="s">
        <v>136</v>
      </c>
      <c r="N5562" s="0" t="s">
        <v>124</v>
      </c>
      <c r="P5562" s="0" t="s">
        <v>102</v>
      </c>
      <c r="Q5562" s="0" t="s">
        <v>102</v>
      </c>
      <c r="R5562" s="0" t="s">
        <v>131</v>
      </c>
      <c r="S5562" s="0" t="s">
        <v>21</v>
      </c>
      <c r="T5562" s="0" t="s">
        <v>104</v>
      </c>
      <c r="W5562" s="0" t="s">
        <v>105</v>
      </c>
    </row>
    <row r="5563" customFormat="false" ht="15" hidden="false" customHeight="false" outlineLevel="0" collapsed="false">
      <c r="A5563" s="0" t="s">
        <v>21</v>
      </c>
      <c r="B5563" s="0" t="s">
        <v>16057</v>
      </c>
      <c r="C5563" s="0" t="s">
        <v>97</v>
      </c>
      <c r="D5563" s="0" t="s">
        <v>16058</v>
      </c>
      <c r="E5563" s="0" t="s">
        <v>16059</v>
      </c>
      <c r="F5563" s="0" t="s">
        <v>16060</v>
      </c>
      <c r="G5563" s="0" t="s">
        <v>16061</v>
      </c>
      <c r="H5563" s="0" t="s">
        <v>16062</v>
      </c>
      <c r="I5563" s="0" t="s">
        <v>16063</v>
      </c>
      <c r="J5563" s="0" t="s">
        <v>16064</v>
      </c>
      <c r="K5563" s="0" t="s">
        <v>16065</v>
      </c>
      <c r="L5563" s="0" t="s">
        <v>101</v>
      </c>
      <c r="M5563" s="0" t="s">
        <v>16064</v>
      </c>
      <c r="N5563" s="0" t="s">
        <v>101</v>
      </c>
      <c r="P5563" s="0" t="s">
        <v>102</v>
      </c>
      <c r="Q5563" s="0" t="s">
        <v>102</v>
      </c>
      <c r="R5563" s="0" t="s">
        <v>131</v>
      </c>
      <c r="S5563" s="0" t="s">
        <v>21</v>
      </c>
      <c r="T5563" s="0" t="s">
        <v>104</v>
      </c>
      <c r="W5563" s="0" t="s">
        <v>105</v>
      </c>
      <c r="X5563" s="0" t="s">
        <v>16066</v>
      </c>
      <c r="Y5563" s="0" t="s">
        <v>16067</v>
      </c>
    </row>
    <row r="5564" customFormat="false" ht="15" hidden="false" customHeight="false" outlineLevel="0" collapsed="false">
      <c r="A5564" s="0" t="s">
        <v>21</v>
      </c>
      <c r="B5564" s="0" t="s">
        <v>16068</v>
      </c>
      <c r="C5564" s="0" t="s">
        <v>97</v>
      </c>
      <c r="D5564" s="0" t="s">
        <v>16069</v>
      </c>
      <c r="E5564" s="0" t="s">
        <v>16070</v>
      </c>
      <c r="H5564" s="0" t="s">
        <v>654</v>
      </c>
      <c r="I5564" s="0" t="s">
        <v>655</v>
      </c>
      <c r="J5564" s="0" t="s">
        <v>100</v>
      </c>
      <c r="K5564" s="0" t="s">
        <v>168</v>
      </c>
      <c r="L5564" s="0" t="s">
        <v>101</v>
      </c>
      <c r="M5564" s="0" t="s">
        <v>656</v>
      </c>
      <c r="N5564" s="0" t="s">
        <v>101</v>
      </c>
      <c r="P5564" s="0" t="s">
        <v>102</v>
      </c>
      <c r="Q5564" s="0" t="s">
        <v>102</v>
      </c>
      <c r="R5564" s="0" t="s">
        <v>131</v>
      </c>
      <c r="S5564" s="0" t="s">
        <v>21</v>
      </c>
      <c r="T5564" s="0" t="s">
        <v>104</v>
      </c>
      <c r="W5564" s="0" t="s">
        <v>105</v>
      </c>
      <c r="X5564" s="0" t="s">
        <v>658</v>
      </c>
      <c r="Y5564" s="0" t="s">
        <v>659</v>
      </c>
    </row>
    <row r="5565" customFormat="false" ht="15" hidden="false" customHeight="false" outlineLevel="0" collapsed="false">
      <c r="A5565" s="0" t="s">
        <v>21</v>
      </c>
      <c r="B5565" s="0" t="s">
        <v>16071</v>
      </c>
      <c r="C5565" s="0" t="s">
        <v>97</v>
      </c>
      <c r="D5565" s="0" t="s">
        <v>16072</v>
      </c>
      <c r="E5565" s="0" t="s">
        <v>16072</v>
      </c>
      <c r="M5565" s="0" t="s">
        <v>136</v>
      </c>
      <c r="N5565" s="0" t="s">
        <v>124</v>
      </c>
      <c r="P5565" s="0" t="s">
        <v>102</v>
      </c>
      <c r="Q5565" s="0" t="s">
        <v>102</v>
      </c>
      <c r="R5565" s="0" t="s">
        <v>131</v>
      </c>
      <c r="S5565" s="0" t="s">
        <v>21</v>
      </c>
      <c r="T5565" s="0" t="s">
        <v>104</v>
      </c>
      <c r="W5565" s="0" t="s">
        <v>105</v>
      </c>
    </row>
    <row r="5566" customFormat="false" ht="15" hidden="false" customHeight="false" outlineLevel="0" collapsed="false">
      <c r="A5566" s="0" t="s">
        <v>21</v>
      </c>
      <c r="B5566" s="0" t="s">
        <v>16073</v>
      </c>
      <c r="C5566" s="0" t="s">
        <v>4845</v>
      </c>
      <c r="D5566" s="0" t="s">
        <v>16074</v>
      </c>
      <c r="E5566" s="0" t="s">
        <v>16075</v>
      </c>
      <c r="G5566" s="0" t="s">
        <v>16076</v>
      </c>
      <c r="M5566" s="0" t="s">
        <v>511</v>
      </c>
      <c r="N5566" s="0" t="s">
        <v>101</v>
      </c>
      <c r="P5566" s="0" t="s">
        <v>102</v>
      </c>
      <c r="Q5566" s="0" t="s">
        <v>102</v>
      </c>
      <c r="R5566" s="0" t="s">
        <v>113</v>
      </c>
      <c r="S5566" s="0" t="s">
        <v>21</v>
      </c>
      <c r="T5566" s="0" t="s">
        <v>104</v>
      </c>
      <c r="W5566" s="0" t="s">
        <v>105</v>
      </c>
    </row>
    <row r="5567" customFormat="false" ht="15" hidden="false" customHeight="false" outlineLevel="0" collapsed="false">
      <c r="A5567" s="0" t="s">
        <v>21</v>
      </c>
      <c r="B5567" s="0" t="s">
        <v>16077</v>
      </c>
      <c r="C5567" s="0" t="s">
        <v>97</v>
      </c>
      <c r="D5567" s="0" t="s">
        <v>16078</v>
      </c>
      <c r="E5567" s="0" t="s">
        <v>16079</v>
      </c>
      <c r="H5567" s="0" t="s">
        <v>654</v>
      </c>
      <c r="I5567" s="0" t="s">
        <v>655</v>
      </c>
      <c r="J5567" s="0" t="s">
        <v>100</v>
      </c>
      <c r="K5567" s="0" t="s">
        <v>168</v>
      </c>
      <c r="L5567" s="0" t="s">
        <v>101</v>
      </c>
      <c r="M5567" s="0" t="s">
        <v>656</v>
      </c>
      <c r="N5567" s="0" t="s">
        <v>101</v>
      </c>
      <c r="P5567" s="0" t="s">
        <v>102</v>
      </c>
      <c r="Q5567" s="0" t="s">
        <v>102</v>
      </c>
      <c r="R5567" s="0" t="s">
        <v>144</v>
      </c>
      <c r="S5567" s="0" t="s">
        <v>21</v>
      </c>
      <c r="T5567" s="0" t="s">
        <v>104</v>
      </c>
      <c r="W5567" s="0" t="s">
        <v>105</v>
      </c>
      <c r="X5567" s="0" t="s">
        <v>658</v>
      </c>
      <c r="Y5567" s="0" t="s">
        <v>659</v>
      </c>
    </row>
    <row r="5568" customFormat="false" ht="15" hidden="false" customHeight="false" outlineLevel="0" collapsed="false">
      <c r="A5568" s="0" t="s">
        <v>21</v>
      </c>
      <c r="B5568" s="0" t="s">
        <v>16080</v>
      </c>
      <c r="C5568" s="0" t="s">
        <v>97</v>
      </c>
      <c r="D5568" s="0" t="s">
        <v>16081</v>
      </c>
      <c r="E5568" s="0" t="s">
        <v>16082</v>
      </c>
      <c r="M5568" s="0" t="s">
        <v>136</v>
      </c>
      <c r="N5568" s="0" t="s">
        <v>124</v>
      </c>
      <c r="P5568" s="0" t="s">
        <v>102</v>
      </c>
      <c r="Q5568" s="0" t="s">
        <v>102</v>
      </c>
      <c r="R5568" s="0" t="s">
        <v>131</v>
      </c>
      <c r="S5568" s="0" t="s">
        <v>21</v>
      </c>
      <c r="T5568" s="0" t="s">
        <v>104</v>
      </c>
      <c r="W5568" s="0" t="s">
        <v>105</v>
      </c>
    </row>
    <row r="5569" customFormat="false" ht="15" hidden="false" customHeight="false" outlineLevel="0" collapsed="false">
      <c r="A5569" s="0" t="s">
        <v>21</v>
      </c>
      <c r="B5569" s="0" t="s">
        <v>16083</v>
      </c>
      <c r="C5569" s="0" t="s">
        <v>97</v>
      </c>
      <c r="D5569" s="0" t="s">
        <v>16084</v>
      </c>
      <c r="E5569" s="0" t="s">
        <v>16085</v>
      </c>
      <c r="M5569" s="0" t="s">
        <v>136</v>
      </c>
      <c r="N5569" s="0" t="s">
        <v>124</v>
      </c>
      <c r="P5569" s="0" t="s">
        <v>102</v>
      </c>
      <c r="Q5569" s="0" t="s">
        <v>102</v>
      </c>
      <c r="R5569" s="0" t="s">
        <v>131</v>
      </c>
      <c r="S5569" s="0" t="s">
        <v>21</v>
      </c>
      <c r="T5569" s="0" t="s">
        <v>104</v>
      </c>
      <c r="W5569" s="0" t="s">
        <v>105</v>
      </c>
    </row>
    <row r="5570" customFormat="false" ht="15" hidden="false" customHeight="false" outlineLevel="0" collapsed="false">
      <c r="A5570" s="0" t="s">
        <v>21</v>
      </c>
      <c r="B5570" s="0" t="s">
        <v>16086</v>
      </c>
      <c r="C5570" s="0" t="s">
        <v>97</v>
      </c>
      <c r="D5570" s="0" t="s">
        <v>16087</v>
      </c>
      <c r="E5570" s="0" t="s">
        <v>16088</v>
      </c>
      <c r="H5570" s="0" t="s">
        <v>654</v>
      </c>
      <c r="I5570" s="0" t="s">
        <v>655</v>
      </c>
      <c r="J5570" s="0" t="s">
        <v>100</v>
      </c>
      <c r="K5570" s="0" t="s">
        <v>168</v>
      </c>
      <c r="L5570" s="0" t="s">
        <v>101</v>
      </c>
      <c r="M5570" s="0" t="s">
        <v>656</v>
      </c>
      <c r="N5570" s="0" t="s">
        <v>101</v>
      </c>
      <c r="P5570" s="0" t="s">
        <v>102</v>
      </c>
      <c r="Q5570" s="0" t="s">
        <v>102</v>
      </c>
      <c r="R5570" s="0" t="s">
        <v>113</v>
      </c>
      <c r="S5570" s="0" t="s">
        <v>21</v>
      </c>
      <c r="T5570" s="0" t="s">
        <v>104</v>
      </c>
      <c r="W5570" s="0" t="s">
        <v>105</v>
      </c>
      <c r="X5570" s="0" t="s">
        <v>658</v>
      </c>
      <c r="Y5570" s="0" t="s">
        <v>659</v>
      </c>
    </row>
    <row r="5571" customFormat="false" ht="15" hidden="false" customHeight="false" outlineLevel="0" collapsed="false">
      <c r="A5571" s="0" t="s">
        <v>21</v>
      </c>
      <c r="B5571" s="0" t="s">
        <v>16089</v>
      </c>
      <c r="C5571" s="0" t="s">
        <v>97</v>
      </c>
      <c r="D5571" s="0" t="s">
        <v>16090</v>
      </c>
      <c r="E5571" s="0" t="s">
        <v>16091</v>
      </c>
      <c r="G5571" s="0" t="s">
        <v>16092</v>
      </c>
      <c r="M5571" s="0" t="s">
        <v>456</v>
      </c>
      <c r="N5571" s="0" t="s">
        <v>101</v>
      </c>
      <c r="P5571" s="0" t="s">
        <v>102</v>
      </c>
      <c r="Q5571" s="0" t="s">
        <v>102</v>
      </c>
      <c r="R5571" s="0" t="s">
        <v>113</v>
      </c>
      <c r="S5571" s="0" t="s">
        <v>21</v>
      </c>
      <c r="T5571" s="0" t="s">
        <v>104</v>
      </c>
      <c r="W5571" s="0" t="s">
        <v>105</v>
      </c>
    </row>
    <row r="5572" customFormat="false" ht="15" hidden="false" customHeight="false" outlineLevel="0" collapsed="false">
      <c r="A5572" s="0" t="s">
        <v>21</v>
      </c>
      <c r="B5572" s="0" t="s">
        <v>16093</v>
      </c>
      <c r="C5572" s="0" t="s">
        <v>6647</v>
      </c>
      <c r="D5572" s="0" t="s">
        <v>16094</v>
      </c>
      <c r="E5572" s="0" t="s">
        <v>16095</v>
      </c>
      <c r="G5572" s="0" t="s">
        <v>16096</v>
      </c>
      <c r="H5572" s="0" t="s">
        <v>16097</v>
      </c>
      <c r="I5572" s="0" t="s">
        <v>16098</v>
      </c>
      <c r="K5572" s="0" t="s">
        <v>16099</v>
      </c>
      <c r="M5572" s="0" t="s">
        <v>16100</v>
      </c>
      <c r="N5572" s="0" t="s">
        <v>101</v>
      </c>
      <c r="P5572" s="0" t="s">
        <v>102</v>
      </c>
      <c r="Q5572" s="0" t="s">
        <v>102</v>
      </c>
      <c r="R5572" s="0" t="s">
        <v>137</v>
      </c>
      <c r="S5572" s="0" t="s">
        <v>21</v>
      </c>
      <c r="T5572" s="0" t="s">
        <v>104</v>
      </c>
      <c r="W5572" s="0" t="s">
        <v>105</v>
      </c>
    </row>
    <row r="5573" customFormat="false" ht="15" hidden="false" customHeight="false" outlineLevel="0" collapsed="false">
      <c r="A5573" s="0" t="s">
        <v>21</v>
      </c>
      <c r="B5573" s="0" t="s">
        <v>16101</v>
      </c>
      <c r="C5573" s="0" t="s">
        <v>4845</v>
      </c>
      <c r="D5573" s="0" t="s">
        <v>16102</v>
      </c>
      <c r="E5573" s="0" t="s">
        <v>16103</v>
      </c>
      <c r="G5573" s="0" t="s">
        <v>16104</v>
      </c>
      <c r="M5573" s="0" t="s">
        <v>16100</v>
      </c>
      <c r="N5573" s="0" t="s">
        <v>101</v>
      </c>
      <c r="P5573" s="0" t="s">
        <v>102</v>
      </c>
      <c r="Q5573" s="0" t="s">
        <v>102</v>
      </c>
      <c r="R5573" s="0" t="s">
        <v>113</v>
      </c>
      <c r="S5573" s="0" t="s">
        <v>21</v>
      </c>
      <c r="T5573" s="0" t="s">
        <v>104</v>
      </c>
      <c r="W5573" s="0" t="s">
        <v>105</v>
      </c>
    </row>
    <row r="5574" customFormat="false" ht="15" hidden="false" customHeight="false" outlineLevel="0" collapsed="false">
      <c r="A5574" s="0" t="s">
        <v>21</v>
      </c>
      <c r="B5574" s="0" t="s">
        <v>16105</v>
      </c>
      <c r="C5574" s="0" t="s">
        <v>97</v>
      </c>
      <c r="D5574" s="0" t="s">
        <v>16106</v>
      </c>
      <c r="E5574" s="0" t="s">
        <v>16106</v>
      </c>
      <c r="M5574" s="0" t="s">
        <v>442</v>
      </c>
      <c r="N5574" s="0" t="s">
        <v>101</v>
      </c>
      <c r="P5574" s="0" t="s">
        <v>102</v>
      </c>
      <c r="Q5574" s="0" t="s">
        <v>102</v>
      </c>
      <c r="R5574" s="0" t="s">
        <v>131</v>
      </c>
      <c r="S5574" s="0" t="s">
        <v>21</v>
      </c>
      <c r="T5574" s="0" t="s">
        <v>104</v>
      </c>
      <c r="W5574" s="0" t="s">
        <v>105</v>
      </c>
    </row>
    <row r="5575" customFormat="false" ht="15" hidden="false" customHeight="false" outlineLevel="0" collapsed="false">
      <c r="A5575" s="0" t="s">
        <v>21</v>
      </c>
      <c r="B5575" s="0" t="s">
        <v>16107</v>
      </c>
      <c r="C5575" s="0" t="s">
        <v>97</v>
      </c>
      <c r="D5575" s="0" t="s">
        <v>1569</v>
      </c>
      <c r="E5575" s="0" t="s">
        <v>16108</v>
      </c>
      <c r="H5575" s="0" t="s">
        <v>16109</v>
      </c>
      <c r="I5575" s="0" t="s">
        <v>6509</v>
      </c>
      <c r="J5575" s="0" t="s">
        <v>366</v>
      </c>
      <c r="K5575" s="0" t="s">
        <v>1565</v>
      </c>
      <c r="L5575" s="0" t="s">
        <v>101</v>
      </c>
      <c r="M5575" s="0" t="s">
        <v>366</v>
      </c>
      <c r="N5575" s="0" t="s">
        <v>101</v>
      </c>
      <c r="P5575" s="0" t="s">
        <v>102</v>
      </c>
      <c r="Q5575" s="0" t="s">
        <v>102</v>
      </c>
      <c r="R5575" s="0" t="s">
        <v>113</v>
      </c>
      <c r="S5575" s="0" t="s">
        <v>21</v>
      </c>
      <c r="T5575" s="0" t="s">
        <v>104</v>
      </c>
      <c r="W5575" s="0" t="s">
        <v>105</v>
      </c>
      <c r="X5575" s="0" t="s">
        <v>16110</v>
      </c>
      <c r="Y5575" s="0" t="s">
        <v>16111</v>
      </c>
    </row>
    <row r="5576" customFormat="false" ht="15" hidden="false" customHeight="false" outlineLevel="0" collapsed="false">
      <c r="A5576" s="0" t="s">
        <v>21</v>
      </c>
      <c r="B5576" s="0" t="s">
        <v>16112</v>
      </c>
      <c r="C5576" s="0" t="s">
        <v>110</v>
      </c>
      <c r="D5576" s="0" t="s">
        <v>3770</v>
      </c>
      <c r="E5576" s="0" t="s">
        <v>12869</v>
      </c>
      <c r="G5576" s="0" t="s">
        <v>16113</v>
      </c>
      <c r="H5576" s="0" t="s">
        <v>654</v>
      </c>
      <c r="I5576" s="0" t="s">
        <v>655</v>
      </c>
      <c r="J5576" s="0" t="s">
        <v>100</v>
      </c>
      <c r="K5576" s="0" t="s">
        <v>168</v>
      </c>
      <c r="L5576" s="0" t="s">
        <v>101</v>
      </c>
      <c r="M5576" s="0" t="s">
        <v>656</v>
      </c>
      <c r="N5576" s="0" t="s">
        <v>101</v>
      </c>
      <c r="P5576" s="0" t="s">
        <v>102</v>
      </c>
      <c r="Q5576" s="0" t="s">
        <v>102</v>
      </c>
      <c r="R5576" s="0" t="s">
        <v>137</v>
      </c>
      <c r="S5576" s="0" t="s">
        <v>21</v>
      </c>
      <c r="T5576" s="0" t="s">
        <v>104</v>
      </c>
      <c r="W5576" s="0" t="s">
        <v>105</v>
      </c>
      <c r="X5576" s="0" t="s">
        <v>658</v>
      </c>
      <c r="Y5576" s="0" t="s">
        <v>659</v>
      </c>
    </row>
    <row r="5577" customFormat="false" ht="15" hidden="false" customHeight="false" outlineLevel="0" collapsed="false">
      <c r="A5577" s="0" t="s">
        <v>21</v>
      </c>
      <c r="B5577" s="0" t="s">
        <v>16114</v>
      </c>
      <c r="C5577" s="0" t="s">
        <v>97</v>
      </c>
      <c r="D5577" s="0" t="s">
        <v>7497</v>
      </c>
      <c r="E5577" s="0" t="s">
        <v>16115</v>
      </c>
      <c r="M5577" s="0" t="s">
        <v>247</v>
      </c>
      <c r="N5577" s="0" t="s">
        <v>124</v>
      </c>
      <c r="P5577" s="0" t="s">
        <v>1044</v>
      </c>
      <c r="Q5577" s="0" t="s">
        <v>1044</v>
      </c>
      <c r="R5577" s="0" t="s">
        <v>248</v>
      </c>
      <c r="S5577" s="0" t="s">
        <v>21</v>
      </c>
      <c r="T5577" s="0" t="s">
        <v>104</v>
      </c>
      <c r="U5577" s="0" t="s">
        <v>368</v>
      </c>
      <c r="W5577" s="0" t="s">
        <v>105</v>
      </c>
      <c r="X5577" s="0" t="s">
        <v>16116</v>
      </c>
      <c r="Y5577" s="0" t="s">
        <v>16117</v>
      </c>
      <c r="Z5577" s="0" t="s">
        <v>134</v>
      </c>
    </row>
    <row r="5578" customFormat="false" ht="15" hidden="false" customHeight="false" outlineLevel="0" collapsed="false">
      <c r="A5578" s="0" t="s">
        <v>21</v>
      </c>
      <c r="B5578" s="0" t="s">
        <v>16118</v>
      </c>
      <c r="C5578" s="0" t="s">
        <v>97</v>
      </c>
      <c r="D5578" s="0" t="s">
        <v>16119</v>
      </c>
      <c r="E5578" s="0" t="s">
        <v>16120</v>
      </c>
      <c r="M5578" s="0" t="s">
        <v>136</v>
      </c>
      <c r="N5578" s="0" t="s">
        <v>124</v>
      </c>
      <c r="P5578" s="0" t="s">
        <v>102</v>
      </c>
      <c r="Q5578" s="0" t="s">
        <v>102</v>
      </c>
      <c r="R5578" s="0" t="s">
        <v>131</v>
      </c>
      <c r="S5578" s="0" t="s">
        <v>21</v>
      </c>
      <c r="T5578" s="0" t="s">
        <v>104</v>
      </c>
      <c r="W5578" s="0" t="s">
        <v>105</v>
      </c>
    </row>
    <row r="5579" customFormat="false" ht="15" hidden="false" customHeight="false" outlineLevel="0" collapsed="false">
      <c r="A5579" s="0" t="s">
        <v>21</v>
      </c>
      <c r="B5579" s="0" t="s">
        <v>16121</v>
      </c>
      <c r="C5579" s="0" t="s">
        <v>97</v>
      </c>
      <c r="D5579" s="0" t="s">
        <v>16122</v>
      </c>
      <c r="E5579" s="0" t="s">
        <v>16123</v>
      </c>
      <c r="F5579" s="0" t="s">
        <v>16123</v>
      </c>
      <c r="M5579" s="0" t="s">
        <v>100</v>
      </c>
      <c r="N5579" s="0" t="s">
        <v>101</v>
      </c>
      <c r="P5579" s="0" t="s">
        <v>102</v>
      </c>
      <c r="Q5579" s="0" t="s">
        <v>102</v>
      </c>
      <c r="R5579" s="0" t="s">
        <v>113</v>
      </c>
      <c r="S5579" s="0" t="s">
        <v>21</v>
      </c>
      <c r="T5579" s="0" t="s">
        <v>104</v>
      </c>
      <c r="W5579" s="0" t="s">
        <v>105</v>
      </c>
    </row>
    <row r="5580" customFormat="false" ht="15" hidden="false" customHeight="false" outlineLevel="0" collapsed="false">
      <c r="A5580" s="0" t="s">
        <v>21</v>
      </c>
      <c r="B5580" s="0" t="s">
        <v>16124</v>
      </c>
      <c r="C5580" s="0" t="s">
        <v>2145</v>
      </c>
      <c r="D5580" s="0" t="s">
        <v>16125</v>
      </c>
      <c r="M5580" s="0" t="s">
        <v>247</v>
      </c>
      <c r="N5580" s="0" t="s">
        <v>124</v>
      </c>
      <c r="P5580" s="0" t="s">
        <v>130</v>
      </c>
      <c r="Q5580" s="0" t="s">
        <v>130</v>
      </c>
      <c r="R5580" s="0" t="s">
        <v>144</v>
      </c>
      <c r="S5580" s="0" t="s">
        <v>21</v>
      </c>
      <c r="T5580" s="0" t="s">
        <v>104</v>
      </c>
      <c r="W5580" s="0" t="s">
        <v>105</v>
      </c>
    </row>
    <row r="5581" customFormat="false" ht="15" hidden="false" customHeight="false" outlineLevel="0" collapsed="false">
      <c r="A5581" s="0" t="s">
        <v>21</v>
      </c>
      <c r="B5581" s="0" t="s">
        <v>16126</v>
      </c>
      <c r="C5581" s="0" t="s">
        <v>116</v>
      </c>
      <c r="D5581" s="0" t="s">
        <v>16127</v>
      </c>
      <c r="E5581" s="0" t="s">
        <v>16128</v>
      </c>
      <c r="G5581" s="0" t="s">
        <v>16129</v>
      </c>
      <c r="M5581" s="0" t="s">
        <v>456</v>
      </c>
      <c r="N5581" s="0" t="s">
        <v>101</v>
      </c>
      <c r="P5581" s="0" t="s">
        <v>102</v>
      </c>
      <c r="Q5581" s="0" t="s">
        <v>102</v>
      </c>
      <c r="R5581" s="0" t="s">
        <v>113</v>
      </c>
      <c r="S5581" s="0" t="s">
        <v>21</v>
      </c>
      <c r="T5581" s="0" t="s">
        <v>104</v>
      </c>
      <c r="W5581" s="0" t="s">
        <v>105</v>
      </c>
    </row>
    <row r="5582" customFormat="false" ht="15" hidden="false" customHeight="false" outlineLevel="0" collapsed="false">
      <c r="A5582" s="0" t="s">
        <v>21</v>
      </c>
      <c r="B5582" s="0" t="s">
        <v>16130</v>
      </c>
      <c r="C5582" s="0" t="s">
        <v>97</v>
      </c>
      <c r="D5582" s="0" t="s">
        <v>16131</v>
      </c>
      <c r="E5582" s="0" t="s">
        <v>16132</v>
      </c>
      <c r="M5582" s="0" t="s">
        <v>456</v>
      </c>
      <c r="N5582" s="0" t="s">
        <v>101</v>
      </c>
      <c r="P5582" s="0" t="s">
        <v>102</v>
      </c>
      <c r="Q5582" s="0" t="s">
        <v>102</v>
      </c>
      <c r="R5582" s="0" t="s">
        <v>113</v>
      </c>
      <c r="S5582" s="0" t="s">
        <v>21</v>
      </c>
      <c r="T5582" s="0" t="s">
        <v>104</v>
      </c>
      <c r="W5582" s="0" t="s">
        <v>105</v>
      </c>
    </row>
    <row r="5583" customFormat="false" ht="15" hidden="false" customHeight="false" outlineLevel="0" collapsed="false">
      <c r="A5583" s="0" t="s">
        <v>21</v>
      </c>
      <c r="B5583" s="0" t="s">
        <v>16133</v>
      </c>
      <c r="C5583" s="0" t="s">
        <v>97</v>
      </c>
      <c r="D5583" s="0" t="s">
        <v>16134</v>
      </c>
      <c r="E5583" s="0" t="s">
        <v>16135</v>
      </c>
      <c r="H5583" s="0" t="s">
        <v>654</v>
      </c>
      <c r="I5583" s="0" t="s">
        <v>655</v>
      </c>
      <c r="J5583" s="0" t="s">
        <v>100</v>
      </c>
      <c r="K5583" s="0" t="s">
        <v>168</v>
      </c>
      <c r="L5583" s="0" t="s">
        <v>101</v>
      </c>
      <c r="M5583" s="0" t="s">
        <v>656</v>
      </c>
      <c r="N5583" s="0" t="s">
        <v>101</v>
      </c>
      <c r="P5583" s="0" t="s">
        <v>102</v>
      </c>
      <c r="Q5583" s="0" t="s">
        <v>102</v>
      </c>
      <c r="R5583" s="0" t="s">
        <v>144</v>
      </c>
      <c r="S5583" s="0" t="s">
        <v>21</v>
      </c>
      <c r="T5583" s="0" t="s">
        <v>104</v>
      </c>
      <c r="W5583" s="0" t="s">
        <v>105</v>
      </c>
      <c r="X5583" s="0" t="s">
        <v>658</v>
      </c>
      <c r="Y5583" s="0" t="s">
        <v>659</v>
      </c>
    </row>
    <row r="5584" customFormat="false" ht="15" hidden="false" customHeight="false" outlineLevel="0" collapsed="false">
      <c r="A5584" s="0" t="s">
        <v>21</v>
      </c>
      <c r="B5584" s="0" t="s">
        <v>16136</v>
      </c>
      <c r="C5584" s="0" t="s">
        <v>4034</v>
      </c>
      <c r="D5584" s="0" t="s">
        <v>16137</v>
      </c>
      <c r="E5584" s="0" t="s">
        <v>16137</v>
      </c>
      <c r="M5584" s="0" t="s">
        <v>220</v>
      </c>
      <c r="N5584" s="0" t="s">
        <v>124</v>
      </c>
      <c r="P5584" s="0" t="s">
        <v>130</v>
      </c>
      <c r="Q5584" s="0" t="s">
        <v>130</v>
      </c>
      <c r="R5584" s="0" t="s">
        <v>113</v>
      </c>
      <c r="S5584" s="0" t="s">
        <v>21</v>
      </c>
      <c r="T5584" s="0" t="s">
        <v>104</v>
      </c>
      <c r="W5584" s="0" t="s">
        <v>105</v>
      </c>
    </row>
    <row r="5585" customFormat="false" ht="15" hidden="false" customHeight="false" outlineLevel="0" collapsed="false">
      <c r="A5585" s="0" t="s">
        <v>21</v>
      </c>
      <c r="B5585" s="0" t="s">
        <v>16138</v>
      </c>
      <c r="C5585" s="0" t="s">
        <v>97</v>
      </c>
      <c r="D5585" s="0" t="s">
        <v>16139</v>
      </c>
      <c r="E5585" s="0" t="s">
        <v>16140</v>
      </c>
      <c r="M5585" s="0" t="s">
        <v>656</v>
      </c>
      <c r="N5585" s="0" t="s">
        <v>101</v>
      </c>
      <c r="P5585" s="0" t="s">
        <v>102</v>
      </c>
      <c r="Q5585" s="0" t="s">
        <v>102</v>
      </c>
      <c r="R5585" s="0" t="s">
        <v>137</v>
      </c>
      <c r="S5585" s="0" t="s">
        <v>21</v>
      </c>
      <c r="T5585" s="0" t="s">
        <v>104</v>
      </c>
      <c r="W5585" s="0" t="s">
        <v>105</v>
      </c>
      <c r="AB5585" s="0" t="s">
        <v>832</v>
      </c>
    </row>
    <row r="5586" customFormat="false" ht="15" hidden="false" customHeight="false" outlineLevel="0" collapsed="false">
      <c r="A5586" s="0" t="s">
        <v>21</v>
      </c>
      <c r="B5586" s="0" t="s">
        <v>16141</v>
      </c>
      <c r="C5586" s="0" t="s">
        <v>97</v>
      </c>
      <c r="D5586" s="0" t="s">
        <v>16142</v>
      </c>
      <c r="E5586" s="0" t="s">
        <v>16142</v>
      </c>
      <c r="F5586" s="0" t="s">
        <v>16142</v>
      </c>
      <c r="M5586" s="0" t="s">
        <v>100</v>
      </c>
      <c r="N5586" s="0" t="s">
        <v>101</v>
      </c>
      <c r="P5586" s="0" t="s">
        <v>102</v>
      </c>
      <c r="Q5586" s="0" t="s">
        <v>102</v>
      </c>
      <c r="R5586" s="0" t="s">
        <v>131</v>
      </c>
      <c r="S5586" s="0" t="s">
        <v>21</v>
      </c>
      <c r="T5586" s="0" t="s">
        <v>104</v>
      </c>
      <c r="W5586" s="0" t="s">
        <v>105</v>
      </c>
    </row>
    <row r="5587" customFormat="false" ht="15" hidden="false" customHeight="false" outlineLevel="0" collapsed="false">
      <c r="A5587" s="0" t="s">
        <v>21</v>
      </c>
      <c r="B5587" s="0" t="s">
        <v>16143</v>
      </c>
      <c r="C5587" s="0" t="s">
        <v>97</v>
      </c>
      <c r="D5587" s="0" t="s">
        <v>16144</v>
      </c>
      <c r="E5587" s="0" t="s">
        <v>16144</v>
      </c>
      <c r="M5587" s="0" t="s">
        <v>136</v>
      </c>
      <c r="N5587" s="0" t="s">
        <v>124</v>
      </c>
      <c r="P5587" s="0" t="s">
        <v>102</v>
      </c>
      <c r="Q5587" s="0" t="s">
        <v>102</v>
      </c>
      <c r="R5587" s="0" t="s">
        <v>131</v>
      </c>
      <c r="S5587" s="0" t="s">
        <v>21</v>
      </c>
      <c r="T5587" s="0" t="s">
        <v>104</v>
      </c>
      <c r="W5587" s="0" t="s">
        <v>105</v>
      </c>
    </row>
    <row r="5588" customFormat="false" ht="15" hidden="false" customHeight="false" outlineLevel="0" collapsed="false">
      <c r="A5588" s="0" t="s">
        <v>21</v>
      </c>
      <c r="B5588" s="0" t="s">
        <v>16145</v>
      </c>
      <c r="C5588" s="0" t="s">
        <v>97</v>
      </c>
      <c r="D5588" s="0" t="s">
        <v>16146</v>
      </c>
      <c r="E5588" s="0" t="s">
        <v>7087</v>
      </c>
      <c r="G5588" s="0" t="s">
        <v>16147</v>
      </c>
      <c r="H5588" s="0" t="s">
        <v>654</v>
      </c>
      <c r="I5588" s="0" t="s">
        <v>655</v>
      </c>
      <c r="J5588" s="0" t="s">
        <v>100</v>
      </c>
      <c r="K5588" s="0" t="s">
        <v>168</v>
      </c>
      <c r="L5588" s="0" t="s">
        <v>101</v>
      </c>
      <c r="M5588" s="0" t="s">
        <v>656</v>
      </c>
      <c r="N5588" s="0" t="s">
        <v>101</v>
      </c>
      <c r="P5588" s="0" t="s">
        <v>102</v>
      </c>
      <c r="Q5588" s="0" t="s">
        <v>102</v>
      </c>
      <c r="R5588" s="0" t="s">
        <v>131</v>
      </c>
      <c r="S5588" s="0" t="s">
        <v>21</v>
      </c>
      <c r="T5588" s="0" t="s">
        <v>104</v>
      </c>
      <c r="W5588" s="0" t="s">
        <v>105</v>
      </c>
      <c r="X5588" s="0" t="s">
        <v>658</v>
      </c>
      <c r="Y5588" s="0" t="s">
        <v>659</v>
      </c>
    </row>
    <row r="5589" customFormat="false" ht="15" hidden="false" customHeight="false" outlineLevel="0" collapsed="false">
      <c r="A5589" s="0" t="s">
        <v>21</v>
      </c>
      <c r="B5589" s="0" t="s">
        <v>16148</v>
      </c>
      <c r="C5589" s="0" t="s">
        <v>97</v>
      </c>
      <c r="D5589" s="0" t="s">
        <v>4758</v>
      </c>
      <c r="E5589" s="0" t="s">
        <v>16149</v>
      </c>
      <c r="H5589" s="0" t="s">
        <v>654</v>
      </c>
      <c r="I5589" s="0" t="s">
        <v>655</v>
      </c>
      <c r="J5589" s="0" t="s">
        <v>100</v>
      </c>
      <c r="K5589" s="0" t="s">
        <v>168</v>
      </c>
      <c r="L5589" s="0" t="s">
        <v>101</v>
      </c>
      <c r="M5589" s="0" t="s">
        <v>656</v>
      </c>
      <c r="N5589" s="0" t="s">
        <v>101</v>
      </c>
      <c r="P5589" s="0" t="s">
        <v>102</v>
      </c>
      <c r="Q5589" s="0" t="s">
        <v>102</v>
      </c>
      <c r="R5589" s="0" t="s">
        <v>137</v>
      </c>
      <c r="S5589" s="0" t="s">
        <v>21</v>
      </c>
      <c r="T5589" s="0" t="s">
        <v>104</v>
      </c>
      <c r="W5589" s="0" t="s">
        <v>105</v>
      </c>
      <c r="X5589" s="0" t="s">
        <v>658</v>
      </c>
      <c r="Y5589" s="0" t="s">
        <v>659</v>
      </c>
    </row>
    <row r="5590" customFormat="false" ht="15" hidden="false" customHeight="false" outlineLevel="0" collapsed="false">
      <c r="A5590" s="0" t="s">
        <v>21</v>
      </c>
      <c r="B5590" s="0" t="s">
        <v>16150</v>
      </c>
      <c r="C5590" s="0" t="s">
        <v>97</v>
      </c>
      <c r="D5590" s="0" t="s">
        <v>16151</v>
      </c>
      <c r="E5590" s="0" t="s">
        <v>16152</v>
      </c>
      <c r="H5590" s="0" t="s">
        <v>654</v>
      </c>
      <c r="I5590" s="0" t="s">
        <v>655</v>
      </c>
      <c r="J5590" s="0" t="s">
        <v>100</v>
      </c>
      <c r="K5590" s="0" t="s">
        <v>168</v>
      </c>
      <c r="L5590" s="0" t="s">
        <v>101</v>
      </c>
      <c r="M5590" s="0" t="s">
        <v>656</v>
      </c>
      <c r="N5590" s="0" t="s">
        <v>101</v>
      </c>
      <c r="P5590" s="0" t="s">
        <v>102</v>
      </c>
      <c r="Q5590" s="0" t="s">
        <v>102</v>
      </c>
      <c r="R5590" s="0" t="s">
        <v>144</v>
      </c>
      <c r="S5590" s="0" t="s">
        <v>21</v>
      </c>
      <c r="T5590" s="0" t="s">
        <v>104</v>
      </c>
      <c r="W5590" s="0" t="s">
        <v>105</v>
      </c>
      <c r="X5590" s="0" t="s">
        <v>658</v>
      </c>
      <c r="Y5590" s="0" t="s">
        <v>659</v>
      </c>
    </row>
    <row r="5591" customFormat="false" ht="15" hidden="false" customHeight="false" outlineLevel="0" collapsed="false">
      <c r="A5591" s="0" t="s">
        <v>21</v>
      </c>
      <c r="B5591" s="0" t="s">
        <v>16153</v>
      </c>
      <c r="C5591" s="0" t="s">
        <v>97</v>
      </c>
      <c r="D5591" s="0" t="s">
        <v>16151</v>
      </c>
      <c r="E5591" s="0" t="s">
        <v>16154</v>
      </c>
      <c r="M5591" s="0" t="s">
        <v>100</v>
      </c>
      <c r="N5591" s="0" t="s">
        <v>101</v>
      </c>
      <c r="P5591" s="0" t="s">
        <v>102</v>
      </c>
      <c r="Q5591" s="0" t="s">
        <v>102</v>
      </c>
      <c r="R5591" s="0" t="s">
        <v>144</v>
      </c>
      <c r="S5591" s="0" t="s">
        <v>21</v>
      </c>
      <c r="T5591" s="0" t="s">
        <v>104</v>
      </c>
      <c r="W5591" s="0" t="s">
        <v>105</v>
      </c>
    </row>
    <row r="5592" customFormat="false" ht="15" hidden="false" customHeight="false" outlineLevel="0" collapsed="false">
      <c r="A5592" s="0" t="s">
        <v>21</v>
      </c>
      <c r="B5592" s="0" t="s">
        <v>16155</v>
      </c>
      <c r="C5592" s="0" t="s">
        <v>97</v>
      </c>
      <c r="D5592" s="0" t="s">
        <v>16156</v>
      </c>
      <c r="E5592" s="0" t="s">
        <v>16157</v>
      </c>
      <c r="F5592" s="0" t="s">
        <v>16157</v>
      </c>
      <c r="M5592" s="0" t="s">
        <v>1273</v>
      </c>
      <c r="N5592" s="0" t="s">
        <v>101</v>
      </c>
      <c r="P5592" s="0" t="s">
        <v>102</v>
      </c>
      <c r="Q5592" s="0" t="s">
        <v>102</v>
      </c>
      <c r="R5592" s="0" t="s">
        <v>113</v>
      </c>
      <c r="S5592" s="0" t="s">
        <v>21</v>
      </c>
      <c r="T5592" s="0" t="s">
        <v>104</v>
      </c>
      <c r="W5592" s="0" t="s">
        <v>105</v>
      </c>
    </row>
    <row r="5593" customFormat="false" ht="15" hidden="false" customHeight="false" outlineLevel="0" collapsed="false">
      <c r="A5593" s="0" t="s">
        <v>21</v>
      </c>
      <c r="B5593" s="0" t="s">
        <v>16158</v>
      </c>
      <c r="C5593" s="0" t="s">
        <v>661</v>
      </c>
      <c r="D5593" s="0" t="s">
        <v>16159</v>
      </c>
      <c r="E5593" s="0" t="s">
        <v>16160</v>
      </c>
      <c r="G5593" s="0" t="s">
        <v>16161</v>
      </c>
      <c r="M5593" s="0" t="s">
        <v>456</v>
      </c>
      <c r="N5593" s="0" t="s">
        <v>101</v>
      </c>
      <c r="P5593" s="0" t="s">
        <v>12429</v>
      </c>
      <c r="Q5593" s="0" t="s">
        <v>12429</v>
      </c>
      <c r="R5593" s="0" t="s">
        <v>12429</v>
      </c>
      <c r="S5593" s="0" t="s">
        <v>21</v>
      </c>
      <c r="T5593" s="0" t="s">
        <v>104</v>
      </c>
      <c r="W5593" s="0" t="s">
        <v>183</v>
      </c>
    </row>
    <row r="5594" customFormat="false" ht="15" hidden="false" customHeight="false" outlineLevel="0" collapsed="false">
      <c r="A5594" s="0" t="s">
        <v>21</v>
      </c>
      <c r="B5594" s="0" t="s">
        <v>16158</v>
      </c>
      <c r="C5594" s="0" t="s">
        <v>661</v>
      </c>
      <c r="D5594" s="0" t="s">
        <v>16159</v>
      </c>
      <c r="E5594" s="0" t="s">
        <v>16160</v>
      </c>
      <c r="G5594" s="0" t="s">
        <v>16161</v>
      </c>
      <c r="M5594" s="0" t="s">
        <v>456</v>
      </c>
      <c r="N5594" s="0" t="s">
        <v>101</v>
      </c>
      <c r="P5594" s="0" t="s">
        <v>130</v>
      </c>
      <c r="Q5594" s="0" t="s">
        <v>130</v>
      </c>
      <c r="R5594" s="0" t="s">
        <v>113</v>
      </c>
      <c r="S5594" s="0" t="s">
        <v>21</v>
      </c>
      <c r="T5594" s="0" t="s">
        <v>104</v>
      </c>
      <c r="W5594" s="0" t="s">
        <v>105</v>
      </c>
    </row>
    <row r="5595" customFormat="false" ht="15" hidden="false" customHeight="false" outlineLevel="0" collapsed="false">
      <c r="A5595" s="0" t="s">
        <v>21</v>
      </c>
      <c r="B5595" s="0" t="s">
        <v>16162</v>
      </c>
      <c r="C5595" s="0" t="s">
        <v>661</v>
      </c>
      <c r="D5595" s="0" t="s">
        <v>16163</v>
      </c>
      <c r="E5595" s="0" t="s">
        <v>16164</v>
      </c>
      <c r="G5595" s="0" t="s">
        <v>16165</v>
      </c>
      <c r="M5595" s="0" t="s">
        <v>456</v>
      </c>
      <c r="N5595" s="0" t="s">
        <v>101</v>
      </c>
      <c r="P5595" s="0" t="s">
        <v>12429</v>
      </c>
      <c r="Q5595" s="0" t="s">
        <v>12429</v>
      </c>
      <c r="R5595" s="0" t="s">
        <v>12429</v>
      </c>
      <c r="S5595" s="0" t="s">
        <v>21</v>
      </c>
      <c r="T5595" s="0" t="s">
        <v>104</v>
      </c>
      <c r="W5595" s="0" t="s">
        <v>183</v>
      </c>
    </row>
    <row r="5596" customFormat="false" ht="15" hidden="false" customHeight="false" outlineLevel="0" collapsed="false">
      <c r="A5596" s="0" t="s">
        <v>21</v>
      </c>
      <c r="B5596" s="0" t="s">
        <v>16162</v>
      </c>
      <c r="C5596" s="0" t="s">
        <v>661</v>
      </c>
      <c r="D5596" s="0" t="s">
        <v>16163</v>
      </c>
      <c r="E5596" s="0" t="s">
        <v>16164</v>
      </c>
      <c r="G5596" s="0" t="s">
        <v>16165</v>
      </c>
      <c r="M5596" s="0" t="s">
        <v>456</v>
      </c>
      <c r="N5596" s="0" t="s">
        <v>101</v>
      </c>
      <c r="P5596" s="0" t="s">
        <v>130</v>
      </c>
      <c r="Q5596" s="0" t="s">
        <v>130</v>
      </c>
      <c r="R5596" s="0" t="s">
        <v>113</v>
      </c>
      <c r="S5596" s="0" t="s">
        <v>21</v>
      </c>
      <c r="T5596" s="0" t="s">
        <v>104</v>
      </c>
      <c r="W5596" s="0" t="s">
        <v>105</v>
      </c>
    </row>
    <row r="5597" customFormat="false" ht="15" hidden="false" customHeight="false" outlineLevel="0" collapsed="false">
      <c r="A5597" s="0" t="s">
        <v>21</v>
      </c>
      <c r="B5597" s="0" t="s">
        <v>16166</v>
      </c>
      <c r="C5597" s="0" t="s">
        <v>661</v>
      </c>
      <c r="D5597" s="0" t="s">
        <v>16167</v>
      </c>
      <c r="E5597" s="0" t="s">
        <v>16168</v>
      </c>
      <c r="G5597" s="0" t="s">
        <v>16169</v>
      </c>
      <c r="M5597" s="0" t="s">
        <v>456</v>
      </c>
      <c r="N5597" s="0" t="s">
        <v>101</v>
      </c>
      <c r="P5597" s="0" t="s">
        <v>12429</v>
      </c>
      <c r="Q5597" s="0" t="s">
        <v>12429</v>
      </c>
      <c r="R5597" s="0" t="s">
        <v>12429</v>
      </c>
      <c r="S5597" s="0" t="s">
        <v>21</v>
      </c>
      <c r="T5597" s="0" t="s">
        <v>104</v>
      </c>
      <c r="W5597" s="0" t="s">
        <v>183</v>
      </c>
    </row>
    <row r="5598" customFormat="false" ht="15" hidden="false" customHeight="false" outlineLevel="0" collapsed="false">
      <c r="A5598" s="0" t="s">
        <v>21</v>
      </c>
      <c r="B5598" s="0" t="s">
        <v>16166</v>
      </c>
      <c r="C5598" s="0" t="s">
        <v>661</v>
      </c>
      <c r="D5598" s="0" t="s">
        <v>16167</v>
      </c>
      <c r="E5598" s="0" t="s">
        <v>16168</v>
      </c>
      <c r="G5598" s="0" t="s">
        <v>16169</v>
      </c>
      <c r="M5598" s="0" t="s">
        <v>456</v>
      </c>
      <c r="N5598" s="0" t="s">
        <v>101</v>
      </c>
      <c r="P5598" s="0" t="s">
        <v>130</v>
      </c>
      <c r="Q5598" s="0" t="s">
        <v>130</v>
      </c>
      <c r="R5598" s="0" t="s">
        <v>113</v>
      </c>
      <c r="S5598" s="0" t="s">
        <v>21</v>
      </c>
      <c r="T5598" s="0" t="s">
        <v>104</v>
      </c>
      <c r="W5598" s="0" t="s">
        <v>105</v>
      </c>
    </row>
    <row r="5599" customFormat="false" ht="15" hidden="false" customHeight="false" outlineLevel="0" collapsed="false">
      <c r="A5599" s="0" t="s">
        <v>21</v>
      </c>
      <c r="B5599" s="0" t="s">
        <v>16170</v>
      </c>
      <c r="C5599" s="0" t="s">
        <v>211</v>
      </c>
      <c r="D5599" s="0" t="s">
        <v>13592</v>
      </c>
      <c r="E5599" s="0" t="s">
        <v>13592</v>
      </c>
      <c r="M5599" s="0" t="s">
        <v>178</v>
      </c>
      <c r="N5599" s="0" t="s">
        <v>124</v>
      </c>
      <c r="P5599" s="0" t="s">
        <v>102</v>
      </c>
      <c r="Q5599" s="0" t="s">
        <v>102</v>
      </c>
      <c r="R5599" s="0" t="s">
        <v>113</v>
      </c>
      <c r="S5599" s="0" t="s">
        <v>21</v>
      </c>
      <c r="T5599" s="0" t="s">
        <v>104</v>
      </c>
      <c r="W5599" s="0" t="s">
        <v>105</v>
      </c>
    </row>
    <row r="5600" customFormat="false" ht="15" hidden="false" customHeight="false" outlineLevel="0" collapsed="false">
      <c r="A5600" s="0" t="s">
        <v>21</v>
      </c>
      <c r="B5600" s="0" t="s">
        <v>16171</v>
      </c>
      <c r="C5600" s="0" t="s">
        <v>97</v>
      </c>
      <c r="D5600" s="0" t="s">
        <v>16172</v>
      </c>
      <c r="E5600" s="0" t="s">
        <v>16173</v>
      </c>
      <c r="M5600" s="0" t="s">
        <v>136</v>
      </c>
      <c r="N5600" s="0" t="s">
        <v>124</v>
      </c>
      <c r="P5600" s="0" t="s">
        <v>102</v>
      </c>
      <c r="Q5600" s="0" t="s">
        <v>102</v>
      </c>
      <c r="R5600" s="0" t="s">
        <v>131</v>
      </c>
      <c r="S5600" s="0" t="s">
        <v>21</v>
      </c>
      <c r="T5600" s="0" t="s">
        <v>104</v>
      </c>
      <c r="W5600" s="0" t="s">
        <v>105</v>
      </c>
    </row>
    <row r="5601" customFormat="false" ht="15" hidden="false" customHeight="false" outlineLevel="0" collapsed="false">
      <c r="A5601" s="0" t="s">
        <v>21</v>
      </c>
      <c r="B5601" s="0" t="s">
        <v>16174</v>
      </c>
      <c r="C5601" s="0" t="s">
        <v>97</v>
      </c>
      <c r="D5601" s="0" t="s">
        <v>16175</v>
      </c>
      <c r="E5601" s="0" t="s">
        <v>16176</v>
      </c>
      <c r="M5601" s="0" t="s">
        <v>136</v>
      </c>
      <c r="N5601" s="0" t="s">
        <v>124</v>
      </c>
      <c r="P5601" s="0" t="s">
        <v>102</v>
      </c>
      <c r="Q5601" s="0" t="s">
        <v>102</v>
      </c>
      <c r="R5601" s="0" t="s">
        <v>113</v>
      </c>
      <c r="S5601" s="0" t="s">
        <v>21</v>
      </c>
      <c r="T5601" s="0" t="s">
        <v>104</v>
      </c>
      <c r="W5601" s="0" t="s">
        <v>105</v>
      </c>
    </row>
    <row r="5602" customFormat="false" ht="15" hidden="false" customHeight="false" outlineLevel="0" collapsed="false">
      <c r="A5602" s="0" t="s">
        <v>21</v>
      </c>
      <c r="B5602" s="0" t="s">
        <v>16177</v>
      </c>
      <c r="C5602" s="0" t="s">
        <v>97</v>
      </c>
      <c r="D5602" s="0" t="s">
        <v>16178</v>
      </c>
      <c r="E5602" s="0" t="s">
        <v>16179</v>
      </c>
      <c r="M5602" s="0" t="s">
        <v>136</v>
      </c>
      <c r="N5602" s="0" t="s">
        <v>124</v>
      </c>
      <c r="P5602" s="0" t="s">
        <v>102</v>
      </c>
      <c r="Q5602" s="0" t="s">
        <v>102</v>
      </c>
      <c r="R5602" s="0" t="s">
        <v>113</v>
      </c>
      <c r="S5602" s="0" t="s">
        <v>21</v>
      </c>
      <c r="T5602" s="0" t="s">
        <v>104</v>
      </c>
      <c r="W5602" s="0" t="s">
        <v>105</v>
      </c>
    </row>
    <row r="5603" customFormat="false" ht="15" hidden="false" customHeight="false" outlineLevel="0" collapsed="false">
      <c r="A5603" s="0" t="s">
        <v>21</v>
      </c>
      <c r="B5603" s="0" t="s">
        <v>16180</v>
      </c>
      <c r="C5603" s="0" t="s">
        <v>97</v>
      </c>
      <c r="D5603" s="0" t="s">
        <v>16181</v>
      </c>
      <c r="E5603" s="0" t="s">
        <v>16182</v>
      </c>
      <c r="M5603" s="0" t="s">
        <v>136</v>
      </c>
      <c r="N5603" s="0" t="s">
        <v>124</v>
      </c>
      <c r="P5603" s="0" t="s">
        <v>102</v>
      </c>
      <c r="Q5603" s="0" t="s">
        <v>102</v>
      </c>
      <c r="R5603" s="0" t="s">
        <v>131</v>
      </c>
      <c r="S5603" s="0" t="s">
        <v>21</v>
      </c>
      <c r="T5603" s="0" t="s">
        <v>104</v>
      </c>
      <c r="W5603" s="0" t="s">
        <v>105</v>
      </c>
    </row>
    <row r="5604" customFormat="false" ht="15" hidden="false" customHeight="false" outlineLevel="0" collapsed="false">
      <c r="A5604" s="0" t="s">
        <v>21</v>
      </c>
      <c r="B5604" s="0" t="s">
        <v>16183</v>
      </c>
      <c r="C5604" s="0" t="s">
        <v>97</v>
      </c>
      <c r="D5604" s="0" t="s">
        <v>16184</v>
      </c>
      <c r="E5604" s="0" t="s">
        <v>16185</v>
      </c>
      <c r="M5604" s="0" t="s">
        <v>136</v>
      </c>
      <c r="N5604" s="0" t="s">
        <v>124</v>
      </c>
      <c r="P5604" s="0" t="s">
        <v>102</v>
      </c>
      <c r="Q5604" s="0" t="s">
        <v>102</v>
      </c>
      <c r="R5604" s="0" t="s">
        <v>131</v>
      </c>
      <c r="S5604" s="0" t="s">
        <v>21</v>
      </c>
      <c r="T5604" s="0" t="s">
        <v>104</v>
      </c>
      <c r="W5604" s="0" t="s">
        <v>105</v>
      </c>
    </row>
    <row r="5605" customFormat="false" ht="15" hidden="false" customHeight="false" outlineLevel="0" collapsed="false">
      <c r="A5605" s="0" t="s">
        <v>21</v>
      </c>
      <c r="B5605" s="0" t="s">
        <v>16186</v>
      </c>
      <c r="C5605" s="0" t="s">
        <v>97</v>
      </c>
      <c r="D5605" s="0" t="s">
        <v>16187</v>
      </c>
      <c r="E5605" s="0" t="s">
        <v>16188</v>
      </c>
      <c r="M5605" s="0" t="s">
        <v>100</v>
      </c>
      <c r="N5605" s="0" t="s">
        <v>101</v>
      </c>
      <c r="P5605" s="0" t="s">
        <v>102</v>
      </c>
      <c r="Q5605" s="0" t="s">
        <v>102</v>
      </c>
      <c r="R5605" s="0" t="s">
        <v>804</v>
      </c>
      <c r="S5605" s="0" t="s">
        <v>21</v>
      </c>
      <c r="T5605" s="0" t="s">
        <v>104</v>
      </c>
      <c r="W5605" s="0" t="s">
        <v>105</v>
      </c>
    </row>
    <row r="5606" customFormat="false" ht="28.35" hidden="false" customHeight="false" outlineLevel="0" collapsed="false">
      <c r="A5606" s="0" t="s">
        <v>21</v>
      </c>
      <c r="B5606" s="0" t="s">
        <v>16189</v>
      </c>
      <c r="C5606" s="0" t="s">
        <v>6084</v>
      </c>
      <c r="D5606" s="0" t="s">
        <v>16190</v>
      </c>
      <c r="E5606" s="0" t="s">
        <v>16191</v>
      </c>
      <c r="H5606" s="9" t="s">
        <v>16192</v>
      </c>
      <c r="I5606" s="0" t="s">
        <v>16193</v>
      </c>
      <c r="J5606" s="0" t="s">
        <v>157</v>
      </c>
      <c r="K5606" s="0" t="s">
        <v>16194</v>
      </c>
      <c r="M5606" s="0" t="s">
        <v>16193</v>
      </c>
      <c r="N5606" s="0" t="s">
        <v>124</v>
      </c>
      <c r="P5606" s="0" t="s">
        <v>102</v>
      </c>
      <c r="Q5606" s="0" t="s">
        <v>102</v>
      </c>
      <c r="R5606" s="0" t="s">
        <v>804</v>
      </c>
      <c r="S5606" s="0" t="s">
        <v>21</v>
      </c>
      <c r="T5606" s="0" t="s">
        <v>104</v>
      </c>
      <c r="W5606" s="0" t="s">
        <v>105</v>
      </c>
      <c r="X5606" s="0" t="s">
        <v>16195</v>
      </c>
      <c r="Y5606" s="0" t="s">
        <v>16196</v>
      </c>
      <c r="Z5606" s="0" t="s">
        <v>4513</v>
      </c>
    </row>
    <row r="5607" customFormat="false" ht="15" hidden="false" customHeight="false" outlineLevel="0" collapsed="false">
      <c r="A5607" s="0" t="s">
        <v>21</v>
      </c>
      <c r="B5607" s="0" t="s">
        <v>16197</v>
      </c>
      <c r="C5607" s="0" t="s">
        <v>6084</v>
      </c>
      <c r="D5607" s="0" t="s">
        <v>4128</v>
      </c>
      <c r="E5607" s="0" t="s">
        <v>16198</v>
      </c>
      <c r="H5607" s="0" t="s">
        <v>16199</v>
      </c>
      <c r="I5607" s="0" t="s">
        <v>16200</v>
      </c>
      <c r="J5607" s="0" t="s">
        <v>157</v>
      </c>
      <c r="K5607" s="0" t="s">
        <v>16201</v>
      </c>
      <c r="M5607" s="0" t="s">
        <v>16200</v>
      </c>
      <c r="N5607" s="0" t="s">
        <v>124</v>
      </c>
      <c r="P5607" s="0" t="s">
        <v>102</v>
      </c>
      <c r="Q5607" s="0" t="s">
        <v>102</v>
      </c>
      <c r="R5607" s="0" t="s">
        <v>804</v>
      </c>
      <c r="S5607" s="0" t="s">
        <v>21</v>
      </c>
      <c r="T5607" s="0" t="s">
        <v>104</v>
      </c>
      <c r="W5607" s="0" t="s">
        <v>105</v>
      </c>
      <c r="X5607" s="0" t="s">
        <v>16202</v>
      </c>
      <c r="Y5607" s="0" t="s">
        <v>16203</v>
      </c>
      <c r="Z5607" s="0" t="s">
        <v>350</v>
      </c>
    </row>
    <row r="5608" customFormat="false" ht="15" hidden="false" customHeight="false" outlineLevel="0" collapsed="false">
      <c r="A5608" s="0" t="s">
        <v>21</v>
      </c>
      <c r="B5608" s="0" t="s">
        <v>16204</v>
      </c>
      <c r="C5608" s="0" t="s">
        <v>97</v>
      </c>
      <c r="D5608" s="0" t="s">
        <v>16205</v>
      </c>
      <c r="E5608" s="0" t="s">
        <v>16206</v>
      </c>
      <c r="M5608" s="0" t="s">
        <v>136</v>
      </c>
      <c r="N5608" s="0" t="s">
        <v>124</v>
      </c>
      <c r="P5608" s="0" t="s">
        <v>102</v>
      </c>
      <c r="Q5608" s="0" t="s">
        <v>102</v>
      </c>
      <c r="R5608" s="0" t="s">
        <v>804</v>
      </c>
      <c r="S5608" s="0" t="s">
        <v>21</v>
      </c>
      <c r="T5608" s="0" t="s">
        <v>104</v>
      </c>
      <c r="W5608" s="0" t="s">
        <v>105</v>
      </c>
    </row>
    <row r="5609" customFormat="false" ht="15" hidden="false" customHeight="false" outlineLevel="0" collapsed="false">
      <c r="A5609" s="0" t="s">
        <v>21</v>
      </c>
      <c r="B5609" s="0" t="s">
        <v>16207</v>
      </c>
      <c r="C5609" s="0" t="s">
        <v>97</v>
      </c>
      <c r="D5609" s="0" t="s">
        <v>16208</v>
      </c>
      <c r="E5609" s="0" t="s">
        <v>16209</v>
      </c>
      <c r="H5609" s="0" t="s">
        <v>16210</v>
      </c>
      <c r="I5609" s="0" t="s">
        <v>1392</v>
      </c>
      <c r="J5609" s="0" t="s">
        <v>1392</v>
      </c>
      <c r="K5609" s="0" t="s">
        <v>3033</v>
      </c>
      <c r="L5609" s="0" t="s">
        <v>101</v>
      </c>
      <c r="M5609" s="0" t="s">
        <v>1392</v>
      </c>
      <c r="N5609" s="0" t="s">
        <v>101</v>
      </c>
      <c r="P5609" s="0" t="s">
        <v>102</v>
      </c>
      <c r="Q5609" s="0" t="s">
        <v>102</v>
      </c>
      <c r="R5609" s="0" t="s">
        <v>113</v>
      </c>
      <c r="S5609" s="0" t="s">
        <v>21</v>
      </c>
      <c r="T5609" s="0" t="s">
        <v>104</v>
      </c>
      <c r="W5609" s="0" t="s">
        <v>105</v>
      </c>
      <c r="X5609" s="0" t="s">
        <v>16211</v>
      </c>
      <c r="Y5609" s="0" t="s">
        <v>16212</v>
      </c>
    </row>
    <row r="5610" customFormat="false" ht="15" hidden="false" customHeight="false" outlineLevel="0" collapsed="false">
      <c r="A5610" s="0" t="s">
        <v>21</v>
      </c>
      <c r="B5610" s="0" t="s">
        <v>16213</v>
      </c>
      <c r="C5610" s="0" t="s">
        <v>5503</v>
      </c>
      <c r="E5610" s="0" t="s">
        <v>16214</v>
      </c>
      <c r="G5610" s="0" t="s">
        <v>16215</v>
      </c>
      <c r="H5610" s="0" t="s">
        <v>5578</v>
      </c>
      <c r="I5610" s="0" t="s">
        <v>5579</v>
      </c>
      <c r="J5610" s="0" t="s">
        <v>157</v>
      </c>
      <c r="K5610" s="0" t="s">
        <v>5529</v>
      </c>
      <c r="L5610" s="0" t="s">
        <v>124</v>
      </c>
      <c r="M5610" s="0" t="s">
        <v>232</v>
      </c>
      <c r="N5610" s="0" t="s">
        <v>124</v>
      </c>
      <c r="P5610" s="0" t="s">
        <v>130</v>
      </c>
      <c r="Q5610" s="0" t="s">
        <v>130</v>
      </c>
      <c r="R5610" s="0" t="s">
        <v>131</v>
      </c>
      <c r="S5610" s="0" t="s">
        <v>21</v>
      </c>
      <c r="T5610" s="0" t="s">
        <v>104</v>
      </c>
      <c r="W5610" s="0" t="s">
        <v>105</v>
      </c>
      <c r="X5610" s="0" t="s">
        <v>16216</v>
      </c>
      <c r="Y5610" s="0" t="s">
        <v>16217</v>
      </c>
    </row>
    <row r="5611" customFormat="false" ht="15" hidden="false" customHeight="false" outlineLevel="0" collapsed="false">
      <c r="A5611" s="0" t="s">
        <v>21</v>
      </c>
      <c r="B5611" s="0" t="s">
        <v>16218</v>
      </c>
      <c r="C5611" s="0" t="s">
        <v>661</v>
      </c>
      <c r="D5611" s="0" t="s">
        <v>1994</v>
      </c>
      <c r="E5611" s="0" t="s">
        <v>1994</v>
      </c>
      <c r="M5611" s="0" t="s">
        <v>178</v>
      </c>
      <c r="N5611" s="0" t="s">
        <v>124</v>
      </c>
      <c r="P5611" s="0" t="s">
        <v>102</v>
      </c>
      <c r="Q5611" s="0" t="s">
        <v>102</v>
      </c>
      <c r="R5611" s="0" t="s">
        <v>131</v>
      </c>
      <c r="S5611" s="0" t="s">
        <v>21</v>
      </c>
      <c r="T5611" s="0" t="s">
        <v>104</v>
      </c>
      <c r="W5611" s="0" t="s">
        <v>105</v>
      </c>
    </row>
    <row r="5612" customFormat="false" ht="15" hidden="false" customHeight="false" outlineLevel="0" collapsed="false">
      <c r="A5612" s="0" t="s">
        <v>21</v>
      </c>
      <c r="B5612" s="0" t="s">
        <v>16219</v>
      </c>
      <c r="C5612" s="0" t="s">
        <v>97</v>
      </c>
      <c r="D5612" s="0" t="s">
        <v>16220</v>
      </c>
      <c r="E5612" s="0" t="s">
        <v>16221</v>
      </c>
      <c r="M5612" s="0" t="s">
        <v>136</v>
      </c>
      <c r="N5612" s="0" t="s">
        <v>124</v>
      </c>
      <c r="P5612" s="0" t="s">
        <v>102</v>
      </c>
      <c r="Q5612" s="0" t="s">
        <v>102</v>
      </c>
      <c r="R5612" s="0" t="s">
        <v>113</v>
      </c>
      <c r="S5612" s="0" t="s">
        <v>21</v>
      </c>
      <c r="T5612" s="0" t="s">
        <v>104</v>
      </c>
      <c r="W5612" s="0" t="s">
        <v>105</v>
      </c>
    </row>
    <row r="5613" customFormat="false" ht="15" hidden="false" customHeight="false" outlineLevel="0" collapsed="false">
      <c r="A5613" s="0" t="s">
        <v>21</v>
      </c>
      <c r="B5613" s="0" t="s">
        <v>16222</v>
      </c>
      <c r="C5613" s="0" t="s">
        <v>97</v>
      </c>
      <c r="D5613" s="0" t="s">
        <v>16223</v>
      </c>
      <c r="E5613" s="0" t="s">
        <v>16224</v>
      </c>
      <c r="M5613" s="0" t="s">
        <v>136</v>
      </c>
      <c r="N5613" s="0" t="s">
        <v>124</v>
      </c>
      <c r="P5613" s="0" t="s">
        <v>102</v>
      </c>
      <c r="Q5613" s="0" t="s">
        <v>102</v>
      </c>
      <c r="R5613" s="0" t="s">
        <v>113</v>
      </c>
      <c r="S5613" s="0" t="s">
        <v>21</v>
      </c>
      <c r="T5613" s="0" t="s">
        <v>104</v>
      </c>
      <c r="W5613" s="0" t="s">
        <v>105</v>
      </c>
    </row>
    <row r="5614" customFormat="false" ht="15" hidden="false" customHeight="false" outlineLevel="0" collapsed="false">
      <c r="A5614" s="0" t="s">
        <v>21</v>
      </c>
      <c r="B5614" s="0" t="s">
        <v>16225</v>
      </c>
      <c r="C5614" s="0" t="s">
        <v>97</v>
      </c>
      <c r="D5614" s="0" t="s">
        <v>16226</v>
      </c>
      <c r="E5614" s="0" t="s">
        <v>16227</v>
      </c>
      <c r="M5614" s="0" t="s">
        <v>136</v>
      </c>
      <c r="N5614" s="0" t="s">
        <v>124</v>
      </c>
      <c r="P5614" s="0" t="s">
        <v>102</v>
      </c>
      <c r="Q5614" s="0" t="s">
        <v>102</v>
      </c>
      <c r="R5614" s="0" t="s">
        <v>144</v>
      </c>
      <c r="S5614" s="0" t="s">
        <v>21</v>
      </c>
      <c r="T5614" s="0" t="s">
        <v>104</v>
      </c>
      <c r="W5614" s="0" t="s">
        <v>105</v>
      </c>
    </row>
    <row r="5615" customFormat="false" ht="15" hidden="false" customHeight="false" outlineLevel="0" collapsed="false">
      <c r="A5615" s="0" t="s">
        <v>21</v>
      </c>
      <c r="B5615" s="0" t="s">
        <v>16228</v>
      </c>
      <c r="C5615" s="0" t="s">
        <v>97</v>
      </c>
      <c r="D5615" s="0" t="s">
        <v>16229</v>
      </c>
      <c r="E5615" s="0" t="s">
        <v>16230</v>
      </c>
      <c r="M5615" s="0" t="s">
        <v>136</v>
      </c>
      <c r="N5615" s="0" t="s">
        <v>124</v>
      </c>
      <c r="P5615" s="0" t="s">
        <v>102</v>
      </c>
      <c r="Q5615" s="0" t="s">
        <v>102</v>
      </c>
      <c r="R5615" s="0" t="s">
        <v>144</v>
      </c>
      <c r="S5615" s="0" t="s">
        <v>21</v>
      </c>
      <c r="T5615" s="0" t="s">
        <v>104</v>
      </c>
      <c r="W5615" s="0" t="s">
        <v>105</v>
      </c>
    </row>
    <row r="5616" customFormat="false" ht="15" hidden="false" customHeight="false" outlineLevel="0" collapsed="false">
      <c r="A5616" s="0" t="s">
        <v>21</v>
      </c>
      <c r="B5616" s="0" t="s">
        <v>16231</v>
      </c>
      <c r="C5616" s="0" t="s">
        <v>97</v>
      </c>
      <c r="D5616" s="0" t="s">
        <v>9505</v>
      </c>
      <c r="E5616" s="0" t="s">
        <v>16232</v>
      </c>
      <c r="M5616" s="0" t="s">
        <v>232</v>
      </c>
      <c r="N5616" s="0" t="s">
        <v>124</v>
      </c>
      <c r="P5616" s="0" t="s">
        <v>102</v>
      </c>
      <c r="Q5616" s="0" t="s">
        <v>102</v>
      </c>
      <c r="R5616" s="0" t="s">
        <v>3947</v>
      </c>
      <c r="S5616" s="0" t="s">
        <v>21</v>
      </c>
      <c r="T5616" s="0" t="s">
        <v>104</v>
      </c>
      <c r="W5616" s="0" t="s">
        <v>105</v>
      </c>
      <c r="X5616" s="0" t="s">
        <v>2798</v>
      </c>
      <c r="Y5616" s="0" t="s">
        <v>2799</v>
      </c>
      <c r="Z5616" s="0" t="s">
        <v>159</v>
      </c>
    </row>
    <row r="5617" customFormat="false" ht="15" hidden="false" customHeight="false" outlineLevel="0" collapsed="false">
      <c r="A5617" s="0" t="s">
        <v>21</v>
      </c>
      <c r="B5617" s="0" t="s">
        <v>16233</v>
      </c>
      <c r="C5617" s="0" t="s">
        <v>97</v>
      </c>
      <c r="D5617" s="0" t="s">
        <v>16234</v>
      </c>
      <c r="E5617" s="0" t="s">
        <v>16235</v>
      </c>
      <c r="M5617" s="0" t="s">
        <v>136</v>
      </c>
      <c r="N5617" s="0" t="s">
        <v>124</v>
      </c>
      <c r="P5617" s="0" t="s">
        <v>102</v>
      </c>
      <c r="Q5617" s="0" t="s">
        <v>102</v>
      </c>
      <c r="R5617" s="0" t="s">
        <v>113</v>
      </c>
      <c r="S5617" s="0" t="s">
        <v>21</v>
      </c>
      <c r="T5617" s="0" t="s">
        <v>104</v>
      </c>
      <c r="W5617" s="0" t="s">
        <v>105</v>
      </c>
    </row>
    <row r="5618" customFormat="false" ht="15" hidden="false" customHeight="false" outlineLevel="0" collapsed="false">
      <c r="A5618" s="0" t="s">
        <v>21</v>
      </c>
      <c r="B5618" s="0" t="s">
        <v>16236</v>
      </c>
      <c r="C5618" s="0" t="s">
        <v>110</v>
      </c>
      <c r="D5618" s="0" t="s">
        <v>16237</v>
      </c>
      <c r="G5618" s="0" t="s">
        <v>16238</v>
      </c>
      <c r="H5618" s="0" t="s">
        <v>16239</v>
      </c>
      <c r="I5618" s="0" t="s">
        <v>598</v>
      </c>
      <c r="J5618" s="0" t="s">
        <v>275</v>
      </c>
      <c r="L5618" s="0" t="s">
        <v>124</v>
      </c>
      <c r="M5618" s="0" t="s">
        <v>178</v>
      </c>
      <c r="N5618" s="0" t="s">
        <v>124</v>
      </c>
      <c r="P5618" s="0" t="s">
        <v>102</v>
      </c>
      <c r="Q5618" s="0" t="s">
        <v>102</v>
      </c>
      <c r="R5618" s="0" t="s">
        <v>131</v>
      </c>
      <c r="S5618" s="0" t="s">
        <v>21</v>
      </c>
      <c r="T5618" s="0" t="s">
        <v>104</v>
      </c>
      <c r="W5618" s="0" t="s">
        <v>105</v>
      </c>
      <c r="X5618" s="0" t="s">
        <v>3608</v>
      </c>
      <c r="Y5618" s="0" t="s">
        <v>3609</v>
      </c>
      <c r="Z5618" s="0" t="s">
        <v>134</v>
      </c>
    </row>
    <row r="5619" customFormat="false" ht="15" hidden="false" customHeight="false" outlineLevel="0" collapsed="false">
      <c r="A5619" s="0" t="s">
        <v>21</v>
      </c>
      <c r="B5619" s="0" t="s">
        <v>16240</v>
      </c>
      <c r="C5619" s="0" t="s">
        <v>97</v>
      </c>
      <c r="D5619" s="0" t="s">
        <v>16241</v>
      </c>
      <c r="E5619" s="0" t="s">
        <v>16242</v>
      </c>
      <c r="H5619" s="0" t="s">
        <v>654</v>
      </c>
      <c r="I5619" s="0" t="s">
        <v>655</v>
      </c>
      <c r="J5619" s="0" t="s">
        <v>100</v>
      </c>
      <c r="K5619" s="0" t="s">
        <v>168</v>
      </c>
      <c r="L5619" s="0" t="s">
        <v>101</v>
      </c>
      <c r="M5619" s="0" t="s">
        <v>656</v>
      </c>
      <c r="N5619" s="0" t="s">
        <v>101</v>
      </c>
      <c r="P5619" s="0" t="s">
        <v>102</v>
      </c>
      <c r="Q5619" s="0" t="s">
        <v>102</v>
      </c>
      <c r="R5619" s="0" t="s">
        <v>113</v>
      </c>
      <c r="S5619" s="0" t="s">
        <v>21</v>
      </c>
      <c r="T5619" s="0" t="s">
        <v>104</v>
      </c>
      <c r="W5619" s="0" t="s">
        <v>105</v>
      </c>
      <c r="X5619" s="0" t="s">
        <v>658</v>
      </c>
      <c r="Y5619" s="0" t="s">
        <v>659</v>
      </c>
    </row>
    <row r="5620" customFormat="false" ht="15" hidden="false" customHeight="false" outlineLevel="0" collapsed="false">
      <c r="A5620" s="0" t="s">
        <v>21</v>
      </c>
      <c r="B5620" s="0" t="s">
        <v>16243</v>
      </c>
      <c r="C5620" s="0" t="s">
        <v>97</v>
      </c>
      <c r="D5620" s="0" t="s">
        <v>16244</v>
      </c>
      <c r="E5620" s="0" t="s">
        <v>16245</v>
      </c>
      <c r="M5620" s="0" t="s">
        <v>136</v>
      </c>
      <c r="N5620" s="0" t="s">
        <v>124</v>
      </c>
      <c r="P5620" s="0" t="s">
        <v>102</v>
      </c>
      <c r="Q5620" s="0" t="s">
        <v>102</v>
      </c>
      <c r="R5620" s="0" t="s">
        <v>131</v>
      </c>
      <c r="S5620" s="0" t="s">
        <v>21</v>
      </c>
      <c r="T5620" s="0" t="s">
        <v>104</v>
      </c>
      <c r="W5620" s="0" t="s">
        <v>105</v>
      </c>
    </row>
    <row r="5621" customFormat="false" ht="15" hidden="false" customHeight="false" outlineLevel="0" collapsed="false">
      <c r="A5621" s="0" t="s">
        <v>21</v>
      </c>
      <c r="B5621" s="0" t="s">
        <v>16246</v>
      </c>
      <c r="C5621" s="0" t="s">
        <v>97</v>
      </c>
      <c r="D5621" s="0" t="s">
        <v>16247</v>
      </c>
      <c r="E5621" s="0" t="s">
        <v>16248</v>
      </c>
      <c r="G5621" s="0" t="s">
        <v>16249</v>
      </c>
      <c r="M5621" s="0" t="s">
        <v>442</v>
      </c>
      <c r="N5621" s="0" t="s">
        <v>101</v>
      </c>
      <c r="P5621" s="0" t="s">
        <v>102</v>
      </c>
      <c r="Q5621" s="0" t="s">
        <v>102</v>
      </c>
      <c r="R5621" s="0" t="s">
        <v>131</v>
      </c>
      <c r="S5621" s="0" t="s">
        <v>21</v>
      </c>
      <c r="T5621" s="0" t="s">
        <v>104</v>
      </c>
      <c r="W5621" s="0" t="s">
        <v>105</v>
      </c>
    </row>
    <row r="5622" customFormat="false" ht="15" hidden="false" customHeight="false" outlineLevel="0" collapsed="false">
      <c r="A5622" s="0" t="s">
        <v>21</v>
      </c>
      <c r="B5622" s="0" t="s">
        <v>16250</v>
      </c>
      <c r="C5622" s="0" t="s">
        <v>97</v>
      </c>
      <c r="D5622" s="0" t="s">
        <v>16251</v>
      </c>
      <c r="E5622" s="0" t="s">
        <v>16252</v>
      </c>
      <c r="M5622" s="0" t="s">
        <v>136</v>
      </c>
      <c r="N5622" s="0" t="s">
        <v>124</v>
      </c>
      <c r="P5622" s="0" t="s">
        <v>102</v>
      </c>
      <c r="Q5622" s="0" t="s">
        <v>102</v>
      </c>
      <c r="R5622" s="0" t="s">
        <v>131</v>
      </c>
      <c r="S5622" s="0" t="s">
        <v>21</v>
      </c>
      <c r="T5622" s="0" t="s">
        <v>104</v>
      </c>
      <c r="W5622" s="0" t="s">
        <v>105</v>
      </c>
    </row>
    <row r="5623" customFormat="false" ht="15" hidden="false" customHeight="false" outlineLevel="0" collapsed="false">
      <c r="A5623" s="0" t="s">
        <v>21</v>
      </c>
      <c r="B5623" s="0" t="s">
        <v>16253</v>
      </c>
      <c r="C5623" s="0" t="s">
        <v>97</v>
      </c>
      <c r="D5623" s="0" t="s">
        <v>16254</v>
      </c>
      <c r="E5623" s="0" t="s">
        <v>16255</v>
      </c>
      <c r="M5623" s="0" t="s">
        <v>136</v>
      </c>
      <c r="N5623" s="0" t="s">
        <v>124</v>
      </c>
      <c r="P5623" s="0" t="s">
        <v>102</v>
      </c>
      <c r="Q5623" s="0" t="s">
        <v>102</v>
      </c>
      <c r="R5623" s="0" t="s">
        <v>113</v>
      </c>
      <c r="S5623" s="0" t="s">
        <v>21</v>
      </c>
      <c r="T5623" s="0" t="s">
        <v>104</v>
      </c>
      <c r="W5623" s="0" t="s">
        <v>105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3" min="2" style="0" width="20"/>
    <col collapsed="false" customWidth="true" hidden="false" outlineLevel="0" max="4" min="4" style="0" width="12"/>
    <col collapsed="false" customWidth="true" hidden="false" outlineLevel="0" max="5" min="5" style="0" width="18"/>
    <col collapsed="false" customWidth="true" hidden="false" outlineLevel="0" max="6" min="6" style="0" width="12"/>
  </cols>
  <sheetData>
    <row r="1" customFormat="false" ht="15" hidden="false" customHeight="false" outlineLevel="0" collapsed="false">
      <c r="A1" s="6" t="s">
        <v>16256</v>
      </c>
      <c r="B1" s="6"/>
      <c r="C1" s="6"/>
      <c r="D1" s="6"/>
      <c r="E1" s="6"/>
      <c r="F1" s="6"/>
    </row>
    <row r="2" customFormat="false" ht="15" hidden="false" customHeight="false" outlineLevel="0" collapsed="false">
      <c r="A2" s="7" t="s">
        <v>16257</v>
      </c>
      <c r="B2" s="7"/>
      <c r="C2" s="7"/>
      <c r="D2" s="7"/>
      <c r="E2" s="7"/>
      <c r="F2" s="7"/>
    </row>
    <row r="3" customFormat="false" ht="15" hidden="false" customHeight="false" outlineLevel="0" collapsed="false">
      <c r="A3" s="10" t="s">
        <v>16258</v>
      </c>
      <c r="B3" s="10" t="s">
        <v>16259</v>
      </c>
      <c r="C3" s="10" t="s">
        <v>16260</v>
      </c>
      <c r="D3" s="10" t="s">
        <v>16261</v>
      </c>
      <c r="E3" s="10" t="s">
        <v>16262</v>
      </c>
      <c r="F3" s="10" t="s">
        <v>16263</v>
      </c>
    </row>
    <row r="4" customFormat="false" ht="15" hidden="false" customHeight="false" outlineLevel="0" collapsed="false">
      <c r="A4" s="7" t="s">
        <v>55</v>
      </c>
      <c r="B4" s="7" t="n">
        <f aca="false">-SUM('FY27 JV Rev'!B2:B6)</f>
        <v>-7.2</v>
      </c>
      <c r="C4" s="7" t="n">
        <f aca="false">SUMIFS(Account_Setup_and_Data_Load!$T:$T,Account_Setup_and_Data_Load!$L:$L,"2026-07-01")</f>
        <v>-7.2</v>
      </c>
      <c r="D4" s="7" t="n">
        <f aca="false">ROUND(C4-B4,4)</f>
        <v>0</v>
      </c>
      <c r="E4" s="7" t="n">
        <f aca="false">COUNTIF(Account_Setup_and_Data_Load!$L:$L,"2026-07-01")</f>
        <v>5</v>
      </c>
      <c r="F4" s="7" t="str">
        <f aca="false">IF(ABS(D4)&lt;=0.001,"OK","MISMATCH")</f>
        <v>OK</v>
      </c>
    </row>
    <row r="5" customFormat="false" ht="15" hidden="false" customHeight="false" outlineLevel="0" collapsed="false">
      <c r="A5" s="7" t="s">
        <v>16264</v>
      </c>
      <c r="B5" s="7" t="n">
        <f aca="false">SUM(B4:B4)</f>
        <v>-7.2</v>
      </c>
      <c r="C5" s="7" t="n">
        <f aca="false">SUM(C4:C4)</f>
        <v>-7.2</v>
      </c>
      <c r="D5" s="7" t="n">
        <f aca="false">ROUND(C5-B5,4)</f>
        <v>0</v>
      </c>
      <c r="E5" s="7" t="n">
        <f aca="false">SUM(E4:E4)</f>
        <v>5</v>
      </c>
      <c r="F5" s="7" t="str">
        <f aca="false">IF(ABS(D5)&lt;=0.001,"OK","MISMATCH")</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8"/>
    <col collapsed="false" customWidth="true" hidden="false" outlineLevel="0" max="2" min="2" style="0" width="9.5"/>
    <col collapsed="false" customWidth="true" hidden="false" outlineLevel="0" max="3" min="3" style="0" width="12"/>
  </cols>
  <sheetData>
    <row r="1" customFormat="false" ht="15" hidden="false" customHeight="false" outlineLevel="0" collapsed="false">
      <c r="A1" s="6" t="s">
        <v>16265</v>
      </c>
      <c r="B1" s="6"/>
      <c r="C1" s="6"/>
    </row>
    <row r="2" customFormat="false" ht="15" hidden="false" customHeight="false" outlineLevel="0" collapsed="false">
      <c r="A2" s="7"/>
      <c r="B2" s="7"/>
      <c r="C2" s="7"/>
    </row>
    <row r="3" customFormat="false" ht="15" hidden="false" customHeight="false" outlineLevel="0" collapsed="false">
      <c r="A3" s="10" t="s">
        <v>16266</v>
      </c>
      <c r="B3" s="10" t="s">
        <v>55</v>
      </c>
      <c r="C3" s="10" t="s">
        <v>16263</v>
      </c>
    </row>
    <row r="4" customFormat="false" ht="15" hidden="false" customHeight="false" outlineLevel="0" collapsed="false">
      <c r="A4" s="7" t="s">
        <v>32</v>
      </c>
      <c r="B4" s="7" t="n">
        <f aca="false">ROUND(SUMIFS(Account_Setup_and_Data_Load!$T:$T,Account_Setup_and_Data_Load!$L:$L,"2026-07-01",Account_Setup_and_Data_Load!$R:$R,$A4)+'FY27 JV Rev'!B2,4)</f>
        <v>0</v>
      </c>
      <c r="C4" s="7" t="str">
        <f aca="false">IF(SUMPRODUCT(ABS(B4:B4))&lt;=0.001,"OK","MISMATCH")</f>
        <v>OK</v>
      </c>
    </row>
    <row r="5" customFormat="false" ht="15" hidden="false" customHeight="false" outlineLevel="0" collapsed="false">
      <c r="A5" s="7" t="s">
        <v>36</v>
      </c>
      <c r="B5" s="7" t="n">
        <f aca="false">ROUND(SUMIFS(Account_Setup_and_Data_Load!$T:$T,Account_Setup_and_Data_Load!$L:$L,"2026-07-01",Account_Setup_and_Data_Load!$R:$R,$A5)+'FY27 JV Rev'!B3,4)</f>
        <v>0</v>
      </c>
      <c r="C5" s="7" t="str">
        <f aca="false">IF(SUMPRODUCT(ABS(B5:B5))&lt;=0.001,"OK","MISMATCH")</f>
        <v>OK</v>
      </c>
    </row>
    <row r="6" customFormat="false" ht="15" hidden="false" customHeight="false" outlineLevel="0" collapsed="false">
      <c r="A6" s="7" t="s">
        <v>40</v>
      </c>
      <c r="B6" s="7" t="n">
        <f aca="false">ROUND(SUMIFS(Account_Setup_and_Data_Load!$T:$T,Account_Setup_and_Data_Load!$L:$L,"2026-07-01",Account_Setup_and_Data_Load!$R:$R,$A6)+'FY27 JV Rev'!B4,4)</f>
        <v>0</v>
      </c>
      <c r="C6" s="7" t="str">
        <f aca="false">IF(SUMPRODUCT(ABS(B6:B6))&lt;=0.001,"OK","MISMATCH")</f>
        <v>OK</v>
      </c>
    </row>
    <row r="7" customFormat="false" ht="15" hidden="false" customHeight="false" outlineLevel="0" collapsed="false">
      <c r="A7" s="7" t="s">
        <v>44</v>
      </c>
      <c r="B7" s="7" t="n">
        <f aca="false">ROUND(SUMIFS(Account_Setup_and_Data_Load!$T:$T,Account_Setup_and_Data_Load!$L:$L,"2026-07-01",Account_Setup_and_Data_Load!$R:$R,$A7)+'FY27 JV Rev'!B5,4)</f>
        <v>0</v>
      </c>
      <c r="C7" s="7" t="str">
        <f aca="false">IF(SUMPRODUCT(ABS(B7:B7))&lt;=0.001,"OK","MISMATCH")</f>
        <v>OK</v>
      </c>
    </row>
    <row r="8" customFormat="false" ht="15" hidden="false" customHeight="false" outlineLevel="0" collapsed="false">
      <c r="A8" s="7" t="s">
        <v>48</v>
      </c>
      <c r="B8" s="7" t="n">
        <f aca="false">ROUND(SUMIFS(Account_Setup_and_Data_Load!$T:$T,Account_Setup_and_Data_Load!$L:$L,"2026-07-01",Account_Setup_and_Data_Load!$R:$R,$A8)+'FY27 JV Rev'!B6,4)</f>
        <v>0</v>
      </c>
      <c r="C8" s="7" t="str">
        <f aca="false">IF(SUMPRODUCT(ABS(B8:B8))&lt;=0.001,"OK","MISMATCH")</f>
        <v>OK</v>
      </c>
    </row>
    <row r="9" customFormat="false" ht="15" hidden="false" customHeight="false" outlineLevel="0" collapsed="false">
      <c r="A9" s="7"/>
      <c r="B9" s="7"/>
      <c r="C9" s="7"/>
    </row>
    <row r="10" customFormat="false" ht="15" hidden="false" customHeight="false" outlineLevel="0" collapsed="false">
      <c r="A10" s="7" t="s">
        <v>16267</v>
      </c>
      <c r="B10" s="7"/>
      <c r="C10" s="7" t="str">
        <f aca="false">IF(SUMPRODUCT(ABS(B4:B8))&lt;=0.001,"ALL OK","MISMATCH")</f>
        <v>ALL 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2026-08-27T06:10:57Z</dcterms:created>
  <dc:creator>openpyxl</dc:creator>
  <dc:description/>
  <dc:language>en-US</dc:language>
  <cp:lastModifiedBy/>
  <dcterms:modified xsi:type="dcterms:W3CDTF">2026-08-27T06:11:00Z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